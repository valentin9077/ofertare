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ovidiu.fejer\Desktop\"/>
    </mc:Choice>
  </mc:AlternateContent>
  <xr:revisionPtr revIDLastSave="0" documentId="13_ncr:1_{AB1F002E-B214-4834-A639-2C6097B9199A}" xr6:coauthVersionLast="47" xr6:coauthVersionMax="47" xr10:uidLastSave="{00000000-0000-0000-0000-000000000000}"/>
  <bookViews>
    <workbookView xWindow="-108" yWindow="-108" windowWidth="23256" windowHeight="12576" tabRatio="733" xr2:uid="{F27590E5-9210-4521-BC4A-EC8A1F4A4A2E}"/>
  </bookViews>
  <sheets>
    <sheet name="Centraliz.General" sheetId="57" r:id="rId1"/>
    <sheet name="Centralizator" sheetId="56" r:id="rId2"/>
    <sheet name="F4" sheetId="55" r:id="rId3"/>
    <sheet name="O.00 D.2" sheetId="1" r:id="rId4"/>
    <sheet name="O.000 D.6.2" sheetId="5" r:id="rId5"/>
    <sheet name="O.01 D.04" sheetId="9" r:id="rId6"/>
    <sheet name="O.01 D.05" sheetId="10" r:id="rId7"/>
    <sheet name="O.01 D.06" sheetId="11" r:id="rId8"/>
    <sheet name="O.01 D.07" sheetId="12" r:id="rId9"/>
    <sheet name="O.01 D.08" sheetId="13" r:id="rId10"/>
    <sheet name="O.01 D.09" sheetId="14" r:id="rId11"/>
    <sheet name="O.01 D.10" sheetId="15" r:id="rId12"/>
    <sheet name="O.01 D.11" sheetId="16" r:id="rId13"/>
    <sheet name="O.02 D.04" sheetId="22" r:id="rId14"/>
    <sheet name="O.02 D.05" sheetId="23" r:id="rId15"/>
    <sheet name="O.02 D.06" sheetId="24" r:id="rId16"/>
    <sheet name="O.02 D.07" sheetId="25" r:id="rId17"/>
    <sheet name="O.02 D.08" sheetId="26" r:id="rId18"/>
    <sheet name="O.02 D.09" sheetId="27" r:id="rId19"/>
    <sheet name="O.02 D.10" sheetId="28" r:id="rId20"/>
    <sheet name="O.02 D.11" sheetId="29" r:id="rId21"/>
    <sheet name="O.03 D.02" sheetId="33" r:id="rId22"/>
    <sheet name="O.03 D.03" sheetId="34" r:id="rId23"/>
    <sheet name="O.04 D.01" sheetId="38" state="hidden" r:id="rId24"/>
    <sheet name="O.04 D.07" sheetId="44" r:id="rId25"/>
    <sheet name="O.04 D.08" sheetId="45" r:id="rId26"/>
    <sheet name="O.05 D.03" sheetId="50" r:id="rId27"/>
    <sheet name="O.05 D.04" sheetId="51" r:id="rId28"/>
  </sheets>
  <definedNames>
    <definedName name="_xlnm.Print_Titles" localSheetId="3">'O.00 D.2'!$6:$11</definedName>
    <definedName name="_xlnm.Print_Titles" localSheetId="4">'O.000 D.6.2'!$6:$11</definedName>
    <definedName name="_xlnm.Print_Titles" localSheetId="5">'O.01 D.04'!$6:$11</definedName>
    <definedName name="_xlnm.Print_Titles" localSheetId="6">'O.01 D.05'!$6:$11</definedName>
    <definedName name="_xlnm.Print_Titles" localSheetId="7">'O.01 D.06'!$6:$11</definedName>
    <definedName name="_xlnm.Print_Titles" localSheetId="8">'O.01 D.07'!$6:$11</definedName>
    <definedName name="_xlnm.Print_Titles" localSheetId="9">'O.01 D.08'!$6:$11</definedName>
    <definedName name="_xlnm.Print_Titles" localSheetId="10">'O.01 D.09'!$6:$11</definedName>
    <definedName name="_xlnm.Print_Titles" localSheetId="11">'O.01 D.10'!$6:$11</definedName>
    <definedName name="_xlnm.Print_Titles" localSheetId="12">'O.01 D.11'!$6:$11</definedName>
    <definedName name="_xlnm.Print_Titles" localSheetId="13">'O.02 D.04'!$6:$11</definedName>
    <definedName name="_xlnm.Print_Titles" localSheetId="14">'O.02 D.05'!$6:$11</definedName>
    <definedName name="_xlnm.Print_Titles" localSheetId="15">'O.02 D.06'!$6:$11</definedName>
    <definedName name="_xlnm.Print_Titles" localSheetId="16">'O.02 D.07'!$6:$11</definedName>
    <definedName name="_xlnm.Print_Titles" localSheetId="17">'O.02 D.08'!$6:$11</definedName>
    <definedName name="_xlnm.Print_Titles" localSheetId="18">'O.02 D.09'!$6:$11</definedName>
    <definedName name="_xlnm.Print_Titles" localSheetId="19">'O.02 D.10'!$6:$11</definedName>
    <definedName name="_xlnm.Print_Titles" localSheetId="20">'O.02 D.11'!$6:$11</definedName>
    <definedName name="_xlnm.Print_Titles" localSheetId="21">'O.03 D.02'!$6:$11</definedName>
    <definedName name="_xlnm.Print_Titles" localSheetId="22">'O.03 D.03'!$6:$11</definedName>
    <definedName name="_xlnm.Print_Titles" localSheetId="23">'O.04 D.01'!$6:$11</definedName>
    <definedName name="_xlnm.Print_Titles" localSheetId="24">'O.04 D.07'!$6:$11</definedName>
    <definedName name="_xlnm.Print_Titles" localSheetId="25">'O.04 D.08'!$6:$11</definedName>
    <definedName name="_xlnm.Print_Titles" localSheetId="26">'O.05 D.03'!$6:$11</definedName>
    <definedName name="_xlnm.Print_Titles" localSheetId="27">'O.05 D.04'!$6:$11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7" i="57" l="1"/>
  <c r="G126" i="56"/>
  <c r="G127" i="56" s="1"/>
  <c r="G120" i="56"/>
  <c r="I19" i="51"/>
  <c r="G119" i="56"/>
  <c r="I76" i="50"/>
  <c r="B17" i="57"/>
  <c r="B16" i="57"/>
  <c r="G102" i="56"/>
  <c r="I19" i="45"/>
  <c r="G101" i="56"/>
  <c r="I59" i="44"/>
  <c r="G106" i="56"/>
  <c r="G105" i="56"/>
  <c r="G85" i="56"/>
  <c r="I56" i="34"/>
  <c r="G71" i="56"/>
  <c r="G70" i="56"/>
  <c r="G88" i="56"/>
  <c r="G89" i="56" s="1"/>
  <c r="G84" i="56"/>
  <c r="I293" i="33"/>
  <c r="B15" i="57"/>
  <c r="G67" i="56"/>
  <c r="I39" i="29"/>
  <c r="G66" i="56"/>
  <c r="I319" i="28"/>
  <c r="G65" i="56"/>
  <c r="I246" i="27"/>
  <c r="G64" i="56"/>
  <c r="I238" i="26"/>
  <c r="G63" i="56"/>
  <c r="I198" i="25"/>
  <c r="G62" i="56"/>
  <c r="I105" i="24"/>
  <c r="G61" i="56"/>
  <c r="I420" i="23"/>
  <c r="G60" i="56"/>
  <c r="I490" i="22"/>
  <c r="B14" i="57"/>
  <c r="B13" i="57"/>
  <c r="G43" i="56"/>
  <c r="I76" i="16"/>
  <c r="G42" i="56"/>
  <c r="I348" i="15"/>
  <c r="G41" i="56"/>
  <c r="I272" i="14"/>
  <c r="G40" i="56"/>
  <c r="I281" i="13"/>
  <c r="G39" i="56"/>
  <c r="I383" i="12"/>
  <c r="G38" i="56"/>
  <c r="I131" i="11"/>
  <c r="G37" i="56"/>
  <c r="I467" i="10"/>
  <c r="G46" i="56"/>
  <c r="G47" i="56"/>
  <c r="G9" i="55"/>
  <c r="G114" i="55"/>
  <c r="G115" i="55" s="1"/>
  <c r="G110" i="55"/>
  <c r="G109" i="55"/>
  <c r="G107" i="55"/>
  <c r="G106" i="55"/>
  <c r="G102" i="55"/>
  <c r="G101" i="55"/>
  <c r="G100" i="55"/>
  <c r="G99" i="55"/>
  <c r="G98" i="55"/>
  <c r="G97" i="55"/>
  <c r="G96" i="55"/>
  <c r="G95" i="55"/>
  <c r="G94" i="55"/>
  <c r="G93" i="55"/>
  <c r="G92" i="55"/>
  <c r="G91" i="55"/>
  <c r="G87" i="55"/>
  <c r="G86" i="55"/>
  <c r="G84" i="55"/>
  <c r="G83" i="55"/>
  <c r="G82" i="55"/>
  <c r="G81" i="55"/>
  <c r="G80" i="55"/>
  <c r="G79" i="55"/>
  <c r="G78" i="55"/>
  <c r="G77" i="55"/>
  <c r="G76" i="55"/>
  <c r="G75" i="55"/>
  <c r="G74" i="55"/>
  <c r="G73" i="55"/>
  <c r="G72" i="55"/>
  <c r="G71" i="55"/>
  <c r="G70" i="55"/>
  <c r="G69" i="55"/>
  <c r="G68" i="55"/>
  <c r="G67" i="55"/>
  <c r="G66" i="55"/>
  <c r="G65" i="55"/>
  <c r="G64" i="55"/>
  <c r="G63" i="55"/>
  <c r="G62" i="55"/>
  <c r="G61" i="55"/>
  <c r="G60" i="55"/>
  <c r="G59" i="55"/>
  <c r="G55" i="55"/>
  <c r="G54" i="55"/>
  <c r="G53" i="55"/>
  <c r="G10" i="55"/>
  <c r="G11" i="55"/>
  <c r="G12" i="55"/>
  <c r="G13" i="55"/>
  <c r="G14" i="55"/>
  <c r="G15" i="55"/>
  <c r="G16" i="55"/>
  <c r="G17" i="55"/>
  <c r="G18" i="55"/>
  <c r="G19" i="55"/>
  <c r="G20" i="55"/>
  <c r="G21" i="55"/>
  <c r="G22" i="55"/>
  <c r="G23" i="55"/>
  <c r="G24" i="55"/>
  <c r="G25" i="55"/>
  <c r="G26" i="55"/>
  <c r="G27" i="55"/>
  <c r="G28" i="55"/>
  <c r="G29" i="55"/>
  <c r="G30" i="55"/>
  <c r="G31" i="55"/>
  <c r="G32" i="55"/>
  <c r="G33" i="55"/>
  <c r="G34" i="55"/>
  <c r="G35" i="55"/>
  <c r="G36" i="55"/>
  <c r="G37" i="55"/>
  <c r="G38" i="55"/>
  <c r="G39" i="55"/>
  <c r="G40" i="55"/>
  <c r="G41" i="55"/>
  <c r="G42" i="55"/>
  <c r="G43" i="55"/>
  <c r="G44" i="55"/>
  <c r="G45" i="55"/>
  <c r="G46" i="55"/>
  <c r="G47" i="55"/>
  <c r="G48" i="55"/>
  <c r="G49" i="55"/>
  <c r="G50" i="55"/>
  <c r="G51" i="55"/>
  <c r="G36" i="56"/>
  <c r="I604" i="9"/>
  <c r="K603" i="9"/>
  <c r="L603" i="9"/>
  <c r="Q603" i="9"/>
  <c r="R603" i="9"/>
  <c r="S603" i="9"/>
  <c r="B12" i="57"/>
  <c r="I38" i="5"/>
  <c r="I88" i="1"/>
  <c r="B11" i="57"/>
  <c r="H77" i="28"/>
  <c r="H17" i="22"/>
  <c r="H173" i="22"/>
  <c r="H451" i="10"/>
  <c r="H153" i="15"/>
  <c r="H148" i="15"/>
  <c r="H140" i="15"/>
  <c r="H132" i="15"/>
  <c r="H124" i="15"/>
  <c r="H84" i="15"/>
  <c r="H68" i="15"/>
  <c r="H60" i="15"/>
  <c r="H52" i="15"/>
  <c r="H44" i="15"/>
  <c r="H36" i="15"/>
  <c r="H262" i="14"/>
  <c r="H257" i="14"/>
  <c r="H251" i="14"/>
  <c r="H246" i="14"/>
  <c r="H241" i="14"/>
  <c r="H234" i="14"/>
  <c r="H233" i="14"/>
  <c r="H227" i="14"/>
  <c r="H226" i="14"/>
  <c r="H208" i="14"/>
  <c r="H207" i="14"/>
  <c r="H203" i="14"/>
  <c r="H202" i="14"/>
  <c r="H201" i="14"/>
  <c r="H192" i="14"/>
  <c r="H187" i="14"/>
  <c r="H182" i="14"/>
  <c r="H177" i="14"/>
  <c r="H173" i="14"/>
  <c r="H172" i="14"/>
  <c r="H168" i="14"/>
  <c r="H167" i="14"/>
  <c r="H163" i="14"/>
  <c r="H162" i="14"/>
  <c r="H158" i="14"/>
  <c r="H157" i="14"/>
  <c r="H151" i="14"/>
  <c r="H145" i="14"/>
  <c r="H133" i="14"/>
  <c r="H128" i="14"/>
  <c r="H123" i="14"/>
  <c r="H118" i="14"/>
  <c r="H113" i="14"/>
  <c r="H108" i="14"/>
  <c r="H103" i="14"/>
  <c r="H98" i="14"/>
  <c r="H95" i="14"/>
  <c r="H94" i="14"/>
  <c r="H93" i="14"/>
  <c r="H87" i="14"/>
  <c r="H66" i="14"/>
  <c r="H65" i="14"/>
  <c r="H59" i="14"/>
  <c r="H52" i="14"/>
  <c r="H51" i="14"/>
  <c r="H45" i="14"/>
  <c r="H44" i="14"/>
  <c r="H38" i="14"/>
  <c r="H37" i="14"/>
  <c r="H27" i="14"/>
  <c r="H13" i="14"/>
  <c r="H12" i="14"/>
  <c r="G56" i="55" l="1"/>
  <c r="G111" i="55"/>
  <c r="G88" i="55"/>
  <c r="G103" i="55"/>
  <c r="G116" i="55" l="1"/>
  <c r="G48" i="56"/>
  <c r="G107" i="56"/>
  <c r="G72" i="56"/>
  <c r="H275" i="13" l="1"/>
  <c r="H274" i="13"/>
  <c r="H271" i="13"/>
  <c r="H270" i="13"/>
  <c r="H266" i="13"/>
  <c r="H265" i="13"/>
  <c r="H264" i="13"/>
  <c r="H260" i="13"/>
  <c r="H255" i="13"/>
  <c r="I255" i="13" s="1"/>
  <c r="H250" i="13"/>
  <c r="H246" i="13"/>
  <c r="I246" i="13" s="1"/>
  <c r="M246" i="13" s="1"/>
  <c r="H245" i="13"/>
  <c r="H241" i="13"/>
  <c r="H240" i="13"/>
  <c r="H236" i="13"/>
  <c r="H235" i="13"/>
  <c r="H229" i="13"/>
  <c r="H223" i="13"/>
  <c r="H217" i="13"/>
  <c r="I217" i="13" s="1"/>
  <c r="H181" i="13"/>
  <c r="H176" i="13"/>
  <c r="I176" i="13" s="1"/>
  <c r="H171" i="13"/>
  <c r="H166" i="13"/>
  <c r="H161" i="13"/>
  <c r="H156" i="13"/>
  <c r="H153" i="13"/>
  <c r="H152" i="13"/>
  <c r="H151" i="13"/>
  <c r="H137" i="13"/>
  <c r="H136" i="13"/>
  <c r="H132" i="13"/>
  <c r="I132" i="13" s="1"/>
  <c r="H127" i="13"/>
  <c r="I127" i="13" s="1"/>
  <c r="H126" i="13"/>
  <c r="I126" i="13" s="1"/>
  <c r="H122" i="13"/>
  <c r="H121" i="13"/>
  <c r="H117" i="13"/>
  <c r="H116" i="13"/>
  <c r="H112" i="13"/>
  <c r="H111" i="13"/>
  <c r="H107" i="13"/>
  <c r="H106" i="13"/>
  <c r="H13" i="13"/>
  <c r="H12" i="13"/>
  <c r="I12" i="13" s="1"/>
  <c r="H379" i="12"/>
  <c r="I379" i="12" s="1"/>
  <c r="M379" i="12" s="1"/>
  <c r="H378" i="12"/>
  <c r="I378" i="12" s="1"/>
  <c r="H373" i="12"/>
  <c r="H372" i="12"/>
  <c r="H376" i="12" s="1"/>
  <c r="H368" i="12"/>
  <c r="H363" i="12"/>
  <c r="H359" i="12"/>
  <c r="H358" i="12"/>
  <c r="H354" i="12"/>
  <c r="H353" i="12"/>
  <c r="H347" i="12"/>
  <c r="H341" i="12"/>
  <c r="H335" i="12"/>
  <c r="H334" i="12"/>
  <c r="H329" i="12"/>
  <c r="H323" i="12"/>
  <c r="I323" i="12" s="1"/>
  <c r="H322" i="12"/>
  <c r="H299" i="12"/>
  <c r="H294" i="12"/>
  <c r="H289" i="12"/>
  <c r="H284" i="12"/>
  <c r="H279" i="12"/>
  <c r="H276" i="12"/>
  <c r="H275" i="12"/>
  <c r="I275" i="12" s="1"/>
  <c r="H274" i="12"/>
  <c r="I274" i="12" s="1"/>
  <c r="H269" i="12"/>
  <c r="I269" i="12" s="1"/>
  <c r="H263" i="12"/>
  <c r="H262" i="12"/>
  <c r="H266" i="12" s="1"/>
  <c r="H257" i="12"/>
  <c r="H256" i="12"/>
  <c r="H251" i="12"/>
  <c r="H250" i="12"/>
  <c r="H245" i="12"/>
  <c r="H244" i="12"/>
  <c r="H228" i="12"/>
  <c r="I228" i="12" s="1"/>
  <c r="M228" i="12" s="1"/>
  <c r="H227" i="12"/>
  <c r="I227" i="12" s="1"/>
  <c r="H226" i="12"/>
  <c r="H179" i="12"/>
  <c r="H171" i="12"/>
  <c r="H99" i="12"/>
  <c r="I99" i="12" s="1"/>
  <c r="H98" i="12"/>
  <c r="H23" i="12"/>
  <c r="H20" i="12"/>
  <c r="H19" i="12"/>
  <c r="H18" i="12"/>
  <c r="H13" i="12"/>
  <c r="H12" i="12"/>
  <c r="H452" i="10"/>
  <c r="H458" i="10"/>
  <c r="I458" i="10" s="1"/>
  <c r="M458" i="10" s="1"/>
  <c r="H319" i="10"/>
  <c r="I319" i="10" s="1"/>
  <c r="H457" i="10"/>
  <c r="H453" i="10"/>
  <c r="I453" i="10" s="1"/>
  <c r="M453" i="10" s="1"/>
  <c r="H447" i="10"/>
  <c r="H442" i="10"/>
  <c r="H437" i="10"/>
  <c r="H432" i="10"/>
  <c r="H427" i="10"/>
  <c r="H423" i="10"/>
  <c r="H422" i="10"/>
  <c r="H417" i="10"/>
  <c r="H413" i="10"/>
  <c r="I413" i="10" s="1"/>
  <c r="M413" i="10" s="1"/>
  <c r="H412" i="10"/>
  <c r="I412" i="10" s="1"/>
  <c r="H408" i="10"/>
  <c r="H407" i="10"/>
  <c r="H402" i="10"/>
  <c r="H396" i="10"/>
  <c r="H390" i="10"/>
  <c r="H376" i="10"/>
  <c r="H384" i="10"/>
  <c r="H383" i="10"/>
  <c r="H370" i="10"/>
  <c r="H330" i="10"/>
  <c r="H325" i="10"/>
  <c r="I325" i="10" s="1"/>
  <c r="H318" i="10"/>
  <c r="H312" i="10"/>
  <c r="H290" i="10"/>
  <c r="H263" i="10"/>
  <c r="I402" i="10"/>
  <c r="H259" i="10"/>
  <c r="H253" i="10"/>
  <c r="H254" i="10"/>
  <c r="H249" i="10"/>
  <c r="H244" i="10"/>
  <c r="H229" i="10"/>
  <c r="H228" i="10"/>
  <c r="H232" i="10" s="1"/>
  <c r="H217" i="10"/>
  <c r="I217" i="10" s="1"/>
  <c r="H211" i="10"/>
  <c r="H205" i="10"/>
  <c r="I205" i="10" s="1"/>
  <c r="H194" i="10"/>
  <c r="H170" i="10"/>
  <c r="H160" i="10"/>
  <c r="H143" i="10"/>
  <c r="H137" i="10"/>
  <c r="H130" i="10"/>
  <c r="H124" i="10"/>
  <c r="H113" i="10"/>
  <c r="H112" i="10"/>
  <c r="H107" i="10"/>
  <c r="I107" i="10" s="1"/>
  <c r="H97" i="10"/>
  <c r="H96" i="10"/>
  <c r="H86" i="10"/>
  <c r="H81" i="10"/>
  <c r="H58" i="10"/>
  <c r="H57" i="10"/>
  <c r="H43" i="10"/>
  <c r="H42" i="10"/>
  <c r="H462" i="10"/>
  <c r="H463" i="10"/>
  <c r="H487" i="9"/>
  <c r="I487" i="9" s="1"/>
  <c r="M487" i="9" s="1"/>
  <c r="H493" i="9"/>
  <c r="I493" i="9" s="1"/>
  <c r="M493" i="9" s="1"/>
  <c r="H499" i="9"/>
  <c r="I499" i="9" s="1"/>
  <c r="M499" i="9" s="1"/>
  <c r="H249" i="9"/>
  <c r="H254" i="9"/>
  <c r="H255" i="9"/>
  <c r="H330" i="9"/>
  <c r="H343" i="9"/>
  <c r="H354" i="9"/>
  <c r="H355" i="9"/>
  <c r="I355" i="9" s="1"/>
  <c r="H66" i="50"/>
  <c r="I66" i="50" s="1"/>
  <c r="H56" i="50"/>
  <c r="I56" i="50" s="1"/>
  <c r="H44" i="50"/>
  <c r="H43" i="50"/>
  <c r="H47" i="50" s="1"/>
  <c r="H39" i="50"/>
  <c r="I39" i="50" s="1"/>
  <c r="H34" i="50"/>
  <c r="H33" i="50"/>
  <c r="H49" i="44"/>
  <c r="H48" i="44"/>
  <c r="H47" i="44"/>
  <c r="H43" i="44"/>
  <c r="H42" i="44"/>
  <c r="H38" i="44"/>
  <c r="I38" i="44" s="1"/>
  <c r="H33" i="44"/>
  <c r="I33" i="44" s="1"/>
  <c r="H32" i="44"/>
  <c r="I32" i="44" s="1"/>
  <c r="H28" i="44"/>
  <c r="I28" i="44" s="1"/>
  <c r="H23" i="44"/>
  <c r="I23" i="44" s="1"/>
  <c r="H22" i="44"/>
  <c r="H13" i="44"/>
  <c r="I13" i="44" s="1"/>
  <c r="H12" i="44"/>
  <c r="H13" i="29"/>
  <c r="H12" i="29"/>
  <c r="H599" i="9"/>
  <c r="H598" i="9"/>
  <c r="H594" i="9"/>
  <c r="H589" i="9"/>
  <c r="I589" i="9" s="1"/>
  <c r="H588" i="9"/>
  <c r="H584" i="9"/>
  <c r="I584" i="9" s="1"/>
  <c r="H583" i="9"/>
  <c r="H587" i="9" s="1"/>
  <c r="H574" i="9"/>
  <c r="H573" i="9"/>
  <c r="H569" i="9"/>
  <c r="H568" i="9"/>
  <c r="H559" i="9"/>
  <c r="H554" i="9"/>
  <c r="H549" i="9"/>
  <c r="H548" i="9"/>
  <c r="H545" i="9"/>
  <c r="I545" i="9" s="1"/>
  <c r="M545" i="9" s="1"/>
  <c r="H544" i="9"/>
  <c r="I544" i="9" s="1"/>
  <c r="H543" i="9"/>
  <c r="H540" i="9"/>
  <c r="H539" i="9"/>
  <c r="H538" i="9"/>
  <c r="H534" i="9"/>
  <c r="H529" i="9"/>
  <c r="H528" i="9"/>
  <c r="H519" i="9"/>
  <c r="H514" i="9"/>
  <c r="H513" i="9"/>
  <c r="H508" i="9"/>
  <c r="H498" i="9"/>
  <c r="I498" i="9" s="1"/>
  <c r="H497" i="9"/>
  <c r="H492" i="9"/>
  <c r="H491" i="9"/>
  <c r="H486" i="9"/>
  <c r="I486" i="9" s="1"/>
  <c r="H485" i="9"/>
  <c r="H481" i="9"/>
  <c r="H480" i="9"/>
  <c r="H476" i="9"/>
  <c r="H475" i="9"/>
  <c r="H471" i="9"/>
  <c r="H470" i="9"/>
  <c r="H466" i="9"/>
  <c r="I466" i="9" s="1"/>
  <c r="H465" i="9"/>
  <c r="H461" i="9"/>
  <c r="I461" i="9" s="1"/>
  <c r="H456" i="9"/>
  <c r="H446" i="9"/>
  <c r="I446" i="9" s="1"/>
  <c r="H445" i="9"/>
  <c r="H450" i="9"/>
  <c r="H435" i="9"/>
  <c r="H430" i="9"/>
  <c r="H425" i="9"/>
  <c r="H420" i="9"/>
  <c r="H415" i="9"/>
  <c r="H410" i="9"/>
  <c r="H405" i="9"/>
  <c r="H402" i="9"/>
  <c r="H401" i="9"/>
  <c r="H400" i="9"/>
  <c r="H397" i="9"/>
  <c r="H396" i="9"/>
  <c r="I396" i="9" s="1"/>
  <c r="H392" i="9"/>
  <c r="H391" i="9"/>
  <c r="H390" i="9"/>
  <c r="H387" i="9"/>
  <c r="H386" i="9"/>
  <c r="H385" i="9"/>
  <c r="H382" i="9"/>
  <c r="I382" i="9" s="1"/>
  <c r="M382" i="9" s="1"/>
  <c r="H381" i="9"/>
  <c r="H380" i="9"/>
  <c r="H377" i="9"/>
  <c r="I377" i="9" s="1"/>
  <c r="M377" i="9" s="1"/>
  <c r="H376" i="9"/>
  <c r="H375" i="9"/>
  <c r="H372" i="9"/>
  <c r="H371" i="9"/>
  <c r="H370" i="9"/>
  <c r="H367" i="9"/>
  <c r="H366" i="9"/>
  <c r="I366" i="9" s="1"/>
  <c r="H365" i="9"/>
  <c r="H362" i="9"/>
  <c r="I362" i="9" s="1"/>
  <c r="M362" i="9" s="1"/>
  <c r="H361" i="9"/>
  <c r="H360" i="9"/>
  <c r="H349" i="9"/>
  <c r="I349" i="9" s="1"/>
  <c r="H325" i="9"/>
  <c r="H324" i="9"/>
  <c r="H319" i="9"/>
  <c r="H318" i="9"/>
  <c r="H314" i="9"/>
  <c r="H313" i="9"/>
  <c r="H308" i="9"/>
  <c r="H301" i="9"/>
  <c r="I301" i="9" s="1"/>
  <c r="H300" i="9"/>
  <c r="H295" i="9"/>
  <c r="H294" i="9"/>
  <c r="H290" i="9"/>
  <c r="I290" i="9" s="1"/>
  <c r="H289" i="9"/>
  <c r="H283" i="9"/>
  <c r="H282" i="9"/>
  <c r="H261" i="9"/>
  <c r="H260" i="9"/>
  <c r="H221" i="9"/>
  <c r="H220" i="9"/>
  <c r="H215" i="9"/>
  <c r="I215" i="9" s="1"/>
  <c r="H214" i="9"/>
  <c r="H210" i="9"/>
  <c r="H209" i="9"/>
  <c r="H204" i="9"/>
  <c r="I204" i="9" s="1"/>
  <c r="H203" i="9"/>
  <c r="H199" i="9"/>
  <c r="H198" i="9"/>
  <c r="H180" i="9"/>
  <c r="H168" i="9"/>
  <c r="H167" i="9"/>
  <c r="H161" i="9"/>
  <c r="H160" i="9"/>
  <c r="H154" i="9"/>
  <c r="I154" i="9" s="1"/>
  <c r="H153" i="9"/>
  <c r="H147" i="9"/>
  <c r="H146" i="9"/>
  <c r="H140" i="9"/>
  <c r="H139" i="9"/>
  <c r="H134" i="9"/>
  <c r="H130" i="9"/>
  <c r="H125" i="9"/>
  <c r="H124" i="9"/>
  <c r="H120" i="9"/>
  <c r="I120" i="9" s="1"/>
  <c r="H114" i="9"/>
  <c r="H110" i="9"/>
  <c r="I110" i="9" s="1"/>
  <c r="H109" i="9"/>
  <c r="H106" i="9"/>
  <c r="H105" i="9"/>
  <c r="I105" i="9" s="1"/>
  <c r="H104" i="9"/>
  <c r="H100" i="9"/>
  <c r="H99" i="9"/>
  <c r="H98" i="9"/>
  <c r="H94" i="9"/>
  <c r="H93" i="9"/>
  <c r="H92" i="9"/>
  <c r="H88" i="9"/>
  <c r="I88" i="9" s="1"/>
  <c r="M88" i="9" s="1"/>
  <c r="H87" i="9"/>
  <c r="I87" i="9" s="1"/>
  <c r="H86" i="9"/>
  <c r="H82" i="9"/>
  <c r="H81" i="9"/>
  <c r="H80" i="9"/>
  <c r="H76" i="9"/>
  <c r="H75" i="9"/>
  <c r="H74" i="9"/>
  <c r="H67" i="9"/>
  <c r="H61" i="9"/>
  <c r="H43" i="9"/>
  <c r="I43" i="9" s="1"/>
  <c r="H38" i="9"/>
  <c r="I38" i="9" s="1"/>
  <c r="H33" i="9"/>
  <c r="I33" i="9" s="1"/>
  <c r="H32" i="9"/>
  <c r="H27" i="9"/>
  <c r="H22" i="9"/>
  <c r="H17" i="9"/>
  <c r="H28" i="9"/>
  <c r="H23" i="9"/>
  <c r="H18" i="9"/>
  <c r="H13" i="9"/>
  <c r="H32" i="5"/>
  <c r="H27" i="5"/>
  <c r="H22" i="5"/>
  <c r="H12" i="5"/>
  <c r="H17" i="5"/>
  <c r="H289" i="33"/>
  <c r="H288" i="33"/>
  <c r="I288" i="33" s="1"/>
  <c r="H283" i="33"/>
  <c r="I283" i="33" s="1"/>
  <c r="H278" i="33"/>
  <c r="I278" i="33" s="1"/>
  <c r="H277" i="33"/>
  <c r="H273" i="33"/>
  <c r="H268" i="33"/>
  <c r="H263" i="33"/>
  <c r="H253" i="33"/>
  <c r="I253" i="33" s="1"/>
  <c r="H252" i="33"/>
  <c r="H248" i="33"/>
  <c r="H247" i="33"/>
  <c r="H243" i="33"/>
  <c r="H242" i="33"/>
  <c r="H238" i="33"/>
  <c r="I238" i="33" s="1"/>
  <c r="H237" i="33"/>
  <c r="H233" i="33"/>
  <c r="H232" i="33"/>
  <c r="H223" i="33"/>
  <c r="H222" i="33"/>
  <c r="H207" i="33"/>
  <c r="H203" i="33"/>
  <c r="I203" i="33" s="1"/>
  <c r="H199" i="33"/>
  <c r="H198" i="33"/>
  <c r="H197" i="33"/>
  <c r="H194" i="33"/>
  <c r="I194" i="33" s="1"/>
  <c r="M194" i="33" s="1"/>
  <c r="H193" i="33"/>
  <c r="I193" i="33" s="1"/>
  <c r="H192" i="33"/>
  <c r="H189" i="33"/>
  <c r="H188" i="33"/>
  <c r="H187" i="33"/>
  <c r="H184" i="33"/>
  <c r="H183" i="33"/>
  <c r="H178" i="33"/>
  <c r="I178" i="33" s="1"/>
  <c r="H173" i="33"/>
  <c r="H172" i="33"/>
  <c r="H168" i="33"/>
  <c r="H163" i="33"/>
  <c r="I163" i="33" s="1"/>
  <c r="H158" i="33"/>
  <c r="I158" i="33" s="1"/>
  <c r="H153" i="33"/>
  <c r="I153" i="33" s="1"/>
  <c r="H148" i="33"/>
  <c r="I148" i="33" s="1"/>
  <c r="H138" i="33"/>
  <c r="H137" i="33"/>
  <c r="H133" i="33"/>
  <c r="H132" i="33"/>
  <c r="H128" i="33"/>
  <c r="I128" i="33" s="1"/>
  <c r="H127" i="33"/>
  <c r="H123" i="33"/>
  <c r="H126" i="33" s="1"/>
  <c r="H122" i="33"/>
  <c r="H118" i="33"/>
  <c r="I118" i="33" s="1"/>
  <c r="H117" i="33"/>
  <c r="H113" i="33"/>
  <c r="I113" i="33" s="1"/>
  <c r="H112" i="33"/>
  <c r="H103" i="33"/>
  <c r="H102" i="33"/>
  <c r="H98" i="33"/>
  <c r="H97" i="33"/>
  <c r="I97" i="33" s="1"/>
  <c r="H88" i="33"/>
  <c r="I88" i="33" s="1"/>
  <c r="H87" i="33"/>
  <c r="H83" i="33"/>
  <c r="I83" i="33" s="1"/>
  <c r="H82" i="33"/>
  <c r="H78" i="33"/>
  <c r="I78" i="33" s="1"/>
  <c r="H77" i="33"/>
  <c r="H56" i="33"/>
  <c r="I56" i="33" s="1"/>
  <c r="H55" i="33"/>
  <c r="H48" i="33"/>
  <c r="H47" i="33"/>
  <c r="H44" i="33"/>
  <c r="H43" i="33"/>
  <c r="I43" i="33" s="1"/>
  <c r="H42" i="33"/>
  <c r="I42" i="33" s="1"/>
  <c r="H39" i="33"/>
  <c r="H38" i="33"/>
  <c r="I38" i="33" s="1"/>
  <c r="H37" i="33"/>
  <c r="H34" i="33"/>
  <c r="I34" i="33" s="1"/>
  <c r="M34" i="33" s="1"/>
  <c r="H33" i="33"/>
  <c r="I33" i="33" s="1"/>
  <c r="H32" i="33"/>
  <c r="H29" i="33"/>
  <c r="H28" i="33"/>
  <c r="H27" i="33"/>
  <c r="H23" i="33"/>
  <c r="H22" i="33"/>
  <c r="I22" i="33" s="1"/>
  <c r="H18" i="33"/>
  <c r="I18" i="33" s="1"/>
  <c r="H17" i="33"/>
  <c r="H13" i="33"/>
  <c r="I13" i="33" s="1"/>
  <c r="H12" i="33"/>
  <c r="H44" i="34"/>
  <c r="I44" i="34" s="1"/>
  <c r="H43" i="34"/>
  <c r="H13" i="34"/>
  <c r="H12" i="34"/>
  <c r="I12" i="34" s="1"/>
  <c r="H314" i="28"/>
  <c r="I314" i="28" s="1"/>
  <c r="H309" i="28"/>
  <c r="H308" i="28"/>
  <c r="H303" i="28"/>
  <c r="H298" i="28"/>
  <c r="H294" i="28"/>
  <c r="H293" i="28"/>
  <c r="H288" i="28"/>
  <c r="H283" i="28"/>
  <c r="H278" i="28"/>
  <c r="H275" i="28"/>
  <c r="I275" i="28" s="1"/>
  <c r="M275" i="28" s="1"/>
  <c r="H274" i="28"/>
  <c r="H273" i="28"/>
  <c r="H268" i="28"/>
  <c r="H263" i="28"/>
  <c r="H258" i="28"/>
  <c r="H253" i="28"/>
  <c r="H250" i="28"/>
  <c r="H249" i="28"/>
  <c r="H248" i="28"/>
  <c r="H243" i="28"/>
  <c r="H238" i="28"/>
  <c r="H233" i="28"/>
  <c r="H230" i="28"/>
  <c r="H229" i="28"/>
  <c r="H228" i="28"/>
  <c r="H223" i="28"/>
  <c r="H218" i="28"/>
  <c r="H215" i="28"/>
  <c r="H214" i="28"/>
  <c r="H208" i="28"/>
  <c r="H203" i="28"/>
  <c r="H198" i="28"/>
  <c r="H193" i="28"/>
  <c r="H190" i="28"/>
  <c r="I190" i="28" s="1"/>
  <c r="M190" i="28" s="1"/>
  <c r="H189" i="28"/>
  <c r="H183" i="28"/>
  <c r="H175" i="28"/>
  <c r="H174" i="28"/>
  <c r="H173" i="28"/>
  <c r="H169" i="28"/>
  <c r="H168" i="28"/>
  <c r="H164" i="28"/>
  <c r="H163" i="28"/>
  <c r="H159" i="28"/>
  <c r="I159" i="28" s="1"/>
  <c r="H158" i="28"/>
  <c r="H153" i="28"/>
  <c r="H150" i="28"/>
  <c r="H149" i="28"/>
  <c r="I149" i="28" s="1"/>
  <c r="H148" i="28"/>
  <c r="H141" i="28"/>
  <c r="H140" i="28"/>
  <c r="H144" i="28" s="1"/>
  <c r="H133" i="28"/>
  <c r="H132" i="28"/>
  <c r="H125" i="28"/>
  <c r="H124" i="28"/>
  <c r="H117" i="28"/>
  <c r="H116" i="28"/>
  <c r="H109" i="28"/>
  <c r="H108" i="28"/>
  <c r="H101" i="28"/>
  <c r="I101" i="28" s="1"/>
  <c r="H100" i="28"/>
  <c r="H93" i="28"/>
  <c r="H92" i="28"/>
  <c r="H85" i="28"/>
  <c r="H84" i="28"/>
  <c r="H76" i="28"/>
  <c r="H69" i="28"/>
  <c r="H68" i="28"/>
  <c r="H61" i="28"/>
  <c r="I61" i="28" s="1"/>
  <c r="H60" i="28"/>
  <c r="H53" i="28"/>
  <c r="H52" i="28"/>
  <c r="H45" i="28"/>
  <c r="H44" i="28"/>
  <c r="H37" i="28"/>
  <c r="I37" i="28" s="1"/>
  <c r="H36" i="28"/>
  <c r="H29" i="28"/>
  <c r="H28" i="28"/>
  <c r="H21" i="28"/>
  <c r="H20" i="28"/>
  <c r="H13" i="28"/>
  <c r="I13" i="28" s="1"/>
  <c r="H12" i="28"/>
  <c r="H187" i="27"/>
  <c r="H186" i="27"/>
  <c r="H189" i="27" s="1"/>
  <c r="H185" i="27"/>
  <c r="H182" i="27"/>
  <c r="H181" i="27"/>
  <c r="H177" i="27"/>
  <c r="I177" i="27" s="1"/>
  <c r="M177" i="27" s="1"/>
  <c r="H176" i="27"/>
  <c r="I176" i="27" s="1"/>
  <c r="H175" i="27"/>
  <c r="H172" i="27"/>
  <c r="H171" i="27"/>
  <c r="H166" i="27"/>
  <c r="I166" i="27" s="1"/>
  <c r="H161" i="27"/>
  <c r="I161" i="27" s="1"/>
  <c r="H156" i="27"/>
  <c r="H152" i="27"/>
  <c r="H151" i="27"/>
  <c r="H147" i="27"/>
  <c r="H146" i="27"/>
  <c r="H142" i="27"/>
  <c r="I142" i="27" s="1"/>
  <c r="M142" i="27" s="1"/>
  <c r="H141" i="27"/>
  <c r="I141" i="27" s="1"/>
  <c r="H135" i="27"/>
  <c r="H129" i="27"/>
  <c r="H124" i="27"/>
  <c r="H123" i="27"/>
  <c r="I123" i="27" s="1"/>
  <c r="H119" i="27"/>
  <c r="I119" i="27" s="1"/>
  <c r="H118" i="27"/>
  <c r="I118" i="27" s="1"/>
  <c r="H113" i="27"/>
  <c r="I113" i="27" s="1"/>
  <c r="H112" i="27"/>
  <c r="H107" i="27"/>
  <c r="H102" i="27"/>
  <c r="H97" i="27"/>
  <c r="H92" i="27"/>
  <c r="H87" i="27"/>
  <c r="H82" i="27"/>
  <c r="H77" i="27"/>
  <c r="H74" i="27"/>
  <c r="I74" i="27" s="1"/>
  <c r="M74" i="27" s="1"/>
  <c r="H73" i="27"/>
  <c r="I73" i="27" s="1"/>
  <c r="H72" i="27"/>
  <c r="H68" i="27"/>
  <c r="I68" i="27" s="1"/>
  <c r="H67" i="27"/>
  <c r="H63" i="27"/>
  <c r="H62" i="27"/>
  <c r="H58" i="27"/>
  <c r="I58" i="27" s="1"/>
  <c r="H57" i="27"/>
  <c r="H53" i="27"/>
  <c r="H52" i="27"/>
  <c r="H48" i="27"/>
  <c r="H47" i="27"/>
  <c r="I47" i="27" s="1"/>
  <c r="H43" i="27"/>
  <c r="I43" i="27" s="1"/>
  <c r="H42" i="27"/>
  <c r="H38" i="27"/>
  <c r="I38" i="27" s="1"/>
  <c r="H37" i="27"/>
  <c r="H32" i="27"/>
  <c r="H27" i="27"/>
  <c r="H17" i="27"/>
  <c r="H14" i="27"/>
  <c r="H13" i="27"/>
  <c r="H12" i="27"/>
  <c r="H232" i="26"/>
  <c r="I232" i="26" s="1"/>
  <c r="H231" i="26"/>
  <c r="H228" i="26"/>
  <c r="I228" i="26" s="1"/>
  <c r="M228" i="26" s="1"/>
  <c r="H227" i="26"/>
  <c r="I227" i="26" s="1"/>
  <c r="H223" i="26"/>
  <c r="H222" i="26"/>
  <c r="H221" i="26"/>
  <c r="H217" i="26"/>
  <c r="I217" i="26" s="1"/>
  <c r="H212" i="26"/>
  <c r="I212" i="26" s="1"/>
  <c r="H208" i="26"/>
  <c r="H207" i="26"/>
  <c r="H203" i="26"/>
  <c r="H202" i="26"/>
  <c r="H196" i="26"/>
  <c r="H190" i="26"/>
  <c r="I190" i="26" s="1"/>
  <c r="H184" i="26"/>
  <c r="I184" i="26" s="1"/>
  <c r="H183" i="26"/>
  <c r="H178" i="26"/>
  <c r="H177" i="26"/>
  <c r="H172" i="26"/>
  <c r="I172" i="26" s="1"/>
  <c r="H171" i="26"/>
  <c r="H166" i="26"/>
  <c r="H161" i="26"/>
  <c r="H156" i="26"/>
  <c r="H151" i="26"/>
  <c r="I151" i="26" s="1"/>
  <c r="H146" i="26"/>
  <c r="H141" i="26"/>
  <c r="I141" i="26" s="1"/>
  <c r="H138" i="26"/>
  <c r="I138" i="26" s="1"/>
  <c r="M138" i="26" s="1"/>
  <c r="H137" i="26"/>
  <c r="H136" i="26"/>
  <c r="H130" i="26"/>
  <c r="H129" i="26"/>
  <c r="H123" i="26"/>
  <c r="I123" i="26" s="1"/>
  <c r="H122" i="26"/>
  <c r="H116" i="26"/>
  <c r="H115" i="26"/>
  <c r="H109" i="26"/>
  <c r="H108" i="26"/>
  <c r="I108" i="26" s="1"/>
  <c r="H102" i="26"/>
  <c r="I102" i="26" s="1"/>
  <c r="H101" i="26"/>
  <c r="H95" i="26"/>
  <c r="H94" i="26"/>
  <c r="H90" i="26"/>
  <c r="H89" i="26"/>
  <c r="I89" i="26" s="1"/>
  <c r="H85" i="26"/>
  <c r="I85" i="26" s="1"/>
  <c r="H84" i="26"/>
  <c r="H74" i="26"/>
  <c r="H73" i="26"/>
  <c r="H63" i="26"/>
  <c r="H62" i="26"/>
  <c r="H41" i="26"/>
  <c r="I41" i="26" s="1"/>
  <c r="H40" i="26"/>
  <c r="H29" i="26"/>
  <c r="H19" i="26"/>
  <c r="H18" i="26"/>
  <c r="H13" i="26"/>
  <c r="H12" i="26"/>
  <c r="H194" i="25"/>
  <c r="I194" i="25" s="1"/>
  <c r="M194" i="25" s="1"/>
  <c r="H193" i="25"/>
  <c r="H189" i="25"/>
  <c r="H188" i="25"/>
  <c r="H187" i="25"/>
  <c r="H183" i="25"/>
  <c r="H178" i="25"/>
  <c r="H174" i="25"/>
  <c r="H173" i="25"/>
  <c r="H169" i="25"/>
  <c r="H168" i="25"/>
  <c r="H162" i="25"/>
  <c r="H156" i="25"/>
  <c r="I156" i="25" s="1"/>
  <c r="H155" i="25"/>
  <c r="H150" i="25"/>
  <c r="I150" i="25" s="1"/>
  <c r="H149" i="25"/>
  <c r="H144" i="25"/>
  <c r="H143" i="25"/>
  <c r="H138" i="25"/>
  <c r="H137" i="25"/>
  <c r="H132" i="25"/>
  <c r="H127" i="25"/>
  <c r="H122" i="25"/>
  <c r="H117" i="25"/>
  <c r="H114" i="25"/>
  <c r="I114" i="25" s="1"/>
  <c r="M114" i="25" s="1"/>
  <c r="H113" i="25"/>
  <c r="H112" i="25"/>
  <c r="H108" i="25"/>
  <c r="H107" i="25"/>
  <c r="H103" i="25"/>
  <c r="H102" i="25"/>
  <c r="H98" i="25"/>
  <c r="H97" i="25"/>
  <c r="H93" i="25"/>
  <c r="H92" i="25"/>
  <c r="H68" i="25"/>
  <c r="H69" i="25"/>
  <c r="I69" i="25" s="1"/>
  <c r="H61" i="25"/>
  <c r="H60" i="25"/>
  <c r="H53" i="25"/>
  <c r="H52" i="25"/>
  <c r="H45" i="25"/>
  <c r="H44" i="25"/>
  <c r="H37" i="25"/>
  <c r="H36" i="25"/>
  <c r="H29" i="25"/>
  <c r="H28" i="25"/>
  <c r="H21" i="25"/>
  <c r="H20" i="25"/>
  <c r="H13" i="25"/>
  <c r="H12" i="25"/>
  <c r="H251" i="23"/>
  <c r="H155" i="23"/>
  <c r="H485" i="22"/>
  <c r="H488" i="22" s="1"/>
  <c r="H484" i="22"/>
  <c r="H480" i="22"/>
  <c r="H483" i="22" s="1"/>
  <c r="H479" i="22"/>
  <c r="H475" i="22"/>
  <c r="H474" i="22"/>
  <c r="H470" i="22"/>
  <c r="H469" i="22"/>
  <c r="H465" i="22"/>
  <c r="H464" i="22"/>
  <c r="H468" i="22" s="1"/>
  <c r="H460" i="22"/>
  <c r="I460" i="22" s="1"/>
  <c r="H459" i="22"/>
  <c r="H463" i="22" s="1"/>
  <c r="H455" i="22"/>
  <c r="H454" i="22"/>
  <c r="H450" i="22"/>
  <c r="H449" i="22"/>
  <c r="H445" i="22"/>
  <c r="H444" i="22"/>
  <c r="H440" i="22"/>
  <c r="H435" i="22"/>
  <c r="H434" i="22"/>
  <c r="H430" i="22"/>
  <c r="I430" i="22" s="1"/>
  <c r="H429" i="22"/>
  <c r="H433" i="22" s="1"/>
  <c r="H425" i="22"/>
  <c r="I425" i="22" s="1"/>
  <c r="H420" i="22"/>
  <c r="H419" i="22"/>
  <c r="H415" i="22"/>
  <c r="H414" i="22"/>
  <c r="H410" i="22"/>
  <c r="H409" i="22"/>
  <c r="H406" i="22"/>
  <c r="H405" i="22"/>
  <c r="H404" i="22"/>
  <c r="H400" i="22"/>
  <c r="I400" i="22" s="1"/>
  <c r="M400" i="22" s="1"/>
  <c r="H399" i="22"/>
  <c r="I399" i="22" s="1"/>
  <c r="H398" i="22"/>
  <c r="H393" i="22"/>
  <c r="H392" i="22"/>
  <c r="H388" i="22"/>
  <c r="H387" i="22"/>
  <c r="H386" i="22"/>
  <c r="H382" i="22"/>
  <c r="H381" i="22"/>
  <c r="H377" i="22"/>
  <c r="H376" i="22"/>
  <c r="H372" i="22"/>
  <c r="H367" i="22"/>
  <c r="I367" i="22" s="1"/>
  <c r="I370" i="22" s="1"/>
  <c r="H361" i="22"/>
  <c r="H365" i="22" s="1"/>
  <c r="H357" i="22"/>
  <c r="H356" i="22"/>
  <c r="H360" i="22" s="1"/>
  <c r="H351" i="22"/>
  <c r="H346" i="22"/>
  <c r="H341" i="22"/>
  <c r="H336" i="22"/>
  <c r="H331" i="22"/>
  <c r="H326" i="22"/>
  <c r="H321" i="22"/>
  <c r="H318" i="22"/>
  <c r="I318" i="22" s="1"/>
  <c r="M318" i="22" s="1"/>
  <c r="H317" i="22"/>
  <c r="I317" i="22" s="1"/>
  <c r="H316" i="22"/>
  <c r="H313" i="22"/>
  <c r="H312" i="22"/>
  <c r="I312" i="22" s="1"/>
  <c r="H311" i="22"/>
  <c r="H308" i="22"/>
  <c r="H307" i="22"/>
  <c r="H306" i="22"/>
  <c r="H303" i="22"/>
  <c r="H302" i="22"/>
  <c r="H301" i="22"/>
  <c r="H298" i="22"/>
  <c r="H297" i="22"/>
  <c r="I297" i="22" s="1"/>
  <c r="H296" i="22"/>
  <c r="H300" i="22" s="1"/>
  <c r="H293" i="22"/>
  <c r="H292" i="22"/>
  <c r="H295" i="22" s="1"/>
  <c r="H291" i="22"/>
  <c r="H288" i="22"/>
  <c r="H287" i="22"/>
  <c r="H286" i="22"/>
  <c r="H283" i="22"/>
  <c r="H282" i="22"/>
  <c r="H281" i="22"/>
  <c r="H276" i="22"/>
  <c r="H275" i="22"/>
  <c r="H279" i="22" s="1"/>
  <c r="H270" i="22"/>
  <c r="H273" i="22" s="1"/>
  <c r="H269" i="22"/>
  <c r="H264" i="22"/>
  <c r="I264" i="22" s="1"/>
  <c r="H263" i="22"/>
  <c r="H258" i="22"/>
  <c r="H257" i="22"/>
  <c r="H252" i="22"/>
  <c r="H251" i="22"/>
  <c r="H241" i="22"/>
  <c r="H240" i="22"/>
  <c r="H230" i="22"/>
  <c r="H229" i="22"/>
  <c r="H224" i="22"/>
  <c r="I224" i="22" s="1"/>
  <c r="H223" i="22"/>
  <c r="H218" i="22"/>
  <c r="H217" i="22"/>
  <c r="H213" i="22"/>
  <c r="H212" i="22"/>
  <c r="H207" i="22"/>
  <c r="H206" i="22"/>
  <c r="H202" i="22"/>
  <c r="H201" i="22"/>
  <c r="H196" i="22"/>
  <c r="H195" i="22"/>
  <c r="H199" i="22" s="1"/>
  <c r="H190" i="22"/>
  <c r="I190" i="22" s="1"/>
  <c r="H189" i="22"/>
  <c r="H184" i="22"/>
  <c r="I184" i="22" s="1"/>
  <c r="H183" i="22"/>
  <c r="H179" i="22"/>
  <c r="H178" i="22"/>
  <c r="H172" i="22"/>
  <c r="H168" i="22"/>
  <c r="H167" i="22"/>
  <c r="H162" i="22"/>
  <c r="H161" i="22"/>
  <c r="H150" i="22"/>
  <c r="I150" i="22" s="1"/>
  <c r="H149" i="22"/>
  <c r="H143" i="22"/>
  <c r="H142" i="22"/>
  <c r="I142" i="22" s="1"/>
  <c r="H136" i="22"/>
  <c r="H135" i="22"/>
  <c r="H129" i="22"/>
  <c r="H128" i="22"/>
  <c r="H122" i="22"/>
  <c r="H121" i="22"/>
  <c r="H115" i="22"/>
  <c r="H114" i="22"/>
  <c r="H110" i="22"/>
  <c r="I110" i="22" s="1"/>
  <c r="H109" i="22"/>
  <c r="H113" i="22" s="1"/>
  <c r="H105" i="22"/>
  <c r="H100" i="22"/>
  <c r="I100" i="22" s="1"/>
  <c r="H99" i="22"/>
  <c r="H95" i="22"/>
  <c r="H90" i="22"/>
  <c r="H89" i="22"/>
  <c r="H85" i="22"/>
  <c r="H84" i="22"/>
  <c r="H81" i="22"/>
  <c r="H80" i="22"/>
  <c r="H79" i="22"/>
  <c r="I79" i="22" s="1"/>
  <c r="I83" i="22" s="1"/>
  <c r="H75" i="22"/>
  <c r="H74" i="22"/>
  <c r="H73" i="22"/>
  <c r="H69" i="22"/>
  <c r="H68" i="22"/>
  <c r="H67" i="22"/>
  <c r="H63" i="22"/>
  <c r="H62" i="22"/>
  <c r="H61" i="22"/>
  <c r="H57" i="22"/>
  <c r="H56" i="22"/>
  <c r="H55" i="22"/>
  <c r="I55" i="22" s="1"/>
  <c r="H42" i="22"/>
  <c r="H46" i="22" s="1"/>
  <c r="H38" i="22"/>
  <c r="H33" i="22"/>
  <c r="I33" i="22" s="1"/>
  <c r="H28" i="22"/>
  <c r="H27" i="22"/>
  <c r="H23" i="22"/>
  <c r="H22" i="22"/>
  <c r="H18" i="22"/>
  <c r="H13" i="22"/>
  <c r="H12" i="22"/>
  <c r="H310" i="15"/>
  <c r="H290" i="15"/>
  <c r="H265" i="15"/>
  <c r="H230" i="15"/>
  <c r="I230" i="15" s="1"/>
  <c r="M230" i="15" s="1"/>
  <c r="H215" i="15"/>
  <c r="I215" i="15" s="1"/>
  <c r="M215" i="15" s="1"/>
  <c r="H175" i="15"/>
  <c r="H177" i="15" s="1"/>
  <c r="H169" i="15"/>
  <c r="I169" i="15" s="1"/>
  <c r="I172" i="15" s="1"/>
  <c r="H150" i="15"/>
  <c r="I150" i="15" s="1"/>
  <c r="M150" i="15" s="1"/>
  <c r="H343" i="15"/>
  <c r="H338" i="15"/>
  <c r="H333" i="15"/>
  <c r="H326" i="15"/>
  <c r="H319" i="15"/>
  <c r="H309" i="15"/>
  <c r="H289" i="15"/>
  <c r="H264" i="15"/>
  <c r="I264" i="15" s="1"/>
  <c r="H229" i="15"/>
  <c r="I229" i="15" s="1"/>
  <c r="H214" i="15"/>
  <c r="I214" i="15" s="1"/>
  <c r="H195" i="15"/>
  <c r="I195" i="15" s="1"/>
  <c r="M195" i="15" s="1"/>
  <c r="H194" i="15"/>
  <c r="H164" i="15"/>
  <c r="H159" i="15"/>
  <c r="H149" i="15"/>
  <c r="H141" i="15"/>
  <c r="H133" i="15"/>
  <c r="H125" i="15"/>
  <c r="H117" i="15"/>
  <c r="H109" i="15"/>
  <c r="I109" i="15" s="1"/>
  <c r="H101" i="15"/>
  <c r="H93" i="15"/>
  <c r="H85" i="15"/>
  <c r="H88" i="15" s="1"/>
  <c r="H77" i="15"/>
  <c r="H69" i="15"/>
  <c r="H61" i="15"/>
  <c r="H53" i="15"/>
  <c r="H45" i="15"/>
  <c r="H37" i="15"/>
  <c r="H29" i="15"/>
  <c r="H21" i="15"/>
  <c r="H13" i="15"/>
  <c r="I13" i="15" s="1"/>
  <c r="S18" i="51"/>
  <c r="R18" i="51"/>
  <c r="Q18" i="51"/>
  <c r="L18" i="51"/>
  <c r="K18" i="51"/>
  <c r="O15" i="51"/>
  <c r="O18" i="51" s="1"/>
  <c r="N15" i="51"/>
  <c r="N18" i="51" s="1"/>
  <c r="H15" i="51"/>
  <c r="H16" i="51" s="1"/>
  <c r="I14" i="51"/>
  <c r="M14" i="51" s="1"/>
  <c r="M18" i="51" s="1"/>
  <c r="I13" i="51"/>
  <c r="F18" i="51" s="1"/>
  <c r="G13" i="51"/>
  <c r="F13" i="51"/>
  <c r="D13" i="51"/>
  <c r="I12" i="51" s="1"/>
  <c r="E18" i="51" s="1"/>
  <c r="S75" i="50"/>
  <c r="R75" i="50"/>
  <c r="Q75" i="50"/>
  <c r="L75" i="50"/>
  <c r="K75" i="50"/>
  <c r="O73" i="50"/>
  <c r="N73" i="50"/>
  <c r="H73" i="50"/>
  <c r="I73" i="50" s="1"/>
  <c r="P73" i="50" s="1"/>
  <c r="I71" i="50"/>
  <c r="G71" i="50"/>
  <c r="H72" i="50" s="1"/>
  <c r="H74" i="50" s="1"/>
  <c r="F71" i="50"/>
  <c r="D71" i="50"/>
  <c r="I70" i="50" s="1"/>
  <c r="O68" i="50"/>
  <c r="N68" i="50"/>
  <c r="H68" i="50"/>
  <c r="I68" i="50" s="1"/>
  <c r="P68" i="50" s="1"/>
  <c r="G66" i="50"/>
  <c r="H67" i="50" s="1"/>
  <c r="I67" i="50" s="1"/>
  <c r="M67" i="50" s="1"/>
  <c r="F66" i="50"/>
  <c r="D66" i="50"/>
  <c r="H65" i="50" s="1"/>
  <c r="I65" i="50" s="1"/>
  <c r="O63" i="50"/>
  <c r="N63" i="50"/>
  <c r="I63" i="50"/>
  <c r="H63" i="50"/>
  <c r="I61" i="50"/>
  <c r="G61" i="50"/>
  <c r="H62" i="50" s="1"/>
  <c r="F61" i="50"/>
  <c r="D61" i="50"/>
  <c r="I60" i="50" s="1"/>
  <c r="O58" i="50"/>
  <c r="N58" i="50"/>
  <c r="I58" i="50"/>
  <c r="P58" i="50" s="1"/>
  <c r="H58" i="50"/>
  <c r="G56" i="50"/>
  <c r="H57" i="50" s="1"/>
  <c r="I57" i="50" s="1"/>
  <c r="M57" i="50" s="1"/>
  <c r="F56" i="50"/>
  <c r="D56" i="50"/>
  <c r="H55" i="50" s="1"/>
  <c r="I55" i="50" s="1"/>
  <c r="O52" i="50"/>
  <c r="N52" i="50"/>
  <c r="I52" i="50"/>
  <c r="H52" i="50"/>
  <c r="I50" i="50"/>
  <c r="G50" i="50"/>
  <c r="H51" i="50" s="1"/>
  <c r="F50" i="50"/>
  <c r="D50" i="50"/>
  <c r="I49" i="50" s="1"/>
  <c r="O46" i="50"/>
  <c r="N46" i="50"/>
  <c r="H46" i="50"/>
  <c r="I46" i="50" s="1"/>
  <c r="P46" i="50" s="1"/>
  <c r="I45" i="50"/>
  <c r="I44" i="50"/>
  <c r="G44" i="50"/>
  <c r="F44" i="50"/>
  <c r="D44" i="50"/>
  <c r="O41" i="50"/>
  <c r="N41" i="50"/>
  <c r="H41" i="50"/>
  <c r="I41" i="50" s="1"/>
  <c r="P41" i="50" s="1"/>
  <c r="G39" i="50"/>
  <c r="H40" i="50" s="1"/>
  <c r="I40" i="50" s="1"/>
  <c r="M40" i="50" s="1"/>
  <c r="F39" i="50"/>
  <c r="D39" i="50"/>
  <c r="I38" i="50" s="1"/>
  <c r="O36" i="50"/>
  <c r="N36" i="50"/>
  <c r="H36" i="50"/>
  <c r="I36" i="50" s="1"/>
  <c r="I34" i="50"/>
  <c r="G34" i="50"/>
  <c r="H35" i="50" s="1"/>
  <c r="I35" i="50" s="1"/>
  <c r="M35" i="50" s="1"/>
  <c r="F34" i="50"/>
  <c r="D34" i="50"/>
  <c r="O31" i="50"/>
  <c r="N31" i="50"/>
  <c r="H31" i="50"/>
  <c r="I31" i="50" s="1"/>
  <c r="P31" i="50" s="1"/>
  <c r="I29" i="50"/>
  <c r="G29" i="50"/>
  <c r="H30" i="50" s="1"/>
  <c r="F29" i="50"/>
  <c r="D29" i="50"/>
  <c r="I28" i="50" s="1"/>
  <c r="O26" i="50"/>
  <c r="N26" i="50"/>
  <c r="H26" i="50"/>
  <c r="I26" i="50" s="1"/>
  <c r="P26" i="50" s="1"/>
  <c r="I24" i="50"/>
  <c r="G24" i="50"/>
  <c r="H25" i="50" s="1"/>
  <c r="H27" i="50" s="1"/>
  <c r="F24" i="50"/>
  <c r="D24" i="50"/>
  <c r="I23" i="50" s="1"/>
  <c r="O21" i="50"/>
  <c r="N21" i="50"/>
  <c r="I21" i="50"/>
  <c r="H21" i="50"/>
  <c r="I19" i="50"/>
  <c r="G19" i="50"/>
  <c r="H20" i="50" s="1"/>
  <c r="H22" i="50" s="1"/>
  <c r="F19" i="50"/>
  <c r="D19" i="50"/>
  <c r="I18" i="50" s="1"/>
  <c r="O15" i="50"/>
  <c r="N15" i="50"/>
  <c r="N75" i="50" s="1"/>
  <c r="H15" i="50"/>
  <c r="I15" i="50" s="1"/>
  <c r="I13" i="50"/>
  <c r="G13" i="50"/>
  <c r="H14" i="50" s="1"/>
  <c r="F13" i="50"/>
  <c r="D13" i="50"/>
  <c r="I12" i="50"/>
  <c r="S18" i="45"/>
  <c r="R18" i="45"/>
  <c r="Q18" i="45"/>
  <c r="L18" i="45"/>
  <c r="K18" i="45"/>
  <c r="H16" i="45"/>
  <c r="O15" i="45"/>
  <c r="O18" i="45" s="1"/>
  <c r="N15" i="45"/>
  <c r="N18" i="45" s="1"/>
  <c r="I15" i="45"/>
  <c r="H18" i="45" s="1"/>
  <c r="H15" i="45"/>
  <c r="I14" i="45"/>
  <c r="M14" i="45" s="1"/>
  <c r="M18" i="45" s="1"/>
  <c r="I13" i="45"/>
  <c r="F18" i="45" s="1"/>
  <c r="G13" i="45"/>
  <c r="F13" i="45"/>
  <c r="D13" i="45"/>
  <c r="I12" i="45" s="1"/>
  <c r="E18" i="45" s="1"/>
  <c r="S58" i="44"/>
  <c r="R58" i="44"/>
  <c r="Q58" i="44"/>
  <c r="L58" i="44"/>
  <c r="K58" i="44"/>
  <c r="O56" i="44"/>
  <c r="N56" i="44"/>
  <c r="H56" i="44"/>
  <c r="I56" i="44" s="1"/>
  <c r="P56" i="44" s="1"/>
  <c r="I54" i="44"/>
  <c r="G54" i="44"/>
  <c r="H55" i="44" s="1"/>
  <c r="F54" i="44"/>
  <c r="D54" i="44"/>
  <c r="I53" i="44"/>
  <c r="O50" i="44"/>
  <c r="N50" i="44"/>
  <c r="H50" i="44"/>
  <c r="I50" i="44" s="1"/>
  <c r="I49" i="44"/>
  <c r="I48" i="44"/>
  <c r="G48" i="44"/>
  <c r="F48" i="44"/>
  <c r="D48" i="44"/>
  <c r="I47" i="44"/>
  <c r="O45" i="44"/>
  <c r="N45" i="44"/>
  <c r="H45" i="44"/>
  <c r="I45" i="44" s="1"/>
  <c r="I43" i="44"/>
  <c r="G43" i="44"/>
  <c r="H44" i="44" s="1"/>
  <c r="H46" i="44" s="1"/>
  <c r="F43" i="44"/>
  <c r="D43" i="44"/>
  <c r="I42" i="44" s="1"/>
  <c r="O40" i="44"/>
  <c r="N40" i="44"/>
  <c r="H40" i="44"/>
  <c r="I40" i="44" s="1"/>
  <c r="P40" i="44" s="1"/>
  <c r="G38" i="44"/>
  <c r="H39" i="44" s="1"/>
  <c r="F38" i="44"/>
  <c r="D38" i="44"/>
  <c r="H37" i="44" s="1"/>
  <c r="I37" i="44" s="1"/>
  <c r="O35" i="44"/>
  <c r="N35" i="44"/>
  <c r="H35" i="44"/>
  <c r="I35" i="44" s="1"/>
  <c r="P35" i="44" s="1"/>
  <c r="G33" i="44"/>
  <c r="H34" i="44" s="1"/>
  <c r="F33" i="44"/>
  <c r="D33" i="44"/>
  <c r="O30" i="44"/>
  <c r="N30" i="44"/>
  <c r="H30" i="44"/>
  <c r="I30" i="44" s="1"/>
  <c r="G28" i="44"/>
  <c r="H29" i="44" s="1"/>
  <c r="I29" i="44" s="1"/>
  <c r="M29" i="44" s="1"/>
  <c r="F28" i="44"/>
  <c r="D28" i="44"/>
  <c r="H27" i="44"/>
  <c r="I27" i="44" s="1"/>
  <c r="O25" i="44"/>
  <c r="N25" i="44"/>
  <c r="H25" i="44"/>
  <c r="I25" i="44" s="1"/>
  <c r="G23" i="44"/>
  <c r="H24" i="44" s="1"/>
  <c r="F23" i="44"/>
  <c r="D23" i="44"/>
  <c r="I22" i="44" s="1"/>
  <c r="O20" i="44"/>
  <c r="N20" i="44"/>
  <c r="H20" i="44"/>
  <c r="I20" i="44" s="1"/>
  <c r="I18" i="44"/>
  <c r="G18" i="44"/>
  <c r="H19" i="44" s="1"/>
  <c r="F18" i="44"/>
  <c r="D18" i="44"/>
  <c r="I17" i="44" s="1"/>
  <c r="O15" i="44"/>
  <c r="N15" i="44"/>
  <c r="H15" i="44"/>
  <c r="I15" i="44" s="1"/>
  <c r="H14" i="44"/>
  <c r="I14" i="44" s="1"/>
  <c r="G13" i="44"/>
  <c r="F13" i="44"/>
  <c r="D13" i="44"/>
  <c r="I12" i="44" s="1"/>
  <c r="I74" i="38"/>
  <c r="E74" i="38"/>
  <c r="D74" i="38"/>
  <c r="I73" i="38"/>
  <c r="E73" i="38"/>
  <c r="D73" i="38"/>
  <c r="D72" i="38"/>
  <c r="D71" i="38"/>
  <c r="H70" i="38"/>
  <c r="G70" i="38"/>
  <c r="D69" i="38"/>
  <c r="B69" i="38"/>
  <c r="F68" i="38"/>
  <c r="I68" i="38" s="1"/>
  <c r="D68" i="38"/>
  <c r="B68" i="38"/>
  <c r="D67" i="38"/>
  <c r="B67" i="38"/>
  <c r="F66" i="38"/>
  <c r="I66" i="38" s="1"/>
  <c r="D66" i="38"/>
  <c r="B66" i="38"/>
  <c r="F65" i="38"/>
  <c r="I65" i="38" s="1"/>
  <c r="D65" i="38"/>
  <c r="B65" i="38"/>
  <c r="D64" i="38"/>
  <c r="B64" i="38"/>
  <c r="F63" i="38"/>
  <c r="I63" i="38" s="1"/>
  <c r="D63" i="38"/>
  <c r="B63" i="38"/>
  <c r="F62" i="38"/>
  <c r="I62" i="38" s="1"/>
  <c r="D62" i="38"/>
  <c r="B62" i="38"/>
  <c r="I61" i="38"/>
  <c r="F61" i="38"/>
  <c r="F67" i="38" s="1"/>
  <c r="I67" i="38" s="1"/>
  <c r="D61" i="38"/>
  <c r="B61" i="38"/>
  <c r="H59" i="38"/>
  <c r="G59" i="38"/>
  <c r="F59" i="38"/>
  <c r="I58" i="38"/>
  <c r="E58" i="38"/>
  <c r="D58" i="38"/>
  <c r="I57" i="38"/>
  <c r="E57" i="38"/>
  <c r="G56" i="38"/>
  <c r="G55" i="38"/>
  <c r="G54" i="38"/>
  <c r="P52" i="38"/>
  <c r="O52" i="38"/>
  <c r="N52" i="38"/>
  <c r="S52" i="38"/>
  <c r="R52" i="38"/>
  <c r="Q52" i="38"/>
  <c r="M52" i="38"/>
  <c r="L52" i="38"/>
  <c r="K52" i="38"/>
  <c r="I52" i="38"/>
  <c r="H52" i="38"/>
  <c r="G52" i="38"/>
  <c r="F52" i="38"/>
  <c r="E52" i="38"/>
  <c r="I51" i="38"/>
  <c r="H51" i="38"/>
  <c r="P50" i="38"/>
  <c r="O50" i="38"/>
  <c r="N50" i="38"/>
  <c r="I50" i="38"/>
  <c r="H50" i="38"/>
  <c r="M49" i="38"/>
  <c r="I49" i="38"/>
  <c r="H49" i="38"/>
  <c r="I48" i="38"/>
  <c r="H48" i="38"/>
  <c r="G48" i="38"/>
  <c r="F48" i="38"/>
  <c r="D48" i="38"/>
  <c r="H47" i="38" s="1"/>
  <c r="I47" i="38" s="1"/>
  <c r="I46" i="38"/>
  <c r="H46" i="38"/>
  <c r="P45" i="38"/>
  <c r="O45" i="38"/>
  <c r="N45" i="38"/>
  <c r="I45" i="38"/>
  <c r="H45" i="38"/>
  <c r="M44" i="38"/>
  <c r="I44" i="38"/>
  <c r="H44" i="38"/>
  <c r="I43" i="38"/>
  <c r="H43" i="38"/>
  <c r="G43" i="38"/>
  <c r="F43" i="38"/>
  <c r="D43" i="38"/>
  <c r="H42" i="38"/>
  <c r="I42" i="38" s="1"/>
  <c r="I41" i="38"/>
  <c r="H41" i="38"/>
  <c r="P40" i="38"/>
  <c r="O40" i="38"/>
  <c r="N40" i="38"/>
  <c r="I40" i="38"/>
  <c r="H40" i="38"/>
  <c r="M39" i="38"/>
  <c r="I39" i="38"/>
  <c r="H39" i="38"/>
  <c r="I38" i="38"/>
  <c r="H38" i="38"/>
  <c r="G38" i="38"/>
  <c r="F38" i="38"/>
  <c r="D38" i="38"/>
  <c r="H37" i="38"/>
  <c r="I37" i="38" s="1"/>
  <c r="I36" i="38"/>
  <c r="H36" i="38"/>
  <c r="P35" i="38"/>
  <c r="O35" i="38"/>
  <c r="N35" i="38"/>
  <c r="I35" i="38"/>
  <c r="H35" i="38"/>
  <c r="M34" i="38"/>
  <c r="I34" i="38"/>
  <c r="H34" i="38"/>
  <c r="I33" i="38"/>
  <c r="H33" i="38"/>
  <c r="G33" i="38"/>
  <c r="F33" i="38"/>
  <c r="D33" i="38"/>
  <c r="H32" i="38" s="1"/>
  <c r="I32" i="38" s="1"/>
  <c r="I31" i="38"/>
  <c r="H31" i="38"/>
  <c r="P30" i="38"/>
  <c r="O30" i="38"/>
  <c r="N30" i="38"/>
  <c r="I30" i="38"/>
  <c r="H30" i="38"/>
  <c r="M29" i="38"/>
  <c r="I29" i="38"/>
  <c r="H29" i="38"/>
  <c r="I28" i="38"/>
  <c r="H28" i="38"/>
  <c r="G28" i="38"/>
  <c r="F28" i="38"/>
  <c r="D28" i="38"/>
  <c r="H27" i="38"/>
  <c r="I27" i="38" s="1"/>
  <c r="I26" i="38"/>
  <c r="H26" i="38"/>
  <c r="P25" i="38"/>
  <c r="O25" i="38"/>
  <c r="N25" i="38"/>
  <c r="I25" i="38"/>
  <c r="H25" i="38"/>
  <c r="M24" i="38"/>
  <c r="I24" i="38"/>
  <c r="H24" i="38"/>
  <c r="I23" i="38"/>
  <c r="H23" i="38"/>
  <c r="G23" i="38"/>
  <c r="F23" i="38"/>
  <c r="D23" i="38"/>
  <c r="H22" i="38" s="1"/>
  <c r="I22" i="38" s="1"/>
  <c r="I21" i="38"/>
  <c r="H21" i="38"/>
  <c r="P20" i="38"/>
  <c r="O20" i="38"/>
  <c r="N20" i="38"/>
  <c r="I20" i="38"/>
  <c r="H20" i="38"/>
  <c r="M19" i="38"/>
  <c r="I19" i="38"/>
  <c r="H19" i="38"/>
  <c r="I18" i="38"/>
  <c r="H18" i="38"/>
  <c r="G18" i="38"/>
  <c r="F18" i="38"/>
  <c r="D18" i="38"/>
  <c r="H17" i="38" s="1"/>
  <c r="I17" i="38" s="1"/>
  <c r="I16" i="38"/>
  <c r="H16" i="38"/>
  <c r="P15" i="38"/>
  <c r="O15" i="38"/>
  <c r="N15" i="38"/>
  <c r="I15" i="38"/>
  <c r="H15" i="38"/>
  <c r="M14" i="38"/>
  <c r="I14" i="38"/>
  <c r="H14" i="38"/>
  <c r="I13" i="38"/>
  <c r="H13" i="38"/>
  <c r="G13" i="38"/>
  <c r="F13" i="38"/>
  <c r="D13" i="38"/>
  <c r="H12" i="38" s="1"/>
  <c r="I12" i="38" s="1"/>
  <c r="S55" i="34"/>
  <c r="R55" i="34"/>
  <c r="Q55" i="34"/>
  <c r="L55" i="34"/>
  <c r="K55" i="34"/>
  <c r="O52" i="34"/>
  <c r="N52" i="34"/>
  <c r="H52" i="34"/>
  <c r="I52" i="34" s="1"/>
  <c r="P52" i="34" s="1"/>
  <c r="I51" i="34"/>
  <c r="M51" i="34" s="1"/>
  <c r="I50" i="34"/>
  <c r="G50" i="34"/>
  <c r="F50" i="34"/>
  <c r="D50" i="34"/>
  <c r="I49" i="34"/>
  <c r="O46" i="34"/>
  <c r="N46" i="34"/>
  <c r="H46" i="34"/>
  <c r="I46" i="34" s="1"/>
  <c r="G44" i="34"/>
  <c r="H45" i="34" s="1"/>
  <c r="I45" i="34" s="1"/>
  <c r="M45" i="34" s="1"/>
  <c r="F44" i="34"/>
  <c r="D44" i="34"/>
  <c r="I43" i="34" s="1"/>
  <c r="O40" i="34"/>
  <c r="N40" i="34"/>
  <c r="H40" i="34"/>
  <c r="I40" i="34" s="1"/>
  <c r="I38" i="34"/>
  <c r="G38" i="34"/>
  <c r="H39" i="34" s="1"/>
  <c r="F38" i="34"/>
  <c r="D38" i="34"/>
  <c r="I37" i="34" s="1"/>
  <c r="O34" i="34"/>
  <c r="N34" i="34"/>
  <c r="H34" i="34"/>
  <c r="H35" i="34" s="1"/>
  <c r="I33" i="34"/>
  <c r="M33" i="34" s="1"/>
  <c r="I32" i="34"/>
  <c r="G32" i="34"/>
  <c r="F32" i="34"/>
  <c r="D32" i="34"/>
  <c r="I31" i="34" s="1"/>
  <c r="O28" i="34"/>
  <c r="N28" i="34"/>
  <c r="H28" i="34"/>
  <c r="H29" i="34" s="1"/>
  <c r="I27" i="34"/>
  <c r="I26" i="34"/>
  <c r="G26" i="34"/>
  <c r="F26" i="34"/>
  <c r="D26" i="34"/>
  <c r="I25" i="34" s="1"/>
  <c r="O15" i="34"/>
  <c r="N15" i="34"/>
  <c r="H15" i="34"/>
  <c r="I15" i="34" s="1"/>
  <c r="I13" i="34"/>
  <c r="G13" i="34"/>
  <c r="H14" i="34" s="1"/>
  <c r="I14" i="34" s="1"/>
  <c r="M14" i="34" s="1"/>
  <c r="F13" i="34"/>
  <c r="D13" i="34"/>
  <c r="S292" i="33"/>
  <c r="R292" i="33"/>
  <c r="Q292" i="33"/>
  <c r="L292" i="33"/>
  <c r="K292" i="33"/>
  <c r="O290" i="33"/>
  <c r="N290" i="33"/>
  <c r="H290" i="33"/>
  <c r="I290" i="33" s="1"/>
  <c r="P290" i="33" s="1"/>
  <c r="I289" i="33"/>
  <c r="M289" i="33" s="1"/>
  <c r="G288" i="33"/>
  <c r="F288" i="33"/>
  <c r="D288" i="33"/>
  <c r="H287" i="33" s="1"/>
  <c r="I287" i="33" s="1"/>
  <c r="O285" i="33"/>
  <c r="N285" i="33"/>
  <c r="H285" i="33"/>
  <c r="I285" i="33" s="1"/>
  <c r="G283" i="33"/>
  <c r="H284" i="33" s="1"/>
  <c r="I284" i="33" s="1"/>
  <c r="M284" i="33" s="1"/>
  <c r="F283" i="33"/>
  <c r="D283" i="33"/>
  <c r="H282" i="33" s="1"/>
  <c r="I282" i="33" s="1"/>
  <c r="O280" i="33"/>
  <c r="N280" i="33"/>
  <c r="H280" i="33"/>
  <c r="I280" i="33" s="1"/>
  <c r="P280" i="33" s="1"/>
  <c r="I279" i="33"/>
  <c r="M279" i="33" s="1"/>
  <c r="G278" i="33"/>
  <c r="F278" i="33"/>
  <c r="D278" i="33"/>
  <c r="O275" i="33"/>
  <c r="N275" i="33"/>
  <c r="H275" i="33"/>
  <c r="I275" i="33" s="1"/>
  <c r="P275" i="33" s="1"/>
  <c r="I273" i="33"/>
  <c r="G273" i="33"/>
  <c r="H274" i="33" s="1"/>
  <c r="I274" i="33" s="1"/>
  <c r="M274" i="33" s="1"/>
  <c r="F273" i="33"/>
  <c r="D273" i="33"/>
  <c r="H272" i="33" s="1"/>
  <c r="I272" i="33" s="1"/>
  <c r="O270" i="33"/>
  <c r="N270" i="33"/>
  <c r="H270" i="33"/>
  <c r="I270" i="33" s="1"/>
  <c r="I268" i="33"/>
  <c r="G268" i="33"/>
  <c r="H269" i="33" s="1"/>
  <c r="I269" i="33" s="1"/>
  <c r="M269" i="33" s="1"/>
  <c r="F268" i="33"/>
  <c r="D268" i="33"/>
  <c r="H267" i="33" s="1"/>
  <c r="I267" i="33" s="1"/>
  <c r="O265" i="33"/>
  <c r="N265" i="33"/>
  <c r="I265" i="33"/>
  <c r="H265" i="33"/>
  <c r="H264" i="33"/>
  <c r="I264" i="33" s="1"/>
  <c r="M264" i="33" s="1"/>
  <c r="I263" i="33"/>
  <c r="G263" i="33"/>
  <c r="F263" i="33"/>
  <c r="D263" i="33"/>
  <c r="H262" i="33" s="1"/>
  <c r="I262" i="33" s="1"/>
  <c r="O260" i="33"/>
  <c r="N260" i="33"/>
  <c r="H260" i="33"/>
  <c r="I260" i="33" s="1"/>
  <c r="I258" i="33"/>
  <c r="G258" i="33"/>
  <c r="H259" i="33" s="1"/>
  <c r="F258" i="33"/>
  <c r="D258" i="33"/>
  <c r="I257" i="33" s="1"/>
  <c r="O255" i="33"/>
  <c r="N255" i="33"/>
  <c r="H255" i="33"/>
  <c r="I255" i="33" s="1"/>
  <c r="P255" i="33" s="1"/>
  <c r="G253" i="33"/>
  <c r="H254" i="33" s="1"/>
  <c r="F253" i="33"/>
  <c r="D253" i="33"/>
  <c r="O250" i="33"/>
  <c r="N250" i="33"/>
  <c r="P250" i="33" s="1"/>
  <c r="I250" i="33"/>
  <c r="H250" i="33"/>
  <c r="I248" i="33"/>
  <c r="G248" i="33"/>
  <c r="H249" i="33" s="1"/>
  <c r="F248" i="33"/>
  <c r="D248" i="33"/>
  <c r="I247" i="33" s="1"/>
  <c r="O245" i="33"/>
  <c r="N245" i="33"/>
  <c r="H245" i="33"/>
  <c r="I245" i="33" s="1"/>
  <c r="I243" i="33"/>
  <c r="G243" i="33"/>
  <c r="H244" i="33" s="1"/>
  <c r="I244" i="33" s="1"/>
  <c r="M244" i="33" s="1"/>
  <c r="F243" i="33"/>
  <c r="D243" i="33"/>
  <c r="O240" i="33"/>
  <c r="N240" i="33"/>
  <c r="H240" i="33"/>
  <c r="I240" i="33" s="1"/>
  <c r="H239" i="33"/>
  <c r="I239" i="33" s="1"/>
  <c r="M239" i="33" s="1"/>
  <c r="G238" i="33"/>
  <c r="F238" i="33"/>
  <c r="D238" i="33"/>
  <c r="O235" i="33"/>
  <c r="N235" i="33"/>
  <c r="H235" i="33"/>
  <c r="I235" i="33" s="1"/>
  <c r="P235" i="33" s="1"/>
  <c r="G233" i="33"/>
  <c r="H234" i="33" s="1"/>
  <c r="I234" i="33" s="1"/>
  <c r="M234" i="33" s="1"/>
  <c r="F233" i="33"/>
  <c r="D233" i="33"/>
  <c r="I232" i="33" s="1"/>
  <c r="O230" i="33"/>
  <c r="N230" i="33"/>
  <c r="H230" i="33"/>
  <c r="I230" i="33" s="1"/>
  <c r="I228" i="33"/>
  <c r="G228" i="33"/>
  <c r="H229" i="33" s="1"/>
  <c r="H231" i="33" s="1"/>
  <c r="F228" i="33"/>
  <c r="D228" i="33"/>
  <c r="I227" i="33" s="1"/>
  <c r="O225" i="33"/>
  <c r="N225" i="33"/>
  <c r="H225" i="33"/>
  <c r="I225" i="33" s="1"/>
  <c r="P225" i="33" s="1"/>
  <c r="I223" i="33"/>
  <c r="G223" i="33"/>
  <c r="H224" i="33" s="1"/>
  <c r="F223" i="33"/>
  <c r="D223" i="33"/>
  <c r="I222" i="33" s="1"/>
  <c r="O220" i="33"/>
  <c r="N220" i="33"/>
  <c r="H220" i="33"/>
  <c r="I220" i="33" s="1"/>
  <c r="P220" i="33" s="1"/>
  <c r="G218" i="33"/>
  <c r="H219" i="33" s="1"/>
  <c r="I219" i="33" s="1"/>
  <c r="M219" i="33" s="1"/>
  <c r="F218" i="33"/>
  <c r="H218" i="33" s="1"/>
  <c r="D218" i="33"/>
  <c r="I217" i="33" s="1"/>
  <c r="O215" i="33"/>
  <c r="N215" i="33"/>
  <c r="I215" i="33"/>
  <c r="H215" i="33"/>
  <c r="H213" i="33"/>
  <c r="I213" i="33" s="1"/>
  <c r="G213" i="33"/>
  <c r="H214" i="33" s="1"/>
  <c r="I214" i="33" s="1"/>
  <c r="M214" i="33" s="1"/>
  <c r="F213" i="33"/>
  <c r="D213" i="33"/>
  <c r="I212" i="33" s="1"/>
  <c r="O210" i="33"/>
  <c r="N210" i="33"/>
  <c r="H210" i="33"/>
  <c r="I210" i="33" s="1"/>
  <c r="G208" i="33"/>
  <c r="H209" i="33" s="1"/>
  <c r="I209" i="33" s="1"/>
  <c r="M209" i="33" s="1"/>
  <c r="F208" i="33"/>
  <c r="H208" i="33" s="1"/>
  <c r="D208" i="33"/>
  <c r="I207" i="33" s="1"/>
  <c r="O205" i="33"/>
  <c r="N205" i="33"/>
  <c r="H205" i="33"/>
  <c r="I205" i="33" s="1"/>
  <c r="P205" i="33" s="1"/>
  <c r="G203" i="33"/>
  <c r="H204" i="33" s="1"/>
  <c r="I204" i="33" s="1"/>
  <c r="M204" i="33" s="1"/>
  <c r="F203" i="33"/>
  <c r="D203" i="33"/>
  <c r="H202" i="33" s="1"/>
  <c r="I202" i="33" s="1"/>
  <c r="O200" i="33"/>
  <c r="N200" i="33"/>
  <c r="H200" i="33"/>
  <c r="I200" i="33" s="1"/>
  <c r="P200" i="33" s="1"/>
  <c r="I199" i="33"/>
  <c r="M199" i="33" s="1"/>
  <c r="I198" i="33"/>
  <c r="G198" i="33"/>
  <c r="F198" i="33"/>
  <c r="D198" i="33"/>
  <c r="I197" i="33" s="1"/>
  <c r="O195" i="33"/>
  <c r="N195" i="33"/>
  <c r="H195" i="33"/>
  <c r="I195" i="33" s="1"/>
  <c r="G193" i="33"/>
  <c r="F193" i="33"/>
  <c r="D193" i="33"/>
  <c r="O190" i="33"/>
  <c r="N190" i="33"/>
  <c r="H190" i="33"/>
  <c r="I190" i="33" s="1"/>
  <c r="I189" i="33"/>
  <c r="M189" i="33" s="1"/>
  <c r="I188" i="33"/>
  <c r="G188" i="33"/>
  <c r="F188" i="33"/>
  <c r="D188" i="33"/>
  <c r="I187" i="33" s="1"/>
  <c r="O185" i="33"/>
  <c r="N185" i="33"/>
  <c r="H185" i="33"/>
  <c r="I185" i="33" s="1"/>
  <c r="I184" i="33"/>
  <c r="M184" i="33" s="1"/>
  <c r="I183" i="33"/>
  <c r="G183" i="33"/>
  <c r="F183" i="33"/>
  <c r="D183" i="33"/>
  <c r="H182" i="33" s="1"/>
  <c r="O180" i="33"/>
  <c r="N180" i="33"/>
  <c r="H180" i="33"/>
  <c r="I180" i="33" s="1"/>
  <c r="H179" i="33"/>
  <c r="I179" i="33" s="1"/>
  <c r="M179" i="33" s="1"/>
  <c r="G178" i="33"/>
  <c r="F178" i="33"/>
  <c r="D178" i="33"/>
  <c r="H177" i="33" s="1"/>
  <c r="I177" i="33" s="1"/>
  <c r="O175" i="33"/>
  <c r="N175" i="33"/>
  <c r="I175" i="33"/>
  <c r="H175" i="33"/>
  <c r="H174" i="33"/>
  <c r="I174" i="33" s="1"/>
  <c r="M174" i="33" s="1"/>
  <c r="I173" i="33"/>
  <c r="G173" i="33"/>
  <c r="F173" i="33"/>
  <c r="D173" i="33"/>
  <c r="O170" i="33"/>
  <c r="N170" i="33"/>
  <c r="H170" i="33"/>
  <c r="I170" i="33" s="1"/>
  <c r="P170" i="33" s="1"/>
  <c r="I168" i="33"/>
  <c r="G168" i="33"/>
  <c r="H169" i="33" s="1"/>
  <c r="I169" i="33" s="1"/>
  <c r="M169" i="33" s="1"/>
  <c r="F168" i="33"/>
  <c r="D168" i="33"/>
  <c r="H167" i="33" s="1"/>
  <c r="I167" i="33" s="1"/>
  <c r="O165" i="33"/>
  <c r="N165" i="33"/>
  <c r="H165" i="33"/>
  <c r="I165" i="33" s="1"/>
  <c r="G163" i="33"/>
  <c r="H164" i="33" s="1"/>
  <c r="I164" i="33" s="1"/>
  <c r="M164" i="33" s="1"/>
  <c r="F163" i="33"/>
  <c r="D163" i="33"/>
  <c r="H162" i="33" s="1"/>
  <c r="I162" i="33" s="1"/>
  <c r="O160" i="33"/>
  <c r="N160" i="33"/>
  <c r="I160" i="33"/>
  <c r="P160" i="33" s="1"/>
  <c r="H160" i="33"/>
  <c r="G158" i="33"/>
  <c r="H159" i="33" s="1"/>
  <c r="I159" i="33" s="1"/>
  <c r="M159" i="33" s="1"/>
  <c r="F158" i="33"/>
  <c r="D158" i="33"/>
  <c r="H157" i="33" s="1"/>
  <c r="I157" i="33" s="1"/>
  <c r="O155" i="33"/>
  <c r="N155" i="33"/>
  <c r="I155" i="33"/>
  <c r="H155" i="33"/>
  <c r="G153" i="33"/>
  <c r="H154" i="33" s="1"/>
  <c r="I154" i="33" s="1"/>
  <c r="M154" i="33" s="1"/>
  <c r="F153" i="33"/>
  <c r="D153" i="33"/>
  <c r="H152" i="33" s="1"/>
  <c r="I152" i="33" s="1"/>
  <c r="O150" i="33"/>
  <c r="P150" i="33" s="1"/>
  <c r="N150" i="33"/>
  <c r="I150" i="33"/>
  <c r="H150" i="33"/>
  <c r="G148" i="33"/>
  <c r="H149" i="33" s="1"/>
  <c r="I149" i="33" s="1"/>
  <c r="M149" i="33" s="1"/>
  <c r="F148" i="33"/>
  <c r="D148" i="33"/>
  <c r="H147" i="33" s="1"/>
  <c r="I147" i="33" s="1"/>
  <c r="O145" i="33"/>
  <c r="N145" i="33"/>
  <c r="H145" i="33"/>
  <c r="I145" i="33" s="1"/>
  <c r="I143" i="33"/>
  <c r="G143" i="33"/>
  <c r="H144" i="33" s="1"/>
  <c r="H146" i="33" s="1"/>
  <c r="F143" i="33"/>
  <c r="D143" i="33"/>
  <c r="I142" i="33" s="1"/>
  <c r="O140" i="33"/>
  <c r="N140" i="33"/>
  <c r="H140" i="33"/>
  <c r="I140" i="33" s="1"/>
  <c r="I138" i="33"/>
  <c r="G138" i="33"/>
  <c r="H139" i="33" s="1"/>
  <c r="F138" i="33"/>
  <c r="D138" i="33"/>
  <c r="I137" i="33" s="1"/>
  <c r="O135" i="33"/>
  <c r="N135" i="33"/>
  <c r="H135" i="33"/>
  <c r="I135" i="33" s="1"/>
  <c r="P135" i="33" s="1"/>
  <c r="I133" i="33"/>
  <c r="G133" i="33"/>
  <c r="H134" i="33" s="1"/>
  <c r="F133" i="33"/>
  <c r="D133" i="33"/>
  <c r="O130" i="33"/>
  <c r="N130" i="33"/>
  <c r="H130" i="33"/>
  <c r="I130" i="33" s="1"/>
  <c r="P130" i="33" s="1"/>
  <c r="G128" i="33"/>
  <c r="H129" i="33" s="1"/>
  <c r="H131" i="33" s="1"/>
  <c r="F128" i="33"/>
  <c r="D128" i="33"/>
  <c r="I127" i="33" s="1"/>
  <c r="O125" i="33"/>
  <c r="N125" i="33"/>
  <c r="H125" i="33"/>
  <c r="I125" i="33" s="1"/>
  <c r="H124" i="33"/>
  <c r="I124" i="33" s="1"/>
  <c r="M124" i="33" s="1"/>
  <c r="I123" i="33"/>
  <c r="G123" i="33"/>
  <c r="F123" i="33"/>
  <c r="D123" i="33"/>
  <c r="I122" i="33" s="1"/>
  <c r="O120" i="33"/>
  <c r="N120" i="33"/>
  <c r="H120" i="33"/>
  <c r="I120" i="33" s="1"/>
  <c r="P120" i="33" s="1"/>
  <c r="G118" i="33"/>
  <c r="H119" i="33" s="1"/>
  <c r="F118" i="33"/>
  <c r="D118" i="33"/>
  <c r="I117" i="33" s="1"/>
  <c r="O115" i="33"/>
  <c r="N115" i="33"/>
  <c r="H115" i="33"/>
  <c r="I115" i="33" s="1"/>
  <c r="G113" i="33"/>
  <c r="H114" i="33" s="1"/>
  <c r="I114" i="33" s="1"/>
  <c r="M114" i="33" s="1"/>
  <c r="F113" i="33"/>
  <c r="D113" i="33"/>
  <c r="O110" i="33"/>
  <c r="N110" i="33"/>
  <c r="H110" i="33"/>
  <c r="I110" i="33" s="1"/>
  <c r="P110" i="33" s="1"/>
  <c r="I108" i="33"/>
  <c r="G108" i="33"/>
  <c r="H109" i="33" s="1"/>
  <c r="F108" i="33"/>
  <c r="D108" i="33"/>
  <c r="I107" i="33" s="1"/>
  <c r="O105" i="33"/>
  <c r="N105" i="33"/>
  <c r="H105" i="33"/>
  <c r="I105" i="33" s="1"/>
  <c r="I103" i="33"/>
  <c r="G103" i="33"/>
  <c r="H104" i="33" s="1"/>
  <c r="F103" i="33"/>
  <c r="D103" i="33"/>
  <c r="I102" i="33" s="1"/>
  <c r="O100" i="33"/>
  <c r="P100" i="33" s="1"/>
  <c r="N100" i="33"/>
  <c r="I100" i="33"/>
  <c r="H100" i="33"/>
  <c r="I98" i="33"/>
  <c r="G98" i="33"/>
  <c r="H99" i="33" s="1"/>
  <c r="F98" i="33"/>
  <c r="D98" i="33"/>
  <c r="O95" i="33"/>
  <c r="N95" i="33"/>
  <c r="H95" i="33"/>
  <c r="I95" i="33" s="1"/>
  <c r="P95" i="33" s="1"/>
  <c r="I93" i="33"/>
  <c r="G93" i="33"/>
  <c r="H94" i="33" s="1"/>
  <c r="F93" i="33"/>
  <c r="D93" i="33"/>
  <c r="I92" i="33"/>
  <c r="O90" i="33"/>
  <c r="N90" i="33"/>
  <c r="I90" i="33"/>
  <c r="H90" i="33"/>
  <c r="G88" i="33"/>
  <c r="H89" i="33" s="1"/>
  <c r="I89" i="33" s="1"/>
  <c r="M89" i="33" s="1"/>
  <c r="F88" i="33"/>
  <c r="D88" i="33"/>
  <c r="I87" i="33" s="1"/>
  <c r="H86" i="33"/>
  <c r="O85" i="33"/>
  <c r="N85" i="33"/>
  <c r="H85" i="33"/>
  <c r="I85" i="33" s="1"/>
  <c r="P85" i="33" s="1"/>
  <c r="H84" i="33"/>
  <c r="I84" i="33" s="1"/>
  <c r="M84" i="33" s="1"/>
  <c r="G83" i="33"/>
  <c r="F83" i="33"/>
  <c r="D83" i="33"/>
  <c r="I82" i="33"/>
  <c r="O80" i="33"/>
  <c r="N80" i="33"/>
  <c r="H80" i="33"/>
  <c r="I80" i="33" s="1"/>
  <c r="G78" i="33"/>
  <c r="H79" i="33" s="1"/>
  <c r="F78" i="33"/>
  <c r="D78" i="33"/>
  <c r="I77" i="33"/>
  <c r="O73" i="33"/>
  <c r="N73" i="33"/>
  <c r="H73" i="33"/>
  <c r="I73" i="33" s="1"/>
  <c r="I71" i="33"/>
  <c r="G71" i="33"/>
  <c r="H72" i="33" s="1"/>
  <c r="F71" i="33"/>
  <c r="D71" i="33"/>
  <c r="I70" i="33" s="1"/>
  <c r="O66" i="33"/>
  <c r="N66" i="33"/>
  <c r="H66" i="33"/>
  <c r="I66" i="33" s="1"/>
  <c r="H65" i="33"/>
  <c r="H67" i="33" s="1"/>
  <c r="I64" i="33"/>
  <c r="G64" i="33"/>
  <c r="F64" i="33"/>
  <c r="D64" i="33"/>
  <c r="I63" i="33" s="1"/>
  <c r="O58" i="33"/>
  <c r="N58" i="33"/>
  <c r="H58" i="33"/>
  <c r="I58" i="33" s="1"/>
  <c r="G56" i="33"/>
  <c r="H57" i="33" s="1"/>
  <c r="I57" i="33" s="1"/>
  <c r="M57" i="33" s="1"/>
  <c r="F56" i="33"/>
  <c r="D56" i="33"/>
  <c r="O50" i="33"/>
  <c r="N50" i="33"/>
  <c r="H50" i="33"/>
  <c r="I50" i="33" s="1"/>
  <c r="I48" i="33"/>
  <c r="G48" i="33"/>
  <c r="H49" i="33" s="1"/>
  <c r="H51" i="33" s="1"/>
  <c r="F48" i="33"/>
  <c r="D48" i="33"/>
  <c r="I47" i="33" s="1"/>
  <c r="O45" i="33"/>
  <c r="N45" i="33"/>
  <c r="H45" i="33"/>
  <c r="I44" i="33"/>
  <c r="M44" i="33" s="1"/>
  <c r="G43" i="33"/>
  <c r="F43" i="33"/>
  <c r="D43" i="33"/>
  <c r="O40" i="33"/>
  <c r="N40" i="33"/>
  <c r="I40" i="33"/>
  <c r="H40" i="33"/>
  <c r="I39" i="33"/>
  <c r="M39" i="33" s="1"/>
  <c r="G38" i="33"/>
  <c r="F38" i="33"/>
  <c r="D38" i="33"/>
  <c r="I37" i="33"/>
  <c r="O35" i="33"/>
  <c r="N35" i="33"/>
  <c r="I35" i="33"/>
  <c r="P35" i="33" s="1"/>
  <c r="H35" i="33"/>
  <c r="G33" i="33"/>
  <c r="F33" i="33"/>
  <c r="D33" i="33"/>
  <c r="O30" i="33"/>
  <c r="N30" i="33"/>
  <c r="H30" i="33"/>
  <c r="I30" i="33" s="1"/>
  <c r="I28" i="33"/>
  <c r="G28" i="33"/>
  <c r="F28" i="33"/>
  <c r="D28" i="33"/>
  <c r="I27" i="33"/>
  <c r="O25" i="33"/>
  <c r="N25" i="33"/>
  <c r="N292" i="33" s="1"/>
  <c r="H25" i="33"/>
  <c r="I25" i="33" s="1"/>
  <c r="P25" i="33" s="1"/>
  <c r="H24" i="33"/>
  <c r="I24" i="33" s="1"/>
  <c r="M24" i="33" s="1"/>
  <c r="I23" i="33"/>
  <c r="G23" i="33"/>
  <c r="F23" i="33"/>
  <c r="D23" i="33"/>
  <c r="O20" i="33"/>
  <c r="N20" i="33"/>
  <c r="H20" i="33"/>
  <c r="I20" i="33" s="1"/>
  <c r="H19" i="33"/>
  <c r="I19" i="33" s="1"/>
  <c r="M19" i="33" s="1"/>
  <c r="G18" i="33"/>
  <c r="F18" i="33"/>
  <c r="D18" i="33"/>
  <c r="I17" i="33" s="1"/>
  <c r="O15" i="33"/>
  <c r="N15" i="33"/>
  <c r="H15" i="33"/>
  <c r="I15" i="33" s="1"/>
  <c r="G13" i="33"/>
  <c r="H14" i="33" s="1"/>
  <c r="I14" i="33" s="1"/>
  <c r="M14" i="33" s="1"/>
  <c r="F13" i="33"/>
  <c r="D13" i="33"/>
  <c r="I12" i="33" s="1"/>
  <c r="S38" i="29"/>
  <c r="R38" i="29"/>
  <c r="Q38" i="29"/>
  <c r="L38" i="29"/>
  <c r="K38" i="29"/>
  <c r="O35" i="29"/>
  <c r="N35" i="29"/>
  <c r="H35" i="29"/>
  <c r="I35" i="29" s="1"/>
  <c r="I34" i="29"/>
  <c r="I33" i="29"/>
  <c r="G33" i="29"/>
  <c r="F33" i="29"/>
  <c r="D33" i="29"/>
  <c r="I32" i="29" s="1"/>
  <c r="O15" i="29"/>
  <c r="P15" i="29" s="1"/>
  <c r="N15" i="29"/>
  <c r="N38" i="29" s="1"/>
  <c r="I15" i="29"/>
  <c r="H15" i="29"/>
  <c r="I13" i="29"/>
  <c r="G13" i="29"/>
  <c r="H14" i="29" s="1"/>
  <c r="I14" i="29" s="1"/>
  <c r="M14" i="29" s="1"/>
  <c r="F13" i="29"/>
  <c r="D13" i="29"/>
  <c r="S318" i="28"/>
  <c r="R318" i="28"/>
  <c r="Q318" i="28"/>
  <c r="L318" i="28"/>
  <c r="K318" i="28"/>
  <c r="O316" i="28"/>
  <c r="N316" i="28"/>
  <c r="H316" i="28"/>
  <c r="I316" i="28" s="1"/>
  <c r="I315" i="28"/>
  <c r="M315" i="28" s="1"/>
  <c r="G314" i="28"/>
  <c r="F314" i="28"/>
  <c r="D314" i="28"/>
  <c r="H313" i="28" s="1"/>
  <c r="I313" i="28" s="1"/>
  <c r="O311" i="28"/>
  <c r="N311" i="28"/>
  <c r="H311" i="28"/>
  <c r="I311" i="28" s="1"/>
  <c r="I309" i="28"/>
  <c r="G309" i="28"/>
  <c r="H310" i="28" s="1"/>
  <c r="F309" i="28"/>
  <c r="D309" i="28"/>
  <c r="I308" i="28" s="1"/>
  <c r="O306" i="28"/>
  <c r="N306" i="28"/>
  <c r="H306" i="28"/>
  <c r="I306" i="28" s="1"/>
  <c r="P306" i="28" s="1"/>
  <c r="G304" i="28"/>
  <c r="H305" i="28" s="1"/>
  <c r="I305" i="28" s="1"/>
  <c r="M305" i="28" s="1"/>
  <c r="F304" i="28"/>
  <c r="H304" i="28" s="1"/>
  <c r="D304" i="28"/>
  <c r="O301" i="28"/>
  <c r="P301" i="28" s="1"/>
  <c r="N301" i="28"/>
  <c r="I301" i="28"/>
  <c r="H301" i="28"/>
  <c r="G299" i="28"/>
  <c r="H300" i="28" s="1"/>
  <c r="I300" i="28" s="1"/>
  <c r="M300" i="28" s="1"/>
  <c r="F299" i="28"/>
  <c r="H299" i="28" s="1"/>
  <c r="I299" i="28" s="1"/>
  <c r="D299" i="28"/>
  <c r="I298" i="28" s="1"/>
  <c r="O296" i="28"/>
  <c r="N296" i="28"/>
  <c r="H296" i="28"/>
  <c r="I296" i="28" s="1"/>
  <c r="P296" i="28" s="1"/>
  <c r="H295" i="28"/>
  <c r="H297" i="28" s="1"/>
  <c r="I294" i="28"/>
  <c r="G294" i="28"/>
  <c r="F294" i="28"/>
  <c r="D294" i="28"/>
  <c r="I293" i="28" s="1"/>
  <c r="O291" i="28"/>
  <c r="N291" i="28"/>
  <c r="H291" i="28"/>
  <c r="I291" i="28" s="1"/>
  <c r="P291" i="28" s="1"/>
  <c r="G289" i="28"/>
  <c r="H290" i="28" s="1"/>
  <c r="I290" i="28" s="1"/>
  <c r="M290" i="28" s="1"/>
  <c r="F289" i="28"/>
  <c r="H289" i="28" s="1"/>
  <c r="D289" i="28"/>
  <c r="I288" i="28" s="1"/>
  <c r="O286" i="28"/>
  <c r="N286" i="28"/>
  <c r="H286" i="28"/>
  <c r="I286" i="28" s="1"/>
  <c r="G284" i="28"/>
  <c r="H285" i="28" s="1"/>
  <c r="I285" i="28" s="1"/>
  <c r="M285" i="28" s="1"/>
  <c r="F284" i="28"/>
  <c r="H284" i="28" s="1"/>
  <c r="I284" i="28" s="1"/>
  <c r="D284" i="28"/>
  <c r="O281" i="28"/>
  <c r="N281" i="28"/>
  <c r="H281" i="28"/>
  <c r="I281" i="28" s="1"/>
  <c r="H280" i="28"/>
  <c r="I280" i="28" s="1"/>
  <c r="M280" i="28" s="1"/>
  <c r="G279" i="28"/>
  <c r="F279" i="28"/>
  <c r="H279" i="28" s="1"/>
  <c r="I279" i="28" s="1"/>
  <c r="D279" i="28"/>
  <c r="I278" i="28" s="1"/>
  <c r="O276" i="28"/>
  <c r="N276" i="28"/>
  <c r="H276" i="28"/>
  <c r="I276" i="28" s="1"/>
  <c r="G274" i="28"/>
  <c r="F274" i="28"/>
  <c r="D274" i="28"/>
  <c r="O271" i="28"/>
  <c r="N271" i="28"/>
  <c r="H271" i="28"/>
  <c r="I271" i="28" s="1"/>
  <c r="G269" i="28"/>
  <c r="H270" i="28" s="1"/>
  <c r="I270" i="28" s="1"/>
  <c r="M270" i="28" s="1"/>
  <c r="F269" i="28"/>
  <c r="H269" i="28" s="1"/>
  <c r="I269" i="28" s="1"/>
  <c r="D269" i="28"/>
  <c r="I268" i="28" s="1"/>
  <c r="O266" i="28"/>
  <c r="N266" i="28"/>
  <c r="H266" i="28"/>
  <c r="I266" i="28" s="1"/>
  <c r="P266" i="28" s="1"/>
  <c r="G264" i="28"/>
  <c r="H265" i="28" s="1"/>
  <c r="I265" i="28" s="1"/>
  <c r="M265" i="28" s="1"/>
  <c r="F264" i="28"/>
  <c r="H264" i="28" s="1"/>
  <c r="D264" i="28"/>
  <c r="I263" i="28" s="1"/>
  <c r="O261" i="28"/>
  <c r="N261" i="28"/>
  <c r="H261" i="28"/>
  <c r="I261" i="28" s="1"/>
  <c r="P261" i="28" s="1"/>
  <c r="H260" i="28"/>
  <c r="I260" i="28" s="1"/>
  <c r="M260" i="28" s="1"/>
  <c r="G259" i="28"/>
  <c r="F259" i="28"/>
  <c r="H259" i="28" s="1"/>
  <c r="D259" i="28"/>
  <c r="O256" i="28"/>
  <c r="N256" i="28"/>
  <c r="H256" i="28"/>
  <c r="I256" i="28" s="1"/>
  <c r="G254" i="28"/>
  <c r="H255" i="28" s="1"/>
  <c r="I255" i="28" s="1"/>
  <c r="M255" i="28" s="1"/>
  <c r="F254" i="28"/>
  <c r="H254" i="28" s="1"/>
  <c r="D254" i="28"/>
  <c r="I253" i="28" s="1"/>
  <c r="O251" i="28"/>
  <c r="N251" i="28"/>
  <c r="H251" i="28"/>
  <c r="I251" i="28" s="1"/>
  <c r="I250" i="28"/>
  <c r="M250" i="28" s="1"/>
  <c r="I249" i="28"/>
  <c r="G249" i="28"/>
  <c r="F249" i="28"/>
  <c r="D249" i="28"/>
  <c r="I248" i="28" s="1"/>
  <c r="O246" i="28"/>
  <c r="N246" i="28"/>
  <c r="H246" i="28"/>
  <c r="I246" i="28" s="1"/>
  <c r="P246" i="28" s="1"/>
  <c r="H244" i="28"/>
  <c r="I244" i="28" s="1"/>
  <c r="G244" i="28"/>
  <c r="H245" i="28" s="1"/>
  <c r="I245" i="28" s="1"/>
  <c r="M245" i="28" s="1"/>
  <c r="F244" i="28"/>
  <c r="D244" i="28"/>
  <c r="O241" i="28"/>
  <c r="N241" i="28"/>
  <c r="H241" i="28"/>
  <c r="I241" i="28" s="1"/>
  <c r="P241" i="28" s="1"/>
  <c r="G239" i="28"/>
  <c r="H240" i="28" s="1"/>
  <c r="I240" i="28" s="1"/>
  <c r="M240" i="28" s="1"/>
  <c r="F239" i="28"/>
  <c r="H239" i="28" s="1"/>
  <c r="D239" i="28"/>
  <c r="I238" i="28" s="1"/>
  <c r="O236" i="28"/>
  <c r="N236" i="28"/>
  <c r="H236" i="28"/>
  <c r="I236" i="28" s="1"/>
  <c r="H234" i="28"/>
  <c r="I234" i="28" s="1"/>
  <c r="G234" i="28"/>
  <c r="H235" i="28" s="1"/>
  <c r="I235" i="28" s="1"/>
  <c r="M235" i="28" s="1"/>
  <c r="F234" i="28"/>
  <c r="D234" i="28"/>
  <c r="O231" i="28"/>
  <c r="N231" i="28"/>
  <c r="I231" i="28"/>
  <c r="P231" i="28" s="1"/>
  <c r="H231" i="28"/>
  <c r="I230" i="28"/>
  <c r="I229" i="28"/>
  <c r="G229" i="28"/>
  <c r="F229" i="28"/>
  <c r="D229" i="28"/>
  <c r="I228" i="28" s="1"/>
  <c r="O226" i="28"/>
  <c r="N226" i="28"/>
  <c r="H226" i="28"/>
  <c r="I226" i="28" s="1"/>
  <c r="P226" i="28" s="1"/>
  <c r="H224" i="28"/>
  <c r="I224" i="28" s="1"/>
  <c r="G224" i="28"/>
  <c r="H225" i="28" s="1"/>
  <c r="I225" i="28" s="1"/>
  <c r="M225" i="28" s="1"/>
  <c r="F224" i="28"/>
  <c r="D224" i="28"/>
  <c r="I223" i="28" s="1"/>
  <c r="O221" i="28"/>
  <c r="N221" i="28"/>
  <c r="I221" i="28"/>
  <c r="H221" i="28"/>
  <c r="G219" i="28"/>
  <c r="H220" i="28" s="1"/>
  <c r="I220" i="28" s="1"/>
  <c r="M220" i="28" s="1"/>
  <c r="F219" i="28"/>
  <c r="H219" i="28" s="1"/>
  <c r="D219" i="28"/>
  <c r="O216" i="28"/>
  <c r="N216" i="28"/>
  <c r="H216" i="28"/>
  <c r="I216" i="28" s="1"/>
  <c r="P216" i="28" s="1"/>
  <c r="I215" i="28"/>
  <c r="M215" i="28" s="1"/>
  <c r="I214" i="28"/>
  <c r="G214" i="28"/>
  <c r="F214" i="28"/>
  <c r="D214" i="28"/>
  <c r="H213" i="28" s="1"/>
  <c r="I213" i="28" s="1"/>
  <c r="O211" i="28"/>
  <c r="N211" i="28"/>
  <c r="H211" i="28"/>
  <c r="I211" i="28" s="1"/>
  <c r="P211" i="28" s="1"/>
  <c r="H210" i="28"/>
  <c r="I210" i="28" s="1"/>
  <c r="M210" i="28" s="1"/>
  <c r="G209" i="28"/>
  <c r="F209" i="28"/>
  <c r="H209" i="28" s="1"/>
  <c r="D209" i="28"/>
  <c r="I208" i="28" s="1"/>
  <c r="O206" i="28"/>
  <c r="N206" i="28"/>
  <c r="H206" i="28"/>
  <c r="I206" i="28" s="1"/>
  <c r="H204" i="28"/>
  <c r="I204" i="28" s="1"/>
  <c r="G204" i="28"/>
  <c r="H205" i="28" s="1"/>
  <c r="I205" i="28" s="1"/>
  <c r="M205" i="28" s="1"/>
  <c r="F204" i="28"/>
  <c r="D204" i="28"/>
  <c r="I203" i="28" s="1"/>
  <c r="I207" i="28" s="1"/>
  <c r="O201" i="28"/>
  <c r="N201" i="28"/>
  <c r="H201" i="28"/>
  <c r="I201" i="28" s="1"/>
  <c r="G199" i="28"/>
  <c r="H200" i="28" s="1"/>
  <c r="I200" i="28" s="1"/>
  <c r="M200" i="28" s="1"/>
  <c r="F199" i="28"/>
  <c r="H199" i="28" s="1"/>
  <c r="D199" i="28"/>
  <c r="I198" i="28" s="1"/>
  <c r="O196" i="28"/>
  <c r="N196" i="28"/>
  <c r="H196" i="28"/>
  <c r="I196" i="28" s="1"/>
  <c r="G194" i="28"/>
  <c r="H195" i="28" s="1"/>
  <c r="I195" i="28" s="1"/>
  <c r="M195" i="28" s="1"/>
  <c r="F194" i="28"/>
  <c r="H194" i="28" s="1"/>
  <c r="I194" i="28" s="1"/>
  <c r="D194" i="28"/>
  <c r="O191" i="28"/>
  <c r="N191" i="28"/>
  <c r="H191" i="28"/>
  <c r="I191" i="28" s="1"/>
  <c r="I189" i="28"/>
  <c r="G189" i="28"/>
  <c r="F189" i="28"/>
  <c r="D189" i="28"/>
  <c r="H188" i="28" s="1"/>
  <c r="I188" i="28" s="1"/>
  <c r="O186" i="28"/>
  <c r="N186" i="28"/>
  <c r="H186" i="28"/>
  <c r="I186" i="28" s="1"/>
  <c r="P186" i="28" s="1"/>
  <c r="H184" i="28"/>
  <c r="I184" i="28" s="1"/>
  <c r="G184" i="28"/>
  <c r="H185" i="28" s="1"/>
  <c r="I185" i="28" s="1"/>
  <c r="M185" i="28" s="1"/>
  <c r="F184" i="28"/>
  <c r="D184" i="28"/>
  <c r="O181" i="28"/>
  <c r="N181" i="28"/>
  <c r="H181" i="28"/>
  <c r="I181" i="28" s="1"/>
  <c r="G179" i="28"/>
  <c r="H180" i="28" s="1"/>
  <c r="I180" i="28" s="1"/>
  <c r="M180" i="28" s="1"/>
  <c r="F179" i="28"/>
  <c r="H179" i="28" s="1"/>
  <c r="D179" i="28"/>
  <c r="I178" i="28" s="1"/>
  <c r="O176" i="28"/>
  <c r="N176" i="28"/>
  <c r="H176" i="28"/>
  <c r="I175" i="28"/>
  <c r="I174" i="28"/>
  <c r="G174" i="28"/>
  <c r="F174" i="28"/>
  <c r="D174" i="28"/>
  <c r="O171" i="28"/>
  <c r="N171" i="28"/>
  <c r="H171" i="28"/>
  <c r="I171" i="28" s="1"/>
  <c r="H170" i="28"/>
  <c r="H172" i="28" s="1"/>
  <c r="I169" i="28"/>
  <c r="G169" i="28"/>
  <c r="F169" i="28"/>
  <c r="D169" i="28"/>
  <c r="I168" i="28" s="1"/>
  <c r="O166" i="28"/>
  <c r="N166" i="28"/>
  <c r="H166" i="28"/>
  <c r="I166" i="28" s="1"/>
  <c r="I164" i="28"/>
  <c r="G164" i="28"/>
  <c r="H165" i="28" s="1"/>
  <c r="F164" i="28"/>
  <c r="D164" i="28"/>
  <c r="I163" i="28" s="1"/>
  <c r="O161" i="28"/>
  <c r="N161" i="28"/>
  <c r="H161" i="28"/>
  <c r="I161" i="28" s="1"/>
  <c r="P161" i="28" s="1"/>
  <c r="G159" i="28"/>
  <c r="H160" i="28" s="1"/>
  <c r="I160" i="28" s="1"/>
  <c r="M160" i="28" s="1"/>
  <c r="F159" i="28"/>
  <c r="D159" i="28"/>
  <c r="O156" i="28"/>
  <c r="N156" i="28"/>
  <c r="H156" i="28"/>
  <c r="I156" i="28" s="1"/>
  <c r="H154" i="28"/>
  <c r="I154" i="28" s="1"/>
  <c r="G154" i="28"/>
  <c r="H155" i="28" s="1"/>
  <c r="I155" i="28" s="1"/>
  <c r="M155" i="28" s="1"/>
  <c r="F154" i="28"/>
  <c r="D154" i="28"/>
  <c r="H152" i="28"/>
  <c r="O151" i="28"/>
  <c r="N151" i="28"/>
  <c r="H151" i="28"/>
  <c r="I151" i="28" s="1"/>
  <c r="I150" i="28"/>
  <c r="M150" i="28" s="1"/>
  <c r="G149" i="28"/>
  <c r="F149" i="28"/>
  <c r="D149" i="28"/>
  <c r="I148" i="28" s="1"/>
  <c r="O143" i="28"/>
  <c r="N143" i="28"/>
  <c r="H143" i="28"/>
  <c r="I143" i="28" s="1"/>
  <c r="P143" i="28" s="1"/>
  <c r="I142" i="28"/>
  <c r="M142" i="28" s="1"/>
  <c r="H142" i="28"/>
  <c r="I141" i="28"/>
  <c r="G141" i="28"/>
  <c r="F141" i="28"/>
  <c r="D141" i="28"/>
  <c r="O135" i="28"/>
  <c r="N135" i="28"/>
  <c r="H135" i="28"/>
  <c r="I135" i="28" s="1"/>
  <c r="P135" i="28" s="1"/>
  <c r="I133" i="28"/>
  <c r="G133" i="28"/>
  <c r="H134" i="28" s="1"/>
  <c r="F133" i="28"/>
  <c r="D133" i="28"/>
  <c r="I132" i="28" s="1"/>
  <c r="O127" i="28"/>
  <c r="N127" i="28"/>
  <c r="H127" i="28"/>
  <c r="I127" i="28" s="1"/>
  <c r="P127" i="28" s="1"/>
  <c r="I125" i="28"/>
  <c r="G125" i="28"/>
  <c r="H126" i="28" s="1"/>
  <c r="F125" i="28"/>
  <c r="D125" i="28"/>
  <c r="I124" i="28" s="1"/>
  <c r="O119" i="28"/>
  <c r="N119" i="28"/>
  <c r="H119" i="28"/>
  <c r="I119" i="28" s="1"/>
  <c r="P119" i="28" s="1"/>
  <c r="H118" i="28"/>
  <c r="I118" i="28" s="1"/>
  <c r="M118" i="28" s="1"/>
  <c r="I117" i="28"/>
  <c r="G117" i="28"/>
  <c r="F117" i="28"/>
  <c r="D117" i="28"/>
  <c r="O111" i="28"/>
  <c r="N111" i="28"/>
  <c r="I111" i="28"/>
  <c r="H111" i="28"/>
  <c r="G109" i="28"/>
  <c r="H110" i="28" s="1"/>
  <c r="I110" i="28" s="1"/>
  <c r="M110" i="28" s="1"/>
  <c r="F109" i="28"/>
  <c r="D109" i="28"/>
  <c r="I108" i="28" s="1"/>
  <c r="O103" i="28"/>
  <c r="N103" i="28"/>
  <c r="H103" i="28"/>
  <c r="I103" i="28" s="1"/>
  <c r="P103" i="28" s="1"/>
  <c r="G101" i="28"/>
  <c r="H102" i="28" s="1"/>
  <c r="I102" i="28" s="1"/>
  <c r="M102" i="28" s="1"/>
  <c r="F101" i="28"/>
  <c r="D101" i="28"/>
  <c r="I100" i="28" s="1"/>
  <c r="O95" i="28"/>
  <c r="N95" i="28"/>
  <c r="H95" i="28"/>
  <c r="I95" i="28" s="1"/>
  <c r="P95" i="28" s="1"/>
  <c r="H94" i="28"/>
  <c r="I94" i="28" s="1"/>
  <c r="M94" i="28" s="1"/>
  <c r="I93" i="28"/>
  <c r="G93" i="28"/>
  <c r="F93" i="28"/>
  <c r="D93" i="28"/>
  <c r="O87" i="28"/>
  <c r="N87" i="28"/>
  <c r="H87" i="28"/>
  <c r="I87" i="28" s="1"/>
  <c r="P87" i="28" s="1"/>
  <c r="I85" i="28"/>
  <c r="G85" i="28"/>
  <c r="H86" i="28" s="1"/>
  <c r="F85" i="28"/>
  <c r="D85" i="28"/>
  <c r="I84" i="28" s="1"/>
  <c r="O79" i="28"/>
  <c r="N79" i="28"/>
  <c r="H79" i="28"/>
  <c r="I79" i="28" s="1"/>
  <c r="I77" i="28"/>
  <c r="G77" i="28"/>
  <c r="H78" i="28" s="1"/>
  <c r="F77" i="28"/>
  <c r="D77" i="28"/>
  <c r="I76" i="28" s="1"/>
  <c r="O71" i="28"/>
  <c r="N71" i="28"/>
  <c r="H71" i="28"/>
  <c r="H72" i="28" s="1"/>
  <c r="H70" i="28"/>
  <c r="I70" i="28" s="1"/>
  <c r="M70" i="28" s="1"/>
  <c r="I69" i="28"/>
  <c r="G69" i="28"/>
  <c r="F69" i="28"/>
  <c r="D69" i="28"/>
  <c r="I68" i="28" s="1"/>
  <c r="O63" i="28"/>
  <c r="N63" i="28"/>
  <c r="I63" i="28"/>
  <c r="P63" i="28" s="1"/>
  <c r="H63" i="28"/>
  <c r="G61" i="28"/>
  <c r="H62" i="28" s="1"/>
  <c r="F61" i="28"/>
  <c r="D61" i="28"/>
  <c r="I60" i="28" s="1"/>
  <c r="O55" i="28"/>
  <c r="N55" i="28"/>
  <c r="H55" i="28"/>
  <c r="I55" i="28" s="1"/>
  <c r="I53" i="28"/>
  <c r="G53" i="28"/>
  <c r="H54" i="28" s="1"/>
  <c r="I54" i="28" s="1"/>
  <c r="M54" i="28" s="1"/>
  <c r="F53" i="28"/>
  <c r="D53" i="28"/>
  <c r="O47" i="28"/>
  <c r="N47" i="28"/>
  <c r="H47" i="28"/>
  <c r="I47" i="28" s="1"/>
  <c r="P47" i="28" s="1"/>
  <c r="I45" i="28"/>
  <c r="G45" i="28"/>
  <c r="H46" i="28" s="1"/>
  <c r="F45" i="28"/>
  <c r="D45" i="28"/>
  <c r="I44" i="28" s="1"/>
  <c r="O39" i="28"/>
  <c r="N39" i="28"/>
  <c r="I39" i="28"/>
  <c r="H39" i="28"/>
  <c r="H38" i="28"/>
  <c r="G37" i="28"/>
  <c r="F37" i="28"/>
  <c r="D37" i="28"/>
  <c r="I36" i="28" s="1"/>
  <c r="O31" i="28"/>
  <c r="N31" i="28"/>
  <c r="H31" i="28"/>
  <c r="I29" i="28"/>
  <c r="G29" i="28"/>
  <c r="H30" i="28" s="1"/>
  <c r="I30" i="28" s="1"/>
  <c r="M30" i="28" s="1"/>
  <c r="F29" i="28"/>
  <c r="D29" i="28"/>
  <c r="I28" i="28"/>
  <c r="O23" i="28"/>
  <c r="N23" i="28"/>
  <c r="H23" i="28"/>
  <c r="I23" i="28" s="1"/>
  <c r="I21" i="28"/>
  <c r="G21" i="28"/>
  <c r="H22" i="28" s="1"/>
  <c r="I22" i="28" s="1"/>
  <c r="M22" i="28" s="1"/>
  <c r="F21" i="28"/>
  <c r="D21" i="28"/>
  <c r="O15" i="28"/>
  <c r="N15" i="28"/>
  <c r="I15" i="28"/>
  <c r="H15" i="28"/>
  <c r="G13" i="28"/>
  <c r="H14" i="28" s="1"/>
  <c r="I14" i="28" s="1"/>
  <c r="M14" i="28" s="1"/>
  <c r="F13" i="28"/>
  <c r="D13" i="28"/>
  <c r="S245" i="27"/>
  <c r="R245" i="27"/>
  <c r="Q245" i="27"/>
  <c r="L245" i="27"/>
  <c r="K245" i="27"/>
  <c r="O243" i="27"/>
  <c r="N243" i="27"/>
  <c r="H243" i="27"/>
  <c r="I243" i="27" s="1"/>
  <c r="P243" i="27" s="1"/>
  <c r="I242" i="27"/>
  <c r="M242" i="27" s="1"/>
  <c r="I241" i="27"/>
  <c r="G241" i="27"/>
  <c r="F241" i="27"/>
  <c r="D241" i="27"/>
  <c r="H240" i="27" s="1"/>
  <c r="I240" i="27" s="1"/>
  <c r="O238" i="27"/>
  <c r="N238" i="27"/>
  <c r="H238" i="27"/>
  <c r="I238" i="27" s="1"/>
  <c r="I236" i="27"/>
  <c r="G236" i="27"/>
  <c r="H237" i="27" s="1"/>
  <c r="I237" i="27" s="1"/>
  <c r="M237" i="27" s="1"/>
  <c r="F236" i="27"/>
  <c r="D236" i="27"/>
  <c r="H235" i="27" s="1"/>
  <c r="I235" i="27" s="1"/>
  <c r="O233" i="27"/>
  <c r="N233" i="27"/>
  <c r="H233" i="27"/>
  <c r="I233" i="27" s="1"/>
  <c r="P233" i="27" s="1"/>
  <c r="I231" i="27"/>
  <c r="G231" i="27"/>
  <c r="H232" i="27" s="1"/>
  <c r="F231" i="27"/>
  <c r="D231" i="27"/>
  <c r="I230" i="27" s="1"/>
  <c r="O228" i="27"/>
  <c r="N228" i="27"/>
  <c r="H228" i="27"/>
  <c r="I228" i="27" s="1"/>
  <c r="H227" i="27"/>
  <c r="I227" i="27" s="1"/>
  <c r="M227" i="27" s="1"/>
  <c r="G226" i="27"/>
  <c r="F226" i="27"/>
  <c r="H226" i="27" s="1"/>
  <c r="D226" i="27"/>
  <c r="I225" i="27" s="1"/>
  <c r="O223" i="27"/>
  <c r="N223" i="27"/>
  <c r="H223" i="27"/>
  <c r="I223" i="27" s="1"/>
  <c r="G221" i="27"/>
  <c r="H222" i="27" s="1"/>
  <c r="I222" i="27" s="1"/>
  <c r="M222" i="27" s="1"/>
  <c r="F221" i="27"/>
  <c r="H221" i="27" s="1"/>
  <c r="D221" i="27"/>
  <c r="I220" i="27" s="1"/>
  <c r="O217" i="27"/>
  <c r="N217" i="27"/>
  <c r="H217" i="27"/>
  <c r="I217" i="27" s="1"/>
  <c r="I215" i="27"/>
  <c r="G215" i="27"/>
  <c r="H216" i="27" s="1"/>
  <c r="I216" i="27" s="1"/>
  <c r="M216" i="27" s="1"/>
  <c r="F215" i="27"/>
  <c r="D215" i="27"/>
  <c r="H214" i="27" s="1"/>
  <c r="I214" i="27" s="1"/>
  <c r="O210" i="27"/>
  <c r="N210" i="27"/>
  <c r="H210" i="27"/>
  <c r="I210" i="27" s="1"/>
  <c r="I208" i="27"/>
  <c r="G208" i="27"/>
  <c r="H209" i="27" s="1"/>
  <c r="H211" i="27" s="1"/>
  <c r="F208" i="27"/>
  <c r="D208" i="27"/>
  <c r="I207" i="27" s="1"/>
  <c r="O203" i="27"/>
  <c r="N203" i="27"/>
  <c r="H203" i="27"/>
  <c r="I203" i="27" s="1"/>
  <c r="P203" i="27" s="1"/>
  <c r="I201" i="27"/>
  <c r="G201" i="27"/>
  <c r="H202" i="27" s="1"/>
  <c r="F201" i="27"/>
  <c r="D201" i="27"/>
  <c r="I200" i="27" s="1"/>
  <c r="O198" i="27"/>
  <c r="N198" i="27"/>
  <c r="H198" i="27"/>
  <c r="I198" i="27" s="1"/>
  <c r="P198" i="27" s="1"/>
  <c r="G196" i="27"/>
  <c r="H197" i="27" s="1"/>
  <c r="I197" i="27" s="1"/>
  <c r="M197" i="27" s="1"/>
  <c r="F196" i="27"/>
  <c r="H196" i="27" s="1"/>
  <c r="I196" i="27" s="1"/>
  <c r="D196" i="27"/>
  <c r="I195" i="27" s="1"/>
  <c r="O193" i="27"/>
  <c r="N193" i="27"/>
  <c r="H193" i="27"/>
  <c r="I193" i="27" s="1"/>
  <c r="P193" i="27" s="1"/>
  <c r="H192" i="27"/>
  <c r="I192" i="27" s="1"/>
  <c r="M192" i="27" s="1"/>
  <c r="G191" i="27"/>
  <c r="F191" i="27"/>
  <c r="H191" i="27" s="1"/>
  <c r="D191" i="27"/>
  <c r="I190" i="27" s="1"/>
  <c r="O188" i="27"/>
  <c r="N188" i="27"/>
  <c r="H188" i="27"/>
  <c r="I188" i="27" s="1"/>
  <c r="P188" i="27" s="1"/>
  <c r="I187" i="27"/>
  <c r="M187" i="27" s="1"/>
  <c r="G186" i="27"/>
  <c r="F186" i="27"/>
  <c r="D186" i="27"/>
  <c r="I185" i="27"/>
  <c r="O183" i="27"/>
  <c r="N183" i="27"/>
  <c r="H183" i="27"/>
  <c r="I183" i="27" s="1"/>
  <c r="I182" i="27"/>
  <c r="M182" i="27" s="1"/>
  <c r="I181" i="27"/>
  <c r="G181" i="27"/>
  <c r="F181" i="27"/>
  <c r="D181" i="27"/>
  <c r="H180" i="27" s="1"/>
  <c r="I180" i="27" s="1"/>
  <c r="H179" i="27"/>
  <c r="O178" i="27"/>
  <c r="N178" i="27"/>
  <c r="H178" i="27"/>
  <c r="I178" i="27" s="1"/>
  <c r="P178" i="27" s="1"/>
  <c r="G176" i="27"/>
  <c r="F176" i="27"/>
  <c r="D176" i="27"/>
  <c r="I175" i="27" s="1"/>
  <c r="O173" i="27"/>
  <c r="N173" i="27"/>
  <c r="H173" i="27"/>
  <c r="I173" i="27" s="1"/>
  <c r="I172" i="27"/>
  <c r="M172" i="27" s="1"/>
  <c r="I171" i="27"/>
  <c r="G171" i="27"/>
  <c r="F171" i="27"/>
  <c r="D171" i="27"/>
  <c r="H170" i="27" s="1"/>
  <c r="I170" i="27" s="1"/>
  <c r="O168" i="27"/>
  <c r="N168" i="27"/>
  <c r="H168" i="27"/>
  <c r="I168" i="27" s="1"/>
  <c r="P168" i="27" s="1"/>
  <c r="H167" i="27"/>
  <c r="I167" i="27" s="1"/>
  <c r="M167" i="27" s="1"/>
  <c r="G166" i="27"/>
  <c r="F166" i="27"/>
  <c r="D166" i="27"/>
  <c r="H165" i="27" s="1"/>
  <c r="I165" i="27" s="1"/>
  <c r="O163" i="27"/>
  <c r="N163" i="27"/>
  <c r="H163" i="27"/>
  <c r="I163" i="27" s="1"/>
  <c r="P163" i="27" s="1"/>
  <c r="G161" i="27"/>
  <c r="H162" i="27" s="1"/>
  <c r="F161" i="27"/>
  <c r="D161" i="27"/>
  <c r="H160" i="27" s="1"/>
  <c r="I160" i="27" s="1"/>
  <c r="O158" i="27"/>
  <c r="N158" i="27"/>
  <c r="H158" i="27"/>
  <c r="I158" i="27" s="1"/>
  <c r="I156" i="27"/>
  <c r="G156" i="27"/>
  <c r="H157" i="27" s="1"/>
  <c r="I157" i="27" s="1"/>
  <c r="M157" i="27" s="1"/>
  <c r="F156" i="27"/>
  <c r="D156" i="27"/>
  <c r="H155" i="27" s="1"/>
  <c r="I155" i="27" s="1"/>
  <c r="O153" i="27"/>
  <c r="N153" i="27"/>
  <c r="H153" i="27"/>
  <c r="I153" i="27" s="1"/>
  <c r="P153" i="27" s="1"/>
  <c r="I152" i="27"/>
  <c r="M152" i="27" s="1"/>
  <c r="I151" i="27"/>
  <c r="G151" i="27"/>
  <c r="F151" i="27"/>
  <c r="D151" i="27"/>
  <c r="H150" i="27" s="1"/>
  <c r="I150" i="27" s="1"/>
  <c r="O148" i="27"/>
  <c r="N148" i="27"/>
  <c r="H148" i="27"/>
  <c r="I148" i="27" s="1"/>
  <c r="P148" i="27" s="1"/>
  <c r="I147" i="27"/>
  <c r="M147" i="27" s="1"/>
  <c r="I146" i="27"/>
  <c r="G146" i="27"/>
  <c r="F146" i="27"/>
  <c r="D146" i="27"/>
  <c r="H145" i="27" s="1"/>
  <c r="I145" i="27" s="1"/>
  <c r="H144" i="27"/>
  <c r="O143" i="27"/>
  <c r="N143" i="27"/>
  <c r="H143" i="27"/>
  <c r="I143" i="27" s="1"/>
  <c r="G141" i="27"/>
  <c r="F141" i="27"/>
  <c r="D141" i="27"/>
  <c r="H140" i="27"/>
  <c r="I140" i="27" s="1"/>
  <c r="O137" i="27"/>
  <c r="N137" i="27"/>
  <c r="H137" i="27"/>
  <c r="I137" i="27" s="1"/>
  <c r="P137" i="27" s="1"/>
  <c r="I135" i="27"/>
  <c r="G135" i="27"/>
  <c r="H136" i="27" s="1"/>
  <c r="I136" i="27" s="1"/>
  <c r="M136" i="27" s="1"/>
  <c r="F135" i="27"/>
  <c r="D135" i="27"/>
  <c r="H134" i="27" s="1"/>
  <c r="I134" i="27" s="1"/>
  <c r="O131" i="27"/>
  <c r="N131" i="27"/>
  <c r="H131" i="27"/>
  <c r="I131" i="27" s="1"/>
  <c r="P131" i="27" s="1"/>
  <c r="I129" i="27"/>
  <c r="G129" i="27"/>
  <c r="H130" i="27" s="1"/>
  <c r="I130" i="27" s="1"/>
  <c r="M130" i="27" s="1"/>
  <c r="F129" i="27"/>
  <c r="D129" i="27"/>
  <c r="H128" i="27" s="1"/>
  <c r="I128" i="27" s="1"/>
  <c r="O126" i="27"/>
  <c r="N126" i="27"/>
  <c r="I126" i="27"/>
  <c r="H126" i="27"/>
  <c r="I124" i="27"/>
  <c r="G124" i="27"/>
  <c r="H125" i="27" s="1"/>
  <c r="H127" i="27" s="1"/>
  <c r="F124" i="27"/>
  <c r="D124" i="27"/>
  <c r="O121" i="27"/>
  <c r="N121" i="27"/>
  <c r="H121" i="27"/>
  <c r="I121" i="27" s="1"/>
  <c r="P121" i="27" s="1"/>
  <c r="G119" i="27"/>
  <c r="H120" i="27" s="1"/>
  <c r="F119" i="27"/>
  <c r="D119" i="27"/>
  <c r="O115" i="27"/>
  <c r="N115" i="27"/>
  <c r="H115" i="27"/>
  <c r="I115" i="27" s="1"/>
  <c r="P115" i="27" s="1"/>
  <c r="G113" i="27"/>
  <c r="H114" i="27" s="1"/>
  <c r="H116" i="27" s="1"/>
  <c r="F113" i="27"/>
  <c r="D113" i="27"/>
  <c r="I112" i="27"/>
  <c r="O110" i="27"/>
  <c r="N110" i="27"/>
  <c r="H110" i="27"/>
  <c r="I110" i="27" s="1"/>
  <c r="G108" i="27"/>
  <c r="H109" i="27" s="1"/>
  <c r="I109" i="27" s="1"/>
  <c r="M109" i="27" s="1"/>
  <c r="F108" i="27"/>
  <c r="H108" i="27" s="1"/>
  <c r="D108" i="27"/>
  <c r="I107" i="27" s="1"/>
  <c r="O105" i="27"/>
  <c r="N105" i="27"/>
  <c r="H105" i="27"/>
  <c r="I105" i="27" s="1"/>
  <c r="P105" i="27" s="1"/>
  <c r="G103" i="27"/>
  <c r="H104" i="27" s="1"/>
  <c r="I104" i="27" s="1"/>
  <c r="M104" i="27" s="1"/>
  <c r="F103" i="27"/>
  <c r="H103" i="27" s="1"/>
  <c r="D103" i="27"/>
  <c r="I102" i="27"/>
  <c r="O100" i="27"/>
  <c r="N100" i="27"/>
  <c r="H100" i="27"/>
  <c r="I100" i="27" s="1"/>
  <c r="G98" i="27"/>
  <c r="H99" i="27" s="1"/>
  <c r="I99" i="27" s="1"/>
  <c r="M99" i="27" s="1"/>
  <c r="F98" i="27"/>
  <c r="H98" i="27" s="1"/>
  <c r="I98" i="27" s="1"/>
  <c r="D98" i="27"/>
  <c r="O95" i="27"/>
  <c r="N95" i="27"/>
  <c r="H95" i="27"/>
  <c r="I95" i="27" s="1"/>
  <c r="G93" i="27"/>
  <c r="H94" i="27" s="1"/>
  <c r="I94" i="27" s="1"/>
  <c r="M94" i="27" s="1"/>
  <c r="F93" i="27"/>
  <c r="H93" i="27" s="1"/>
  <c r="I93" i="27" s="1"/>
  <c r="D93" i="27"/>
  <c r="O90" i="27"/>
  <c r="N90" i="27"/>
  <c r="H90" i="27"/>
  <c r="I90" i="27" s="1"/>
  <c r="H88" i="27"/>
  <c r="G88" i="27"/>
  <c r="H89" i="27" s="1"/>
  <c r="I89" i="27" s="1"/>
  <c r="M89" i="27" s="1"/>
  <c r="F88" i="27"/>
  <c r="D88" i="27"/>
  <c r="I87" i="27"/>
  <c r="O85" i="27"/>
  <c r="N85" i="27"/>
  <c r="I85" i="27"/>
  <c r="P85" i="27" s="1"/>
  <c r="H85" i="27"/>
  <c r="G83" i="27"/>
  <c r="H84" i="27" s="1"/>
  <c r="I84" i="27" s="1"/>
  <c r="M84" i="27" s="1"/>
  <c r="F83" i="27"/>
  <c r="H83" i="27" s="1"/>
  <c r="I83" i="27" s="1"/>
  <c r="D83" i="27"/>
  <c r="O80" i="27"/>
  <c r="N80" i="27"/>
  <c r="H80" i="27"/>
  <c r="I80" i="27" s="1"/>
  <c r="P80" i="27" s="1"/>
  <c r="H78" i="27"/>
  <c r="I78" i="27" s="1"/>
  <c r="G78" i="27"/>
  <c r="H79" i="27" s="1"/>
  <c r="I79" i="27" s="1"/>
  <c r="M79" i="27" s="1"/>
  <c r="F78" i="27"/>
  <c r="D78" i="27"/>
  <c r="I77" i="27"/>
  <c r="H76" i="27"/>
  <c r="O75" i="27"/>
  <c r="N75" i="27"/>
  <c r="H75" i="27"/>
  <c r="I75" i="27" s="1"/>
  <c r="G73" i="27"/>
  <c r="F73" i="27"/>
  <c r="D73" i="27"/>
  <c r="I72" i="27" s="1"/>
  <c r="O70" i="27"/>
  <c r="N70" i="27"/>
  <c r="H70" i="27"/>
  <c r="I70" i="27" s="1"/>
  <c r="P70" i="27" s="1"/>
  <c r="H69" i="27"/>
  <c r="H71" i="27" s="1"/>
  <c r="G68" i="27"/>
  <c r="F68" i="27"/>
  <c r="D68" i="27"/>
  <c r="I67" i="27"/>
  <c r="O65" i="27"/>
  <c r="N65" i="27"/>
  <c r="H65" i="27"/>
  <c r="I65" i="27" s="1"/>
  <c r="P65" i="27" s="1"/>
  <c r="I63" i="27"/>
  <c r="G63" i="27"/>
  <c r="H64" i="27" s="1"/>
  <c r="F63" i="27"/>
  <c r="D63" i="27"/>
  <c r="I62" i="27"/>
  <c r="O60" i="27"/>
  <c r="N60" i="27"/>
  <c r="H60" i="27"/>
  <c r="I60" i="27" s="1"/>
  <c r="G58" i="27"/>
  <c r="H59" i="27" s="1"/>
  <c r="I59" i="27" s="1"/>
  <c r="M59" i="27" s="1"/>
  <c r="F58" i="27"/>
  <c r="D58" i="27"/>
  <c r="O55" i="27"/>
  <c r="N55" i="27"/>
  <c r="H55" i="27"/>
  <c r="I55" i="27" s="1"/>
  <c r="P55" i="27" s="1"/>
  <c r="I53" i="27"/>
  <c r="G53" i="27"/>
  <c r="H54" i="27" s="1"/>
  <c r="F53" i="27"/>
  <c r="D53" i="27"/>
  <c r="I52" i="27"/>
  <c r="O50" i="27"/>
  <c r="N50" i="27"/>
  <c r="H50" i="27"/>
  <c r="I50" i="27" s="1"/>
  <c r="I48" i="27"/>
  <c r="G48" i="27"/>
  <c r="H49" i="27" s="1"/>
  <c r="H51" i="27" s="1"/>
  <c r="F48" i="27"/>
  <c r="D48" i="27"/>
  <c r="O45" i="27"/>
  <c r="N45" i="27"/>
  <c r="H45" i="27"/>
  <c r="I45" i="27" s="1"/>
  <c r="P45" i="27" s="1"/>
  <c r="G43" i="27"/>
  <c r="H44" i="27" s="1"/>
  <c r="F43" i="27"/>
  <c r="D43" i="27"/>
  <c r="I42" i="27" s="1"/>
  <c r="O40" i="27"/>
  <c r="N40" i="27"/>
  <c r="H40" i="27"/>
  <c r="H39" i="27"/>
  <c r="I39" i="27" s="1"/>
  <c r="M39" i="27" s="1"/>
  <c r="G38" i="27"/>
  <c r="F38" i="27"/>
  <c r="D38" i="27"/>
  <c r="I37" i="27" s="1"/>
  <c r="O35" i="27"/>
  <c r="N35" i="27"/>
  <c r="H35" i="27"/>
  <c r="I35" i="27" s="1"/>
  <c r="P35" i="27" s="1"/>
  <c r="H34" i="27"/>
  <c r="I34" i="27" s="1"/>
  <c r="M34" i="27" s="1"/>
  <c r="H33" i="27"/>
  <c r="I33" i="27" s="1"/>
  <c r="G33" i="27"/>
  <c r="F33" i="27"/>
  <c r="D33" i="27"/>
  <c r="I32" i="27"/>
  <c r="O30" i="27"/>
  <c r="N30" i="27"/>
  <c r="H30" i="27"/>
  <c r="I30" i="27" s="1"/>
  <c r="G28" i="27"/>
  <c r="H29" i="27" s="1"/>
  <c r="I29" i="27" s="1"/>
  <c r="M29" i="27" s="1"/>
  <c r="F28" i="27"/>
  <c r="H28" i="27" s="1"/>
  <c r="D28" i="27"/>
  <c r="I27" i="27" s="1"/>
  <c r="O25" i="27"/>
  <c r="N25" i="27"/>
  <c r="I25" i="27"/>
  <c r="H25" i="27"/>
  <c r="H24" i="27"/>
  <c r="I24" i="27" s="1"/>
  <c r="M24" i="27" s="1"/>
  <c r="G23" i="27"/>
  <c r="F23" i="27"/>
  <c r="H23" i="27" s="1"/>
  <c r="D23" i="27"/>
  <c r="I22" i="27" s="1"/>
  <c r="O20" i="27"/>
  <c r="N20" i="27"/>
  <c r="H20" i="27"/>
  <c r="I20" i="27" s="1"/>
  <c r="P20" i="27" s="1"/>
  <c r="G18" i="27"/>
  <c r="H19" i="27" s="1"/>
  <c r="I19" i="27" s="1"/>
  <c r="M19" i="27" s="1"/>
  <c r="F18" i="27"/>
  <c r="H18" i="27" s="1"/>
  <c r="I18" i="27" s="1"/>
  <c r="D18" i="27"/>
  <c r="O15" i="27"/>
  <c r="N15" i="27"/>
  <c r="H15" i="27"/>
  <c r="I15" i="27" s="1"/>
  <c r="I13" i="27"/>
  <c r="G13" i="27"/>
  <c r="F13" i="27"/>
  <c r="D13" i="27"/>
  <c r="I12" i="27"/>
  <c r="S237" i="26"/>
  <c r="R237" i="26"/>
  <c r="Q237" i="26"/>
  <c r="L237" i="26"/>
  <c r="K237" i="26"/>
  <c r="O234" i="26"/>
  <c r="N234" i="26"/>
  <c r="H234" i="26"/>
  <c r="I234" i="26" s="1"/>
  <c r="P234" i="26" s="1"/>
  <c r="G232" i="26"/>
  <c r="H233" i="26" s="1"/>
  <c r="I233" i="26" s="1"/>
  <c r="M233" i="26" s="1"/>
  <c r="F232" i="26"/>
  <c r="D232" i="26"/>
  <c r="O229" i="26"/>
  <c r="N229" i="26"/>
  <c r="H229" i="26"/>
  <c r="I229" i="26" s="1"/>
  <c r="G227" i="26"/>
  <c r="F227" i="26"/>
  <c r="D227" i="26"/>
  <c r="H226" i="26" s="1"/>
  <c r="I226" i="26" s="1"/>
  <c r="H225" i="26"/>
  <c r="O224" i="26"/>
  <c r="N224" i="26"/>
  <c r="I224" i="26"/>
  <c r="P224" i="26" s="1"/>
  <c r="H224" i="26"/>
  <c r="I223" i="26"/>
  <c r="M223" i="26" s="1"/>
  <c r="I222" i="26"/>
  <c r="G222" i="26"/>
  <c r="F222" i="26"/>
  <c r="D222" i="26"/>
  <c r="O219" i="26"/>
  <c r="N219" i="26"/>
  <c r="H219" i="26"/>
  <c r="I219" i="26" s="1"/>
  <c r="P219" i="26" s="1"/>
  <c r="G217" i="26"/>
  <c r="H218" i="26" s="1"/>
  <c r="I218" i="26" s="1"/>
  <c r="M218" i="26" s="1"/>
  <c r="F217" i="26"/>
  <c r="D217" i="26"/>
  <c r="H216" i="26" s="1"/>
  <c r="I216" i="26" s="1"/>
  <c r="I220" i="26" s="1"/>
  <c r="O214" i="26"/>
  <c r="N214" i="26"/>
  <c r="H214" i="26"/>
  <c r="I214" i="26" s="1"/>
  <c r="P214" i="26" s="1"/>
  <c r="G212" i="26"/>
  <c r="H213" i="26" s="1"/>
  <c r="I213" i="26" s="1"/>
  <c r="M213" i="26" s="1"/>
  <c r="F212" i="26"/>
  <c r="D212" i="26"/>
  <c r="H211" i="26" s="1"/>
  <c r="O209" i="26"/>
  <c r="N209" i="26"/>
  <c r="H209" i="26"/>
  <c r="I209" i="26" s="1"/>
  <c r="P209" i="26" s="1"/>
  <c r="I208" i="26"/>
  <c r="I207" i="26"/>
  <c r="G207" i="26"/>
  <c r="F207" i="26"/>
  <c r="D207" i="26"/>
  <c r="H206" i="26" s="1"/>
  <c r="O204" i="26"/>
  <c r="N204" i="26"/>
  <c r="H204" i="26"/>
  <c r="I204" i="26" s="1"/>
  <c r="P204" i="26" s="1"/>
  <c r="I203" i="26"/>
  <c r="M203" i="26" s="1"/>
  <c r="I202" i="26"/>
  <c r="G202" i="26"/>
  <c r="F202" i="26"/>
  <c r="D202" i="26"/>
  <c r="H201" i="26" s="1"/>
  <c r="I201" i="26" s="1"/>
  <c r="O198" i="26"/>
  <c r="N198" i="26"/>
  <c r="H198" i="26"/>
  <c r="I198" i="26" s="1"/>
  <c r="P198" i="26" s="1"/>
  <c r="I196" i="26"/>
  <c r="G196" i="26"/>
  <c r="H197" i="26" s="1"/>
  <c r="I197" i="26" s="1"/>
  <c r="M197" i="26" s="1"/>
  <c r="F196" i="26"/>
  <c r="D196" i="26"/>
  <c r="H195" i="26" s="1"/>
  <c r="O192" i="26"/>
  <c r="N192" i="26"/>
  <c r="H192" i="26"/>
  <c r="I192" i="26" s="1"/>
  <c r="G190" i="26"/>
  <c r="H191" i="26" s="1"/>
  <c r="I191" i="26" s="1"/>
  <c r="M191" i="26" s="1"/>
  <c r="F190" i="26"/>
  <c r="D190" i="26"/>
  <c r="H189" i="26" s="1"/>
  <c r="O186" i="26"/>
  <c r="N186" i="26"/>
  <c r="H186" i="26"/>
  <c r="I186" i="26" s="1"/>
  <c r="P186" i="26" s="1"/>
  <c r="G184" i="26"/>
  <c r="H185" i="26" s="1"/>
  <c r="I185" i="26" s="1"/>
  <c r="M185" i="26" s="1"/>
  <c r="F184" i="26"/>
  <c r="D184" i="26"/>
  <c r="I183" i="26"/>
  <c r="O180" i="26"/>
  <c r="N180" i="26"/>
  <c r="H180" i="26"/>
  <c r="I180" i="26" s="1"/>
  <c r="I178" i="26"/>
  <c r="G178" i="26"/>
  <c r="H179" i="26" s="1"/>
  <c r="F178" i="26"/>
  <c r="D178" i="26"/>
  <c r="I177" i="26"/>
  <c r="O174" i="26"/>
  <c r="N174" i="26"/>
  <c r="H174" i="26"/>
  <c r="I174" i="26" s="1"/>
  <c r="G172" i="26"/>
  <c r="H173" i="26" s="1"/>
  <c r="F172" i="26"/>
  <c r="D172" i="26"/>
  <c r="O169" i="26"/>
  <c r="N169" i="26"/>
  <c r="H169" i="26"/>
  <c r="I169" i="26" s="1"/>
  <c r="G167" i="26"/>
  <c r="H168" i="26" s="1"/>
  <c r="I168" i="26" s="1"/>
  <c r="M168" i="26" s="1"/>
  <c r="F167" i="26"/>
  <c r="H167" i="26" s="1"/>
  <c r="D167" i="26"/>
  <c r="I166" i="26"/>
  <c r="O164" i="26"/>
  <c r="N164" i="26"/>
  <c r="H164" i="26"/>
  <c r="I164" i="26" s="1"/>
  <c r="G162" i="26"/>
  <c r="H163" i="26" s="1"/>
  <c r="I163" i="26" s="1"/>
  <c r="M163" i="26" s="1"/>
  <c r="F162" i="26"/>
  <c r="H162" i="26" s="1"/>
  <c r="I162" i="26" s="1"/>
  <c r="D162" i="26"/>
  <c r="I161" i="26"/>
  <c r="O159" i="26"/>
  <c r="N159" i="26"/>
  <c r="H159" i="26"/>
  <c r="I159" i="26" s="1"/>
  <c r="P159" i="26" s="1"/>
  <c r="G157" i="26"/>
  <c r="H158" i="26" s="1"/>
  <c r="I158" i="26" s="1"/>
  <c r="M158" i="26" s="1"/>
  <c r="F157" i="26"/>
  <c r="H157" i="26" s="1"/>
  <c r="D157" i="26"/>
  <c r="I156" i="26" s="1"/>
  <c r="O154" i="26"/>
  <c r="N154" i="26"/>
  <c r="H154" i="26"/>
  <c r="I154" i="26" s="1"/>
  <c r="P154" i="26" s="1"/>
  <c r="G152" i="26"/>
  <c r="H153" i="26" s="1"/>
  <c r="I153" i="26" s="1"/>
  <c r="M153" i="26" s="1"/>
  <c r="F152" i="26"/>
  <c r="H152" i="26" s="1"/>
  <c r="D152" i="26"/>
  <c r="O149" i="26"/>
  <c r="N149" i="26"/>
  <c r="H149" i="26"/>
  <c r="I149" i="26" s="1"/>
  <c r="P149" i="26" s="1"/>
  <c r="G147" i="26"/>
  <c r="H148" i="26" s="1"/>
  <c r="I148" i="26" s="1"/>
  <c r="M148" i="26" s="1"/>
  <c r="F147" i="26"/>
  <c r="H147" i="26" s="1"/>
  <c r="I147" i="26" s="1"/>
  <c r="D147" i="26"/>
  <c r="O144" i="26"/>
  <c r="N144" i="26"/>
  <c r="H144" i="26"/>
  <c r="I144" i="26" s="1"/>
  <c r="G142" i="26"/>
  <c r="H143" i="26" s="1"/>
  <c r="I143" i="26" s="1"/>
  <c r="M143" i="26" s="1"/>
  <c r="F142" i="26"/>
  <c r="H142" i="26" s="1"/>
  <c r="I142" i="26" s="1"/>
  <c r="D142" i="26"/>
  <c r="O139" i="26"/>
  <c r="N139" i="26"/>
  <c r="H139" i="26"/>
  <c r="I139" i="26" s="1"/>
  <c r="I137" i="26"/>
  <c r="G137" i="26"/>
  <c r="F137" i="26"/>
  <c r="D137" i="26"/>
  <c r="I136" i="26"/>
  <c r="O132" i="26"/>
  <c r="N132" i="26"/>
  <c r="H132" i="26"/>
  <c r="I132" i="26" s="1"/>
  <c r="P132" i="26" s="1"/>
  <c r="I130" i="26"/>
  <c r="G130" i="26"/>
  <c r="H131" i="26" s="1"/>
  <c r="F130" i="26"/>
  <c r="D130" i="26"/>
  <c r="O125" i="26"/>
  <c r="N125" i="26"/>
  <c r="H125" i="26"/>
  <c r="I125" i="26" s="1"/>
  <c r="P125" i="26" s="1"/>
  <c r="G123" i="26"/>
  <c r="H124" i="26" s="1"/>
  <c r="F123" i="26"/>
  <c r="D123" i="26"/>
  <c r="I122" i="26"/>
  <c r="O118" i="26"/>
  <c r="N118" i="26"/>
  <c r="I118" i="26"/>
  <c r="P118" i="26" s="1"/>
  <c r="H118" i="26"/>
  <c r="I116" i="26"/>
  <c r="G116" i="26"/>
  <c r="H117" i="26" s="1"/>
  <c r="I117" i="26" s="1"/>
  <c r="M117" i="26" s="1"/>
  <c r="F116" i="26"/>
  <c r="D116" i="26"/>
  <c r="O111" i="26"/>
  <c r="N111" i="26"/>
  <c r="H111" i="26"/>
  <c r="I111" i="26" s="1"/>
  <c r="P111" i="26" s="1"/>
  <c r="I109" i="26"/>
  <c r="G109" i="26"/>
  <c r="H110" i="26" s="1"/>
  <c r="I110" i="26" s="1"/>
  <c r="M110" i="26" s="1"/>
  <c r="F109" i="26"/>
  <c r="D109" i="26"/>
  <c r="O104" i="26"/>
  <c r="N104" i="26"/>
  <c r="H104" i="26"/>
  <c r="I104" i="26" s="1"/>
  <c r="P104" i="26" s="1"/>
  <c r="G102" i="26"/>
  <c r="H103" i="26" s="1"/>
  <c r="I103" i="26" s="1"/>
  <c r="M103" i="26" s="1"/>
  <c r="F102" i="26"/>
  <c r="D102" i="26"/>
  <c r="O97" i="26"/>
  <c r="N97" i="26"/>
  <c r="H97" i="26"/>
  <c r="I97" i="26" s="1"/>
  <c r="P97" i="26" s="1"/>
  <c r="I95" i="26"/>
  <c r="G95" i="26"/>
  <c r="H96" i="26" s="1"/>
  <c r="I96" i="26" s="1"/>
  <c r="M96" i="26" s="1"/>
  <c r="F95" i="26"/>
  <c r="D95" i="26"/>
  <c r="I94" i="26"/>
  <c r="O92" i="26"/>
  <c r="N92" i="26"/>
  <c r="H92" i="26"/>
  <c r="I92" i="26" s="1"/>
  <c r="P92" i="26" s="1"/>
  <c r="I90" i="26"/>
  <c r="G90" i="26"/>
  <c r="H91" i="26" s="1"/>
  <c r="F90" i="26"/>
  <c r="D90" i="26"/>
  <c r="O87" i="26"/>
  <c r="N87" i="26"/>
  <c r="H87" i="26"/>
  <c r="I87" i="26" s="1"/>
  <c r="G85" i="26"/>
  <c r="H86" i="26" s="1"/>
  <c r="F85" i="26"/>
  <c r="D85" i="26"/>
  <c r="I84" i="26" s="1"/>
  <c r="O76" i="26"/>
  <c r="N76" i="26"/>
  <c r="I76" i="26"/>
  <c r="H76" i="26"/>
  <c r="I74" i="26"/>
  <c r="G74" i="26"/>
  <c r="H75" i="26" s="1"/>
  <c r="F74" i="26"/>
  <c r="D74" i="26"/>
  <c r="I73" i="26"/>
  <c r="O65" i="26"/>
  <c r="N65" i="26"/>
  <c r="H65" i="26"/>
  <c r="I65" i="26" s="1"/>
  <c r="P65" i="26" s="1"/>
  <c r="I63" i="26"/>
  <c r="G63" i="26"/>
  <c r="H64" i="26" s="1"/>
  <c r="F63" i="26"/>
  <c r="D63" i="26"/>
  <c r="I62" i="26" s="1"/>
  <c r="O54" i="26"/>
  <c r="N54" i="26"/>
  <c r="H54" i="26"/>
  <c r="I54" i="26" s="1"/>
  <c r="I52" i="26"/>
  <c r="G52" i="26"/>
  <c r="H53" i="26" s="1"/>
  <c r="F52" i="26"/>
  <c r="D52" i="26"/>
  <c r="I51" i="26"/>
  <c r="O43" i="26"/>
  <c r="N43" i="26"/>
  <c r="H43" i="26"/>
  <c r="I43" i="26" s="1"/>
  <c r="G41" i="26"/>
  <c r="H42" i="26" s="1"/>
  <c r="I42" i="26" s="1"/>
  <c r="M42" i="26" s="1"/>
  <c r="F41" i="26"/>
  <c r="D41" i="26"/>
  <c r="O32" i="26"/>
  <c r="N32" i="26"/>
  <c r="H32" i="26"/>
  <c r="I32" i="26" s="1"/>
  <c r="P32" i="26" s="1"/>
  <c r="I30" i="26"/>
  <c r="G30" i="26"/>
  <c r="H31" i="26" s="1"/>
  <c r="F30" i="26"/>
  <c r="D30" i="26"/>
  <c r="I29" i="26" s="1"/>
  <c r="O21" i="26"/>
  <c r="N21" i="26"/>
  <c r="H21" i="26"/>
  <c r="I21" i="26" s="1"/>
  <c r="P21" i="26" s="1"/>
  <c r="I19" i="26"/>
  <c r="G19" i="26"/>
  <c r="H20" i="26" s="1"/>
  <c r="F19" i="26"/>
  <c r="D19" i="26"/>
  <c r="O15" i="26"/>
  <c r="N15" i="26"/>
  <c r="H15" i="26"/>
  <c r="I15" i="26" s="1"/>
  <c r="P15" i="26" s="1"/>
  <c r="I13" i="26"/>
  <c r="G13" i="26"/>
  <c r="H14" i="26" s="1"/>
  <c r="I14" i="26" s="1"/>
  <c r="M14" i="26" s="1"/>
  <c r="F13" i="26"/>
  <c r="D13" i="26"/>
  <c r="S197" i="25"/>
  <c r="R197" i="25"/>
  <c r="Q197" i="25"/>
  <c r="L197" i="25"/>
  <c r="K197" i="25"/>
  <c r="O195" i="25"/>
  <c r="N195" i="25"/>
  <c r="H195" i="25"/>
  <c r="I195" i="25" s="1"/>
  <c r="I193" i="25"/>
  <c r="G193" i="25"/>
  <c r="F193" i="25"/>
  <c r="D193" i="25"/>
  <c r="H192" i="25" s="1"/>
  <c r="I192" i="25" s="1"/>
  <c r="O190" i="25"/>
  <c r="N190" i="25"/>
  <c r="H190" i="25"/>
  <c r="I190" i="25" s="1"/>
  <c r="P190" i="25" s="1"/>
  <c r="I188" i="25"/>
  <c r="G188" i="25"/>
  <c r="F188" i="25"/>
  <c r="D188" i="25"/>
  <c r="I187" i="25" s="1"/>
  <c r="O185" i="25"/>
  <c r="N185" i="25"/>
  <c r="H185" i="25"/>
  <c r="I185" i="25" s="1"/>
  <c r="P185" i="25" s="1"/>
  <c r="I183" i="25"/>
  <c r="G183" i="25"/>
  <c r="H184" i="25" s="1"/>
  <c r="I184" i="25" s="1"/>
  <c r="M184" i="25" s="1"/>
  <c r="F183" i="25"/>
  <c r="D183" i="25"/>
  <c r="H182" i="25" s="1"/>
  <c r="I182" i="25" s="1"/>
  <c r="O180" i="25"/>
  <c r="N180" i="25"/>
  <c r="H180" i="25"/>
  <c r="I180" i="25" s="1"/>
  <c r="I178" i="25"/>
  <c r="G178" i="25"/>
  <c r="H179" i="25" s="1"/>
  <c r="I179" i="25" s="1"/>
  <c r="M179" i="25" s="1"/>
  <c r="F178" i="25"/>
  <c r="D178" i="25"/>
  <c r="H177" i="25" s="1"/>
  <c r="I177" i="25" s="1"/>
  <c r="O175" i="25"/>
  <c r="N175" i="25"/>
  <c r="H175" i="25"/>
  <c r="I175" i="25" s="1"/>
  <c r="I174" i="25"/>
  <c r="I173" i="25"/>
  <c r="G173" i="25"/>
  <c r="F173" i="25"/>
  <c r="D173" i="25"/>
  <c r="H172" i="25" s="1"/>
  <c r="I172" i="25" s="1"/>
  <c r="O170" i="25"/>
  <c r="N170" i="25"/>
  <c r="H170" i="25"/>
  <c r="I170" i="25" s="1"/>
  <c r="P170" i="25" s="1"/>
  <c r="I169" i="25"/>
  <c r="M169" i="25" s="1"/>
  <c r="I168" i="25"/>
  <c r="G168" i="25"/>
  <c r="F168" i="25"/>
  <c r="D168" i="25"/>
  <c r="H167" i="25" s="1"/>
  <c r="I167" i="25" s="1"/>
  <c r="O164" i="25"/>
  <c r="N164" i="25"/>
  <c r="H164" i="25"/>
  <c r="I164" i="25" s="1"/>
  <c r="I162" i="25"/>
  <c r="G162" i="25"/>
  <c r="H163" i="25" s="1"/>
  <c r="I163" i="25" s="1"/>
  <c r="M163" i="25" s="1"/>
  <c r="F162" i="25"/>
  <c r="D162" i="25"/>
  <c r="H161" i="25" s="1"/>
  <c r="I161" i="25" s="1"/>
  <c r="O158" i="25"/>
  <c r="N158" i="25"/>
  <c r="I158" i="25"/>
  <c r="P158" i="25" s="1"/>
  <c r="H158" i="25"/>
  <c r="G156" i="25"/>
  <c r="H157" i="25" s="1"/>
  <c r="I157" i="25" s="1"/>
  <c r="M157" i="25" s="1"/>
  <c r="F156" i="25"/>
  <c r="D156" i="25"/>
  <c r="I155" i="25" s="1"/>
  <c r="O152" i="25"/>
  <c r="N152" i="25"/>
  <c r="H152" i="25"/>
  <c r="I152" i="25" s="1"/>
  <c r="P152" i="25" s="1"/>
  <c r="H151" i="25"/>
  <c r="I151" i="25" s="1"/>
  <c r="M151" i="25" s="1"/>
  <c r="G150" i="25"/>
  <c r="F150" i="25"/>
  <c r="D150" i="25"/>
  <c r="I149" i="25" s="1"/>
  <c r="O146" i="25"/>
  <c r="N146" i="25"/>
  <c r="I146" i="25"/>
  <c r="P146" i="25" s="1"/>
  <c r="H146" i="25"/>
  <c r="I144" i="25"/>
  <c r="G144" i="25"/>
  <c r="H145" i="25" s="1"/>
  <c r="F144" i="25"/>
  <c r="D144" i="25"/>
  <c r="I143" i="25" s="1"/>
  <c r="O140" i="25"/>
  <c r="N140" i="25"/>
  <c r="H140" i="25"/>
  <c r="I140" i="25" s="1"/>
  <c r="P140" i="25" s="1"/>
  <c r="I138" i="25"/>
  <c r="G138" i="25"/>
  <c r="H139" i="25" s="1"/>
  <c r="F138" i="25"/>
  <c r="D138" i="25"/>
  <c r="I137" i="25" s="1"/>
  <c r="O135" i="25"/>
  <c r="N135" i="25"/>
  <c r="H135" i="25"/>
  <c r="I135" i="25" s="1"/>
  <c r="P135" i="25" s="1"/>
  <c r="G133" i="25"/>
  <c r="H134" i="25" s="1"/>
  <c r="I134" i="25" s="1"/>
  <c r="M134" i="25" s="1"/>
  <c r="F133" i="25"/>
  <c r="H133" i="25" s="1"/>
  <c r="D133" i="25"/>
  <c r="I132" i="25" s="1"/>
  <c r="O130" i="25"/>
  <c r="N130" i="25"/>
  <c r="H130" i="25"/>
  <c r="I130" i="25" s="1"/>
  <c r="G128" i="25"/>
  <c r="H129" i="25" s="1"/>
  <c r="I129" i="25" s="1"/>
  <c r="M129" i="25" s="1"/>
  <c r="F128" i="25"/>
  <c r="H128" i="25" s="1"/>
  <c r="D128" i="25"/>
  <c r="I127" i="25"/>
  <c r="O125" i="25"/>
  <c r="N125" i="25"/>
  <c r="H125" i="25"/>
  <c r="I125" i="25" s="1"/>
  <c r="P125" i="25" s="1"/>
  <c r="I124" i="25"/>
  <c r="M124" i="25" s="1"/>
  <c r="H124" i="25"/>
  <c r="H123" i="25"/>
  <c r="G123" i="25"/>
  <c r="F123" i="25"/>
  <c r="D123" i="25"/>
  <c r="I122" i="25" s="1"/>
  <c r="O120" i="25"/>
  <c r="N120" i="25"/>
  <c r="H120" i="25"/>
  <c r="I120" i="25" s="1"/>
  <c r="P120" i="25" s="1"/>
  <c r="H119" i="25"/>
  <c r="I119" i="25" s="1"/>
  <c r="M119" i="25" s="1"/>
  <c r="H118" i="25"/>
  <c r="I118" i="25" s="1"/>
  <c r="G118" i="25"/>
  <c r="F118" i="25"/>
  <c r="D118" i="25"/>
  <c r="I117" i="25" s="1"/>
  <c r="H116" i="25"/>
  <c r="O115" i="25"/>
  <c r="N115" i="25"/>
  <c r="I115" i="25"/>
  <c r="H115" i="25"/>
  <c r="I113" i="25"/>
  <c r="G113" i="25"/>
  <c r="F113" i="25"/>
  <c r="D113" i="25"/>
  <c r="H111" i="25"/>
  <c r="O110" i="25"/>
  <c r="N110" i="25"/>
  <c r="H110" i="25"/>
  <c r="I110" i="25" s="1"/>
  <c r="P110" i="25" s="1"/>
  <c r="H109" i="25"/>
  <c r="I109" i="25" s="1"/>
  <c r="M109" i="25" s="1"/>
  <c r="I108" i="25"/>
  <c r="G108" i="25"/>
  <c r="F108" i="25"/>
  <c r="D108" i="25"/>
  <c r="I107" i="25" s="1"/>
  <c r="O105" i="25"/>
  <c r="N105" i="25"/>
  <c r="H105" i="25"/>
  <c r="I105" i="25" s="1"/>
  <c r="I103" i="25"/>
  <c r="G103" i="25"/>
  <c r="H104" i="25" s="1"/>
  <c r="F103" i="25"/>
  <c r="D103" i="25"/>
  <c r="I102" i="25" s="1"/>
  <c r="O100" i="25"/>
  <c r="N100" i="25"/>
  <c r="I100" i="25"/>
  <c r="H100" i="25"/>
  <c r="I98" i="25"/>
  <c r="G98" i="25"/>
  <c r="H99" i="25" s="1"/>
  <c r="F98" i="25"/>
  <c r="D98" i="25"/>
  <c r="I97" i="25" s="1"/>
  <c r="O95" i="25"/>
  <c r="N95" i="25"/>
  <c r="I95" i="25"/>
  <c r="H95" i="25"/>
  <c r="I93" i="25"/>
  <c r="G93" i="25"/>
  <c r="H94" i="25" s="1"/>
  <c r="F93" i="25"/>
  <c r="D93" i="25"/>
  <c r="I92" i="25" s="1"/>
  <c r="O87" i="25"/>
  <c r="N87" i="25"/>
  <c r="I87" i="25"/>
  <c r="H87" i="25"/>
  <c r="I85" i="25"/>
  <c r="G85" i="25"/>
  <c r="H86" i="25" s="1"/>
  <c r="F85" i="25"/>
  <c r="D85" i="25"/>
  <c r="I84" i="25" s="1"/>
  <c r="O79" i="25"/>
  <c r="N79" i="25"/>
  <c r="H79" i="25"/>
  <c r="I79" i="25" s="1"/>
  <c r="P79" i="25" s="1"/>
  <c r="H78" i="25"/>
  <c r="I77" i="25"/>
  <c r="G77" i="25"/>
  <c r="F77" i="25"/>
  <c r="D77" i="25"/>
  <c r="I76" i="25" s="1"/>
  <c r="O71" i="25"/>
  <c r="N71" i="25"/>
  <c r="H71" i="25"/>
  <c r="I71" i="25" s="1"/>
  <c r="G69" i="25"/>
  <c r="H70" i="25" s="1"/>
  <c r="I70" i="25" s="1"/>
  <c r="M70" i="25" s="1"/>
  <c r="F69" i="25"/>
  <c r="D69" i="25"/>
  <c r="I68" i="25" s="1"/>
  <c r="O63" i="25"/>
  <c r="N63" i="25"/>
  <c r="H63" i="25"/>
  <c r="I63" i="25" s="1"/>
  <c r="P63" i="25" s="1"/>
  <c r="H62" i="25"/>
  <c r="I62" i="25" s="1"/>
  <c r="M62" i="25" s="1"/>
  <c r="I61" i="25"/>
  <c r="G61" i="25"/>
  <c r="F61" i="25"/>
  <c r="D61" i="25"/>
  <c r="O55" i="25"/>
  <c r="N55" i="25"/>
  <c r="I55" i="25"/>
  <c r="H55" i="25"/>
  <c r="I53" i="25"/>
  <c r="G53" i="25"/>
  <c r="H54" i="25" s="1"/>
  <c r="F53" i="25"/>
  <c r="D53" i="25"/>
  <c r="I52" i="25" s="1"/>
  <c r="O47" i="25"/>
  <c r="N47" i="25"/>
  <c r="H47" i="25"/>
  <c r="I47" i="25" s="1"/>
  <c r="I45" i="25"/>
  <c r="G45" i="25"/>
  <c r="H46" i="25" s="1"/>
  <c r="F45" i="25"/>
  <c r="D45" i="25"/>
  <c r="I44" i="25" s="1"/>
  <c r="O39" i="25"/>
  <c r="N39" i="25"/>
  <c r="H39" i="25"/>
  <c r="I39" i="25" s="1"/>
  <c r="P39" i="25" s="1"/>
  <c r="H38" i="25"/>
  <c r="I38" i="25" s="1"/>
  <c r="M38" i="25" s="1"/>
  <c r="I37" i="25"/>
  <c r="G37" i="25"/>
  <c r="F37" i="25"/>
  <c r="D37" i="25"/>
  <c r="I36" i="25" s="1"/>
  <c r="O31" i="25"/>
  <c r="N31" i="25"/>
  <c r="H31" i="25"/>
  <c r="I31" i="25" s="1"/>
  <c r="I29" i="25"/>
  <c r="G29" i="25"/>
  <c r="H30" i="25" s="1"/>
  <c r="F29" i="25"/>
  <c r="D29" i="25"/>
  <c r="I28" i="25" s="1"/>
  <c r="O23" i="25"/>
  <c r="N23" i="25"/>
  <c r="H23" i="25"/>
  <c r="I23" i="25" s="1"/>
  <c r="I21" i="25"/>
  <c r="G21" i="25"/>
  <c r="H22" i="25" s="1"/>
  <c r="F21" i="25"/>
  <c r="D21" i="25"/>
  <c r="I20" i="25" s="1"/>
  <c r="O15" i="25"/>
  <c r="N15" i="25"/>
  <c r="H15" i="25"/>
  <c r="I15" i="25" s="1"/>
  <c r="P15" i="25" s="1"/>
  <c r="I13" i="25"/>
  <c r="G13" i="25"/>
  <c r="H14" i="25" s="1"/>
  <c r="I14" i="25" s="1"/>
  <c r="M14" i="25" s="1"/>
  <c r="F13" i="25"/>
  <c r="D13" i="25"/>
  <c r="S104" i="24"/>
  <c r="R104" i="24"/>
  <c r="Q104" i="24"/>
  <c r="L104" i="24"/>
  <c r="K104" i="24"/>
  <c r="O101" i="24"/>
  <c r="N101" i="24"/>
  <c r="H101" i="24"/>
  <c r="I101" i="24" s="1"/>
  <c r="I100" i="24"/>
  <c r="M100" i="24" s="1"/>
  <c r="I99" i="24"/>
  <c r="G99" i="24"/>
  <c r="F99" i="24"/>
  <c r="D99" i="24"/>
  <c r="I98" i="24" s="1"/>
  <c r="O67" i="24"/>
  <c r="N67" i="24"/>
  <c r="I67" i="24"/>
  <c r="H67" i="24"/>
  <c r="H68" i="24" s="1"/>
  <c r="I66" i="24"/>
  <c r="M66" i="24" s="1"/>
  <c r="I65" i="24"/>
  <c r="G65" i="24"/>
  <c r="F65" i="24"/>
  <c r="D65" i="24"/>
  <c r="I64" i="24" s="1"/>
  <c r="H59" i="24"/>
  <c r="O58" i="24"/>
  <c r="N58" i="24"/>
  <c r="I58" i="24"/>
  <c r="P58" i="24" s="1"/>
  <c r="H58" i="24"/>
  <c r="I57" i="24"/>
  <c r="M57" i="24" s="1"/>
  <c r="I56" i="24"/>
  <c r="G56" i="24"/>
  <c r="F56" i="24"/>
  <c r="D56" i="24"/>
  <c r="I55" i="24" s="1"/>
  <c r="O50" i="24"/>
  <c r="N50" i="24"/>
  <c r="H50" i="24"/>
  <c r="I50" i="24" s="1"/>
  <c r="P50" i="24" s="1"/>
  <c r="I48" i="24"/>
  <c r="G48" i="24"/>
  <c r="H49" i="24" s="1"/>
  <c r="F48" i="24"/>
  <c r="D48" i="24"/>
  <c r="I47" i="24" s="1"/>
  <c r="O42" i="24"/>
  <c r="N42" i="24"/>
  <c r="H42" i="24"/>
  <c r="I42" i="24" s="1"/>
  <c r="P42" i="24" s="1"/>
  <c r="I41" i="24"/>
  <c r="M41" i="24" s="1"/>
  <c r="I40" i="24"/>
  <c r="G40" i="24"/>
  <c r="F40" i="24"/>
  <c r="D40" i="24"/>
  <c r="I39" i="24" s="1"/>
  <c r="O34" i="24"/>
  <c r="N34" i="24"/>
  <c r="H34" i="24"/>
  <c r="I34" i="24" s="1"/>
  <c r="M33" i="24"/>
  <c r="I33" i="24"/>
  <c r="I32" i="24"/>
  <c r="G32" i="24"/>
  <c r="F32" i="24"/>
  <c r="D32" i="24"/>
  <c r="I31" i="24" s="1"/>
  <c r="O27" i="24"/>
  <c r="N27" i="24"/>
  <c r="H27" i="24"/>
  <c r="I27" i="24" s="1"/>
  <c r="I26" i="24"/>
  <c r="M26" i="24" s="1"/>
  <c r="I25" i="24"/>
  <c r="G25" i="24"/>
  <c r="F25" i="24"/>
  <c r="D25" i="24"/>
  <c r="I24" i="24" s="1"/>
  <c r="O15" i="24"/>
  <c r="N15" i="24"/>
  <c r="H15" i="24"/>
  <c r="I15" i="24" s="1"/>
  <c r="I14" i="24"/>
  <c r="I13" i="24"/>
  <c r="F104" i="24" s="1"/>
  <c r="G13" i="24"/>
  <c r="F13" i="24"/>
  <c r="D13" i="24"/>
  <c r="I12" i="24" s="1"/>
  <c r="S419" i="23"/>
  <c r="R419" i="23"/>
  <c r="Q419" i="23"/>
  <c r="L419" i="23"/>
  <c r="K419" i="23"/>
  <c r="O417" i="23"/>
  <c r="N417" i="23"/>
  <c r="H417" i="23"/>
  <c r="I417" i="23" s="1"/>
  <c r="P417" i="23" s="1"/>
  <c r="I416" i="23"/>
  <c r="M416" i="23" s="1"/>
  <c r="I415" i="23"/>
  <c r="G415" i="23"/>
  <c r="F415" i="23"/>
  <c r="D415" i="23"/>
  <c r="H414" i="23" s="1"/>
  <c r="I414" i="23" s="1"/>
  <c r="O412" i="23"/>
  <c r="N412" i="23"/>
  <c r="H412" i="23"/>
  <c r="I412" i="23" s="1"/>
  <c r="P412" i="23" s="1"/>
  <c r="I411" i="23"/>
  <c r="M411" i="23" s="1"/>
  <c r="I410" i="23"/>
  <c r="G410" i="23"/>
  <c r="F410" i="23"/>
  <c r="D410" i="23"/>
  <c r="I409" i="23" s="1"/>
  <c r="O407" i="23"/>
  <c r="N407" i="23"/>
  <c r="H407" i="23"/>
  <c r="H408" i="23" s="1"/>
  <c r="I406" i="23"/>
  <c r="M406" i="23" s="1"/>
  <c r="I405" i="23"/>
  <c r="G405" i="23"/>
  <c r="F405" i="23"/>
  <c r="D405" i="23"/>
  <c r="I404" i="23" s="1"/>
  <c r="O402" i="23"/>
  <c r="N402" i="23"/>
  <c r="H402" i="23"/>
  <c r="I402" i="23" s="1"/>
  <c r="P402" i="23" s="1"/>
  <c r="I400" i="23"/>
  <c r="G400" i="23"/>
  <c r="H401" i="23" s="1"/>
  <c r="I401" i="23" s="1"/>
  <c r="M401" i="23" s="1"/>
  <c r="F400" i="23"/>
  <c r="D400" i="23"/>
  <c r="H399" i="23" s="1"/>
  <c r="I399" i="23" s="1"/>
  <c r="O397" i="23"/>
  <c r="N397" i="23"/>
  <c r="H397" i="23"/>
  <c r="I397" i="23" s="1"/>
  <c r="P397" i="23" s="1"/>
  <c r="H396" i="23"/>
  <c r="I396" i="23" s="1"/>
  <c r="M396" i="23" s="1"/>
  <c r="I395" i="23"/>
  <c r="G395" i="23"/>
  <c r="F395" i="23"/>
  <c r="D395" i="23"/>
  <c r="H394" i="23" s="1"/>
  <c r="I394" i="23" s="1"/>
  <c r="O392" i="23"/>
  <c r="N392" i="23"/>
  <c r="H392" i="23"/>
  <c r="I392" i="23" s="1"/>
  <c r="I390" i="23"/>
  <c r="G390" i="23"/>
  <c r="H391" i="23" s="1"/>
  <c r="I391" i="23" s="1"/>
  <c r="M391" i="23" s="1"/>
  <c r="F390" i="23"/>
  <c r="D390" i="23"/>
  <c r="H389" i="23" s="1"/>
  <c r="I389" i="23" s="1"/>
  <c r="O387" i="23"/>
  <c r="N387" i="23"/>
  <c r="H387" i="23"/>
  <c r="I387" i="23" s="1"/>
  <c r="I386" i="23"/>
  <c r="M386" i="23" s="1"/>
  <c r="I385" i="23"/>
  <c r="G385" i="23"/>
  <c r="F385" i="23"/>
  <c r="D385" i="23"/>
  <c r="H384" i="23" s="1"/>
  <c r="I384" i="23" s="1"/>
  <c r="O382" i="23"/>
  <c r="N382" i="23"/>
  <c r="H382" i="23"/>
  <c r="I382" i="23" s="1"/>
  <c r="I381" i="23"/>
  <c r="M381" i="23" s="1"/>
  <c r="I380" i="23"/>
  <c r="G380" i="23"/>
  <c r="F380" i="23"/>
  <c r="D380" i="23"/>
  <c r="H379" i="23" s="1"/>
  <c r="I379" i="23" s="1"/>
  <c r="O377" i="23"/>
  <c r="N377" i="23"/>
  <c r="H377" i="23"/>
  <c r="I377" i="23" s="1"/>
  <c r="P377" i="23" s="1"/>
  <c r="I376" i="23"/>
  <c r="M376" i="23" s="1"/>
  <c r="I375" i="23"/>
  <c r="G375" i="23"/>
  <c r="F375" i="23"/>
  <c r="D375" i="23"/>
  <c r="H374" i="23" s="1"/>
  <c r="I374" i="23" s="1"/>
  <c r="O371" i="23"/>
  <c r="N371" i="23"/>
  <c r="H371" i="23"/>
  <c r="I371" i="23" s="1"/>
  <c r="H370" i="23"/>
  <c r="I370" i="23" s="1"/>
  <c r="M370" i="23" s="1"/>
  <c r="I369" i="23"/>
  <c r="G369" i="23"/>
  <c r="F369" i="23"/>
  <c r="D369" i="23"/>
  <c r="H368" i="23" s="1"/>
  <c r="I368" i="23" s="1"/>
  <c r="O365" i="23"/>
  <c r="N365" i="23"/>
  <c r="H365" i="23"/>
  <c r="I365" i="23" s="1"/>
  <c r="I363" i="23"/>
  <c r="G363" i="23"/>
  <c r="H364" i="23" s="1"/>
  <c r="I364" i="23" s="1"/>
  <c r="M364" i="23" s="1"/>
  <c r="F363" i="23"/>
  <c r="D363" i="23"/>
  <c r="H362" i="23" s="1"/>
  <c r="I362" i="23" s="1"/>
  <c r="O359" i="23"/>
  <c r="N359" i="23"/>
  <c r="H359" i="23"/>
  <c r="H360" i="23" s="1"/>
  <c r="I358" i="23"/>
  <c r="M358" i="23" s="1"/>
  <c r="I357" i="23"/>
  <c r="G357" i="23"/>
  <c r="F357" i="23"/>
  <c r="D357" i="23"/>
  <c r="I356" i="23" s="1"/>
  <c r="O351" i="23"/>
  <c r="N351" i="23"/>
  <c r="H351" i="23"/>
  <c r="H352" i="23" s="1"/>
  <c r="I350" i="23"/>
  <c r="M350" i="23" s="1"/>
  <c r="I349" i="23"/>
  <c r="G349" i="23"/>
  <c r="F349" i="23"/>
  <c r="D349" i="23"/>
  <c r="I348" i="23" s="1"/>
  <c r="O346" i="23"/>
  <c r="N346" i="23"/>
  <c r="H346" i="23"/>
  <c r="I346" i="23" s="1"/>
  <c r="G344" i="23"/>
  <c r="H345" i="23" s="1"/>
  <c r="I345" i="23" s="1"/>
  <c r="M345" i="23" s="1"/>
  <c r="F344" i="23"/>
  <c r="H344" i="23" s="1"/>
  <c r="D344" i="23"/>
  <c r="I343" i="23" s="1"/>
  <c r="O341" i="23"/>
  <c r="N341" i="23"/>
  <c r="H341" i="23"/>
  <c r="I341" i="23" s="1"/>
  <c r="G339" i="23"/>
  <c r="H340" i="23" s="1"/>
  <c r="I340" i="23" s="1"/>
  <c r="M340" i="23" s="1"/>
  <c r="F339" i="23"/>
  <c r="H339" i="23" s="1"/>
  <c r="I339" i="23" s="1"/>
  <c r="D339" i="23"/>
  <c r="I338" i="23" s="1"/>
  <c r="O336" i="23"/>
  <c r="N336" i="23"/>
  <c r="H336" i="23"/>
  <c r="I336" i="23" s="1"/>
  <c r="P336" i="23" s="1"/>
  <c r="G334" i="23"/>
  <c r="H335" i="23" s="1"/>
  <c r="I335" i="23" s="1"/>
  <c r="M335" i="23" s="1"/>
  <c r="F334" i="23"/>
  <c r="H334" i="23" s="1"/>
  <c r="D334" i="23"/>
  <c r="I333" i="23" s="1"/>
  <c r="O331" i="23"/>
  <c r="N331" i="23"/>
  <c r="H331" i="23"/>
  <c r="I331" i="23" s="1"/>
  <c r="P331" i="23" s="1"/>
  <c r="G329" i="23"/>
  <c r="H330" i="23" s="1"/>
  <c r="I330" i="23" s="1"/>
  <c r="M330" i="23" s="1"/>
  <c r="F329" i="23"/>
  <c r="H329" i="23" s="1"/>
  <c r="D329" i="23"/>
  <c r="I328" i="23" s="1"/>
  <c r="O326" i="23"/>
  <c r="N326" i="23"/>
  <c r="H326" i="23"/>
  <c r="I326" i="23" s="1"/>
  <c r="H325" i="23"/>
  <c r="I325" i="23" s="1"/>
  <c r="M325" i="23" s="1"/>
  <c r="G324" i="23"/>
  <c r="F324" i="23"/>
  <c r="H324" i="23" s="1"/>
  <c r="D324" i="23"/>
  <c r="I323" i="23" s="1"/>
  <c r="O321" i="23"/>
  <c r="N321" i="23"/>
  <c r="H321" i="23"/>
  <c r="I321" i="23" s="1"/>
  <c r="P321" i="23" s="1"/>
  <c r="H319" i="23"/>
  <c r="I319" i="23" s="1"/>
  <c r="G319" i="23"/>
  <c r="H320" i="23" s="1"/>
  <c r="I320" i="23" s="1"/>
  <c r="M320" i="23" s="1"/>
  <c r="F319" i="23"/>
  <c r="D319" i="23"/>
  <c r="I318" i="23" s="1"/>
  <c r="O316" i="23"/>
  <c r="N316" i="23"/>
  <c r="H316" i="23"/>
  <c r="I316" i="23" s="1"/>
  <c r="G314" i="23"/>
  <c r="H315" i="23" s="1"/>
  <c r="I315" i="23" s="1"/>
  <c r="M315" i="23" s="1"/>
  <c r="F314" i="23"/>
  <c r="H314" i="23" s="1"/>
  <c r="D314" i="23"/>
  <c r="I313" i="23" s="1"/>
  <c r="O311" i="23"/>
  <c r="N311" i="23"/>
  <c r="I311" i="23"/>
  <c r="P311" i="23" s="1"/>
  <c r="H311" i="23"/>
  <c r="G309" i="23"/>
  <c r="H310" i="23" s="1"/>
  <c r="I310" i="23" s="1"/>
  <c r="M310" i="23" s="1"/>
  <c r="F309" i="23"/>
  <c r="H309" i="23" s="1"/>
  <c r="D309" i="23"/>
  <c r="I308" i="23" s="1"/>
  <c r="O306" i="23"/>
  <c r="N306" i="23"/>
  <c r="I306" i="23"/>
  <c r="H306" i="23"/>
  <c r="G304" i="23"/>
  <c r="H305" i="23" s="1"/>
  <c r="I305" i="23" s="1"/>
  <c r="M305" i="23" s="1"/>
  <c r="F304" i="23"/>
  <c r="H304" i="23" s="1"/>
  <c r="I304" i="23" s="1"/>
  <c r="D304" i="23"/>
  <c r="I303" i="23" s="1"/>
  <c r="O300" i="23"/>
  <c r="N300" i="23"/>
  <c r="H300" i="23"/>
  <c r="I300" i="23" s="1"/>
  <c r="H299" i="23"/>
  <c r="I299" i="23" s="1"/>
  <c r="M299" i="23" s="1"/>
  <c r="I298" i="23"/>
  <c r="G298" i="23"/>
  <c r="F298" i="23"/>
  <c r="D298" i="23"/>
  <c r="H297" i="23" s="1"/>
  <c r="I297" i="23" s="1"/>
  <c r="O293" i="23"/>
  <c r="N293" i="23"/>
  <c r="H293" i="23"/>
  <c r="I293" i="23" s="1"/>
  <c r="P293" i="23" s="1"/>
  <c r="I291" i="23"/>
  <c r="G291" i="23"/>
  <c r="H292" i="23" s="1"/>
  <c r="F291" i="23"/>
  <c r="D291" i="23"/>
  <c r="I290" i="23" s="1"/>
  <c r="O286" i="23"/>
  <c r="N286" i="23"/>
  <c r="H286" i="23"/>
  <c r="I286" i="23" s="1"/>
  <c r="P286" i="23" s="1"/>
  <c r="I284" i="23"/>
  <c r="G284" i="23"/>
  <c r="H285" i="23" s="1"/>
  <c r="F284" i="23"/>
  <c r="D284" i="23"/>
  <c r="I283" i="23" s="1"/>
  <c r="O279" i="23"/>
  <c r="N279" i="23"/>
  <c r="H279" i="23"/>
  <c r="I279" i="23" s="1"/>
  <c r="I277" i="23"/>
  <c r="G277" i="23"/>
  <c r="H278" i="23" s="1"/>
  <c r="F277" i="23"/>
  <c r="D277" i="23"/>
  <c r="I276" i="23" s="1"/>
  <c r="O272" i="23"/>
  <c r="N272" i="23"/>
  <c r="H272" i="23"/>
  <c r="I272" i="23" s="1"/>
  <c r="P272" i="23" s="1"/>
  <c r="I270" i="23"/>
  <c r="G270" i="23"/>
  <c r="H271" i="23" s="1"/>
  <c r="F270" i="23"/>
  <c r="D270" i="23"/>
  <c r="I269" i="23" s="1"/>
  <c r="O265" i="23"/>
  <c r="N265" i="23"/>
  <c r="H265" i="23"/>
  <c r="I265" i="23" s="1"/>
  <c r="P265" i="23" s="1"/>
  <c r="I263" i="23"/>
  <c r="G263" i="23"/>
  <c r="H264" i="23" s="1"/>
  <c r="F263" i="23"/>
  <c r="D263" i="23"/>
  <c r="I262" i="23" s="1"/>
  <c r="O258" i="23"/>
  <c r="N258" i="23"/>
  <c r="I258" i="23"/>
  <c r="P258" i="23" s="1"/>
  <c r="H258" i="23"/>
  <c r="I256" i="23"/>
  <c r="G256" i="23"/>
  <c r="H257" i="23" s="1"/>
  <c r="F256" i="23"/>
  <c r="D256" i="23"/>
  <c r="I255" i="23" s="1"/>
  <c r="O251" i="23"/>
  <c r="N251" i="23"/>
  <c r="I251" i="23"/>
  <c r="I249" i="23"/>
  <c r="G249" i="23"/>
  <c r="H250" i="23" s="1"/>
  <c r="F249" i="23"/>
  <c r="D249" i="23"/>
  <c r="I248" i="23"/>
  <c r="O244" i="23"/>
  <c r="N244" i="23"/>
  <c r="H244" i="23"/>
  <c r="I244" i="23" s="1"/>
  <c r="I242" i="23"/>
  <c r="G242" i="23"/>
  <c r="H243" i="23" s="1"/>
  <c r="F242" i="23"/>
  <c r="D242" i="23"/>
  <c r="I241" i="23"/>
  <c r="O237" i="23"/>
  <c r="N237" i="23"/>
  <c r="I237" i="23"/>
  <c r="P237" i="23" s="1"/>
  <c r="H237" i="23"/>
  <c r="I235" i="23"/>
  <c r="G235" i="23"/>
  <c r="H236" i="23" s="1"/>
  <c r="F235" i="23"/>
  <c r="D235" i="23"/>
  <c r="I234" i="23" s="1"/>
  <c r="O232" i="23"/>
  <c r="N232" i="23"/>
  <c r="H232" i="23"/>
  <c r="I232" i="23" s="1"/>
  <c r="I230" i="23"/>
  <c r="G230" i="23"/>
  <c r="H231" i="23" s="1"/>
  <c r="F230" i="23"/>
  <c r="D230" i="23"/>
  <c r="I229" i="23" s="1"/>
  <c r="O227" i="23"/>
  <c r="N227" i="23"/>
  <c r="H227" i="23"/>
  <c r="I227" i="23" s="1"/>
  <c r="I225" i="23"/>
  <c r="G225" i="23"/>
  <c r="H226" i="23" s="1"/>
  <c r="H228" i="23" s="1"/>
  <c r="F225" i="23"/>
  <c r="D225" i="23"/>
  <c r="I224" i="23" s="1"/>
  <c r="O222" i="23"/>
  <c r="N222" i="23"/>
  <c r="H222" i="23"/>
  <c r="I222" i="23" s="1"/>
  <c r="P222" i="23" s="1"/>
  <c r="H221" i="23"/>
  <c r="I220" i="23"/>
  <c r="G220" i="23"/>
  <c r="F220" i="23"/>
  <c r="D220" i="23"/>
  <c r="I219" i="23" s="1"/>
  <c r="O217" i="23"/>
  <c r="N217" i="23"/>
  <c r="H217" i="23"/>
  <c r="I217" i="23" s="1"/>
  <c r="I215" i="23"/>
  <c r="G215" i="23"/>
  <c r="H216" i="23" s="1"/>
  <c r="F215" i="23"/>
  <c r="D215" i="23"/>
  <c r="I214" i="23" s="1"/>
  <c r="O212" i="23"/>
  <c r="N212" i="23"/>
  <c r="H212" i="23"/>
  <c r="H213" i="23" s="1"/>
  <c r="I211" i="23"/>
  <c r="M211" i="23" s="1"/>
  <c r="I210" i="23"/>
  <c r="G210" i="23"/>
  <c r="F210" i="23"/>
  <c r="D210" i="23"/>
  <c r="I209" i="23" s="1"/>
  <c r="O207" i="23"/>
  <c r="N207" i="23"/>
  <c r="H207" i="23"/>
  <c r="I207" i="23" s="1"/>
  <c r="I206" i="23"/>
  <c r="I205" i="23"/>
  <c r="G205" i="23"/>
  <c r="F205" i="23"/>
  <c r="D205" i="23"/>
  <c r="I204" i="23" s="1"/>
  <c r="O201" i="23"/>
  <c r="N201" i="23"/>
  <c r="H201" i="23"/>
  <c r="I201" i="23" s="1"/>
  <c r="P201" i="23" s="1"/>
  <c r="I199" i="23"/>
  <c r="G199" i="23"/>
  <c r="H200" i="23" s="1"/>
  <c r="F199" i="23"/>
  <c r="D199" i="23"/>
  <c r="I198" i="23" s="1"/>
  <c r="O195" i="23"/>
  <c r="N195" i="23"/>
  <c r="H195" i="23"/>
  <c r="I195" i="23" s="1"/>
  <c r="P195" i="23" s="1"/>
  <c r="I193" i="23"/>
  <c r="G193" i="23"/>
  <c r="H194" i="23" s="1"/>
  <c r="H196" i="23" s="1"/>
  <c r="F193" i="23"/>
  <c r="D193" i="23"/>
  <c r="I192" i="23" s="1"/>
  <c r="O189" i="23"/>
  <c r="N189" i="23"/>
  <c r="H189" i="23"/>
  <c r="H190" i="23" s="1"/>
  <c r="H188" i="23"/>
  <c r="I188" i="23" s="1"/>
  <c r="M188" i="23" s="1"/>
  <c r="I187" i="23"/>
  <c r="G187" i="23"/>
  <c r="F187" i="23"/>
  <c r="D187" i="23"/>
  <c r="I186" i="23" s="1"/>
  <c r="O183" i="23"/>
  <c r="N183" i="23"/>
  <c r="H183" i="23"/>
  <c r="I183" i="23" s="1"/>
  <c r="I182" i="23"/>
  <c r="M182" i="23" s="1"/>
  <c r="H182" i="23"/>
  <c r="H184" i="23" s="1"/>
  <c r="I181" i="23"/>
  <c r="G181" i="23"/>
  <c r="F181" i="23"/>
  <c r="D181" i="23"/>
  <c r="I180" i="23" s="1"/>
  <c r="O178" i="23"/>
  <c r="N178" i="23"/>
  <c r="H178" i="23"/>
  <c r="I178" i="23" s="1"/>
  <c r="P178" i="23" s="1"/>
  <c r="I176" i="23"/>
  <c r="G176" i="23"/>
  <c r="H177" i="23" s="1"/>
  <c r="F176" i="23"/>
  <c r="D176" i="23"/>
  <c r="I175" i="23" s="1"/>
  <c r="O173" i="23"/>
  <c r="N173" i="23"/>
  <c r="H173" i="23"/>
  <c r="I173" i="23" s="1"/>
  <c r="I171" i="23"/>
  <c r="G171" i="23"/>
  <c r="H172" i="23" s="1"/>
  <c r="F171" i="23"/>
  <c r="D171" i="23"/>
  <c r="I170" i="23" s="1"/>
  <c r="O168" i="23"/>
  <c r="N168" i="23"/>
  <c r="H168" i="23"/>
  <c r="I168" i="23" s="1"/>
  <c r="P168" i="23" s="1"/>
  <c r="I166" i="23"/>
  <c r="G166" i="23"/>
  <c r="H167" i="23" s="1"/>
  <c r="F166" i="23"/>
  <c r="D166" i="23"/>
  <c r="I165" i="23" s="1"/>
  <c r="O163" i="23"/>
  <c r="N163" i="23"/>
  <c r="H163" i="23"/>
  <c r="I163" i="23" s="1"/>
  <c r="I161" i="23"/>
  <c r="G161" i="23"/>
  <c r="H162" i="23" s="1"/>
  <c r="F161" i="23"/>
  <c r="D161" i="23"/>
  <c r="I160" i="23" s="1"/>
  <c r="O158" i="23"/>
  <c r="N158" i="23"/>
  <c r="H158" i="23"/>
  <c r="I158" i="23" s="1"/>
  <c r="P158" i="23" s="1"/>
  <c r="H157" i="23"/>
  <c r="I156" i="23"/>
  <c r="G156" i="23"/>
  <c r="F156" i="23"/>
  <c r="D156" i="23"/>
  <c r="I155" i="23" s="1"/>
  <c r="O153" i="23"/>
  <c r="N153" i="23"/>
  <c r="H153" i="23"/>
  <c r="I153" i="23" s="1"/>
  <c r="I151" i="23"/>
  <c r="G151" i="23"/>
  <c r="H152" i="23" s="1"/>
  <c r="F151" i="23"/>
  <c r="D151" i="23"/>
  <c r="I150" i="23" s="1"/>
  <c r="O148" i="23"/>
  <c r="N148" i="23"/>
  <c r="H148" i="23"/>
  <c r="I148" i="23" s="1"/>
  <c r="I146" i="23"/>
  <c r="G146" i="23"/>
  <c r="H147" i="23" s="1"/>
  <c r="F146" i="23"/>
  <c r="D146" i="23"/>
  <c r="I145" i="23" s="1"/>
  <c r="O143" i="23"/>
  <c r="N143" i="23"/>
  <c r="H143" i="23"/>
  <c r="I143" i="23" s="1"/>
  <c r="P143" i="23" s="1"/>
  <c r="I141" i="23"/>
  <c r="G141" i="23"/>
  <c r="H142" i="23" s="1"/>
  <c r="F141" i="23"/>
  <c r="D141" i="23"/>
  <c r="I140" i="23"/>
  <c r="O137" i="23"/>
  <c r="N137" i="23"/>
  <c r="H137" i="23"/>
  <c r="I137" i="23" s="1"/>
  <c r="P137" i="23" s="1"/>
  <c r="H136" i="23"/>
  <c r="H138" i="23" s="1"/>
  <c r="I135" i="23"/>
  <c r="G135" i="23"/>
  <c r="F135" i="23"/>
  <c r="D135" i="23"/>
  <c r="I134" i="23" s="1"/>
  <c r="O131" i="23"/>
  <c r="N131" i="23"/>
  <c r="H131" i="23"/>
  <c r="I131" i="23" s="1"/>
  <c r="I129" i="23"/>
  <c r="G129" i="23"/>
  <c r="H130" i="23" s="1"/>
  <c r="F129" i="23"/>
  <c r="D129" i="23"/>
  <c r="I128" i="23" s="1"/>
  <c r="O125" i="23"/>
  <c r="N125" i="23"/>
  <c r="H125" i="23"/>
  <c r="I125" i="23" s="1"/>
  <c r="I123" i="23"/>
  <c r="G123" i="23"/>
  <c r="H124" i="23" s="1"/>
  <c r="F123" i="23"/>
  <c r="D123" i="23"/>
  <c r="I122" i="23" s="1"/>
  <c r="O119" i="23"/>
  <c r="N119" i="23"/>
  <c r="H119" i="23"/>
  <c r="I119" i="23" s="1"/>
  <c r="P119" i="23" s="1"/>
  <c r="I117" i="23"/>
  <c r="G117" i="23"/>
  <c r="H118" i="23" s="1"/>
  <c r="F117" i="23"/>
  <c r="D117" i="23"/>
  <c r="I116" i="23" s="1"/>
  <c r="O113" i="23"/>
  <c r="N113" i="23"/>
  <c r="H113" i="23"/>
  <c r="I113" i="23" s="1"/>
  <c r="P113" i="23" s="1"/>
  <c r="I111" i="23"/>
  <c r="G111" i="23"/>
  <c r="H112" i="23" s="1"/>
  <c r="H114" i="23" s="1"/>
  <c r="F111" i="23"/>
  <c r="D111" i="23"/>
  <c r="I110" i="23" s="1"/>
  <c r="O107" i="23"/>
  <c r="N107" i="23"/>
  <c r="H107" i="23"/>
  <c r="I107" i="23" s="1"/>
  <c r="P107" i="23" s="1"/>
  <c r="H106" i="23"/>
  <c r="I105" i="23"/>
  <c r="G105" i="23"/>
  <c r="F105" i="23"/>
  <c r="D105" i="23"/>
  <c r="I104" i="23"/>
  <c r="O101" i="23"/>
  <c r="N101" i="23"/>
  <c r="H101" i="23"/>
  <c r="I101" i="23" s="1"/>
  <c r="P101" i="23" s="1"/>
  <c r="I99" i="23"/>
  <c r="G99" i="23"/>
  <c r="H100" i="23" s="1"/>
  <c r="F99" i="23"/>
  <c r="D99" i="23"/>
  <c r="I98" i="23" s="1"/>
  <c r="O95" i="23"/>
  <c r="N95" i="23"/>
  <c r="H95" i="23"/>
  <c r="I95" i="23" s="1"/>
  <c r="P95" i="23" s="1"/>
  <c r="I93" i="23"/>
  <c r="G93" i="23"/>
  <c r="H94" i="23" s="1"/>
  <c r="F93" i="23"/>
  <c r="D93" i="23"/>
  <c r="I92" i="23" s="1"/>
  <c r="O89" i="23"/>
  <c r="N89" i="23"/>
  <c r="I89" i="23"/>
  <c r="P89" i="23" s="1"/>
  <c r="H89" i="23"/>
  <c r="I87" i="23"/>
  <c r="G87" i="23"/>
  <c r="H88" i="23" s="1"/>
  <c r="F87" i="23"/>
  <c r="D87" i="23"/>
  <c r="I86" i="23" s="1"/>
  <c r="O83" i="23"/>
  <c r="N83" i="23"/>
  <c r="H83" i="23"/>
  <c r="I83" i="23" s="1"/>
  <c r="I81" i="23"/>
  <c r="G81" i="23"/>
  <c r="H82" i="23" s="1"/>
  <c r="F81" i="23"/>
  <c r="D81" i="23"/>
  <c r="I80" i="23" s="1"/>
  <c r="O78" i="23"/>
  <c r="N78" i="23"/>
  <c r="H78" i="23"/>
  <c r="I78" i="23" s="1"/>
  <c r="P78" i="23" s="1"/>
  <c r="I76" i="23"/>
  <c r="G76" i="23"/>
  <c r="H77" i="23" s="1"/>
  <c r="F76" i="23"/>
  <c r="D76" i="23"/>
  <c r="I75" i="23"/>
  <c r="O73" i="23"/>
  <c r="N73" i="23"/>
  <c r="H73" i="23"/>
  <c r="I73" i="23" s="1"/>
  <c r="P73" i="23" s="1"/>
  <c r="I71" i="23"/>
  <c r="G71" i="23"/>
  <c r="H72" i="23" s="1"/>
  <c r="F71" i="23"/>
  <c r="D71" i="23"/>
  <c r="I70" i="23"/>
  <c r="O68" i="23"/>
  <c r="N68" i="23"/>
  <c r="I68" i="23"/>
  <c r="H68" i="23"/>
  <c r="I66" i="23"/>
  <c r="G66" i="23"/>
  <c r="H67" i="23" s="1"/>
  <c r="F66" i="23"/>
  <c r="D66" i="23"/>
  <c r="I65" i="23" s="1"/>
  <c r="O60" i="23"/>
  <c r="N60" i="23"/>
  <c r="H60" i="23"/>
  <c r="I60" i="23" s="1"/>
  <c r="P60" i="23" s="1"/>
  <c r="H59" i="23"/>
  <c r="H61" i="23" s="1"/>
  <c r="I58" i="23"/>
  <c r="G58" i="23"/>
  <c r="F58" i="23"/>
  <c r="D58" i="23"/>
  <c r="I57" i="23"/>
  <c r="O55" i="23"/>
  <c r="N55" i="23"/>
  <c r="H55" i="23"/>
  <c r="I55" i="23" s="1"/>
  <c r="I53" i="23"/>
  <c r="G53" i="23"/>
  <c r="H54" i="23" s="1"/>
  <c r="F53" i="23"/>
  <c r="D53" i="23"/>
  <c r="I52" i="23" s="1"/>
  <c r="O50" i="23"/>
  <c r="N50" i="23"/>
  <c r="H50" i="23"/>
  <c r="I50" i="23" s="1"/>
  <c r="P50" i="23" s="1"/>
  <c r="I48" i="23"/>
  <c r="G48" i="23"/>
  <c r="H49" i="23" s="1"/>
  <c r="F48" i="23"/>
  <c r="D48" i="23"/>
  <c r="I47" i="23" s="1"/>
  <c r="O45" i="23"/>
  <c r="N45" i="23"/>
  <c r="H45" i="23"/>
  <c r="I45" i="23" s="1"/>
  <c r="P45" i="23" s="1"/>
  <c r="I43" i="23"/>
  <c r="G43" i="23"/>
  <c r="H44" i="23" s="1"/>
  <c r="F43" i="23"/>
  <c r="D43" i="23"/>
  <c r="I42" i="23"/>
  <c r="O40" i="23"/>
  <c r="N40" i="23"/>
  <c r="H40" i="23"/>
  <c r="I40" i="23" s="1"/>
  <c r="I38" i="23"/>
  <c r="G38" i="23"/>
  <c r="H39" i="23" s="1"/>
  <c r="F38" i="23"/>
  <c r="D38" i="23"/>
  <c r="I37" i="23"/>
  <c r="O35" i="23"/>
  <c r="N35" i="23"/>
  <c r="I35" i="23"/>
  <c r="H35" i="23"/>
  <c r="I33" i="23"/>
  <c r="G33" i="23"/>
  <c r="H34" i="23" s="1"/>
  <c r="F33" i="23"/>
  <c r="D33" i="23"/>
  <c r="I32" i="23"/>
  <c r="O30" i="23"/>
  <c r="N30" i="23"/>
  <c r="H30" i="23"/>
  <c r="I30" i="23" s="1"/>
  <c r="I28" i="23"/>
  <c r="G28" i="23"/>
  <c r="H29" i="23" s="1"/>
  <c r="F28" i="23"/>
  <c r="D28" i="23"/>
  <c r="I27" i="23" s="1"/>
  <c r="O25" i="23"/>
  <c r="N25" i="23"/>
  <c r="H25" i="23"/>
  <c r="I25" i="23" s="1"/>
  <c r="I23" i="23"/>
  <c r="G23" i="23"/>
  <c r="H24" i="23" s="1"/>
  <c r="F23" i="23"/>
  <c r="D23" i="23"/>
  <c r="I22" i="23"/>
  <c r="O20" i="23"/>
  <c r="N20" i="23"/>
  <c r="H20" i="23"/>
  <c r="I20" i="23" s="1"/>
  <c r="P20" i="23" s="1"/>
  <c r="I18" i="23"/>
  <c r="G18" i="23"/>
  <c r="H19" i="23" s="1"/>
  <c r="F18" i="23"/>
  <c r="D18" i="23"/>
  <c r="I17" i="23"/>
  <c r="O15" i="23"/>
  <c r="N15" i="23"/>
  <c r="H15" i="23"/>
  <c r="I15" i="23" s="1"/>
  <c r="I13" i="23"/>
  <c r="G13" i="23"/>
  <c r="H14" i="23" s="1"/>
  <c r="F13" i="23"/>
  <c r="D13" i="23"/>
  <c r="I12" i="23"/>
  <c r="S489" i="22"/>
  <c r="R489" i="22"/>
  <c r="Q489" i="22"/>
  <c r="L489" i="22"/>
  <c r="K489" i="22"/>
  <c r="O487" i="22"/>
  <c r="N487" i="22"/>
  <c r="H487" i="22"/>
  <c r="I487" i="22" s="1"/>
  <c r="P487" i="22" s="1"/>
  <c r="H486" i="22"/>
  <c r="I486" i="22" s="1"/>
  <c r="M486" i="22" s="1"/>
  <c r="I485" i="22"/>
  <c r="G485" i="22"/>
  <c r="F485" i="22"/>
  <c r="D485" i="22"/>
  <c r="I484" i="22" s="1"/>
  <c r="O482" i="22"/>
  <c r="N482" i="22"/>
  <c r="H482" i="22"/>
  <c r="I482" i="22" s="1"/>
  <c r="P482" i="22" s="1"/>
  <c r="H481" i="22"/>
  <c r="I481" i="22" s="1"/>
  <c r="M481" i="22" s="1"/>
  <c r="G480" i="22"/>
  <c r="F480" i="22"/>
  <c r="D480" i="22"/>
  <c r="I479" i="22" s="1"/>
  <c r="O477" i="22"/>
  <c r="N477" i="22"/>
  <c r="H477" i="22"/>
  <c r="I477" i="22" s="1"/>
  <c r="P477" i="22" s="1"/>
  <c r="I476" i="22"/>
  <c r="M476" i="22" s="1"/>
  <c r="H476" i="22"/>
  <c r="H478" i="22" s="1"/>
  <c r="I475" i="22"/>
  <c r="G475" i="22"/>
  <c r="F475" i="22"/>
  <c r="D475" i="22"/>
  <c r="I474" i="22" s="1"/>
  <c r="O472" i="22"/>
  <c r="N472" i="22"/>
  <c r="H472" i="22"/>
  <c r="I472" i="22" s="1"/>
  <c r="P472" i="22" s="1"/>
  <c r="G470" i="22"/>
  <c r="H471" i="22" s="1"/>
  <c r="F470" i="22"/>
  <c r="D470" i="22"/>
  <c r="I469" i="22" s="1"/>
  <c r="O467" i="22"/>
  <c r="N467" i="22"/>
  <c r="H467" i="22"/>
  <c r="I467" i="22" s="1"/>
  <c r="P467" i="22" s="1"/>
  <c r="I466" i="22"/>
  <c r="M466" i="22" s="1"/>
  <c r="H466" i="22"/>
  <c r="I465" i="22"/>
  <c r="G465" i="22"/>
  <c r="F465" i="22"/>
  <c r="D465" i="22"/>
  <c r="O462" i="22"/>
  <c r="N462" i="22"/>
  <c r="H462" i="22"/>
  <c r="I462" i="22" s="1"/>
  <c r="P462" i="22" s="1"/>
  <c r="G460" i="22"/>
  <c r="H461" i="22" s="1"/>
  <c r="I461" i="22" s="1"/>
  <c r="M461" i="22" s="1"/>
  <c r="F460" i="22"/>
  <c r="D460" i="22"/>
  <c r="O457" i="22"/>
  <c r="P457" i="22" s="1"/>
  <c r="N457" i="22"/>
  <c r="I457" i="22"/>
  <c r="H457" i="22"/>
  <c r="I455" i="22"/>
  <c r="G455" i="22"/>
  <c r="H456" i="22" s="1"/>
  <c r="I456" i="22" s="1"/>
  <c r="M456" i="22" s="1"/>
  <c r="F455" i="22"/>
  <c r="D455" i="22"/>
  <c r="I454" i="22"/>
  <c r="O452" i="22"/>
  <c r="N452" i="22"/>
  <c r="H452" i="22"/>
  <c r="I452" i="22" s="1"/>
  <c r="P452" i="22" s="1"/>
  <c r="I450" i="22"/>
  <c r="G450" i="22"/>
  <c r="H451" i="22" s="1"/>
  <c r="F450" i="22"/>
  <c r="D450" i="22"/>
  <c r="I449" i="22" s="1"/>
  <c r="P447" i="22"/>
  <c r="O447" i="22"/>
  <c r="N447" i="22"/>
  <c r="I447" i="22"/>
  <c r="H447" i="22"/>
  <c r="I445" i="22"/>
  <c r="G445" i="22"/>
  <c r="H446" i="22" s="1"/>
  <c r="F445" i="22"/>
  <c r="D445" i="22"/>
  <c r="I444" i="22" s="1"/>
  <c r="O442" i="22"/>
  <c r="N442" i="22"/>
  <c r="H442" i="22"/>
  <c r="I442" i="22" s="1"/>
  <c r="P442" i="22" s="1"/>
  <c r="H441" i="22"/>
  <c r="I441" i="22" s="1"/>
  <c r="M441" i="22" s="1"/>
  <c r="I440" i="22"/>
  <c r="I443" i="22" s="1"/>
  <c r="G440" i="22"/>
  <c r="F440" i="22"/>
  <c r="D440" i="22"/>
  <c r="H439" i="22" s="1"/>
  <c r="I439" i="22" s="1"/>
  <c r="O437" i="22"/>
  <c r="N437" i="22"/>
  <c r="I437" i="22"/>
  <c r="P437" i="22" s="1"/>
  <c r="H437" i="22"/>
  <c r="H436" i="22"/>
  <c r="H438" i="22" s="1"/>
  <c r="I435" i="22"/>
  <c r="G435" i="22"/>
  <c r="F435" i="22"/>
  <c r="D435" i="22"/>
  <c r="I434" i="22"/>
  <c r="O432" i="22"/>
  <c r="N432" i="22"/>
  <c r="H432" i="22"/>
  <c r="I432" i="22" s="1"/>
  <c r="P432" i="22" s="1"/>
  <c r="H431" i="22"/>
  <c r="I431" i="22" s="1"/>
  <c r="M431" i="22" s="1"/>
  <c r="G430" i="22"/>
  <c r="F430" i="22"/>
  <c r="D430" i="22"/>
  <c r="O427" i="22"/>
  <c r="N427" i="22"/>
  <c r="I427" i="22"/>
  <c r="P427" i="22" s="1"/>
  <c r="H427" i="22"/>
  <c r="G425" i="22"/>
  <c r="H426" i="22" s="1"/>
  <c r="I426" i="22" s="1"/>
  <c r="M426" i="22" s="1"/>
  <c r="F425" i="22"/>
  <c r="D425" i="22"/>
  <c r="H424" i="22" s="1"/>
  <c r="P422" i="22"/>
  <c r="O422" i="22"/>
  <c r="N422" i="22"/>
  <c r="I422" i="22"/>
  <c r="H422" i="22"/>
  <c r="I420" i="22"/>
  <c r="G420" i="22"/>
  <c r="H421" i="22" s="1"/>
  <c r="F420" i="22"/>
  <c r="D420" i="22"/>
  <c r="I419" i="22"/>
  <c r="P417" i="22"/>
  <c r="O417" i="22"/>
  <c r="N417" i="22"/>
  <c r="I417" i="22"/>
  <c r="H417" i="22"/>
  <c r="I415" i="22"/>
  <c r="G415" i="22"/>
  <c r="H416" i="22" s="1"/>
  <c r="F415" i="22"/>
  <c r="D415" i="22"/>
  <c r="I414" i="22" s="1"/>
  <c r="P412" i="22"/>
  <c r="O412" i="22"/>
  <c r="N412" i="22"/>
  <c r="I412" i="22"/>
  <c r="H412" i="22"/>
  <c r="G410" i="22"/>
  <c r="H411" i="22" s="1"/>
  <c r="I411" i="22" s="1"/>
  <c r="M411" i="22" s="1"/>
  <c r="F410" i="22"/>
  <c r="D410" i="22"/>
  <c r="I409" i="22" s="1"/>
  <c r="H408" i="22"/>
  <c r="P407" i="22"/>
  <c r="O407" i="22"/>
  <c r="N407" i="22"/>
  <c r="I407" i="22"/>
  <c r="H407" i="22"/>
  <c r="I406" i="22"/>
  <c r="I405" i="22"/>
  <c r="G405" i="22"/>
  <c r="F405" i="22"/>
  <c r="D405" i="22"/>
  <c r="I404" i="22" s="1"/>
  <c r="H402" i="22"/>
  <c r="O401" i="22"/>
  <c r="N401" i="22"/>
  <c r="H401" i="22"/>
  <c r="I401" i="22" s="1"/>
  <c r="P401" i="22" s="1"/>
  <c r="G399" i="22"/>
  <c r="F399" i="22"/>
  <c r="D399" i="22"/>
  <c r="H396" i="22"/>
  <c r="P395" i="22"/>
  <c r="O395" i="22"/>
  <c r="N395" i="22"/>
  <c r="I395" i="22"/>
  <c r="H395" i="22"/>
  <c r="I394" i="22"/>
  <c r="M394" i="22" s="1"/>
  <c r="I393" i="22"/>
  <c r="G393" i="22"/>
  <c r="F393" i="22"/>
  <c r="D393" i="22"/>
  <c r="H390" i="22"/>
  <c r="O389" i="22"/>
  <c r="P389" i="22" s="1"/>
  <c r="N389" i="22"/>
  <c r="I389" i="22"/>
  <c r="H389" i="22"/>
  <c r="I388" i="22"/>
  <c r="M388" i="22" s="1"/>
  <c r="I387" i="22"/>
  <c r="G387" i="22"/>
  <c r="F387" i="22"/>
  <c r="D387" i="22"/>
  <c r="I386" i="22" s="1"/>
  <c r="O384" i="22"/>
  <c r="P384" i="22" s="1"/>
  <c r="N384" i="22"/>
  <c r="I384" i="22"/>
  <c r="H384" i="22"/>
  <c r="I382" i="22"/>
  <c r="G382" i="22"/>
  <c r="H383" i="22" s="1"/>
  <c r="F382" i="22"/>
  <c r="D382" i="22"/>
  <c r="I381" i="22" s="1"/>
  <c r="P379" i="22"/>
  <c r="O379" i="22"/>
  <c r="N379" i="22"/>
  <c r="I379" i="22"/>
  <c r="H379" i="22"/>
  <c r="I377" i="22"/>
  <c r="G377" i="22"/>
  <c r="H378" i="22" s="1"/>
  <c r="F377" i="22"/>
  <c r="D377" i="22"/>
  <c r="I376" i="22" s="1"/>
  <c r="O374" i="22"/>
  <c r="N374" i="22"/>
  <c r="H374" i="22"/>
  <c r="I374" i="22" s="1"/>
  <c r="P374" i="22" s="1"/>
  <c r="I372" i="22"/>
  <c r="G372" i="22"/>
  <c r="H373" i="22" s="1"/>
  <c r="I373" i="22" s="1"/>
  <c r="M373" i="22" s="1"/>
  <c r="F372" i="22"/>
  <c r="D372" i="22"/>
  <c r="H371" i="22" s="1"/>
  <c r="I371" i="22" s="1"/>
  <c r="P369" i="22"/>
  <c r="O369" i="22"/>
  <c r="N369" i="22"/>
  <c r="I369" i="22"/>
  <c r="H369" i="22"/>
  <c r="G367" i="22"/>
  <c r="H368" i="22" s="1"/>
  <c r="I368" i="22" s="1"/>
  <c r="M368" i="22" s="1"/>
  <c r="F367" i="22"/>
  <c r="D367" i="22"/>
  <c r="H366" i="22" s="1"/>
  <c r="I366" i="22" s="1"/>
  <c r="O364" i="22"/>
  <c r="N364" i="22"/>
  <c r="H364" i="22"/>
  <c r="I364" i="22" s="1"/>
  <c r="P364" i="22" s="1"/>
  <c r="H363" i="22"/>
  <c r="I363" i="22" s="1"/>
  <c r="M363" i="22" s="1"/>
  <c r="I362" i="22"/>
  <c r="H362" i="22"/>
  <c r="G362" i="22"/>
  <c r="F362" i="22"/>
  <c r="D362" i="22"/>
  <c r="O359" i="22"/>
  <c r="N359" i="22"/>
  <c r="H359" i="22"/>
  <c r="I359" i="22" s="1"/>
  <c r="P359" i="22" s="1"/>
  <c r="I358" i="22"/>
  <c r="M358" i="22" s="1"/>
  <c r="H358" i="22"/>
  <c r="I357" i="22"/>
  <c r="G357" i="22"/>
  <c r="F357" i="22"/>
  <c r="D357" i="22"/>
  <c r="O354" i="22"/>
  <c r="N354" i="22"/>
  <c r="H354" i="22"/>
  <c r="I354" i="22" s="1"/>
  <c r="P354" i="22" s="1"/>
  <c r="H353" i="22"/>
  <c r="I353" i="22" s="1"/>
  <c r="M353" i="22" s="1"/>
  <c r="G352" i="22"/>
  <c r="F352" i="22"/>
  <c r="H352" i="22" s="1"/>
  <c r="D352" i="22"/>
  <c r="I351" i="22" s="1"/>
  <c r="O349" i="22"/>
  <c r="N349" i="22"/>
  <c r="H349" i="22"/>
  <c r="I349" i="22" s="1"/>
  <c r="P349" i="22" s="1"/>
  <c r="G347" i="22"/>
  <c r="H348" i="22" s="1"/>
  <c r="I348" i="22" s="1"/>
  <c r="M348" i="22" s="1"/>
  <c r="F347" i="22"/>
  <c r="H347" i="22" s="1"/>
  <c r="D347" i="22"/>
  <c r="I346" i="22" s="1"/>
  <c r="O344" i="22"/>
  <c r="N344" i="22"/>
  <c r="H344" i="22"/>
  <c r="I344" i="22" s="1"/>
  <c r="P344" i="22" s="1"/>
  <c r="G342" i="22"/>
  <c r="H343" i="22" s="1"/>
  <c r="I343" i="22" s="1"/>
  <c r="M343" i="22" s="1"/>
  <c r="F342" i="22"/>
  <c r="H342" i="22" s="1"/>
  <c r="D342" i="22"/>
  <c r="I341" i="22" s="1"/>
  <c r="O339" i="22"/>
  <c r="N339" i="22"/>
  <c r="H339" i="22"/>
  <c r="I339" i="22" s="1"/>
  <c r="P339" i="22" s="1"/>
  <c r="H338" i="22"/>
  <c r="I338" i="22" s="1"/>
  <c r="M338" i="22" s="1"/>
  <c r="H337" i="22"/>
  <c r="I337" i="22" s="1"/>
  <c r="G337" i="22"/>
  <c r="F337" i="22"/>
  <c r="D337" i="22"/>
  <c r="I336" i="22" s="1"/>
  <c r="O334" i="22"/>
  <c r="N334" i="22"/>
  <c r="H334" i="22"/>
  <c r="I334" i="22" s="1"/>
  <c r="P334" i="22" s="1"/>
  <c r="H333" i="22"/>
  <c r="I333" i="22" s="1"/>
  <c r="M333" i="22" s="1"/>
  <c r="H332" i="22"/>
  <c r="H335" i="22" s="1"/>
  <c r="G332" i="22"/>
  <c r="F332" i="22"/>
  <c r="D332" i="22"/>
  <c r="I331" i="22" s="1"/>
  <c r="O329" i="22"/>
  <c r="N329" i="22"/>
  <c r="H329" i="22"/>
  <c r="I329" i="22" s="1"/>
  <c r="P329" i="22" s="1"/>
  <c r="I328" i="22"/>
  <c r="M328" i="22" s="1"/>
  <c r="H328" i="22"/>
  <c r="H327" i="22"/>
  <c r="I327" i="22" s="1"/>
  <c r="G327" i="22"/>
  <c r="F327" i="22"/>
  <c r="D327" i="22"/>
  <c r="I326" i="22" s="1"/>
  <c r="O324" i="22"/>
  <c r="P324" i="22" s="1"/>
  <c r="N324" i="22"/>
  <c r="I324" i="22"/>
  <c r="H324" i="22"/>
  <c r="G322" i="22"/>
  <c r="H323" i="22" s="1"/>
  <c r="I323" i="22" s="1"/>
  <c r="M323" i="22" s="1"/>
  <c r="F322" i="22"/>
  <c r="H322" i="22" s="1"/>
  <c r="D322" i="22"/>
  <c r="I321" i="22" s="1"/>
  <c r="H320" i="22"/>
  <c r="O319" i="22"/>
  <c r="N319" i="22"/>
  <c r="H319" i="22"/>
  <c r="I319" i="22" s="1"/>
  <c r="P319" i="22" s="1"/>
  <c r="G317" i="22"/>
  <c r="F317" i="22"/>
  <c r="D317" i="22"/>
  <c r="H315" i="22"/>
  <c r="P314" i="22"/>
  <c r="O314" i="22"/>
  <c r="N314" i="22"/>
  <c r="I314" i="22"/>
  <c r="H314" i="22"/>
  <c r="I313" i="22"/>
  <c r="M313" i="22" s="1"/>
  <c r="G312" i="22"/>
  <c r="F312" i="22"/>
  <c r="D312" i="22"/>
  <c r="I311" i="22" s="1"/>
  <c r="H310" i="22"/>
  <c r="O309" i="22"/>
  <c r="P309" i="22" s="1"/>
  <c r="N309" i="22"/>
  <c r="I309" i="22"/>
  <c r="H309" i="22"/>
  <c r="I308" i="22"/>
  <c r="M308" i="22" s="1"/>
  <c r="I307" i="22"/>
  <c r="G307" i="22"/>
  <c r="F307" i="22"/>
  <c r="D307" i="22"/>
  <c r="I306" i="22" s="1"/>
  <c r="O304" i="22"/>
  <c r="N304" i="22"/>
  <c r="H304" i="22"/>
  <c r="H305" i="22" s="1"/>
  <c r="I303" i="22"/>
  <c r="M303" i="22" s="1"/>
  <c r="I302" i="22"/>
  <c r="G302" i="22"/>
  <c r="F302" i="22"/>
  <c r="D302" i="22"/>
  <c r="I301" i="22" s="1"/>
  <c r="O299" i="22"/>
  <c r="N299" i="22"/>
  <c r="I299" i="22"/>
  <c r="P299" i="22" s="1"/>
  <c r="H299" i="22"/>
  <c r="I298" i="22"/>
  <c r="M298" i="22" s="1"/>
  <c r="G297" i="22"/>
  <c r="F297" i="22"/>
  <c r="D297" i="22"/>
  <c r="O294" i="22"/>
  <c r="N294" i="22"/>
  <c r="H294" i="22"/>
  <c r="I294" i="22" s="1"/>
  <c r="P294" i="22" s="1"/>
  <c r="I293" i="22"/>
  <c r="M293" i="22" s="1"/>
  <c r="I292" i="22"/>
  <c r="G292" i="22"/>
  <c r="F292" i="22"/>
  <c r="D292" i="22"/>
  <c r="I291" i="22" s="1"/>
  <c r="O289" i="22"/>
  <c r="N289" i="22"/>
  <c r="H289" i="22"/>
  <c r="I289" i="22" s="1"/>
  <c r="P289" i="22" s="1"/>
  <c r="I288" i="22"/>
  <c r="M288" i="22" s="1"/>
  <c r="I287" i="22"/>
  <c r="G287" i="22"/>
  <c r="F287" i="22"/>
  <c r="D287" i="22"/>
  <c r="I286" i="22" s="1"/>
  <c r="O284" i="22"/>
  <c r="N284" i="22"/>
  <c r="H284" i="22"/>
  <c r="H285" i="22" s="1"/>
  <c r="I283" i="22"/>
  <c r="M283" i="22" s="1"/>
  <c r="I282" i="22"/>
  <c r="G282" i="22"/>
  <c r="F282" i="22"/>
  <c r="D282" i="22"/>
  <c r="I281" i="22" s="1"/>
  <c r="O278" i="22"/>
  <c r="N278" i="22"/>
  <c r="H278" i="22"/>
  <c r="I278" i="22" s="1"/>
  <c r="P278" i="22" s="1"/>
  <c r="H277" i="22"/>
  <c r="I277" i="22" s="1"/>
  <c r="M277" i="22" s="1"/>
  <c r="I276" i="22"/>
  <c r="G276" i="22"/>
  <c r="F276" i="22"/>
  <c r="D276" i="22"/>
  <c r="O272" i="22"/>
  <c r="N272" i="22"/>
  <c r="H272" i="22"/>
  <c r="I272" i="22" s="1"/>
  <c r="P272" i="22" s="1"/>
  <c r="I271" i="22"/>
  <c r="M271" i="22" s="1"/>
  <c r="H271" i="22"/>
  <c r="G270" i="22"/>
  <c r="F270" i="22"/>
  <c r="D270" i="22"/>
  <c r="I269" i="22" s="1"/>
  <c r="O266" i="22"/>
  <c r="N266" i="22"/>
  <c r="H266" i="22"/>
  <c r="I266" i="22" s="1"/>
  <c r="P266" i="22" s="1"/>
  <c r="H265" i="22"/>
  <c r="I265" i="22" s="1"/>
  <c r="M265" i="22" s="1"/>
  <c r="G264" i="22"/>
  <c r="F264" i="22"/>
  <c r="D264" i="22"/>
  <c r="I263" i="22" s="1"/>
  <c r="O260" i="22"/>
  <c r="N260" i="22"/>
  <c r="H260" i="22"/>
  <c r="I260" i="22" s="1"/>
  <c r="P260" i="22" s="1"/>
  <c r="I259" i="22"/>
  <c r="M259" i="22" s="1"/>
  <c r="H259" i="22"/>
  <c r="H261" i="22" s="1"/>
  <c r="I258" i="22"/>
  <c r="G258" i="22"/>
  <c r="F258" i="22"/>
  <c r="D258" i="22"/>
  <c r="I257" i="22" s="1"/>
  <c r="O254" i="22"/>
  <c r="N254" i="22"/>
  <c r="H254" i="22"/>
  <c r="H255" i="22" s="1"/>
  <c r="H253" i="22"/>
  <c r="I253" i="22" s="1"/>
  <c r="M253" i="22" s="1"/>
  <c r="I252" i="22"/>
  <c r="G252" i="22"/>
  <c r="F252" i="22"/>
  <c r="D252" i="22"/>
  <c r="I251" i="22" s="1"/>
  <c r="O243" i="22"/>
  <c r="P243" i="22" s="1"/>
  <c r="N243" i="22"/>
  <c r="I243" i="22"/>
  <c r="H243" i="22"/>
  <c r="I241" i="22"/>
  <c r="G241" i="22"/>
  <c r="H242" i="22" s="1"/>
  <c r="F241" i="22"/>
  <c r="D241" i="22"/>
  <c r="I240" i="22" s="1"/>
  <c r="P232" i="22"/>
  <c r="O232" i="22"/>
  <c r="N232" i="22"/>
  <c r="I232" i="22"/>
  <c r="H232" i="22"/>
  <c r="I230" i="22"/>
  <c r="G230" i="22"/>
  <c r="H231" i="22" s="1"/>
  <c r="F230" i="22"/>
  <c r="D230" i="22"/>
  <c r="I229" i="22" s="1"/>
  <c r="P226" i="22"/>
  <c r="O226" i="22"/>
  <c r="N226" i="22"/>
  <c r="I226" i="22"/>
  <c r="H226" i="22"/>
  <c r="G224" i="22"/>
  <c r="H225" i="22" s="1"/>
  <c r="I225" i="22" s="1"/>
  <c r="M225" i="22" s="1"/>
  <c r="F224" i="22"/>
  <c r="D224" i="22"/>
  <c r="I223" i="22" s="1"/>
  <c r="O220" i="22"/>
  <c r="N220" i="22"/>
  <c r="H220" i="22"/>
  <c r="I220" i="22" s="1"/>
  <c r="P220" i="22" s="1"/>
  <c r="I218" i="22"/>
  <c r="G218" i="22"/>
  <c r="H219" i="22" s="1"/>
  <c r="F218" i="22"/>
  <c r="D218" i="22"/>
  <c r="I217" i="22"/>
  <c r="O215" i="22"/>
  <c r="N215" i="22"/>
  <c r="H215" i="22"/>
  <c r="I215" i="22" s="1"/>
  <c r="P215" i="22" s="1"/>
  <c r="H214" i="22"/>
  <c r="H216" i="22" s="1"/>
  <c r="I213" i="22"/>
  <c r="G213" i="22"/>
  <c r="F213" i="22"/>
  <c r="D213" i="22"/>
  <c r="I212" i="22" s="1"/>
  <c r="O209" i="22"/>
  <c r="N209" i="22"/>
  <c r="H209" i="22"/>
  <c r="I209" i="22" s="1"/>
  <c r="P209" i="22" s="1"/>
  <c r="H208" i="22"/>
  <c r="H210" i="22" s="1"/>
  <c r="I207" i="22"/>
  <c r="G207" i="22"/>
  <c r="F207" i="22"/>
  <c r="D207" i="22"/>
  <c r="I206" i="22"/>
  <c r="O204" i="22"/>
  <c r="N204" i="22"/>
  <c r="I204" i="22"/>
  <c r="P204" i="22" s="1"/>
  <c r="H204" i="22"/>
  <c r="I202" i="22"/>
  <c r="G202" i="22"/>
  <c r="H203" i="22" s="1"/>
  <c r="F202" i="22"/>
  <c r="D202" i="22"/>
  <c r="I201" i="22"/>
  <c r="O198" i="22"/>
  <c r="P198" i="22" s="1"/>
  <c r="N198" i="22"/>
  <c r="I198" i="22"/>
  <c r="H198" i="22"/>
  <c r="I196" i="22"/>
  <c r="G196" i="22"/>
  <c r="H197" i="22" s="1"/>
  <c r="I197" i="22" s="1"/>
  <c r="M197" i="22" s="1"/>
  <c r="F196" i="22"/>
  <c r="D196" i="22"/>
  <c r="O192" i="22"/>
  <c r="N192" i="22"/>
  <c r="H192" i="22"/>
  <c r="I192" i="22" s="1"/>
  <c r="P192" i="22" s="1"/>
  <c r="G190" i="22"/>
  <c r="H191" i="22" s="1"/>
  <c r="F190" i="22"/>
  <c r="D190" i="22"/>
  <c r="I189" i="22" s="1"/>
  <c r="P186" i="22"/>
  <c r="O186" i="22"/>
  <c r="N186" i="22"/>
  <c r="I186" i="22"/>
  <c r="H186" i="22"/>
  <c r="G184" i="22"/>
  <c r="H185" i="22" s="1"/>
  <c r="I185" i="22" s="1"/>
  <c r="M185" i="22" s="1"/>
  <c r="F184" i="22"/>
  <c r="D184" i="22"/>
  <c r="I183" i="22" s="1"/>
  <c r="O181" i="22"/>
  <c r="N181" i="22"/>
  <c r="H181" i="22"/>
  <c r="I181" i="22" s="1"/>
  <c r="P181" i="22" s="1"/>
  <c r="I179" i="22"/>
  <c r="G179" i="22"/>
  <c r="H180" i="22" s="1"/>
  <c r="F179" i="22"/>
  <c r="D179" i="22"/>
  <c r="I178" i="22" s="1"/>
  <c r="O175" i="22"/>
  <c r="N175" i="22"/>
  <c r="H175" i="22"/>
  <c r="I175" i="22" s="1"/>
  <c r="P175" i="22" s="1"/>
  <c r="H174" i="22"/>
  <c r="H176" i="22" s="1"/>
  <c r="I173" i="22"/>
  <c r="G173" i="22"/>
  <c r="F173" i="22"/>
  <c r="D173" i="22"/>
  <c r="I172" i="22"/>
  <c r="O170" i="22"/>
  <c r="N170" i="22"/>
  <c r="H170" i="22"/>
  <c r="I170" i="22" s="1"/>
  <c r="P170" i="22" s="1"/>
  <c r="I169" i="22"/>
  <c r="M169" i="22" s="1"/>
  <c r="H169" i="22"/>
  <c r="H171" i="22" s="1"/>
  <c r="I168" i="22"/>
  <c r="G168" i="22"/>
  <c r="F168" i="22"/>
  <c r="D168" i="22"/>
  <c r="I167" i="22"/>
  <c r="O164" i="22"/>
  <c r="N164" i="22"/>
  <c r="H164" i="22"/>
  <c r="I164" i="22" s="1"/>
  <c r="P164" i="22" s="1"/>
  <c r="I163" i="22"/>
  <c r="M163" i="22" s="1"/>
  <c r="H163" i="22"/>
  <c r="H165" i="22" s="1"/>
  <c r="I162" i="22"/>
  <c r="G162" i="22"/>
  <c r="F162" i="22"/>
  <c r="D162" i="22"/>
  <c r="I161" i="22"/>
  <c r="O157" i="22"/>
  <c r="N157" i="22"/>
  <c r="H157" i="22"/>
  <c r="H158" i="22" s="1"/>
  <c r="H156" i="22"/>
  <c r="I156" i="22" s="1"/>
  <c r="M156" i="22" s="1"/>
  <c r="I155" i="22"/>
  <c r="G155" i="22"/>
  <c r="F155" i="22"/>
  <c r="D155" i="22"/>
  <c r="I154" i="22" s="1"/>
  <c r="P152" i="22"/>
  <c r="O152" i="22"/>
  <c r="N152" i="22"/>
  <c r="I152" i="22"/>
  <c r="H152" i="22"/>
  <c r="G150" i="22"/>
  <c r="H151" i="22" s="1"/>
  <c r="I151" i="22" s="1"/>
  <c r="M151" i="22" s="1"/>
  <c r="F150" i="22"/>
  <c r="D150" i="22"/>
  <c r="O145" i="22"/>
  <c r="N145" i="22"/>
  <c r="H145" i="22"/>
  <c r="I145" i="22" s="1"/>
  <c r="P145" i="22" s="1"/>
  <c r="I143" i="22"/>
  <c r="G143" i="22"/>
  <c r="H144" i="22" s="1"/>
  <c r="F143" i="22"/>
  <c r="D143" i="22"/>
  <c r="O138" i="22"/>
  <c r="N138" i="22"/>
  <c r="H138" i="22"/>
  <c r="I138" i="22" s="1"/>
  <c r="P138" i="22" s="1"/>
  <c r="I136" i="22"/>
  <c r="G136" i="22"/>
  <c r="H137" i="22" s="1"/>
  <c r="F136" i="22"/>
  <c r="D136" i="22"/>
  <c r="I135" i="22" s="1"/>
  <c r="O131" i="22"/>
  <c r="N131" i="22"/>
  <c r="H131" i="22"/>
  <c r="I131" i="22" s="1"/>
  <c r="P131" i="22" s="1"/>
  <c r="H130" i="22"/>
  <c r="H132" i="22" s="1"/>
  <c r="I129" i="22"/>
  <c r="G129" i="22"/>
  <c r="F129" i="22"/>
  <c r="D129" i="22"/>
  <c r="I128" i="22"/>
  <c r="O124" i="22"/>
  <c r="N124" i="22"/>
  <c r="H124" i="22"/>
  <c r="I124" i="22" s="1"/>
  <c r="P124" i="22" s="1"/>
  <c r="H123" i="22"/>
  <c r="H125" i="22" s="1"/>
  <c r="I122" i="22"/>
  <c r="G122" i="22"/>
  <c r="F122" i="22"/>
  <c r="D122" i="22"/>
  <c r="I121" i="22" s="1"/>
  <c r="O117" i="22"/>
  <c r="N117" i="22"/>
  <c r="H117" i="22"/>
  <c r="I117" i="22" s="1"/>
  <c r="P117" i="22" s="1"/>
  <c r="I116" i="22"/>
  <c r="M116" i="22" s="1"/>
  <c r="H116" i="22"/>
  <c r="H118" i="22" s="1"/>
  <c r="I115" i="22"/>
  <c r="G115" i="22"/>
  <c r="F115" i="22"/>
  <c r="D115" i="22"/>
  <c r="I114" i="22"/>
  <c r="O112" i="22"/>
  <c r="N112" i="22"/>
  <c r="H112" i="22"/>
  <c r="I112" i="22" s="1"/>
  <c r="P112" i="22" s="1"/>
  <c r="H111" i="22"/>
  <c r="I111" i="22" s="1"/>
  <c r="M111" i="22" s="1"/>
  <c r="G110" i="22"/>
  <c r="F110" i="22"/>
  <c r="D110" i="22"/>
  <c r="O107" i="22"/>
  <c r="N107" i="22"/>
  <c r="I107" i="22"/>
  <c r="P107" i="22" s="1"/>
  <c r="H107" i="22"/>
  <c r="I105" i="22"/>
  <c r="G105" i="22"/>
  <c r="H106" i="22" s="1"/>
  <c r="I106" i="22" s="1"/>
  <c r="M106" i="22" s="1"/>
  <c r="F105" i="22"/>
  <c r="D105" i="22"/>
  <c r="H104" i="22" s="1"/>
  <c r="I104" i="22" s="1"/>
  <c r="P102" i="22"/>
  <c r="O102" i="22"/>
  <c r="N102" i="22"/>
  <c r="I102" i="22"/>
  <c r="H102" i="22"/>
  <c r="G100" i="22"/>
  <c r="H101" i="22" s="1"/>
  <c r="F100" i="22"/>
  <c r="D100" i="22"/>
  <c r="I99" i="22"/>
  <c r="P97" i="22"/>
  <c r="O97" i="22"/>
  <c r="N97" i="22"/>
  <c r="I97" i="22"/>
  <c r="H97" i="22"/>
  <c r="I95" i="22"/>
  <c r="G95" i="22"/>
  <c r="H96" i="22" s="1"/>
  <c r="I96" i="22" s="1"/>
  <c r="M96" i="22" s="1"/>
  <c r="F95" i="22"/>
  <c r="D95" i="22"/>
  <c r="H94" i="22" s="1"/>
  <c r="I94" i="22" s="1"/>
  <c r="O92" i="22"/>
  <c r="N92" i="22"/>
  <c r="H92" i="22"/>
  <c r="I92" i="22" s="1"/>
  <c r="P92" i="22" s="1"/>
  <c r="H91" i="22"/>
  <c r="H93" i="22" s="1"/>
  <c r="I90" i="22"/>
  <c r="G90" i="22"/>
  <c r="F90" i="22"/>
  <c r="D90" i="22"/>
  <c r="I89" i="22"/>
  <c r="O87" i="22"/>
  <c r="N87" i="22"/>
  <c r="H87" i="22"/>
  <c r="I87" i="22" s="1"/>
  <c r="P87" i="22" s="1"/>
  <c r="I86" i="22"/>
  <c r="M86" i="22" s="1"/>
  <c r="H86" i="22"/>
  <c r="H88" i="22" s="1"/>
  <c r="I85" i="22"/>
  <c r="G85" i="22"/>
  <c r="F85" i="22"/>
  <c r="D85" i="22"/>
  <c r="I84" i="22"/>
  <c r="O82" i="22"/>
  <c r="N82" i="22"/>
  <c r="H82" i="22"/>
  <c r="I82" i="22" s="1"/>
  <c r="P82" i="22" s="1"/>
  <c r="I81" i="22"/>
  <c r="M81" i="22" s="1"/>
  <c r="I80" i="22"/>
  <c r="G80" i="22"/>
  <c r="F80" i="22"/>
  <c r="D80" i="22"/>
  <c r="O76" i="22"/>
  <c r="N76" i="22"/>
  <c r="H76" i="22"/>
  <c r="I76" i="22" s="1"/>
  <c r="P76" i="22" s="1"/>
  <c r="I75" i="22"/>
  <c r="M75" i="22" s="1"/>
  <c r="I74" i="22"/>
  <c r="G74" i="22"/>
  <c r="F74" i="22"/>
  <c r="D74" i="22"/>
  <c r="O70" i="22"/>
  <c r="N70" i="22"/>
  <c r="H70" i="22"/>
  <c r="H71" i="22" s="1"/>
  <c r="I69" i="22"/>
  <c r="M69" i="22" s="1"/>
  <c r="I68" i="22"/>
  <c r="G68" i="22"/>
  <c r="F68" i="22"/>
  <c r="D68" i="22"/>
  <c r="I67" i="22" s="1"/>
  <c r="O64" i="22"/>
  <c r="N64" i="22"/>
  <c r="H64" i="22"/>
  <c r="H65" i="22" s="1"/>
  <c r="I63" i="22"/>
  <c r="M63" i="22" s="1"/>
  <c r="I62" i="22"/>
  <c r="G62" i="22"/>
  <c r="F62" i="22"/>
  <c r="D62" i="22"/>
  <c r="I61" i="22" s="1"/>
  <c r="O58" i="22"/>
  <c r="N58" i="22"/>
  <c r="H58" i="22"/>
  <c r="I58" i="22" s="1"/>
  <c r="P58" i="22" s="1"/>
  <c r="I57" i="22"/>
  <c r="M57" i="22" s="1"/>
  <c r="I56" i="22"/>
  <c r="G56" i="22"/>
  <c r="F56" i="22"/>
  <c r="D56" i="22"/>
  <c r="O52" i="22"/>
  <c r="N52" i="22"/>
  <c r="H52" i="22"/>
  <c r="I52" i="22" s="1"/>
  <c r="P52" i="22" s="1"/>
  <c r="I51" i="22"/>
  <c r="M51" i="22" s="1"/>
  <c r="H51" i="22"/>
  <c r="H53" i="22" s="1"/>
  <c r="I50" i="22"/>
  <c r="G50" i="22"/>
  <c r="F50" i="22"/>
  <c r="D50" i="22"/>
  <c r="I49" i="22"/>
  <c r="O45" i="22"/>
  <c r="N45" i="22"/>
  <c r="H45" i="22"/>
  <c r="I45" i="22" s="1"/>
  <c r="P45" i="22" s="1"/>
  <c r="I44" i="22"/>
  <c r="M44" i="22" s="1"/>
  <c r="H44" i="22"/>
  <c r="I43" i="22"/>
  <c r="G43" i="22"/>
  <c r="F43" i="22"/>
  <c r="D43" i="22"/>
  <c r="O40" i="22"/>
  <c r="N40" i="22"/>
  <c r="I40" i="22"/>
  <c r="P40" i="22" s="1"/>
  <c r="H40" i="22"/>
  <c r="I38" i="22"/>
  <c r="G38" i="22"/>
  <c r="H39" i="22" s="1"/>
  <c r="I39" i="22" s="1"/>
  <c r="M39" i="22" s="1"/>
  <c r="F38" i="22"/>
  <c r="D38" i="22"/>
  <c r="H37" i="22" s="1"/>
  <c r="I37" i="22" s="1"/>
  <c r="I41" i="22" s="1"/>
  <c r="P35" i="22"/>
  <c r="O35" i="22"/>
  <c r="N35" i="22"/>
  <c r="I35" i="22"/>
  <c r="H35" i="22"/>
  <c r="G33" i="22"/>
  <c r="H34" i="22" s="1"/>
  <c r="I34" i="22" s="1"/>
  <c r="M34" i="22" s="1"/>
  <c r="F33" i="22"/>
  <c r="D33" i="22"/>
  <c r="H32" i="22"/>
  <c r="I32" i="22" s="1"/>
  <c r="O30" i="22"/>
  <c r="N30" i="22"/>
  <c r="H30" i="22"/>
  <c r="I30" i="22" s="1"/>
  <c r="P30" i="22" s="1"/>
  <c r="I28" i="22"/>
  <c r="G28" i="22"/>
  <c r="H29" i="22" s="1"/>
  <c r="F28" i="22"/>
  <c r="D28" i="22"/>
  <c r="I27" i="22"/>
  <c r="O25" i="22"/>
  <c r="N25" i="22"/>
  <c r="H25" i="22"/>
  <c r="I25" i="22" s="1"/>
  <c r="P25" i="22" s="1"/>
  <c r="H24" i="22"/>
  <c r="H26" i="22" s="1"/>
  <c r="I23" i="22"/>
  <c r="G23" i="22"/>
  <c r="F23" i="22"/>
  <c r="D23" i="22"/>
  <c r="I22" i="22" s="1"/>
  <c r="O20" i="22"/>
  <c r="N20" i="22"/>
  <c r="H20" i="22"/>
  <c r="I20" i="22" s="1"/>
  <c r="P20" i="22" s="1"/>
  <c r="I19" i="22"/>
  <c r="M19" i="22" s="1"/>
  <c r="H19" i="22"/>
  <c r="H21" i="22" s="1"/>
  <c r="I18" i="22"/>
  <c r="G18" i="22"/>
  <c r="F18" i="22"/>
  <c r="D18" i="22"/>
  <c r="I17" i="22"/>
  <c r="O15" i="22"/>
  <c r="O489" i="22" s="1"/>
  <c r="N15" i="22"/>
  <c r="N489" i="22" s="1"/>
  <c r="H15" i="22"/>
  <c r="I15" i="22" s="1"/>
  <c r="I14" i="22"/>
  <c r="M14" i="22" s="1"/>
  <c r="H14" i="22"/>
  <c r="H16" i="22" s="1"/>
  <c r="I13" i="22"/>
  <c r="G13" i="22"/>
  <c r="F13" i="22"/>
  <c r="D13" i="22"/>
  <c r="I12" i="22"/>
  <c r="S75" i="16"/>
  <c r="R75" i="16"/>
  <c r="Q75" i="16"/>
  <c r="L75" i="16"/>
  <c r="K75" i="16"/>
  <c r="O73" i="16"/>
  <c r="N73" i="16"/>
  <c r="I73" i="16"/>
  <c r="P73" i="16" s="1"/>
  <c r="H73" i="16"/>
  <c r="H74" i="16" s="1"/>
  <c r="I72" i="16"/>
  <c r="I71" i="16"/>
  <c r="G71" i="16"/>
  <c r="F71" i="16"/>
  <c r="D71" i="16"/>
  <c r="I70" i="16" s="1"/>
  <c r="O65" i="16"/>
  <c r="N65" i="16"/>
  <c r="H65" i="16"/>
  <c r="H66" i="16" s="1"/>
  <c r="I64" i="16"/>
  <c r="M64" i="16" s="1"/>
  <c r="I63" i="16"/>
  <c r="G63" i="16"/>
  <c r="F63" i="16"/>
  <c r="D63" i="16"/>
  <c r="I62" i="16" s="1"/>
  <c r="O42" i="16"/>
  <c r="N42" i="16"/>
  <c r="H42" i="16"/>
  <c r="I42" i="16" s="1"/>
  <c r="P42" i="16" s="1"/>
  <c r="I40" i="16"/>
  <c r="G40" i="16"/>
  <c r="H41" i="16" s="1"/>
  <c r="F40" i="16"/>
  <c r="D40" i="16"/>
  <c r="I39" i="16" s="1"/>
  <c r="O36" i="16"/>
  <c r="N36" i="16"/>
  <c r="I36" i="16"/>
  <c r="P36" i="16" s="1"/>
  <c r="H36" i="16"/>
  <c r="I34" i="16"/>
  <c r="G34" i="16"/>
  <c r="H35" i="16" s="1"/>
  <c r="I35" i="16" s="1"/>
  <c r="M35" i="16" s="1"/>
  <c r="F34" i="16"/>
  <c r="D34" i="16"/>
  <c r="I33" i="16" s="1"/>
  <c r="O30" i="16"/>
  <c r="N30" i="16"/>
  <c r="H30" i="16"/>
  <c r="I30" i="16" s="1"/>
  <c r="I28" i="16"/>
  <c r="G28" i="16"/>
  <c r="H29" i="16" s="1"/>
  <c r="F28" i="16"/>
  <c r="D28" i="16"/>
  <c r="I27" i="16" s="1"/>
  <c r="O24" i="16"/>
  <c r="N24" i="16"/>
  <c r="H24" i="16"/>
  <c r="I24" i="16" s="1"/>
  <c r="P24" i="16" s="1"/>
  <c r="H23" i="16"/>
  <c r="H25" i="16" s="1"/>
  <c r="I22" i="16"/>
  <c r="G22" i="16"/>
  <c r="F22" i="16"/>
  <c r="D22" i="16"/>
  <c r="I21" i="16" s="1"/>
  <c r="O15" i="16"/>
  <c r="N15" i="16"/>
  <c r="H15" i="16"/>
  <c r="I15" i="16" s="1"/>
  <c r="I13" i="16"/>
  <c r="G13" i="16"/>
  <c r="H14" i="16" s="1"/>
  <c r="F13" i="16"/>
  <c r="D13" i="16"/>
  <c r="I12" i="16" s="1"/>
  <c r="S347" i="15"/>
  <c r="R347" i="15"/>
  <c r="Q347" i="15"/>
  <c r="L347" i="15"/>
  <c r="K347" i="15"/>
  <c r="O345" i="15"/>
  <c r="N345" i="15"/>
  <c r="H345" i="15"/>
  <c r="I345" i="15" s="1"/>
  <c r="I344" i="15"/>
  <c r="M344" i="15" s="1"/>
  <c r="I343" i="15"/>
  <c r="G343" i="15"/>
  <c r="F343" i="15"/>
  <c r="D343" i="15"/>
  <c r="H342" i="15" s="1"/>
  <c r="I342" i="15" s="1"/>
  <c r="O340" i="15"/>
  <c r="N340" i="15"/>
  <c r="H340" i="15"/>
  <c r="I340" i="15" s="1"/>
  <c r="P340" i="15" s="1"/>
  <c r="I338" i="15"/>
  <c r="G338" i="15"/>
  <c r="H339" i="15" s="1"/>
  <c r="F338" i="15"/>
  <c r="D338" i="15"/>
  <c r="I337" i="15" s="1"/>
  <c r="O335" i="15"/>
  <c r="N335" i="15"/>
  <c r="H335" i="15"/>
  <c r="I335" i="15" s="1"/>
  <c r="P335" i="15" s="1"/>
  <c r="I333" i="15"/>
  <c r="G333" i="15"/>
  <c r="H334" i="15" s="1"/>
  <c r="F333" i="15"/>
  <c r="D333" i="15"/>
  <c r="I332" i="15" s="1"/>
  <c r="O328" i="15"/>
  <c r="N328" i="15"/>
  <c r="H328" i="15"/>
  <c r="I328" i="15" s="1"/>
  <c r="I326" i="15"/>
  <c r="G326" i="15"/>
  <c r="H327" i="15" s="1"/>
  <c r="H329" i="15" s="1"/>
  <c r="F326" i="15"/>
  <c r="D326" i="15"/>
  <c r="I325" i="15" s="1"/>
  <c r="O321" i="15"/>
  <c r="N321" i="15"/>
  <c r="H321" i="15"/>
  <c r="I321" i="15" s="1"/>
  <c r="H320" i="15"/>
  <c r="H322" i="15" s="1"/>
  <c r="I319" i="15"/>
  <c r="G319" i="15"/>
  <c r="F319" i="15"/>
  <c r="D319" i="15"/>
  <c r="I318" i="15" s="1"/>
  <c r="O316" i="15"/>
  <c r="N316" i="15"/>
  <c r="H316" i="15"/>
  <c r="I316" i="15" s="1"/>
  <c r="P316" i="15" s="1"/>
  <c r="H314" i="15"/>
  <c r="G314" i="15"/>
  <c r="H315" i="15" s="1"/>
  <c r="I315" i="15" s="1"/>
  <c r="M315" i="15" s="1"/>
  <c r="F314" i="15"/>
  <c r="D314" i="15"/>
  <c r="I313" i="15" s="1"/>
  <c r="O311" i="15"/>
  <c r="N311" i="15"/>
  <c r="H311" i="15"/>
  <c r="H312" i="15" s="1"/>
  <c r="I310" i="15"/>
  <c r="M310" i="15" s="1"/>
  <c r="I309" i="15"/>
  <c r="G309" i="15"/>
  <c r="F309" i="15"/>
  <c r="D309" i="15"/>
  <c r="I308" i="15" s="1"/>
  <c r="O306" i="15"/>
  <c r="N306" i="15"/>
  <c r="H306" i="15"/>
  <c r="I306" i="15" s="1"/>
  <c r="H305" i="15"/>
  <c r="I305" i="15" s="1"/>
  <c r="M305" i="15" s="1"/>
  <c r="H304" i="15"/>
  <c r="I304" i="15" s="1"/>
  <c r="I307" i="15" s="1"/>
  <c r="G304" i="15"/>
  <c r="F304" i="15"/>
  <c r="D304" i="15"/>
  <c r="I303" i="15" s="1"/>
  <c r="O301" i="15"/>
  <c r="N301" i="15"/>
  <c r="H301" i="15"/>
  <c r="I301" i="15" s="1"/>
  <c r="P301" i="15" s="1"/>
  <c r="G299" i="15"/>
  <c r="H300" i="15" s="1"/>
  <c r="I300" i="15" s="1"/>
  <c r="M300" i="15" s="1"/>
  <c r="F299" i="15"/>
  <c r="H299" i="15" s="1"/>
  <c r="D299" i="15"/>
  <c r="I298" i="15" s="1"/>
  <c r="O296" i="15"/>
  <c r="N296" i="15"/>
  <c r="I296" i="15"/>
  <c r="H296" i="15"/>
  <c r="G294" i="15"/>
  <c r="H295" i="15" s="1"/>
  <c r="I295" i="15" s="1"/>
  <c r="M295" i="15" s="1"/>
  <c r="F294" i="15"/>
  <c r="H294" i="15" s="1"/>
  <c r="H297" i="15" s="1"/>
  <c r="D294" i="15"/>
  <c r="I293" i="15"/>
  <c r="O291" i="15"/>
  <c r="N291" i="15"/>
  <c r="H291" i="15"/>
  <c r="H292" i="15" s="1"/>
  <c r="I290" i="15"/>
  <c r="M290" i="15" s="1"/>
  <c r="I289" i="15"/>
  <c r="G289" i="15"/>
  <c r="F289" i="15"/>
  <c r="D289" i="15"/>
  <c r="I288" i="15" s="1"/>
  <c r="O286" i="15"/>
  <c r="N286" i="15"/>
  <c r="H286" i="15"/>
  <c r="I286" i="15" s="1"/>
  <c r="G284" i="15"/>
  <c r="H285" i="15" s="1"/>
  <c r="I285" i="15" s="1"/>
  <c r="M285" i="15" s="1"/>
  <c r="F284" i="15"/>
  <c r="H284" i="15" s="1"/>
  <c r="D284" i="15"/>
  <c r="I283" i="15" s="1"/>
  <c r="O281" i="15"/>
  <c r="N281" i="15"/>
  <c r="H281" i="15"/>
  <c r="I281" i="15" s="1"/>
  <c r="G279" i="15"/>
  <c r="H280" i="15" s="1"/>
  <c r="I280" i="15" s="1"/>
  <c r="M280" i="15" s="1"/>
  <c r="F279" i="15"/>
  <c r="H279" i="15" s="1"/>
  <c r="H282" i="15" s="1"/>
  <c r="D279" i="15"/>
  <c r="I278" i="15" s="1"/>
  <c r="O276" i="15"/>
  <c r="N276" i="15"/>
  <c r="H276" i="15"/>
  <c r="I276" i="15" s="1"/>
  <c r="P276" i="15" s="1"/>
  <c r="H275" i="15"/>
  <c r="I275" i="15" s="1"/>
  <c r="M275" i="15" s="1"/>
  <c r="G274" i="15"/>
  <c r="F274" i="15"/>
  <c r="H274" i="15" s="1"/>
  <c r="I274" i="15" s="1"/>
  <c r="D274" i="15"/>
  <c r="I273" i="15" s="1"/>
  <c r="O271" i="15"/>
  <c r="N271" i="15"/>
  <c r="H271" i="15"/>
  <c r="I271" i="15" s="1"/>
  <c r="G269" i="15"/>
  <c r="H270" i="15" s="1"/>
  <c r="I270" i="15" s="1"/>
  <c r="M270" i="15" s="1"/>
  <c r="F269" i="15"/>
  <c r="H269" i="15" s="1"/>
  <c r="D269" i="15"/>
  <c r="I268" i="15" s="1"/>
  <c r="H267" i="15"/>
  <c r="O266" i="15"/>
  <c r="N266" i="15"/>
  <c r="P266" i="15" s="1"/>
  <c r="I266" i="15"/>
  <c r="H266" i="15"/>
  <c r="I265" i="15"/>
  <c r="M265" i="15" s="1"/>
  <c r="G264" i="15"/>
  <c r="F264" i="15"/>
  <c r="D264" i="15"/>
  <c r="I263" i="15" s="1"/>
  <c r="O261" i="15"/>
  <c r="N261" i="15"/>
  <c r="H261" i="15"/>
  <c r="I261" i="15" s="1"/>
  <c r="P261" i="15" s="1"/>
  <c r="G259" i="15"/>
  <c r="H260" i="15" s="1"/>
  <c r="I260" i="15" s="1"/>
  <c r="M260" i="15" s="1"/>
  <c r="F259" i="15"/>
  <c r="H259" i="15" s="1"/>
  <c r="D259" i="15"/>
  <c r="I258" i="15" s="1"/>
  <c r="O256" i="15"/>
  <c r="N256" i="15"/>
  <c r="H256" i="15"/>
  <c r="I256" i="15" s="1"/>
  <c r="P256" i="15" s="1"/>
  <c r="H255" i="15"/>
  <c r="I255" i="15" s="1"/>
  <c r="M255" i="15" s="1"/>
  <c r="G254" i="15"/>
  <c r="F254" i="15"/>
  <c r="H254" i="15" s="1"/>
  <c r="I254" i="15" s="1"/>
  <c r="D254" i="15"/>
  <c r="I253" i="15" s="1"/>
  <c r="O251" i="15"/>
  <c r="N251" i="15"/>
  <c r="H251" i="15"/>
  <c r="I251" i="15" s="1"/>
  <c r="G249" i="15"/>
  <c r="H250" i="15" s="1"/>
  <c r="I250" i="15" s="1"/>
  <c r="M250" i="15" s="1"/>
  <c r="F249" i="15"/>
  <c r="H249" i="15" s="1"/>
  <c r="D249" i="15"/>
  <c r="I248" i="15" s="1"/>
  <c r="O246" i="15"/>
  <c r="N246" i="15"/>
  <c r="H246" i="15"/>
  <c r="I246" i="15" s="1"/>
  <c r="H245" i="15"/>
  <c r="I245" i="15" s="1"/>
  <c r="M245" i="15" s="1"/>
  <c r="H244" i="15"/>
  <c r="I244" i="15" s="1"/>
  <c r="G244" i="15"/>
  <c r="F244" i="15"/>
  <c r="D244" i="15"/>
  <c r="I243" i="15" s="1"/>
  <c r="O241" i="15"/>
  <c r="N241" i="15"/>
  <c r="H241" i="15"/>
  <c r="I241" i="15" s="1"/>
  <c r="P241" i="15" s="1"/>
  <c r="G239" i="15"/>
  <c r="H240" i="15" s="1"/>
  <c r="I240" i="15" s="1"/>
  <c r="M240" i="15" s="1"/>
  <c r="F239" i="15"/>
  <c r="H239" i="15" s="1"/>
  <c r="D239" i="15"/>
  <c r="I238" i="15" s="1"/>
  <c r="P236" i="15"/>
  <c r="O236" i="15"/>
  <c r="N236" i="15"/>
  <c r="I236" i="15"/>
  <c r="H236" i="15"/>
  <c r="G234" i="15"/>
  <c r="H235" i="15" s="1"/>
  <c r="I235" i="15" s="1"/>
  <c r="M235" i="15" s="1"/>
  <c r="F234" i="15"/>
  <c r="H234" i="15" s="1"/>
  <c r="D234" i="15"/>
  <c r="I233" i="15" s="1"/>
  <c r="O231" i="15"/>
  <c r="N231" i="15"/>
  <c r="I231" i="15"/>
  <c r="H231" i="15"/>
  <c r="G229" i="15"/>
  <c r="F229" i="15"/>
  <c r="D229" i="15"/>
  <c r="I228" i="15" s="1"/>
  <c r="O226" i="15"/>
  <c r="N226" i="15"/>
  <c r="H226" i="15"/>
  <c r="I226" i="15" s="1"/>
  <c r="P226" i="15" s="1"/>
  <c r="H224" i="15"/>
  <c r="I224" i="15" s="1"/>
  <c r="G224" i="15"/>
  <c r="H225" i="15" s="1"/>
  <c r="I225" i="15" s="1"/>
  <c r="M225" i="15" s="1"/>
  <c r="F224" i="15"/>
  <c r="D224" i="15"/>
  <c r="I223" i="15" s="1"/>
  <c r="O221" i="15"/>
  <c r="N221" i="15"/>
  <c r="H221" i="15"/>
  <c r="I221" i="15" s="1"/>
  <c r="H220" i="15"/>
  <c r="I220" i="15" s="1"/>
  <c r="M220" i="15" s="1"/>
  <c r="G219" i="15"/>
  <c r="F219" i="15"/>
  <c r="H219" i="15" s="1"/>
  <c r="H222" i="15" s="1"/>
  <c r="D219" i="15"/>
  <c r="I218" i="15" s="1"/>
  <c r="O216" i="15"/>
  <c r="N216" i="15"/>
  <c r="H216" i="15"/>
  <c r="I216" i="15" s="1"/>
  <c r="G214" i="15"/>
  <c r="F214" i="15"/>
  <c r="D214" i="15"/>
  <c r="H213" i="15" s="1"/>
  <c r="I213" i="15" s="1"/>
  <c r="O211" i="15"/>
  <c r="N211" i="15"/>
  <c r="H211" i="15"/>
  <c r="I211" i="15" s="1"/>
  <c r="G209" i="15"/>
  <c r="H210" i="15" s="1"/>
  <c r="I210" i="15" s="1"/>
  <c r="M210" i="15" s="1"/>
  <c r="F209" i="15"/>
  <c r="H209" i="15" s="1"/>
  <c r="I209" i="15" s="1"/>
  <c r="I212" i="15" s="1"/>
  <c r="D209" i="15"/>
  <c r="I208" i="15" s="1"/>
  <c r="O206" i="15"/>
  <c r="N206" i="15"/>
  <c r="I206" i="15"/>
  <c r="H206" i="15"/>
  <c r="G204" i="15"/>
  <c r="H205" i="15" s="1"/>
  <c r="I205" i="15" s="1"/>
  <c r="M205" i="15" s="1"/>
  <c r="F204" i="15"/>
  <c r="H204" i="15" s="1"/>
  <c r="D204" i="15"/>
  <c r="I203" i="15" s="1"/>
  <c r="O201" i="15"/>
  <c r="N201" i="15"/>
  <c r="H201" i="15"/>
  <c r="I201" i="15" s="1"/>
  <c r="G199" i="15"/>
  <c r="H200" i="15" s="1"/>
  <c r="I200" i="15" s="1"/>
  <c r="M200" i="15" s="1"/>
  <c r="F199" i="15"/>
  <c r="H199" i="15" s="1"/>
  <c r="D199" i="15"/>
  <c r="I198" i="15" s="1"/>
  <c r="O196" i="15"/>
  <c r="N196" i="15"/>
  <c r="H196" i="15"/>
  <c r="I196" i="15" s="1"/>
  <c r="P196" i="15" s="1"/>
  <c r="I194" i="15"/>
  <c r="G194" i="15"/>
  <c r="F194" i="15"/>
  <c r="D194" i="15"/>
  <c r="H193" i="15" s="1"/>
  <c r="I193" i="15" s="1"/>
  <c r="O191" i="15"/>
  <c r="P191" i="15" s="1"/>
  <c r="N191" i="15"/>
  <c r="I191" i="15"/>
  <c r="H191" i="15"/>
  <c r="G189" i="15"/>
  <c r="H190" i="15" s="1"/>
  <c r="I190" i="15" s="1"/>
  <c r="M190" i="15" s="1"/>
  <c r="F189" i="15"/>
  <c r="H189" i="15" s="1"/>
  <c r="D189" i="15"/>
  <c r="I188" i="15" s="1"/>
  <c r="O186" i="15"/>
  <c r="N186" i="15"/>
  <c r="H186" i="15"/>
  <c r="I186" i="15" s="1"/>
  <c r="P186" i="15" s="1"/>
  <c r="H185" i="15"/>
  <c r="I185" i="15" s="1"/>
  <c r="M185" i="15" s="1"/>
  <c r="H184" i="15"/>
  <c r="I184" i="15" s="1"/>
  <c r="G184" i="15"/>
  <c r="F184" i="15"/>
  <c r="D184" i="15"/>
  <c r="I183" i="15" s="1"/>
  <c r="O181" i="15"/>
  <c r="N181" i="15"/>
  <c r="H181" i="15"/>
  <c r="I181" i="15" s="1"/>
  <c r="P181" i="15" s="1"/>
  <c r="H179" i="15"/>
  <c r="G179" i="15"/>
  <c r="H180" i="15" s="1"/>
  <c r="I180" i="15" s="1"/>
  <c r="M180" i="15" s="1"/>
  <c r="F179" i="15"/>
  <c r="D179" i="15"/>
  <c r="I178" i="15" s="1"/>
  <c r="O176" i="15"/>
  <c r="N176" i="15"/>
  <c r="H176" i="15"/>
  <c r="I176" i="15" s="1"/>
  <c r="I174" i="15"/>
  <c r="G174" i="15"/>
  <c r="F174" i="15"/>
  <c r="D174" i="15"/>
  <c r="I173" i="15" s="1"/>
  <c r="O171" i="15"/>
  <c r="N171" i="15"/>
  <c r="H171" i="15"/>
  <c r="I171" i="15" s="1"/>
  <c r="G169" i="15"/>
  <c r="H170" i="15" s="1"/>
  <c r="I170" i="15" s="1"/>
  <c r="M170" i="15" s="1"/>
  <c r="F169" i="15"/>
  <c r="D169" i="15"/>
  <c r="I168" i="15" s="1"/>
  <c r="O166" i="15"/>
  <c r="N166" i="15"/>
  <c r="H166" i="15"/>
  <c r="I166" i="15" s="1"/>
  <c r="I164" i="15"/>
  <c r="G164" i="15"/>
  <c r="H165" i="15" s="1"/>
  <c r="H167" i="15" s="1"/>
  <c r="F164" i="15"/>
  <c r="D164" i="15"/>
  <c r="I163" i="15" s="1"/>
  <c r="O161" i="15"/>
  <c r="N161" i="15"/>
  <c r="H161" i="15"/>
  <c r="I161" i="15" s="1"/>
  <c r="P161" i="15" s="1"/>
  <c r="H160" i="15"/>
  <c r="I159" i="15"/>
  <c r="G159" i="15"/>
  <c r="F159" i="15"/>
  <c r="D159" i="15"/>
  <c r="I158" i="15" s="1"/>
  <c r="O156" i="15"/>
  <c r="N156" i="15"/>
  <c r="H156" i="15"/>
  <c r="I156" i="15" s="1"/>
  <c r="H155" i="15"/>
  <c r="I155" i="15" s="1"/>
  <c r="M155" i="15" s="1"/>
  <c r="G154" i="15"/>
  <c r="F154" i="15"/>
  <c r="H154" i="15" s="1"/>
  <c r="D154" i="15"/>
  <c r="I153" i="15" s="1"/>
  <c r="O151" i="15"/>
  <c r="N151" i="15"/>
  <c r="H151" i="15"/>
  <c r="I151" i="15" s="1"/>
  <c r="I149" i="15"/>
  <c r="G149" i="15"/>
  <c r="F149" i="15"/>
  <c r="D149" i="15"/>
  <c r="I148" i="15" s="1"/>
  <c r="O143" i="15"/>
  <c r="N143" i="15"/>
  <c r="H143" i="15"/>
  <c r="I143" i="15" s="1"/>
  <c r="P143" i="15" s="1"/>
  <c r="H142" i="15"/>
  <c r="I141" i="15"/>
  <c r="G141" i="15"/>
  <c r="F141" i="15"/>
  <c r="D141" i="15"/>
  <c r="I140" i="15" s="1"/>
  <c r="O135" i="15"/>
  <c r="N135" i="15"/>
  <c r="H135" i="15"/>
  <c r="I135" i="15" s="1"/>
  <c r="I133" i="15"/>
  <c r="G133" i="15"/>
  <c r="H134" i="15" s="1"/>
  <c r="I134" i="15" s="1"/>
  <c r="M134" i="15" s="1"/>
  <c r="F133" i="15"/>
  <c r="D133" i="15"/>
  <c r="I132" i="15" s="1"/>
  <c r="O127" i="15"/>
  <c r="N127" i="15"/>
  <c r="H127" i="15"/>
  <c r="I127" i="15" s="1"/>
  <c r="P127" i="15" s="1"/>
  <c r="I125" i="15"/>
  <c r="G125" i="15"/>
  <c r="H126" i="15" s="1"/>
  <c r="F125" i="15"/>
  <c r="D125" i="15"/>
  <c r="I124" i="15" s="1"/>
  <c r="O119" i="15"/>
  <c r="N119" i="15"/>
  <c r="H119" i="15"/>
  <c r="I119" i="15" s="1"/>
  <c r="I117" i="15"/>
  <c r="G117" i="15"/>
  <c r="H118" i="15" s="1"/>
  <c r="F117" i="15"/>
  <c r="D117" i="15"/>
  <c r="I116" i="15" s="1"/>
  <c r="O111" i="15"/>
  <c r="N111" i="15"/>
  <c r="I111" i="15"/>
  <c r="H111" i="15"/>
  <c r="G109" i="15"/>
  <c r="H110" i="15" s="1"/>
  <c r="F109" i="15"/>
  <c r="D109" i="15"/>
  <c r="I108" i="15" s="1"/>
  <c r="O103" i="15"/>
  <c r="N103" i="15"/>
  <c r="H103" i="15"/>
  <c r="I103" i="15" s="1"/>
  <c r="P103" i="15" s="1"/>
  <c r="I101" i="15"/>
  <c r="G101" i="15"/>
  <c r="H102" i="15" s="1"/>
  <c r="I102" i="15" s="1"/>
  <c r="M102" i="15" s="1"/>
  <c r="F101" i="15"/>
  <c r="D101" i="15"/>
  <c r="I100" i="15" s="1"/>
  <c r="O95" i="15"/>
  <c r="P95" i="15" s="1"/>
  <c r="N95" i="15"/>
  <c r="I95" i="15"/>
  <c r="H95" i="15"/>
  <c r="G93" i="15"/>
  <c r="H94" i="15" s="1"/>
  <c r="I94" i="15" s="1"/>
  <c r="M94" i="15" s="1"/>
  <c r="F93" i="15"/>
  <c r="D93" i="15"/>
  <c r="I92" i="15" s="1"/>
  <c r="O87" i="15"/>
  <c r="N87" i="15"/>
  <c r="H87" i="15"/>
  <c r="I87" i="15" s="1"/>
  <c r="H86" i="15"/>
  <c r="I86" i="15" s="1"/>
  <c r="M86" i="15" s="1"/>
  <c r="G85" i="15"/>
  <c r="F85" i="15"/>
  <c r="D85" i="15"/>
  <c r="I84" i="15" s="1"/>
  <c r="O79" i="15"/>
  <c r="N79" i="15"/>
  <c r="H79" i="15"/>
  <c r="I79" i="15" s="1"/>
  <c r="P79" i="15" s="1"/>
  <c r="G77" i="15"/>
  <c r="H78" i="15" s="1"/>
  <c r="I78" i="15" s="1"/>
  <c r="M78" i="15" s="1"/>
  <c r="F77" i="15"/>
  <c r="D77" i="15"/>
  <c r="I76" i="15" s="1"/>
  <c r="O71" i="15"/>
  <c r="N71" i="15"/>
  <c r="H71" i="15"/>
  <c r="I71" i="15" s="1"/>
  <c r="H70" i="15"/>
  <c r="H72" i="15" s="1"/>
  <c r="I69" i="15"/>
  <c r="G69" i="15"/>
  <c r="F69" i="15"/>
  <c r="D69" i="15"/>
  <c r="I68" i="15" s="1"/>
  <c r="O63" i="15"/>
  <c r="N63" i="15"/>
  <c r="H63" i="15"/>
  <c r="I63" i="15" s="1"/>
  <c r="I61" i="15"/>
  <c r="G61" i="15"/>
  <c r="H62" i="15" s="1"/>
  <c r="F61" i="15"/>
  <c r="D61" i="15"/>
  <c r="I60" i="15" s="1"/>
  <c r="O55" i="15"/>
  <c r="N55" i="15"/>
  <c r="H55" i="15"/>
  <c r="I55" i="15" s="1"/>
  <c r="I53" i="15"/>
  <c r="G53" i="15"/>
  <c r="H54" i="15" s="1"/>
  <c r="F53" i="15"/>
  <c r="D53" i="15"/>
  <c r="I52" i="15" s="1"/>
  <c r="O47" i="15"/>
  <c r="N47" i="15"/>
  <c r="H47" i="15"/>
  <c r="I47" i="15" s="1"/>
  <c r="H46" i="15"/>
  <c r="H48" i="15" s="1"/>
  <c r="I45" i="15"/>
  <c r="G45" i="15"/>
  <c r="F45" i="15"/>
  <c r="D45" i="15"/>
  <c r="I44" i="15" s="1"/>
  <c r="O39" i="15"/>
  <c r="N39" i="15"/>
  <c r="H39" i="15"/>
  <c r="I39" i="15" s="1"/>
  <c r="P39" i="15" s="1"/>
  <c r="I37" i="15"/>
  <c r="G37" i="15"/>
  <c r="H38" i="15" s="1"/>
  <c r="F37" i="15"/>
  <c r="D37" i="15"/>
  <c r="I36" i="15" s="1"/>
  <c r="O31" i="15"/>
  <c r="N31" i="15"/>
  <c r="H31" i="15"/>
  <c r="I31" i="15" s="1"/>
  <c r="P31" i="15" s="1"/>
  <c r="I29" i="15"/>
  <c r="G29" i="15"/>
  <c r="H30" i="15" s="1"/>
  <c r="I30" i="15" s="1"/>
  <c r="M30" i="15" s="1"/>
  <c r="F29" i="15"/>
  <c r="D29" i="15"/>
  <c r="I28" i="15" s="1"/>
  <c r="O23" i="15"/>
  <c r="N23" i="15"/>
  <c r="H23" i="15"/>
  <c r="I23" i="15" s="1"/>
  <c r="I21" i="15"/>
  <c r="G21" i="15"/>
  <c r="H22" i="15" s="1"/>
  <c r="F21" i="15"/>
  <c r="D21" i="15"/>
  <c r="I20" i="15" s="1"/>
  <c r="P15" i="15"/>
  <c r="O15" i="15"/>
  <c r="N15" i="15"/>
  <c r="I15" i="15"/>
  <c r="H15" i="15"/>
  <c r="G13" i="15"/>
  <c r="H14" i="15" s="1"/>
  <c r="F13" i="15"/>
  <c r="D13" i="15"/>
  <c r="I12" i="15" s="1"/>
  <c r="S271" i="14"/>
  <c r="R271" i="14"/>
  <c r="Q271" i="14"/>
  <c r="L271" i="14"/>
  <c r="K271" i="14"/>
  <c r="H270" i="14"/>
  <c r="O269" i="14"/>
  <c r="N269" i="14"/>
  <c r="H269" i="14"/>
  <c r="I269" i="14" s="1"/>
  <c r="I268" i="14"/>
  <c r="M268" i="14" s="1"/>
  <c r="I267" i="14"/>
  <c r="G267" i="14"/>
  <c r="F267" i="14"/>
  <c r="D267" i="14"/>
  <c r="H266" i="14" s="1"/>
  <c r="I266" i="14" s="1"/>
  <c r="O264" i="14"/>
  <c r="N264" i="14"/>
  <c r="H264" i="14"/>
  <c r="I264" i="14" s="1"/>
  <c r="P264" i="14" s="1"/>
  <c r="I262" i="14"/>
  <c r="G262" i="14"/>
  <c r="H263" i="14" s="1"/>
  <c r="I263" i="14" s="1"/>
  <c r="M263" i="14" s="1"/>
  <c r="F262" i="14"/>
  <c r="D262" i="14"/>
  <c r="H261" i="14" s="1"/>
  <c r="I261" i="14" s="1"/>
  <c r="O259" i="14"/>
  <c r="N259" i="14"/>
  <c r="H259" i="14"/>
  <c r="I259" i="14" s="1"/>
  <c r="P259" i="14" s="1"/>
  <c r="I257" i="14"/>
  <c r="G257" i="14"/>
  <c r="H258" i="14" s="1"/>
  <c r="F257" i="14"/>
  <c r="D257" i="14"/>
  <c r="I256" i="14" s="1"/>
  <c r="O254" i="14"/>
  <c r="N254" i="14"/>
  <c r="H254" i="14"/>
  <c r="I254" i="14" s="1"/>
  <c r="P254" i="14" s="1"/>
  <c r="G252" i="14"/>
  <c r="H253" i="14" s="1"/>
  <c r="I253" i="14" s="1"/>
  <c r="M253" i="14" s="1"/>
  <c r="F252" i="14"/>
  <c r="H252" i="14" s="1"/>
  <c r="I252" i="14" s="1"/>
  <c r="D252" i="14"/>
  <c r="I251" i="14" s="1"/>
  <c r="O249" i="14"/>
  <c r="N249" i="14"/>
  <c r="H249" i="14"/>
  <c r="I249" i="14" s="1"/>
  <c r="H248" i="14"/>
  <c r="I248" i="14" s="1"/>
  <c r="M248" i="14" s="1"/>
  <c r="G247" i="14"/>
  <c r="F247" i="14"/>
  <c r="H247" i="14" s="1"/>
  <c r="H250" i="14" s="1"/>
  <c r="D247" i="14"/>
  <c r="I246" i="14" s="1"/>
  <c r="O243" i="14"/>
  <c r="N243" i="14"/>
  <c r="H243" i="14"/>
  <c r="I243" i="14" s="1"/>
  <c r="P243" i="14" s="1"/>
  <c r="I241" i="14"/>
  <c r="G241" i="14"/>
  <c r="H242" i="14" s="1"/>
  <c r="I242" i="14" s="1"/>
  <c r="M242" i="14" s="1"/>
  <c r="F241" i="14"/>
  <c r="D241" i="14"/>
  <c r="H240" i="14" s="1"/>
  <c r="I240" i="14" s="1"/>
  <c r="O236" i="14"/>
  <c r="N236" i="14"/>
  <c r="H236" i="14"/>
  <c r="I236" i="14" s="1"/>
  <c r="I234" i="14"/>
  <c r="G234" i="14"/>
  <c r="H235" i="14" s="1"/>
  <c r="F234" i="14"/>
  <c r="D234" i="14"/>
  <c r="I233" i="14" s="1"/>
  <c r="O229" i="14"/>
  <c r="N229" i="14"/>
  <c r="I229" i="14"/>
  <c r="P229" i="14" s="1"/>
  <c r="H229" i="14"/>
  <c r="I227" i="14"/>
  <c r="G227" i="14"/>
  <c r="H228" i="14" s="1"/>
  <c r="F227" i="14"/>
  <c r="D227" i="14"/>
  <c r="I226" i="14" s="1"/>
  <c r="O224" i="14"/>
  <c r="N224" i="14"/>
  <c r="H224" i="14"/>
  <c r="I224" i="14" s="1"/>
  <c r="P224" i="14" s="1"/>
  <c r="G222" i="14"/>
  <c r="H223" i="14" s="1"/>
  <c r="I223" i="14" s="1"/>
  <c r="M223" i="14" s="1"/>
  <c r="F222" i="14"/>
  <c r="H222" i="14" s="1"/>
  <c r="D222" i="14"/>
  <c r="I221" i="14" s="1"/>
  <c r="O219" i="14"/>
  <c r="N219" i="14"/>
  <c r="H219" i="14"/>
  <c r="I219" i="14" s="1"/>
  <c r="G217" i="14"/>
  <c r="H218" i="14" s="1"/>
  <c r="I218" i="14" s="1"/>
  <c r="M218" i="14" s="1"/>
  <c r="F217" i="14"/>
  <c r="H217" i="14" s="1"/>
  <c r="D217" i="14"/>
  <c r="I216" i="14" s="1"/>
  <c r="O214" i="14"/>
  <c r="N214" i="14"/>
  <c r="H214" i="14"/>
  <c r="I214" i="14" s="1"/>
  <c r="P214" i="14" s="1"/>
  <c r="I213" i="14"/>
  <c r="M213" i="14" s="1"/>
  <c r="I212" i="14"/>
  <c r="G212" i="14"/>
  <c r="F212" i="14"/>
  <c r="D212" i="14"/>
  <c r="I211" i="14" s="1"/>
  <c r="H210" i="14"/>
  <c r="O209" i="14"/>
  <c r="N209" i="14"/>
  <c r="H209" i="14"/>
  <c r="I209" i="14" s="1"/>
  <c r="I208" i="14"/>
  <c r="M208" i="14" s="1"/>
  <c r="I207" i="14"/>
  <c r="G207" i="14"/>
  <c r="F207" i="14"/>
  <c r="D207" i="14"/>
  <c r="H206" i="14" s="1"/>
  <c r="I206" i="14" s="1"/>
  <c r="H205" i="14"/>
  <c r="O204" i="14"/>
  <c r="N204" i="14"/>
  <c r="I204" i="14"/>
  <c r="H204" i="14"/>
  <c r="I203" i="14"/>
  <c r="M203" i="14" s="1"/>
  <c r="I202" i="14"/>
  <c r="G202" i="14"/>
  <c r="F202" i="14"/>
  <c r="D202" i="14"/>
  <c r="I201" i="14" s="1"/>
  <c r="H200" i="14"/>
  <c r="O199" i="14"/>
  <c r="N199" i="14"/>
  <c r="I199" i="14"/>
  <c r="P199" i="14" s="1"/>
  <c r="H199" i="14"/>
  <c r="I198" i="14"/>
  <c r="M198" i="14" s="1"/>
  <c r="I197" i="14"/>
  <c r="G197" i="14"/>
  <c r="F197" i="14"/>
  <c r="D197" i="14"/>
  <c r="H196" i="14" s="1"/>
  <c r="I196" i="14" s="1"/>
  <c r="O194" i="14"/>
  <c r="N194" i="14"/>
  <c r="H194" i="14"/>
  <c r="I194" i="14" s="1"/>
  <c r="P194" i="14" s="1"/>
  <c r="I192" i="14"/>
  <c r="G192" i="14"/>
  <c r="H193" i="14" s="1"/>
  <c r="I193" i="14" s="1"/>
  <c r="M193" i="14" s="1"/>
  <c r="F192" i="14"/>
  <c r="D192" i="14"/>
  <c r="H191" i="14" s="1"/>
  <c r="I191" i="14" s="1"/>
  <c r="O189" i="14"/>
  <c r="N189" i="14"/>
  <c r="I189" i="14"/>
  <c r="H189" i="14"/>
  <c r="I187" i="14"/>
  <c r="G187" i="14"/>
  <c r="H188" i="14" s="1"/>
  <c r="I188" i="14" s="1"/>
  <c r="M188" i="14" s="1"/>
  <c r="F187" i="14"/>
  <c r="D187" i="14"/>
  <c r="H186" i="14" s="1"/>
  <c r="I186" i="14" s="1"/>
  <c r="O184" i="14"/>
  <c r="N184" i="14"/>
  <c r="H184" i="14"/>
  <c r="I184" i="14" s="1"/>
  <c r="P184" i="14" s="1"/>
  <c r="I182" i="14"/>
  <c r="G182" i="14"/>
  <c r="H183" i="14" s="1"/>
  <c r="I183" i="14" s="1"/>
  <c r="M183" i="14" s="1"/>
  <c r="F182" i="14"/>
  <c r="D182" i="14"/>
  <c r="H181" i="14" s="1"/>
  <c r="I181" i="14" s="1"/>
  <c r="O179" i="14"/>
  <c r="N179" i="14"/>
  <c r="H179" i="14"/>
  <c r="I179" i="14" s="1"/>
  <c r="I177" i="14"/>
  <c r="G177" i="14"/>
  <c r="H178" i="14" s="1"/>
  <c r="I178" i="14" s="1"/>
  <c r="M178" i="14" s="1"/>
  <c r="F177" i="14"/>
  <c r="D177" i="14"/>
  <c r="H176" i="14" s="1"/>
  <c r="I176" i="14" s="1"/>
  <c r="H175" i="14"/>
  <c r="O174" i="14"/>
  <c r="N174" i="14"/>
  <c r="H174" i="14"/>
  <c r="I174" i="14" s="1"/>
  <c r="I173" i="14"/>
  <c r="M173" i="14" s="1"/>
  <c r="I172" i="14"/>
  <c r="G172" i="14"/>
  <c r="F172" i="14"/>
  <c r="D172" i="14"/>
  <c r="H171" i="14" s="1"/>
  <c r="I171" i="14" s="1"/>
  <c r="O169" i="14"/>
  <c r="N169" i="14"/>
  <c r="H169" i="14"/>
  <c r="I169" i="14" s="1"/>
  <c r="P169" i="14" s="1"/>
  <c r="I168" i="14"/>
  <c r="M168" i="14" s="1"/>
  <c r="I167" i="14"/>
  <c r="G167" i="14"/>
  <c r="F167" i="14"/>
  <c r="D167" i="14"/>
  <c r="H166" i="14" s="1"/>
  <c r="I166" i="14" s="1"/>
  <c r="O164" i="14"/>
  <c r="N164" i="14"/>
  <c r="H164" i="14"/>
  <c r="I164" i="14" s="1"/>
  <c r="P164" i="14" s="1"/>
  <c r="I163" i="14"/>
  <c r="M163" i="14" s="1"/>
  <c r="I162" i="14"/>
  <c r="G162" i="14"/>
  <c r="F162" i="14"/>
  <c r="D162" i="14"/>
  <c r="H161" i="14" s="1"/>
  <c r="I161" i="14" s="1"/>
  <c r="H160" i="14"/>
  <c r="O159" i="14"/>
  <c r="N159" i="14"/>
  <c r="H159" i="14"/>
  <c r="I159" i="14" s="1"/>
  <c r="I158" i="14"/>
  <c r="M158" i="14" s="1"/>
  <c r="I157" i="14"/>
  <c r="G157" i="14"/>
  <c r="F157" i="14"/>
  <c r="D157" i="14"/>
  <c r="H156" i="14" s="1"/>
  <c r="I156" i="14" s="1"/>
  <c r="O153" i="14"/>
  <c r="N153" i="14"/>
  <c r="I153" i="14"/>
  <c r="H153" i="14"/>
  <c r="I151" i="14"/>
  <c r="G151" i="14"/>
  <c r="H152" i="14" s="1"/>
  <c r="I152" i="14" s="1"/>
  <c r="M152" i="14" s="1"/>
  <c r="F151" i="14"/>
  <c r="D151" i="14"/>
  <c r="H150" i="14" s="1"/>
  <c r="I150" i="14" s="1"/>
  <c r="O147" i="14"/>
  <c r="N147" i="14"/>
  <c r="H147" i="14"/>
  <c r="I147" i="14" s="1"/>
  <c r="I145" i="14"/>
  <c r="G145" i="14"/>
  <c r="H146" i="14" s="1"/>
  <c r="I146" i="14" s="1"/>
  <c r="M146" i="14" s="1"/>
  <c r="F145" i="14"/>
  <c r="D145" i="14"/>
  <c r="H144" i="14" s="1"/>
  <c r="I144" i="14" s="1"/>
  <c r="O141" i="14"/>
  <c r="N141" i="14"/>
  <c r="H141" i="14"/>
  <c r="I141" i="14" s="1"/>
  <c r="I139" i="14"/>
  <c r="G139" i="14"/>
  <c r="H140" i="14" s="1"/>
  <c r="F139" i="14"/>
  <c r="D139" i="14"/>
  <c r="I138" i="14" s="1"/>
  <c r="O136" i="14"/>
  <c r="N136" i="14"/>
  <c r="H136" i="14"/>
  <c r="I136" i="14" s="1"/>
  <c r="H134" i="14"/>
  <c r="I134" i="14" s="1"/>
  <c r="G134" i="14"/>
  <c r="H135" i="14" s="1"/>
  <c r="I135" i="14" s="1"/>
  <c r="M135" i="14" s="1"/>
  <c r="F134" i="14"/>
  <c r="D134" i="14"/>
  <c r="I133" i="14" s="1"/>
  <c r="O131" i="14"/>
  <c r="N131" i="14"/>
  <c r="H131" i="14"/>
  <c r="I131" i="14" s="1"/>
  <c r="P131" i="14" s="1"/>
  <c r="G129" i="14"/>
  <c r="H130" i="14" s="1"/>
  <c r="I130" i="14" s="1"/>
  <c r="M130" i="14" s="1"/>
  <c r="F129" i="14"/>
  <c r="H129" i="14" s="1"/>
  <c r="I129" i="14" s="1"/>
  <c r="D129" i="14"/>
  <c r="I128" i="14" s="1"/>
  <c r="O126" i="14"/>
  <c r="N126" i="14"/>
  <c r="H126" i="14"/>
  <c r="I126" i="14" s="1"/>
  <c r="G124" i="14"/>
  <c r="H125" i="14" s="1"/>
  <c r="I125" i="14" s="1"/>
  <c r="M125" i="14" s="1"/>
  <c r="F124" i="14"/>
  <c r="H124" i="14" s="1"/>
  <c r="D124" i="14"/>
  <c r="I123" i="14" s="1"/>
  <c r="O121" i="14"/>
  <c r="N121" i="14"/>
  <c r="H121" i="14"/>
  <c r="I121" i="14" s="1"/>
  <c r="P121" i="14" s="1"/>
  <c r="G119" i="14"/>
  <c r="H120" i="14" s="1"/>
  <c r="I120" i="14" s="1"/>
  <c r="M120" i="14" s="1"/>
  <c r="F119" i="14"/>
  <c r="H119" i="14" s="1"/>
  <c r="D119" i="14"/>
  <c r="I118" i="14" s="1"/>
  <c r="O116" i="14"/>
  <c r="N116" i="14"/>
  <c r="H116" i="14"/>
  <c r="I116" i="14" s="1"/>
  <c r="P116" i="14" s="1"/>
  <c r="G114" i="14"/>
  <c r="H115" i="14" s="1"/>
  <c r="I115" i="14" s="1"/>
  <c r="M115" i="14" s="1"/>
  <c r="F114" i="14"/>
  <c r="H114" i="14" s="1"/>
  <c r="D114" i="14"/>
  <c r="I113" i="14" s="1"/>
  <c r="O111" i="14"/>
  <c r="N111" i="14"/>
  <c r="H111" i="14"/>
  <c r="I111" i="14" s="1"/>
  <c r="H109" i="14"/>
  <c r="I109" i="14" s="1"/>
  <c r="G109" i="14"/>
  <c r="H110" i="14" s="1"/>
  <c r="I110" i="14" s="1"/>
  <c r="M110" i="14" s="1"/>
  <c r="F109" i="14"/>
  <c r="D109" i="14"/>
  <c r="I108" i="14" s="1"/>
  <c r="O106" i="14"/>
  <c r="N106" i="14"/>
  <c r="H106" i="14"/>
  <c r="I106" i="14" s="1"/>
  <c r="P106" i="14" s="1"/>
  <c r="G104" i="14"/>
  <c r="H105" i="14" s="1"/>
  <c r="I105" i="14" s="1"/>
  <c r="M105" i="14" s="1"/>
  <c r="F104" i="14"/>
  <c r="H104" i="14" s="1"/>
  <c r="H107" i="14" s="1"/>
  <c r="D104" i="14"/>
  <c r="I103" i="14" s="1"/>
  <c r="O101" i="14"/>
  <c r="N101" i="14"/>
  <c r="H101" i="14"/>
  <c r="I101" i="14" s="1"/>
  <c r="G99" i="14"/>
  <c r="H100" i="14" s="1"/>
  <c r="I100" i="14" s="1"/>
  <c r="M100" i="14" s="1"/>
  <c r="F99" i="14"/>
  <c r="H99" i="14" s="1"/>
  <c r="D99" i="14"/>
  <c r="I98" i="14" s="1"/>
  <c r="H97" i="14"/>
  <c r="O96" i="14"/>
  <c r="N96" i="14"/>
  <c r="I96" i="14"/>
  <c r="P96" i="14" s="1"/>
  <c r="H96" i="14"/>
  <c r="I95" i="14"/>
  <c r="M95" i="14" s="1"/>
  <c r="I94" i="14"/>
  <c r="G94" i="14"/>
  <c r="F94" i="14"/>
  <c r="D94" i="14"/>
  <c r="I93" i="14" s="1"/>
  <c r="O89" i="14"/>
  <c r="N89" i="14"/>
  <c r="H89" i="14"/>
  <c r="I89" i="14" s="1"/>
  <c r="P89" i="14" s="1"/>
  <c r="I87" i="14"/>
  <c r="G87" i="14"/>
  <c r="H88" i="14" s="1"/>
  <c r="F87" i="14"/>
  <c r="D87" i="14"/>
  <c r="I86" i="14" s="1"/>
  <c r="O82" i="14"/>
  <c r="N82" i="14"/>
  <c r="H82" i="14"/>
  <c r="I82" i="14" s="1"/>
  <c r="I80" i="14"/>
  <c r="G80" i="14"/>
  <c r="H81" i="14" s="1"/>
  <c r="F80" i="14"/>
  <c r="D80" i="14"/>
  <c r="I79" i="14" s="1"/>
  <c r="O75" i="14"/>
  <c r="N75" i="14"/>
  <c r="H75" i="14"/>
  <c r="I75" i="14" s="1"/>
  <c r="P75" i="14" s="1"/>
  <c r="I73" i="14"/>
  <c r="G73" i="14"/>
  <c r="H74" i="14" s="1"/>
  <c r="F73" i="14"/>
  <c r="D73" i="14"/>
  <c r="I72" i="14" s="1"/>
  <c r="O68" i="14"/>
  <c r="N68" i="14"/>
  <c r="H68" i="14"/>
  <c r="I68" i="14" s="1"/>
  <c r="I66" i="14"/>
  <c r="G66" i="14"/>
  <c r="H67" i="14" s="1"/>
  <c r="F66" i="14"/>
  <c r="D66" i="14"/>
  <c r="I65" i="14" s="1"/>
  <c r="O61" i="14"/>
  <c r="N61" i="14"/>
  <c r="H61" i="14"/>
  <c r="I61" i="14" s="1"/>
  <c r="I59" i="14"/>
  <c r="G59" i="14"/>
  <c r="H60" i="14" s="1"/>
  <c r="F59" i="14"/>
  <c r="D59" i="14"/>
  <c r="I58" i="14" s="1"/>
  <c r="O54" i="14"/>
  <c r="N54" i="14"/>
  <c r="H54" i="14"/>
  <c r="I54" i="14" s="1"/>
  <c r="P54" i="14" s="1"/>
  <c r="I52" i="14"/>
  <c r="G52" i="14"/>
  <c r="H53" i="14" s="1"/>
  <c r="F52" i="14"/>
  <c r="D52" i="14"/>
  <c r="I51" i="14" s="1"/>
  <c r="O47" i="14"/>
  <c r="N47" i="14"/>
  <c r="H47" i="14"/>
  <c r="I47" i="14" s="1"/>
  <c r="H46" i="14"/>
  <c r="H48" i="14" s="1"/>
  <c r="I45" i="14"/>
  <c r="G45" i="14"/>
  <c r="F45" i="14"/>
  <c r="D45" i="14"/>
  <c r="I44" i="14" s="1"/>
  <c r="O40" i="14"/>
  <c r="N40" i="14"/>
  <c r="H40" i="14"/>
  <c r="I40" i="14" s="1"/>
  <c r="P40" i="14" s="1"/>
  <c r="I38" i="14"/>
  <c r="G38" i="14"/>
  <c r="H39" i="14" s="1"/>
  <c r="F38" i="14"/>
  <c r="D38" i="14"/>
  <c r="I37" i="14" s="1"/>
  <c r="O35" i="14"/>
  <c r="N35" i="14"/>
  <c r="H35" i="14"/>
  <c r="I35" i="14" s="1"/>
  <c r="G33" i="14"/>
  <c r="H34" i="14" s="1"/>
  <c r="I34" i="14" s="1"/>
  <c r="M34" i="14" s="1"/>
  <c r="F33" i="14"/>
  <c r="H33" i="14" s="1"/>
  <c r="D33" i="14"/>
  <c r="I32" i="14" s="1"/>
  <c r="O30" i="14"/>
  <c r="N30" i="14"/>
  <c r="H30" i="14"/>
  <c r="I30" i="14" s="1"/>
  <c r="G28" i="14"/>
  <c r="H29" i="14" s="1"/>
  <c r="I29" i="14" s="1"/>
  <c r="M29" i="14" s="1"/>
  <c r="F28" i="14"/>
  <c r="H28" i="14" s="1"/>
  <c r="D28" i="14"/>
  <c r="I27" i="14" s="1"/>
  <c r="O25" i="14"/>
  <c r="N25" i="14"/>
  <c r="H25" i="14"/>
  <c r="I25" i="14" s="1"/>
  <c r="P25" i="14" s="1"/>
  <c r="G23" i="14"/>
  <c r="H24" i="14" s="1"/>
  <c r="I24" i="14" s="1"/>
  <c r="M24" i="14" s="1"/>
  <c r="F23" i="14"/>
  <c r="H23" i="14" s="1"/>
  <c r="D23" i="14"/>
  <c r="I22" i="14" s="1"/>
  <c r="O20" i="14"/>
  <c r="N20" i="14"/>
  <c r="H20" i="14"/>
  <c r="I20" i="14" s="1"/>
  <c r="G18" i="14"/>
  <c r="H19" i="14" s="1"/>
  <c r="I19" i="14" s="1"/>
  <c r="M19" i="14" s="1"/>
  <c r="F18" i="14"/>
  <c r="H18" i="14" s="1"/>
  <c r="D18" i="14"/>
  <c r="I17" i="14" s="1"/>
  <c r="O15" i="14"/>
  <c r="N15" i="14"/>
  <c r="H15" i="14"/>
  <c r="H16" i="14" s="1"/>
  <c r="I14" i="14"/>
  <c r="M14" i="14" s="1"/>
  <c r="I13" i="14"/>
  <c r="G13" i="14"/>
  <c r="F13" i="14"/>
  <c r="D13" i="14"/>
  <c r="I12" i="14" s="1"/>
  <c r="S280" i="13"/>
  <c r="R280" i="13"/>
  <c r="Q280" i="13"/>
  <c r="L280" i="13"/>
  <c r="K280" i="13"/>
  <c r="O277" i="13"/>
  <c r="N277" i="13"/>
  <c r="H277" i="13"/>
  <c r="I277" i="13" s="1"/>
  <c r="I275" i="13"/>
  <c r="G275" i="13"/>
  <c r="H276" i="13" s="1"/>
  <c r="F275" i="13"/>
  <c r="D275" i="13"/>
  <c r="I274" i="13"/>
  <c r="O272" i="13"/>
  <c r="N272" i="13"/>
  <c r="H272" i="13"/>
  <c r="I272" i="13" s="1"/>
  <c r="P272" i="13" s="1"/>
  <c r="I271" i="13"/>
  <c r="M271" i="13" s="1"/>
  <c r="I270" i="13"/>
  <c r="G270" i="13"/>
  <c r="F270" i="13"/>
  <c r="D270" i="13"/>
  <c r="H269" i="13"/>
  <c r="I269" i="13" s="1"/>
  <c r="O267" i="13"/>
  <c r="N267" i="13"/>
  <c r="H267" i="13"/>
  <c r="I267" i="13" s="1"/>
  <c r="P267" i="13" s="1"/>
  <c r="I266" i="13"/>
  <c r="M266" i="13" s="1"/>
  <c r="I265" i="13"/>
  <c r="G265" i="13"/>
  <c r="F265" i="13"/>
  <c r="D265" i="13"/>
  <c r="I264" i="13"/>
  <c r="O262" i="13"/>
  <c r="N262" i="13"/>
  <c r="I262" i="13"/>
  <c r="P262" i="13" s="1"/>
  <c r="H262" i="13"/>
  <c r="I260" i="13"/>
  <c r="G260" i="13"/>
  <c r="H261" i="13" s="1"/>
  <c r="I261" i="13" s="1"/>
  <c r="M261" i="13" s="1"/>
  <c r="F260" i="13"/>
  <c r="D260" i="13"/>
  <c r="H259" i="13" s="1"/>
  <c r="I259" i="13" s="1"/>
  <c r="O257" i="13"/>
  <c r="N257" i="13"/>
  <c r="H257" i="13"/>
  <c r="I257" i="13" s="1"/>
  <c r="G255" i="13"/>
  <c r="H256" i="13" s="1"/>
  <c r="I256" i="13" s="1"/>
  <c r="M256" i="13" s="1"/>
  <c r="F255" i="13"/>
  <c r="D255" i="13"/>
  <c r="H254" i="13" s="1"/>
  <c r="O252" i="13"/>
  <c r="N252" i="13"/>
  <c r="H252" i="13"/>
  <c r="I252" i="13" s="1"/>
  <c r="P252" i="13" s="1"/>
  <c r="I250" i="13"/>
  <c r="G250" i="13"/>
  <c r="H251" i="13" s="1"/>
  <c r="I251" i="13" s="1"/>
  <c r="M251" i="13" s="1"/>
  <c r="F250" i="13"/>
  <c r="D250" i="13"/>
  <c r="H249" i="13" s="1"/>
  <c r="I249" i="13" s="1"/>
  <c r="O247" i="13"/>
  <c r="N247" i="13"/>
  <c r="I247" i="13"/>
  <c r="H247" i="13"/>
  <c r="I245" i="13"/>
  <c r="G245" i="13"/>
  <c r="F245" i="13"/>
  <c r="D245" i="13"/>
  <c r="H244" i="13" s="1"/>
  <c r="I244" i="13" s="1"/>
  <c r="O242" i="13"/>
  <c r="N242" i="13"/>
  <c r="H242" i="13"/>
  <c r="I242" i="13" s="1"/>
  <c r="P242" i="13" s="1"/>
  <c r="I241" i="13"/>
  <c r="M241" i="13" s="1"/>
  <c r="I240" i="13"/>
  <c r="G240" i="13"/>
  <c r="F240" i="13"/>
  <c r="D240" i="13"/>
  <c r="H239" i="13" s="1"/>
  <c r="I239" i="13" s="1"/>
  <c r="O237" i="13"/>
  <c r="N237" i="13"/>
  <c r="H237" i="13"/>
  <c r="I236" i="13"/>
  <c r="M236" i="13" s="1"/>
  <c r="I235" i="13"/>
  <c r="G235" i="13"/>
  <c r="F235" i="13"/>
  <c r="D235" i="13"/>
  <c r="H234" i="13" s="1"/>
  <c r="I234" i="13" s="1"/>
  <c r="O231" i="13"/>
  <c r="N231" i="13"/>
  <c r="H231" i="13"/>
  <c r="I231" i="13" s="1"/>
  <c r="P231" i="13" s="1"/>
  <c r="H230" i="13"/>
  <c r="I230" i="13" s="1"/>
  <c r="M230" i="13" s="1"/>
  <c r="I229" i="13"/>
  <c r="G229" i="13"/>
  <c r="F229" i="13"/>
  <c r="D229" i="13"/>
  <c r="H228" i="13" s="1"/>
  <c r="I228" i="13" s="1"/>
  <c r="O225" i="13"/>
  <c r="N225" i="13"/>
  <c r="I225" i="13"/>
  <c r="P225" i="13" s="1"/>
  <c r="H225" i="13"/>
  <c r="I223" i="13"/>
  <c r="G223" i="13"/>
  <c r="H224" i="13" s="1"/>
  <c r="I224" i="13" s="1"/>
  <c r="M224" i="13" s="1"/>
  <c r="F223" i="13"/>
  <c r="D223" i="13"/>
  <c r="H222" i="13" s="1"/>
  <c r="I222" i="13" s="1"/>
  <c r="O219" i="13"/>
  <c r="N219" i="13"/>
  <c r="H219" i="13"/>
  <c r="I219" i="13" s="1"/>
  <c r="G217" i="13"/>
  <c r="H218" i="13" s="1"/>
  <c r="I218" i="13" s="1"/>
  <c r="M218" i="13" s="1"/>
  <c r="F217" i="13"/>
  <c r="D217" i="13"/>
  <c r="H216" i="13"/>
  <c r="I216" i="13" s="1"/>
  <c r="O213" i="13"/>
  <c r="N213" i="13"/>
  <c r="H213" i="13"/>
  <c r="I213" i="13" s="1"/>
  <c r="P213" i="13" s="1"/>
  <c r="I211" i="13"/>
  <c r="G211" i="13"/>
  <c r="H212" i="13" s="1"/>
  <c r="F211" i="13"/>
  <c r="D211" i="13"/>
  <c r="I210" i="13"/>
  <c r="O207" i="13"/>
  <c r="N207" i="13"/>
  <c r="H207" i="13"/>
  <c r="I207" i="13" s="1"/>
  <c r="I205" i="13"/>
  <c r="G205" i="13"/>
  <c r="H206" i="13" s="1"/>
  <c r="F205" i="13"/>
  <c r="D205" i="13"/>
  <c r="I204" i="13" s="1"/>
  <c r="O201" i="13"/>
  <c r="N201" i="13"/>
  <c r="I201" i="13"/>
  <c r="H201" i="13"/>
  <c r="I199" i="13"/>
  <c r="G199" i="13"/>
  <c r="H200" i="13" s="1"/>
  <c r="H202" i="13" s="1"/>
  <c r="F199" i="13"/>
  <c r="D199" i="13"/>
  <c r="I198" i="13"/>
  <c r="O195" i="13"/>
  <c r="N195" i="13"/>
  <c r="H195" i="13"/>
  <c r="I195" i="13" s="1"/>
  <c r="I193" i="13"/>
  <c r="G193" i="13"/>
  <c r="H194" i="13" s="1"/>
  <c r="F193" i="13"/>
  <c r="D193" i="13"/>
  <c r="I192" i="13"/>
  <c r="O189" i="13"/>
  <c r="N189" i="13"/>
  <c r="H189" i="13"/>
  <c r="I189" i="13" s="1"/>
  <c r="P189" i="13" s="1"/>
  <c r="I187" i="13"/>
  <c r="G187" i="13"/>
  <c r="H188" i="13" s="1"/>
  <c r="F187" i="13"/>
  <c r="D187" i="13"/>
  <c r="I186" i="13"/>
  <c r="O184" i="13"/>
  <c r="N184" i="13"/>
  <c r="H184" i="13"/>
  <c r="I184" i="13" s="1"/>
  <c r="G182" i="13"/>
  <c r="H183" i="13" s="1"/>
  <c r="I183" i="13" s="1"/>
  <c r="M183" i="13" s="1"/>
  <c r="F182" i="13"/>
  <c r="H182" i="13" s="1"/>
  <c r="I182" i="13" s="1"/>
  <c r="D182" i="13"/>
  <c r="I181" i="13"/>
  <c r="O179" i="13"/>
  <c r="N179" i="13"/>
  <c r="H179" i="13"/>
  <c r="I179" i="13" s="1"/>
  <c r="P179" i="13" s="1"/>
  <c r="G177" i="13"/>
  <c r="H178" i="13" s="1"/>
  <c r="I178" i="13" s="1"/>
  <c r="M178" i="13" s="1"/>
  <c r="F177" i="13"/>
  <c r="H177" i="13" s="1"/>
  <c r="D177" i="13"/>
  <c r="O174" i="13"/>
  <c r="N174" i="13"/>
  <c r="H174" i="13"/>
  <c r="I174" i="13" s="1"/>
  <c r="P174" i="13" s="1"/>
  <c r="G172" i="13"/>
  <c r="H173" i="13" s="1"/>
  <c r="I173" i="13" s="1"/>
  <c r="M173" i="13" s="1"/>
  <c r="F172" i="13"/>
  <c r="H172" i="13" s="1"/>
  <c r="D172" i="13"/>
  <c r="I171" i="13"/>
  <c r="O169" i="13"/>
  <c r="N169" i="13"/>
  <c r="H169" i="13"/>
  <c r="I169" i="13" s="1"/>
  <c r="G167" i="13"/>
  <c r="H168" i="13" s="1"/>
  <c r="I168" i="13" s="1"/>
  <c r="M168" i="13" s="1"/>
  <c r="F167" i="13"/>
  <c r="H167" i="13" s="1"/>
  <c r="I167" i="13" s="1"/>
  <c r="D167" i="13"/>
  <c r="O164" i="13"/>
  <c r="N164" i="13"/>
  <c r="H164" i="13"/>
  <c r="I164" i="13" s="1"/>
  <c r="P164" i="13" s="1"/>
  <c r="G162" i="13"/>
  <c r="H163" i="13" s="1"/>
  <c r="I163" i="13" s="1"/>
  <c r="M163" i="13" s="1"/>
  <c r="F162" i="13"/>
  <c r="H162" i="13" s="1"/>
  <c r="D162" i="13"/>
  <c r="I161" i="13"/>
  <c r="O159" i="13"/>
  <c r="N159" i="13"/>
  <c r="H159" i="13"/>
  <c r="I159" i="13" s="1"/>
  <c r="G157" i="13"/>
  <c r="H158" i="13" s="1"/>
  <c r="I158" i="13" s="1"/>
  <c r="M158" i="13" s="1"/>
  <c r="F157" i="13"/>
  <c r="H157" i="13" s="1"/>
  <c r="D157" i="13"/>
  <c r="I156" i="13"/>
  <c r="O154" i="13"/>
  <c r="N154" i="13"/>
  <c r="I154" i="13"/>
  <c r="P154" i="13" s="1"/>
  <c r="H154" i="13"/>
  <c r="H155" i="13" s="1"/>
  <c r="I153" i="13"/>
  <c r="M153" i="13" s="1"/>
  <c r="I152" i="13"/>
  <c r="G152" i="13"/>
  <c r="F152" i="13"/>
  <c r="D152" i="13"/>
  <c r="I151" i="13"/>
  <c r="O149" i="13"/>
  <c r="N149" i="13"/>
  <c r="I149" i="13"/>
  <c r="P149" i="13" s="1"/>
  <c r="H149" i="13"/>
  <c r="H148" i="13"/>
  <c r="H150" i="13" s="1"/>
  <c r="I147" i="13"/>
  <c r="G147" i="13"/>
  <c r="F147" i="13"/>
  <c r="D147" i="13"/>
  <c r="I146" i="13" s="1"/>
  <c r="O144" i="13"/>
  <c r="N144" i="13"/>
  <c r="H144" i="13"/>
  <c r="I144" i="13" s="1"/>
  <c r="I142" i="13"/>
  <c r="G142" i="13"/>
  <c r="H143" i="13" s="1"/>
  <c r="H145" i="13" s="1"/>
  <c r="F142" i="13"/>
  <c r="D142" i="13"/>
  <c r="I141" i="13"/>
  <c r="O139" i="13"/>
  <c r="N139" i="13"/>
  <c r="H139" i="13"/>
  <c r="I139" i="13" s="1"/>
  <c r="I137" i="13"/>
  <c r="G137" i="13"/>
  <c r="H138" i="13" s="1"/>
  <c r="H140" i="13" s="1"/>
  <c r="F137" i="13"/>
  <c r="D137" i="13"/>
  <c r="I136" i="13" s="1"/>
  <c r="O134" i="13"/>
  <c r="N134" i="13"/>
  <c r="H134" i="13"/>
  <c r="I134" i="13" s="1"/>
  <c r="P134" i="13" s="1"/>
  <c r="G132" i="13"/>
  <c r="H133" i="13" s="1"/>
  <c r="I133" i="13" s="1"/>
  <c r="M133" i="13" s="1"/>
  <c r="F132" i="13"/>
  <c r="D132" i="13"/>
  <c r="I131" i="13" s="1"/>
  <c r="O129" i="13"/>
  <c r="N129" i="13"/>
  <c r="H129" i="13"/>
  <c r="I129" i="13" s="1"/>
  <c r="P129" i="13" s="1"/>
  <c r="G127" i="13"/>
  <c r="H128" i="13" s="1"/>
  <c r="I128" i="13" s="1"/>
  <c r="M128" i="13" s="1"/>
  <c r="F127" i="13"/>
  <c r="D127" i="13"/>
  <c r="O124" i="13"/>
  <c r="N124" i="13"/>
  <c r="H124" i="13"/>
  <c r="I124" i="13" s="1"/>
  <c r="I122" i="13"/>
  <c r="G122" i="13"/>
  <c r="H123" i="13" s="1"/>
  <c r="I123" i="13" s="1"/>
  <c r="M123" i="13" s="1"/>
  <c r="F122" i="13"/>
  <c r="D122" i="13"/>
  <c r="O119" i="13"/>
  <c r="N119" i="13"/>
  <c r="H119" i="13"/>
  <c r="I119" i="13" s="1"/>
  <c r="I117" i="13"/>
  <c r="G117" i="13"/>
  <c r="H118" i="13" s="1"/>
  <c r="F117" i="13"/>
  <c r="D117" i="13"/>
  <c r="I116" i="13"/>
  <c r="O114" i="13"/>
  <c r="N114" i="13"/>
  <c r="H114" i="13"/>
  <c r="I114" i="13" s="1"/>
  <c r="P114" i="13" s="1"/>
  <c r="I112" i="13"/>
  <c r="G112" i="13"/>
  <c r="H113" i="13" s="1"/>
  <c r="F112" i="13"/>
  <c r="D112" i="13"/>
  <c r="I111" i="13" s="1"/>
  <c r="O109" i="13"/>
  <c r="N109" i="13"/>
  <c r="H109" i="13"/>
  <c r="I109" i="13" s="1"/>
  <c r="I107" i="13"/>
  <c r="G107" i="13"/>
  <c r="H108" i="13" s="1"/>
  <c r="F107" i="13"/>
  <c r="D107" i="13"/>
  <c r="I106" i="13" s="1"/>
  <c r="O98" i="13"/>
  <c r="N98" i="13"/>
  <c r="H98" i="13"/>
  <c r="I98" i="13" s="1"/>
  <c r="P98" i="13" s="1"/>
  <c r="H97" i="13"/>
  <c r="I96" i="13"/>
  <c r="G96" i="13"/>
  <c r="F96" i="13"/>
  <c r="D96" i="13"/>
  <c r="I95" i="13" s="1"/>
  <c r="O87" i="13"/>
  <c r="N87" i="13"/>
  <c r="H87" i="13"/>
  <c r="I87" i="13" s="1"/>
  <c r="P87" i="13" s="1"/>
  <c r="H86" i="13"/>
  <c r="I86" i="13" s="1"/>
  <c r="M86" i="13" s="1"/>
  <c r="I85" i="13"/>
  <c r="G85" i="13"/>
  <c r="F85" i="13"/>
  <c r="D85" i="13"/>
  <c r="I84" i="13"/>
  <c r="O76" i="13"/>
  <c r="N76" i="13"/>
  <c r="H76" i="13"/>
  <c r="I76" i="13" s="1"/>
  <c r="I74" i="13"/>
  <c r="G74" i="13"/>
  <c r="H75" i="13" s="1"/>
  <c r="H77" i="13" s="1"/>
  <c r="F74" i="13"/>
  <c r="D74" i="13"/>
  <c r="I73" i="13" s="1"/>
  <c r="O65" i="13"/>
  <c r="N65" i="13"/>
  <c r="H65" i="13"/>
  <c r="I65" i="13" s="1"/>
  <c r="I63" i="13"/>
  <c r="G63" i="13"/>
  <c r="H64" i="13" s="1"/>
  <c r="F63" i="13"/>
  <c r="D63" i="13"/>
  <c r="I62" i="13" s="1"/>
  <c r="O54" i="13"/>
  <c r="N54" i="13"/>
  <c r="H54" i="13"/>
  <c r="I54" i="13" s="1"/>
  <c r="P54" i="13" s="1"/>
  <c r="I52" i="13"/>
  <c r="G52" i="13"/>
  <c r="H53" i="13" s="1"/>
  <c r="F52" i="13"/>
  <c r="D52" i="13"/>
  <c r="I51" i="13"/>
  <c r="O43" i="13"/>
  <c r="N43" i="13"/>
  <c r="H43" i="13"/>
  <c r="I43" i="13" s="1"/>
  <c r="H42" i="13"/>
  <c r="I42" i="13" s="1"/>
  <c r="M42" i="13" s="1"/>
  <c r="I41" i="13"/>
  <c r="G41" i="13"/>
  <c r="F41" i="13"/>
  <c r="D41" i="13"/>
  <c r="I40" i="13" s="1"/>
  <c r="O32" i="13"/>
  <c r="N32" i="13"/>
  <c r="H32" i="13"/>
  <c r="I32" i="13" s="1"/>
  <c r="I30" i="13"/>
  <c r="G30" i="13"/>
  <c r="H31" i="13" s="1"/>
  <c r="F30" i="13"/>
  <c r="D30" i="13"/>
  <c r="I29" i="13" s="1"/>
  <c r="O21" i="13"/>
  <c r="N21" i="13"/>
  <c r="H21" i="13"/>
  <c r="I21" i="13" s="1"/>
  <c r="I19" i="13"/>
  <c r="G19" i="13"/>
  <c r="H20" i="13" s="1"/>
  <c r="F19" i="13"/>
  <c r="D19" i="13"/>
  <c r="I18" i="13" s="1"/>
  <c r="O15" i="13"/>
  <c r="N15" i="13"/>
  <c r="H15" i="13"/>
  <c r="I15" i="13" s="1"/>
  <c r="I13" i="13"/>
  <c r="G13" i="13"/>
  <c r="H14" i="13" s="1"/>
  <c r="I14" i="13" s="1"/>
  <c r="M14" i="13" s="1"/>
  <c r="F13" i="13"/>
  <c r="D13" i="13"/>
  <c r="S382" i="12"/>
  <c r="R382" i="12"/>
  <c r="Q382" i="12"/>
  <c r="L382" i="12"/>
  <c r="K382" i="12"/>
  <c r="O380" i="12"/>
  <c r="N380" i="12"/>
  <c r="H380" i="12"/>
  <c r="I380" i="12" s="1"/>
  <c r="P380" i="12" s="1"/>
  <c r="G378" i="12"/>
  <c r="F378" i="12"/>
  <c r="D378" i="12"/>
  <c r="H377" i="12" s="1"/>
  <c r="I377" i="12" s="1"/>
  <c r="O375" i="12"/>
  <c r="N375" i="12"/>
  <c r="H375" i="12"/>
  <c r="I375" i="12" s="1"/>
  <c r="P375" i="12" s="1"/>
  <c r="I374" i="12"/>
  <c r="M374" i="12" s="1"/>
  <c r="I373" i="12"/>
  <c r="G373" i="12"/>
  <c r="F373" i="12"/>
  <c r="D373" i="12"/>
  <c r="O370" i="12"/>
  <c r="N370" i="12"/>
  <c r="I370" i="12"/>
  <c r="H370" i="12"/>
  <c r="I368" i="12"/>
  <c r="G368" i="12"/>
  <c r="H369" i="12" s="1"/>
  <c r="I369" i="12" s="1"/>
  <c r="M369" i="12" s="1"/>
  <c r="F368" i="12"/>
  <c r="D368" i="12"/>
  <c r="H367" i="12" s="1"/>
  <c r="I367" i="12" s="1"/>
  <c r="O365" i="12"/>
  <c r="N365" i="12"/>
  <c r="H365" i="12"/>
  <c r="I365" i="12" s="1"/>
  <c r="P365" i="12" s="1"/>
  <c r="I363" i="12"/>
  <c r="G363" i="12"/>
  <c r="H364" i="12" s="1"/>
  <c r="I364" i="12" s="1"/>
  <c r="M364" i="12" s="1"/>
  <c r="F363" i="12"/>
  <c r="D363" i="12"/>
  <c r="H362" i="12" s="1"/>
  <c r="I362" i="12" s="1"/>
  <c r="O360" i="12"/>
  <c r="N360" i="12"/>
  <c r="H360" i="12"/>
  <c r="I360" i="12" s="1"/>
  <c r="I359" i="12"/>
  <c r="M359" i="12" s="1"/>
  <c r="I358" i="12"/>
  <c r="G358" i="12"/>
  <c r="F358" i="12"/>
  <c r="D358" i="12"/>
  <c r="H357" i="12" s="1"/>
  <c r="I357" i="12" s="1"/>
  <c r="O355" i="12"/>
  <c r="N355" i="12"/>
  <c r="H355" i="12"/>
  <c r="H356" i="12" s="1"/>
  <c r="I354" i="12"/>
  <c r="M354" i="12" s="1"/>
  <c r="I353" i="12"/>
  <c r="G353" i="12"/>
  <c r="F353" i="12"/>
  <c r="D353" i="12"/>
  <c r="H352" i="12" s="1"/>
  <c r="I352" i="12" s="1"/>
  <c r="O349" i="12"/>
  <c r="N349" i="12"/>
  <c r="I349" i="12"/>
  <c r="P349" i="12" s="1"/>
  <c r="H349" i="12"/>
  <c r="I347" i="12"/>
  <c r="G347" i="12"/>
  <c r="H348" i="12" s="1"/>
  <c r="I348" i="12" s="1"/>
  <c r="M348" i="12" s="1"/>
  <c r="F347" i="12"/>
  <c r="D347" i="12"/>
  <c r="H346" i="12" s="1"/>
  <c r="I346" i="12" s="1"/>
  <c r="O343" i="12"/>
  <c r="N343" i="12"/>
  <c r="H343" i="12"/>
  <c r="I343" i="12" s="1"/>
  <c r="I341" i="12"/>
  <c r="G341" i="12"/>
  <c r="H342" i="12" s="1"/>
  <c r="I342" i="12" s="1"/>
  <c r="M342" i="12" s="1"/>
  <c r="F341" i="12"/>
  <c r="D341" i="12"/>
  <c r="H340" i="12" s="1"/>
  <c r="I340" i="12" s="1"/>
  <c r="O337" i="12"/>
  <c r="N337" i="12"/>
  <c r="H337" i="12"/>
  <c r="I337" i="12" s="1"/>
  <c r="P337" i="12" s="1"/>
  <c r="H336" i="12"/>
  <c r="I336" i="12" s="1"/>
  <c r="M336" i="12" s="1"/>
  <c r="I335" i="12"/>
  <c r="G335" i="12"/>
  <c r="F335" i="12"/>
  <c r="D335" i="12"/>
  <c r="O331" i="12"/>
  <c r="N331" i="12"/>
  <c r="H331" i="12"/>
  <c r="I331" i="12" s="1"/>
  <c r="P331" i="12" s="1"/>
  <c r="I329" i="12"/>
  <c r="G329" i="12"/>
  <c r="H330" i="12" s="1"/>
  <c r="F329" i="12"/>
  <c r="D329" i="12"/>
  <c r="I328" i="12" s="1"/>
  <c r="O325" i="12"/>
  <c r="N325" i="12"/>
  <c r="H325" i="12"/>
  <c r="I325" i="12" s="1"/>
  <c r="G323" i="12"/>
  <c r="H324" i="12" s="1"/>
  <c r="I324" i="12" s="1"/>
  <c r="M324" i="12" s="1"/>
  <c r="F323" i="12"/>
  <c r="D323" i="12"/>
  <c r="I322" i="12"/>
  <c r="O319" i="12"/>
  <c r="N319" i="12"/>
  <c r="H319" i="12"/>
  <c r="I319" i="12" s="1"/>
  <c r="P319" i="12" s="1"/>
  <c r="I317" i="12"/>
  <c r="G317" i="12"/>
  <c r="H318" i="12" s="1"/>
  <c r="F317" i="12"/>
  <c r="D317" i="12"/>
  <c r="I316" i="12"/>
  <c r="O313" i="12"/>
  <c r="N313" i="12"/>
  <c r="H313" i="12"/>
  <c r="I313" i="12" s="1"/>
  <c r="H312" i="12"/>
  <c r="I312" i="12" s="1"/>
  <c r="M312" i="12" s="1"/>
  <c r="I311" i="12"/>
  <c r="G311" i="12"/>
  <c r="F311" i="12"/>
  <c r="D311" i="12"/>
  <c r="I310" i="12" s="1"/>
  <c r="O307" i="12"/>
  <c r="N307" i="12"/>
  <c r="H307" i="12"/>
  <c r="I307" i="12" s="1"/>
  <c r="P307" i="12" s="1"/>
  <c r="I305" i="12"/>
  <c r="G305" i="12"/>
  <c r="H306" i="12" s="1"/>
  <c r="F305" i="12"/>
  <c r="D305" i="12"/>
  <c r="I304" i="12"/>
  <c r="O302" i="12"/>
  <c r="N302" i="12"/>
  <c r="H302" i="12"/>
  <c r="I302" i="12" s="1"/>
  <c r="P302" i="12" s="1"/>
  <c r="H300" i="12"/>
  <c r="I300" i="12" s="1"/>
  <c r="G300" i="12"/>
  <c r="H301" i="12" s="1"/>
  <c r="I301" i="12" s="1"/>
  <c r="M301" i="12" s="1"/>
  <c r="F300" i="12"/>
  <c r="D300" i="12"/>
  <c r="I299" i="12"/>
  <c r="O297" i="12"/>
  <c r="N297" i="12"/>
  <c r="H297" i="12"/>
  <c r="I297" i="12" s="1"/>
  <c r="G295" i="12"/>
  <c r="H296" i="12" s="1"/>
  <c r="I296" i="12" s="1"/>
  <c r="M296" i="12" s="1"/>
  <c r="F295" i="12"/>
  <c r="H295" i="12" s="1"/>
  <c r="D295" i="12"/>
  <c r="I294" i="12"/>
  <c r="O292" i="12"/>
  <c r="N292" i="12"/>
  <c r="H292" i="12"/>
  <c r="I292" i="12" s="1"/>
  <c r="G290" i="12"/>
  <c r="H291" i="12" s="1"/>
  <c r="I291" i="12" s="1"/>
  <c r="M291" i="12" s="1"/>
  <c r="F290" i="12"/>
  <c r="H290" i="12" s="1"/>
  <c r="D290" i="12"/>
  <c r="I289" i="12"/>
  <c r="O287" i="12"/>
  <c r="N287" i="12"/>
  <c r="H287" i="12"/>
  <c r="I287" i="12" s="1"/>
  <c r="P287" i="12" s="1"/>
  <c r="G285" i="12"/>
  <c r="H286" i="12" s="1"/>
  <c r="I286" i="12" s="1"/>
  <c r="M286" i="12" s="1"/>
  <c r="F285" i="12"/>
  <c r="H285" i="12" s="1"/>
  <c r="I285" i="12" s="1"/>
  <c r="I288" i="12" s="1"/>
  <c r="D285" i="12"/>
  <c r="I284" i="12" s="1"/>
  <c r="O282" i="12"/>
  <c r="N282" i="12"/>
  <c r="I282" i="12"/>
  <c r="H282" i="12"/>
  <c r="G280" i="12"/>
  <c r="H281" i="12" s="1"/>
  <c r="I281" i="12" s="1"/>
  <c r="M281" i="12" s="1"/>
  <c r="F280" i="12"/>
  <c r="H280" i="12" s="1"/>
  <c r="D280" i="12"/>
  <c r="I279" i="12"/>
  <c r="O277" i="12"/>
  <c r="N277" i="12"/>
  <c r="H277" i="12"/>
  <c r="I277" i="12" s="1"/>
  <c r="P277" i="12" s="1"/>
  <c r="I276" i="12"/>
  <c r="M276" i="12" s="1"/>
  <c r="G275" i="12"/>
  <c r="F275" i="12"/>
  <c r="D275" i="12"/>
  <c r="O271" i="12"/>
  <c r="N271" i="12"/>
  <c r="H271" i="12"/>
  <c r="I271" i="12" s="1"/>
  <c r="P271" i="12" s="1"/>
  <c r="H270" i="12"/>
  <c r="I270" i="12" s="1"/>
  <c r="M270" i="12" s="1"/>
  <c r="G269" i="12"/>
  <c r="F269" i="12"/>
  <c r="D269" i="12"/>
  <c r="I268" i="12"/>
  <c r="O265" i="12"/>
  <c r="N265" i="12"/>
  <c r="I265" i="12"/>
  <c r="H265" i="12"/>
  <c r="I263" i="12"/>
  <c r="G263" i="12"/>
  <c r="H264" i="12" s="1"/>
  <c r="I264" i="12" s="1"/>
  <c r="M264" i="12" s="1"/>
  <c r="F263" i="12"/>
  <c r="D263" i="12"/>
  <c r="O259" i="12"/>
  <c r="N259" i="12"/>
  <c r="H259" i="12"/>
  <c r="I259" i="12" s="1"/>
  <c r="I257" i="12"/>
  <c r="G257" i="12"/>
  <c r="H258" i="12" s="1"/>
  <c r="F257" i="12"/>
  <c r="D257" i="12"/>
  <c r="I256" i="12" s="1"/>
  <c r="O253" i="12"/>
  <c r="N253" i="12"/>
  <c r="H253" i="12"/>
  <c r="I253" i="12" s="1"/>
  <c r="I251" i="12"/>
  <c r="G251" i="12"/>
  <c r="H252" i="12" s="1"/>
  <c r="F251" i="12"/>
  <c r="D251" i="12"/>
  <c r="I250" i="12" s="1"/>
  <c r="O247" i="12"/>
  <c r="N247" i="12"/>
  <c r="H247" i="12"/>
  <c r="I247" i="12" s="1"/>
  <c r="P247" i="12" s="1"/>
  <c r="I245" i="12"/>
  <c r="G245" i="12"/>
  <c r="H246" i="12" s="1"/>
  <c r="F245" i="12"/>
  <c r="D245" i="12"/>
  <c r="I244" i="12"/>
  <c r="O241" i="12"/>
  <c r="N241" i="12"/>
  <c r="H241" i="12"/>
  <c r="I241" i="12" s="1"/>
  <c r="I240" i="12"/>
  <c r="M240" i="12" s="1"/>
  <c r="I239" i="12"/>
  <c r="G239" i="12"/>
  <c r="F239" i="12"/>
  <c r="D239" i="12"/>
  <c r="I238" i="12"/>
  <c r="O235" i="12"/>
  <c r="N235" i="12"/>
  <c r="H235" i="12"/>
  <c r="I235" i="12" s="1"/>
  <c r="P235" i="12" s="1"/>
  <c r="I234" i="12"/>
  <c r="M234" i="12" s="1"/>
  <c r="I233" i="12"/>
  <c r="G233" i="12"/>
  <c r="F233" i="12"/>
  <c r="D233" i="12"/>
  <c r="I232" i="12"/>
  <c r="O229" i="12"/>
  <c r="N229" i="12"/>
  <c r="H229" i="12"/>
  <c r="I229" i="12" s="1"/>
  <c r="P229" i="12" s="1"/>
  <c r="G227" i="12"/>
  <c r="F227" i="12"/>
  <c r="D227" i="12"/>
  <c r="I226" i="12" s="1"/>
  <c r="O221" i="12"/>
  <c r="N221" i="12"/>
  <c r="H221" i="12"/>
  <c r="I221" i="12" s="1"/>
  <c r="I219" i="12"/>
  <c r="G219" i="12"/>
  <c r="H220" i="12" s="1"/>
  <c r="F219" i="12"/>
  <c r="D219" i="12"/>
  <c r="I218" i="12" s="1"/>
  <c r="O213" i="12"/>
  <c r="N213" i="12"/>
  <c r="H213" i="12"/>
  <c r="I213" i="12" s="1"/>
  <c r="P213" i="12" s="1"/>
  <c r="H212" i="12"/>
  <c r="H214" i="12" s="1"/>
  <c r="I211" i="12"/>
  <c r="G211" i="12"/>
  <c r="F211" i="12"/>
  <c r="D211" i="12"/>
  <c r="I210" i="12"/>
  <c r="O205" i="12"/>
  <c r="N205" i="12"/>
  <c r="H205" i="12"/>
  <c r="I205" i="12" s="1"/>
  <c r="P205" i="12" s="1"/>
  <c r="I203" i="12"/>
  <c r="G203" i="12"/>
  <c r="H204" i="12" s="1"/>
  <c r="H206" i="12" s="1"/>
  <c r="F203" i="12"/>
  <c r="D203" i="12"/>
  <c r="I202" i="12" s="1"/>
  <c r="O197" i="12"/>
  <c r="N197" i="12"/>
  <c r="H197" i="12"/>
  <c r="I197" i="12" s="1"/>
  <c r="I195" i="12"/>
  <c r="G195" i="12"/>
  <c r="H196" i="12" s="1"/>
  <c r="I196" i="12" s="1"/>
  <c r="M196" i="12" s="1"/>
  <c r="F195" i="12"/>
  <c r="D195" i="12"/>
  <c r="I194" i="12" s="1"/>
  <c r="O189" i="12"/>
  <c r="N189" i="12"/>
  <c r="I189" i="12"/>
  <c r="P189" i="12" s="1"/>
  <c r="H189" i="12"/>
  <c r="I187" i="12"/>
  <c r="G187" i="12"/>
  <c r="H188" i="12" s="1"/>
  <c r="F187" i="12"/>
  <c r="D187" i="12"/>
  <c r="I186" i="12"/>
  <c r="O181" i="12"/>
  <c r="N181" i="12"/>
  <c r="H181" i="12"/>
  <c r="I181" i="12" s="1"/>
  <c r="G179" i="12"/>
  <c r="H180" i="12" s="1"/>
  <c r="I180" i="12" s="1"/>
  <c r="M180" i="12" s="1"/>
  <c r="F179" i="12"/>
  <c r="D179" i="12"/>
  <c r="I178" i="12"/>
  <c r="O173" i="12"/>
  <c r="N173" i="12"/>
  <c r="H173" i="12"/>
  <c r="I173" i="12" s="1"/>
  <c r="I171" i="12"/>
  <c r="G171" i="12"/>
  <c r="H172" i="12" s="1"/>
  <c r="F171" i="12"/>
  <c r="D171" i="12"/>
  <c r="I170" i="12" s="1"/>
  <c r="O165" i="12"/>
  <c r="N165" i="12"/>
  <c r="H165" i="12"/>
  <c r="I165" i="12" s="1"/>
  <c r="I163" i="12"/>
  <c r="G163" i="12"/>
  <c r="H164" i="12" s="1"/>
  <c r="F163" i="12"/>
  <c r="D163" i="12"/>
  <c r="I162" i="12" s="1"/>
  <c r="O157" i="12"/>
  <c r="N157" i="12"/>
  <c r="H157" i="12"/>
  <c r="I157" i="12" s="1"/>
  <c r="P157" i="12" s="1"/>
  <c r="I155" i="12"/>
  <c r="G155" i="12"/>
  <c r="H156" i="12" s="1"/>
  <c r="F155" i="12"/>
  <c r="D155" i="12"/>
  <c r="I154" i="12"/>
  <c r="O149" i="12"/>
  <c r="N149" i="12"/>
  <c r="H149" i="12"/>
  <c r="I149" i="12" s="1"/>
  <c r="P149" i="12" s="1"/>
  <c r="H148" i="12"/>
  <c r="I148" i="12" s="1"/>
  <c r="M148" i="12" s="1"/>
  <c r="I147" i="12"/>
  <c r="G147" i="12"/>
  <c r="F147" i="12"/>
  <c r="D147" i="12"/>
  <c r="I146" i="12" s="1"/>
  <c r="O141" i="12"/>
  <c r="N141" i="12"/>
  <c r="H141" i="12"/>
  <c r="I141" i="12" s="1"/>
  <c r="I139" i="12"/>
  <c r="G139" i="12"/>
  <c r="H140" i="12" s="1"/>
  <c r="F139" i="12"/>
  <c r="D139" i="12"/>
  <c r="I138" i="12" s="1"/>
  <c r="O133" i="12"/>
  <c r="N133" i="12"/>
  <c r="H133" i="12"/>
  <c r="I133" i="12" s="1"/>
  <c r="I131" i="12"/>
  <c r="G131" i="12"/>
  <c r="H132" i="12" s="1"/>
  <c r="H134" i="12" s="1"/>
  <c r="F131" i="12"/>
  <c r="D131" i="12"/>
  <c r="I130" i="12"/>
  <c r="O125" i="12"/>
  <c r="N125" i="12"/>
  <c r="H125" i="12"/>
  <c r="I125" i="12" s="1"/>
  <c r="P125" i="12" s="1"/>
  <c r="I123" i="12"/>
  <c r="G123" i="12"/>
  <c r="H124" i="12" s="1"/>
  <c r="F123" i="12"/>
  <c r="D123" i="12"/>
  <c r="I122" i="12" s="1"/>
  <c r="O117" i="12"/>
  <c r="N117" i="12"/>
  <c r="H117" i="12"/>
  <c r="I117" i="12" s="1"/>
  <c r="I115" i="12"/>
  <c r="G115" i="12"/>
  <c r="H116" i="12" s="1"/>
  <c r="F115" i="12"/>
  <c r="D115" i="12"/>
  <c r="I114" i="12"/>
  <c r="O109" i="12"/>
  <c r="N109" i="12"/>
  <c r="H109" i="12"/>
  <c r="I109" i="12" s="1"/>
  <c r="I107" i="12"/>
  <c r="G107" i="12"/>
  <c r="H108" i="12" s="1"/>
  <c r="F107" i="12"/>
  <c r="D107" i="12"/>
  <c r="I106" i="12"/>
  <c r="O101" i="12"/>
  <c r="N101" i="12"/>
  <c r="H101" i="12"/>
  <c r="I101" i="12" s="1"/>
  <c r="P101" i="12" s="1"/>
  <c r="G99" i="12"/>
  <c r="H100" i="12" s="1"/>
  <c r="F99" i="12"/>
  <c r="D99" i="12"/>
  <c r="I98" i="12"/>
  <c r="O91" i="12"/>
  <c r="N91" i="12"/>
  <c r="H91" i="12"/>
  <c r="H92" i="12" s="1"/>
  <c r="I90" i="12"/>
  <c r="M90" i="12" s="1"/>
  <c r="I89" i="12"/>
  <c r="G89" i="12"/>
  <c r="F89" i="12"/>
  <c r="D89" i="12"/>
  <c r="I88" i="12" s="1"/>
  <c r="H82" i="12"/>
  <c r="O81" i="12"/>
  <c r="N81" i="12"/>
  <c r="H81" i="12"/>
  <c r="I81" i="12" s="1"/>
  <c r="P81" i="12" s="1"/>
  <c r="I80" i="12"/>
  <c r="I79" i="12"/>
  <c r="G79" i="12"/>
  <c r="F79" i="12"/>
  <c r="D79" i="12"/>
  <c r="I78" i="12" s="1"/>
  <c r="O71" i="12"/>
  <c r="N71" i="12"/>
  <c r="H71" i="12"/>
  <c r="H72" i="12" s="1"/>
  <c r="I70" i="12"/>
  <c r="M70" i="12" s="1"/>
  <c r="I69" i="12"/>
  <c r="G69" i="12"/>
  <c r="F69" i="12"/>
  <c r="D69" i="12"/>
  <c r="I68" i="12"/>
  <c r="O61" i="12"/>
  <c r="N61" i="12"/>
  <c r="H61" i="12"/>
  <c r="H62" i="12" s="1"/>
  <c r="I60" i="12"/>
  <c r="M60" i="12" s="1"/>
  <c r="I59" i="12"/>
  <c r="G59" i="12"/>
  <c r="F59" i="12"/>
  <c r="D59" i="12"/>
  <c r="I58" i="12" s="1"/>
  <c r="O51" i="12"/>
  <c r="N51" i="12"/>
  <c r="H51" i="12"/>
  <c r="I51" i="12" s="1"/>
  <c r="P51" i="12" s="1"/>
  <c r="I50" i="12"/>
  <c r="M50" i="12" s="1"/>
  <c r="I49" i="12"/>
  <c r="G49" i="12"/>
  <c r="F49" i="12"/>
  <c r="D49" i="12"/>
  <c r="I48" i="12"/>
  <c r="O41" i="12"/>
  <c r="N41" i="12"/>
  <c r="H41" i="12"/>
  <c r="I41" i="12" s="1"/>
  <c r="I40" i="12"/>
  <c r="M40" i="12" s="1"/>
  <c r="I39" i="12"/>
  <c r="G39" i="12"/>
  <c r="F39" i="12"/>
  <c r="D39" i="12"/>
  <c r="I38" i="12" s="1"/>
  <c r="H32" i="12"/>
  <c r="O31" i="12"/>
  <c r="N31" i="12"/>
  <c r="H31" i="12"/>
  <c r="I31" i="12" s="1"/>
  <c r="M30" i="12"/>
  <c r="I30" i="12"/>
  <c r="I29" i="12"/>
  <c r="G29" i="12"/>
  <c r="F29" i="12"/>
  <c r="D29" i="12"/>
  <c r="I28" i="12"/>
  <c r="O26" i="12"/>
  <c r="N26" i="12"/>
  <c r="I26" i="12"/>
  <c r="P26" i="12" s="1"/>
  <c r="H26" i="12"/>
  <c r="H25" i="12"/>
  <c r="I25" i="12" s="1"/>
  <c r="M25" i="12" s="1"/>
  <c r="G24" i="12"/>
  <c r="F24" i="12"/>
  <c r="H24" i="12" s="1"/>
  <c r="I24" i="12" s="1"/>
  <c r="D24" i="12"/>
  <c r="I23" i="12"/>
  <c r="O21" i="12"/>
  <c r="N21" i="12"/>
  <c r="H21" i="12"/>
  <c r="H22" i="12" s="1"/>
  <c r="I20" i="12"/>
  <c r="M20" i="12" s="1"/>
  <c r="I19" i="12"/>
  <c r="G19" i="12"/>
  <c r="F19" i="12"/>
  <c r="D19" i="12"/>
  <c r="I18" i="12" s="1"/>
  <c r="O15" i="12"/>
  <c r="N15" i="12"/>
  <c r="H15" i="12"/>
  <c r="I15" i="12" s="1"/>
  <c r="I13" i="12"/>
  <c r="G13" i="12"/>
  <c r="H14" i="12" s="1"/>
  <c r="I14" i="12" s="1"/>
  <c r="M14" i="12" s="1"/>
  <c r="F13" i="12"/>
  <c r="D13" i="12"/>
  <c r="S130" i="11"/>
  <c r="R130" i="11"/>
  <c r="Q130" i="11"/>
  <c r="L130" i="11"/>
  <c r="K130" i="11"/>
  <c r="O127" i="11"/>
  <c r="N127" i="11"/>
  <c r="H127" i="11"/>
  <c r="I127" i="11" s="1"/>
  <c r="P127" i="11" s="1"/>
  <c r="H126" i="11"/>
  <c r="H128" i="11" s="1"/>
  <c r="I125" i="11"/>
  <c r="G125" i="11"/>
  <c r="F125" i="11"/>
  <c r="D125" i="11"/>
  <c r="I124" i="11"/>
  <c r="O82" i="11"/>
  <c r="N82" i="11"/>
  <c r="H82" i="11"/>
  <c r="I82" i="11" s="1"/>
  <c r="I80" i="11"/>
  <c r="G80" i="11"/>
  <c r="H81" i="11" s="1"/>
  <c r="H83" i="11" s="1"/>
  <c r="F80" i="11"/>
  <c r="D80" i="11"/>
  <c r="I79" i="11" s="1"/>
  <c r="O75" i="11"/>
  <c r="N75" i="11"/>
  <c r="H75" i="11"/>
  <c r="I75" i="11" s="1"/>
  <c r="P75" i="11" s="1"/>
  <c r="I73" i="11"/>
  <c r="G73" i="11"/>
  <c r="H74" i="11" s="1"/>
  <c r="F73" i="11"/>
  <c r="D73" i="11"/>
  <c r="I72" i="11" s="1"/>
  <c r="O64" i="11"/>
  <c r="N64" i="11"/>
  <c r="H64" i="11"/>
  <c r="I64" i="11" s="1"/>
  <c r="P64" i="11" s="1"/>
  <c r="I63" i="11"/>
  <c r="M63" i="11" s="1"/>
  <c r="I62" i="11"/>
  <c r="G62" i="11"/>
  <c r="F62" i="11"/>
  <c r="D62" i="11"/>
  <c r="I61" i="11" s="1"/>
  <c r="O55" i="11"/>
  <c r="N55" i="11"/>
  <c r="H55" i="11"/>
  <c r="I55" i="11" s="1"/>
  <c r="I54" i="11"/>
  <c r="I53" i="11"/>
  <c r="G53" i="11"/>
  <c r="F53" i="11"/>
  <c r="D53" i="11"/>
  <c r="I52" i="11" s="1"/>
  <c r="O47" i="11"/>
  <c r="N47" i="11"/>
  <c r="H47" i="11"/>
  <c r="H48" i="11" s="1"/>
  <c r="I46" i="11"/>
  <c r="I45" i="11"/>
  <c r="G45" i="11"/>
  <c r="F45" i="11"/>
  <c r="D45" i="11"/>
  <c r="I44" i="11" s="1"/>
  <c r="H41" i="11"/>
  <c r="O40" i="11"/>
  <c r="N40" i="11"/>
  <c r="H40" i="11"/>
  <c r="I40" i="11" s="1"/>
  <c r="I39" i="11"/>
  <c r="M39" i="11" s="1"/>
  <c r="I38" i="11"/>
  <c r="G38" i="11"/>
  <c r="F38" i="11"/>
  <c r="D38" i="11"/>
  <c r="I37" i="11" s="1"/>
  <c r="O34" i="11"/>
  <c r="N34" i="11"/>
  <c r="H34" i="11"/>
  <c r="I34" i="11" s="1"/>
  <c r="P34" i="11" s="1"/>
  <c r="H33" i="11"/>
  <c r="H35" i="11" s="1"/>
  <c r="I32" i="11"/>
  <c r="G32" i="11"/>
  <c r="F32" i="11"/>
  <c r="D32" i="11"/>
  <c r="I31" i="11" s="1"/>
  <c r="O28" i="11"/>
  <c r="N28" i="11"/>
  <c r="H28" i="11"/>
  <c r="I28" i="11" s="1"/>
  <c r="I26" i="11"/>
  <c r="G26" i="11"/>
  <c r="H27" i="11" s="1"/>
  <c r="F26" i="11"/>
  <c r="D26" i="11"/>
  <c r="I25" i="11" s="1"/>
  <c r="O22" i="11"/>
  <c r="O130" i="11" s="1"/>
  <c r="N22" i="11"/>
  <c r="H22" i="11"/>
  <c r="H23" i="11" s="1"/>
  <c r="I21" i="11"/>
  <c r="M21" i="11" s="1"/>
  <c r="I20" i="11"/>
  <c r="G20" i="11"/>
  <c r="F20" i="11"/>
  <c r="D20" i="11"/>
  <c r="I19" i="11" s="1"/>
  <c r="O15" i="11"/>
  <c r="N15" i="11"/>
  <c r="H15" i="11"/>
  <c r="I15" i="11" s="1"/>
  <c r="I14" i="11"/>
  <c r="M14" i="11" s="1"/>
  <c r="I13" i="11"/>
  <c r="G13" i="11"/>
  <c r="F13" i="11"/>
  <c r="D13" i="11"/>
  <c r="I12" i="11" s="1"/>
  <c r="S466" i="10"/>
  <c r="R466" i="10"/>
  <c r="Q466" i="10"/>
  <c r="L466" i="10"/>
  <c r="K466" i="10"/>
  <c r="O464" i="10"/>
  <c r="N464" i="10"/>
  <c r="H464" i="10"/>
  <c r="I464" i="10" s="1"/>
  <c r="P464" i="10" s="1"/>
  <c r="I463" i="10"/>
  <c r="M463" i="10" s="1"/>
  <c r="I462" i="10"/>
  <c r="G462" i="10"/>
  <c r="F462" i="10"/>
  <c r="D462" i="10"/>
  <c r="H461" i="10" s="1"/>
  <c r="I461" i="10" s="1"/>
  <c r="O459" i="10"/>
  <c r="N459" i="10"/>
  <c r="I459" i="10"/>
  <c r="H459" i="10"/>
  <c r="I457" i="10"/>
  <c r="G457" i="10"/>
  <c r="F457" i="10"/>
  <c r="D457" i="10"/>
  <c r="H456" i="10" s="1"/>
  <c r="I456" i="10" s="1"/>
  <c r="H455" i="10"/>
  <c r="O454" i="10"/>
  <c r="N454" i="10"/>
  <c r="H454" i="10"/>
  <c r="I454" i="10" s="1"/>
  <c r="I452" i="10"/>
  <c r="G452" i="10"/>
  <c r="F452" i="10"/>
  <c r="D452" i="10"/>
  <c r="I451" i="10" s="1"/>
  <c r="O449" i="10"/>
  <c r="N449" i="10"/>
  <c r="I449" i="10"/>
  <c r="P449" i="10" s="1"/>
  <c r="H449" i="10"/>
  <c r="I447" i="10"/>
  <c r="G447" i="10"/>
  <c r="H448" i="10" s="1"/>
  <c r="I448" i="10" s="1"/>
  <c r="M448" i="10" s="1"/>
  <c r="F447" i="10"/>
  <c r="D447" i="10"/>
  <c r="H446" i="10" s="1"/>
  <c r="I446" i="10" s="1"/>
  <c r="O444" i="10"/>
  <c r="N444" i="10"/>
  <c r="H444" i="10"/>
  <c r="I444" i="10" s="1"/>
  <c r="I442" i="10"/>
  <c r="G442" i="10"/>
  <c r="H443" i="10" s="1"/>
  <c r="I443" i="10" s="1"/>
  <c r="M443" i="10" s="1"/>
  <c r="F442" i="10"/>
  <c r="D442" i="10"/>
  <c r="H441" i="10" s="1"/>
  <c r="I441" i="10" s="1"/>
  <c r="O439" i="10"/>
  <c r="N439" i="10"/>
  <c r="I439" i="10"/>
  <c r="H439" i="10"/>
  <c r="H438" i="10"/>
  <c r="I438" i="10" s="1"/>
  <c r="M438" i="10" s="1"/>
  <c r="I437" i="10"/>
  <c r="G437" i="10"/>
  <c r="F437" i="10"/>
  <c r="D437" i="10"/>
  <c r="H436" i="10" s="1"/>
  <c r="I436" i="10" s="1"/>
  <c r="O434" i="10"/>
  <c r="N434" i="10"/>
  <c r="H434" i="10"/>
  <c r="I434" i="10" s="1"/>
  <c r="P434" i="10" s="1"/>
  <c r="I432" i="10"/>
  <c r="G432" i="10"/>
  <c r="H433" i="10" s="1"/>
  <c r="I433" i="10" s="1"/>
  <c r="M433" i="10" s="1"/>
  <c r="F432" i="10"/>
  <c r="D432" i="10"/>
  <c r="H431" i="10" s="1"/>
  <c r="I431" i="10" s="1"/>
  <c r="O429" i="10"/>
  <c r="N429" i="10"/>
  <c r="H429" i="10"/>
  <c r="I429" i="10" s="1"/>
  <c r="H428" i="10"/>
  <c r="I428" i="10" s="1"/>
  <c r="M428" i="10" s="1"/>
  <c r="I427" i="10"/>
  <c r="G427" i="10"/>
  <c r="F427" i="10"/>
  <c r="D427" i="10"/>
  <c r="H426" i="10" s="1"/>
  <c r="I426" i="10" s="1"/>
  <c r="O424" i="10"/>
  <c r="N424" i="10"/>
  <c r="H424" i="10"/>
  <c r="I424" i="10" s="1"/>
  <c r="I423" i="10"/>
  <c r="M423" i="10" s="1"/>
  <c r="I422" i="10"/>
  <c r="G422" i="10"/>
  <c r="F422" i="10"/>
  <c r="D422" i="10"/>
  <c r="H421" i="10" s="1"/>
  <c r="I421" i="10" s="1"/>
  <c r="O419" i="10"/>
  <c r="N419" i="10"/>
  <c r="H419" i="10"/>
  <c r="H420" i="10" s="1"/>
  <c r="I418" i="10"/>
  <c r="M418" i="10" s="1"/>
  <c r="I417" i="10"/>
  <c r="G417" i="10"/>
  <c r="F417" i="10"/>
  <c r="D417" i="10"/>
  <c r="H416" i="10" s="1"/>
  <c r="I416" i="10" s="1"/>
  <c r="O414" i="10"/>
  <c r="N414" i="10"/>
  <c r="I414" i="10"/>
  <c r="P414" i="10" s="1"/>
  <c r="H414" i="10"/>
  <c r="G412" i="10"/>
  <c r="F412" i="10"/>
  <c r="D412" i="10"/>
  <c r="H411" i="10" s="1"/>
  <c r="I411" i="10" s="1"/>
  <c r="P409" i="10"/>
  <c r="O409" i="10"/>
  <c r="N409" i="10"/>
  <c r="I409" i="10"/>
  <c r="H409" i="10"/>
  <c r="I408" i="10"/>
  <c r="M408" i="10" s="1"/>
  <c r="I407" i="10"/>
  <c r="G407" i="10"/>
  <c r="F407" i="10"/>
  <c r="D407" i="10"/>
  <c r="H406" i="10" s="1"/>
  <c r="I406" i="10" s="1"/>
  <c r="P404" i="10"/>
  <c r="O404" i="10"/>
  <c r="N404" i="10"/>
  <c r="I404" i="10"/>
  <c r="H404" i="10"/>
  <c r="I403" i="10"/>
  <c r="M403" i="10" s="1"/>
  <c r="G402" i="10"/>
  <c r="F402" i="10"/>
  <c r="D402" i="10"/>
  <c r="H401" i="10" s="1"/>
  <c r="I401" i="10" s="1"/>
  <c r="O398" i="10"/>
  <c r="N398" i="10"/>
  <c r="H398" i="10"/>
  <c r="I398" i="10" s="1"/>
  <c r="I396" i="10"/>
  <c r="G396" i="10"/>
  <c r="H397" i="10" s="1"/>
  <c r="I397" i="10" s="1"/>
  <c r="M397" i="10" s="1"/>
  <c r="F396" i="10"/>
  <c r="D396" i="10"/>
  <c r="H395" i="10" s="1"/>
  <c r="I395" i="10" s="1"/>
  <c r="O392" i="10"/>
  <c r="N392" i="10"/>
  <c r="H392" i="10"/>
  <c r="I392" i="10" s="1"/>
  <c r="P392" i="10" s="1"/>
  <c r="I390" i="10"/>
  <c r="G390" i="10"/>
  <c r="H391" i="10" s="1"/>
  <c r="I391" i="10" s="1"/>
  <c r="M391" i="10" s="1"/>
  <c r="F390" i="10"/>
  <c r="D390" i="10"/>
  <c r="H389" i="10" s="1"/>
  <c r="I389" i="10" s="1"/>
  <c r="H387" i="10"/>
  <c r="O386" i="10"/>
  <c r="N386" i="10"/>
  <c r="H386" i="10"/>
  <c r="I386" i="10" s="1"/>
  <c r="P386" i="10" s="1"/>
  <c r="I385" i="10"/>
  <c r="M385" i="10" s="1"/>
  <c r="I384" i="10"/>
  <c r="G384" i="10"/>
  <c r="F384" i="10"/>
  <c r="D384" i="10"/>
  <c r="I383" i="10" s="1"/>
  <c r="H379" i="10"/>
  <c r="O378" i="10"/>
  <c r="N378" i="10"/>
  <c r="P378" i="10" s="1"/>
  <c r="I378" i="10"/>
  <c r="H378" i="10"/>
  <c r="I377" i="10"/>
  <c r="I376" i="10"/>
  <c r="G376" i="10"/>
  <c r="F376" i="10"/>
  <c r="D376" i="10"/>
  <c r="I375" i="10" s="1"/>
  <c r="P373" i="10"/>
  <c r="O373" i="10"/>
  <c r="N373" i="10"/>
  <c r="I373" i="10"/>
  <c r="H373" i="10"/>
  <c r="G371" i="10"/>
  <c r="H372" i="10" s="1"/>
  <c r="I372" i="10" s="1"/>
  <c r="M372" i="10" s="1"/>
  <c r="F371" i="10"/>
  <c r="H371" i="10" s="1"/>
  <c r="D371" i="10"/>
  <c r="I370" i="10" s="1"/>
  <c r="O368" i="10"/>
  <c r="N368" i="10"/>
  <c r="H368" i="10"/>
  <c r="I368" i="10" s="1"/>
  <c r="P368" i="10" s="1"/>
  <c r="I366" i="10"/>
  <c r="H366" i="10"/>
  <c r="G366" i="10"/>
  <c r="H367" i="10" s="1"/>
  <c r="I367" i="10" s="1"/>
  <c r="M367" i="10" s="1"/>
  <c r="F366" i="10"/>
  <c r="D366" i="10"/>
  <c r="I365" i="10" s="1"/>
  <c r="O363" i="10"/>
  <c r="N363" i="10"/>
  <c r="H363" i="10"/>
  <c r="I363" i="10" s="1"/>
  <c r="G361" i="10"/>
  <c r="H362" i="10" s="1"/>
  <c r="I362" i="10" s="1"/>
  <c r="M362" i="10" s="1"/>
  <c r="F361" i="10"/>
  <c r="H361" i="10" s="1"/>
  <c r="D361" i="10"/>
  <c r="I360" i="10" s="1"/>
  <c r="O358" i="10"/>
  <c r="N358" i="10"/>
  <c r="H358" i="10"/>
  <c r="I358" i="10" s="1"/>
  <c r="I356" i="10"/>
  <c r="H356" i="10"/>
  <c r="G356" i="10"/>
  <c r="H357" i="10" s="1"/>
  <c r="I357" i="10" s="1"/>
  <c r="M357" i="10" s="1"/>
  <c r="F356" i="10"/>
  <c r="D356" i="10"/>
  <c r="I355" i="10" s="1"/>
  <c r="O353" i="10"/>
  <c r="N353" i="10"/>
  <c r="H353" i="10"/>
  <c r="I353" i="10" s="1"/>
  <c r="P353" i="10" s="1"/>
  <c r="G351" i="10"/>
  <c r="H352" i="10" s="1"/>
  <c r="I352" i="10" s="1"/>
  <c r="M352" i="10" s="1"/>
  <c r="F351" i="10"/>
  <c r="H351" i="10" s="1"/>
  <c r="D351" i="10"/>
  <c r="I350" i="10" s="1"/>
  <c r="O348" i="10"/>
  <c r="N348" i="10"/>
  <c r="H348" i="10"/>
  <c r="I348" i="10" s="1"/>
  <c r="P348" i="10" s="1"/>
  <c r="G346" i="10"/>
  <c r="H347" i="10" s="1"/>
  <c r="I347" i="10" s="1"/>
  <c r="M347" i="10" s="1"/>
  <c r="F346" i="10"/>
  <c r="H346" i="10" s="1"/>
  <c r="D346" i="10"/>
  <c r="I345" i="10" s="1"/>
  <c r="O343" i="10"/>
  <c r="N343" i="10"/>
  <c r="H343" i="10"/>
  <c r="I343" i="10" s="1"/>
  <c r="H342" i="10"/>
  <c r="I342" i="10" s="1"/>
  <c r="M342" i="10" s="1"/>
  <c r="G341" i="10"/>
  <c r="F341" i="10"/>
  <c r="H341" i="10" s="1"/>
  <c r="D341" i="10"/>
  <c r="I340" i="10" s="1"/>
  <c r="O338" i="10"/>
  <c r="N338" i="10"/>
  <c r="H338" i="10"/>
  <c r="I338" i="10" s="1"/>
  <c r="H337" i="10"/>
  <c r="I337" i="10" s="1"/>
  <c r="M337" i="10" s="1"/>
  <c r="H336" i="10"/>
  <c r="I336" i="10" s="1"/>
  <c r="G336" i="10"/>
  <c r="F336" i="10"/>
  <c r="D336" i="10"/>
  <c r="I335" i="10" s="1"/>
  <c r="O333" i="10"/>
  <c r="N333" i="10"/>
  <c r="H333" i="10"/>
  <c r="I333" i="10" s="1"/>
  <c r="P333" i="10" s="1"/>
  <c r="H332" i="10"/>
  <c r="I332" i="10" s="1"/>
  <c r="M332" i="10" s="1"/>
  <c r="G331" i="10"/>
  <c r="F331" i="10"/>
  <c r="H331" i="10" s="1"/>
  <c r="D331" i="10"/>
  <c r="I330" i="10" s="1"/>
  <c r="O327" i="10"/>
  <c r="P327" i="10" s="1"/>
  <c r="N327" i="10"/>
  <c r="I327" i="10"/>
  <c r="H327" i="10"/>
  <c r="G325" i="10"/>
  <c r="H326" i="10" s="1"/>
  <c r="I326" i="10" s="1"/>
  <c r="M326" i="10" s="1"/>
  <c r="F325" i="10"/>
  <c r="D325" i="10"/>
  <c r="H324" i="10" s="1"/>
  <c r="I324" i="10" s="1"/>
  <c r="O321" i="10"/>
  <c r="N321" i="10"/>
  <c r="H321" i="10"/>
  <c r="I321" i="10" s="1"/>
  <c r="G319" i="10"/>
  <c r="H320" i="10" s="1"/>
  <c r="I320" i="10" s="1"/>
  <c r="M320" i="10" s="1"/>
  <c r="F319" i="10"/>
  <c r="D319" i="10"/>
  <c r="O314" i="10"/>
  <c r="N314" i="10"/>
  <c r="H314" i="10"/>
  <c r="I314" i="10" s="1"/>
  <c r="P314" i="10" s="1"/>
  <c r="I312" i="10"/>
  <c r="G312" i="10"/>
  <c r="H313" i="10" s="1"/>
  <c r="F312" i="10"/>
  <c r="D312" i="10"/>
  <c r="I311" i="10" s="1"/>
  <c r="P307" i="10"/>
  <c r="O307" i="10"/>
  <c r="N307" i="10"/>
  <c r="I307" i="10"/>
  <c r="H307" i="10"/>
  <c r="I305" i="10"/>
  <c r="G305" i="10"/>
  <c r="H306" i="10" s="1"/>
  <c r="F305" i="10"/>
  <c r="D305" i="10"/>
  <c r="I304" i="10" s="1"/>
  <c r="O300" i="10"/>
  <c r="N300" i="10"/>
  <c r="H300" i="10"/>
  <c r="I300" i="10" s="1"/>
  <c r="H299" i="10"/>
  <c r="H301" i="10" s="1"/>
  <c r="I298" i="10"/>
  <c r="G298" i="10"/>
  <c r="F298" i="10"/>
  <c r="D298" i="10"/>
  <c r="I297" i="10" s="1"/>
  <c r="O293" i="10"/>
  <c r="N293" i="10"/>
  <c r="H293" i="10"/>
  <c r="I293" i="10" s="1"/>
  <c r="P293" i="10" s="1"/>
  <c r="H292" i="10"/>
  <c r="I291" i="10"/>
  <c r="G291" i="10"/>
  <c r="F291" i="10"/>
  <c r="D291" i="10"/>
  <c r="O286" i="10"/>
  <c r="N286" i="10"/>
  <c r="H286" i="10"/>
  <c r="I286" i="10" s="1"/>
  <c r="H285" i="10"/>
  <c r="H287" i="10" s="1"/>
  <c r="I284" i="10"/>
  <c r="G284" i="10"/>
  <c r="F284" i="10"/>
  <c r="D284" i="10"/>
  <c r="I283" i="10" s="1"/>
  <c r="O279" i="10"/>
  <c r="N279" i="10"/>
  <c r="H279" i="10"/>
  <c r="I279" i="10" s="1"/>
  <c r="I277" i="10"/>
  <c r="G277" i="10"/>
  <c r="H278" i="10" s="1"/>
  <c r="F277" i="10"/>
  <c r="D277" i="10"/>
  <c r="I276" i="10" s="1"/>
  <c r="O272" i="10"/>
  <c r="N272" i="10"/>
  <c r="I272" i="10"/>
  <c r="H272" i="10"/>
  <c r="I270" i="10"/>
  <c r="G270" i="10"/>
  <c r="H271" i="10" s="1"/>
  <c r="I271" i="10" s="1"/>
  <c r="M271" i="10" s="1"/>
  <c r="F270" i="10"/>
  <c r="D270" i="10"/>
  <c r="I269" i="10" s="1"/>
  <c r="O266" i="10"/>
  <c r="N266" i="10"/>
  <c r="H266" i="10"/>
  <c r="I266" i="10" s="1"/>
  <c r="P266" i="10" s="1"/>
  <c r="H265" i="10"/>
  <c r="I264" i="10"/>
  <c r="G264" i="10"/>
  <c r="F264" i="10"/>
  <c r="D264" i="10"/>
  <c r="I263" i="10" s="1"/>
  <c r="O261" i="10"/>
  <c r="P261" i="10" s="1"/>
  <c r="N261" i="10"/>
  <c r="I261" i="10"/>
  <c r="H261" i="10"/>
  <c r="I259" i="10"/>
  <c r="G259" i="10"/>
  <c r="H260" i="10" s="1"/>
  <c r="F259" i="10"/>
  <c r="D259" i="10"/>
  <c r="I258" i="10" s="1"/>
  <c r="O256" i="10"/>
  <c r="N256" i="10"/>
  <c r="H256" i="10"/>
  <c r="I256" i="10" s="1"/>
  <c r="P256" i="10" s="1"/>
  <c r="I254" i="10"/>
  <c r="G254" i="10"/>
  <c r="H255" i="10" s="1"/>
  <c r="F254" i="10"/>
  <c r="D254" i="10"/>
  <c r="I253" i="10" s="1"/>
  <c r="O251" i="10"/>
  <c r="N251" i="10"/>
  <c r="H251" i="10"/>
  <c r="I251" i="10" s="1"/>
  <c r="P251" i="10" s="1"/>
  <c r="I249" i="10"/>
  <c r="G249" i="10"/>
  <c r="H250" i="10" s="1"/>
  <c r="F249" i="10"/>
  <c r="D249" i="10"/>
  <c r="I248" i="10" s="1"/>
  <c r="O246" i="10"/>
  <c r="N246" i="10"/>
  <c r="H246" i="10"/>
  <c r="I246" i="10" s="1"/>
  <c r="P246" i="10" s="1"/>
  <c r="I244" i="10"/>
  <c r="G244" i="10"/>
  <c r="H245" i="10" s="1"/>
  <c r="F244" i="10"/>
  <c r="D244" i="10"/>
  <c r="I243" i="10" s="1"/>
  <c r="O241" i="10"/>
  <c r="N241" i="10"/>
  <c r="H241" i="10"/>
  <c r="I241" i="10" s="1"/>
  <c r="I239" i="10"/>
  <c r="G239" i="10"/>
  <c r="H240" i="10" s="1"/>
  <c r="F239" i="10"/>
  <c r="D239" i="10"/>
  <c r="I238" i="10" s="1"/>
  <c r="O236" i="10"/>
  <c r="N236" i="10"/>
  <c r="H236" i="10"/>
  <c r="H237" i="10" s="1"/>
  <c r="I235" i="10"/>
  <c r="M235" i="10" s="1"/>
  <c r="I234" i="10"/>
  <c r="G234" i="10"/>
  <c r="F234" i="10"/>
  <c r="D234" i="10"/>
  <c r="I233" i="10" s="1"/>
  <c r="O231" i="10"/>
  <c r="N231" i="10"/>
  <c r="I231" i="10"/>
  <c r="H231" i="10"/>
  <c r="I230" i="10"/>
  <c r="M230" i="10" s="1"/>
  <c r="I229" i="10"/>
  <c r="G229" i="10"/>
  <c r="F229" i="10"/>
  <c r="D229" i="10"/>
  <c r="O225" i="10"/>
  <c r="N225" i="10"/>
  <c r="P225" i="10" s="1"/>
  <c r="I225" i="10"/>
  <c r="H225" i="10"/>
  <c r="I223" i="10"/>
  <c r="G223" i="10"/>
  <c r="H224" i="10" s="1"/>
  <c r="F223" i="10"/>
  <c r="D223" i="10"/>
  <c r="I222" i="10" s="1"/>
  <c r="O219" i="10"/>
  <c r="N219" i="10"/>
  <c r="I219" i="10"/>
  <c r="H219" i="10"/>
  <c r="G217" i="10"/>
  <c r="H218" i="10" s="1"/>
  <c r="I218" i="10" s="1"/>
  <c r="M218" i="10" s="1"/>
  <c r="F217" i="10"/>
  <c r="D217" i="10"/>
  <c r="I216" i="10" s="1"/>
  <c r="O213" i="10"/>
  <c r="N213" i="10"/>
  <c r="H213" i="10"/>
  <c r="I213" i="10" s="1"/>
  <c r="H212" i="10"/>
  <c r="H214" i="10" s="1"/>
  <c r="I211" i="10"/>
  <c r="G211" i="10"/>
  <c r="F211" i="10"/>
  <c r="D211" i="10"/>
  <c r="I210" i="10" s="1"/>
  <c r="O207" i="10"/>
  <c r="N207" i="10"/>
  <c r="H207" i="10"/>
  <c r="I207" i="10" s="1"/>
  <c r="H206" i="10"/>
  <c r="I206" i="10" s="1"/>
  <c r="M206" i="10" s="1"/>
  <c r="G205" i="10"/>
  <c r="F205" i="10"/>
  <c r="D205" i="10"/>
  <c r="I204" i="10" s="1"/>
  <c r="O202" i="10"/>
  <c r="N202" i="10"/>
  <c r="H202" i="10"/>
  <c r="I202" i="10" s="1"/>
  <c r="H201" i="10"/>
  <c r="I200" i="10"/>
  <c r="G200" i="10"/>
  <c r="F200" i="10"/>
  <c r="D200" i="10"/>
  <c r="I199" i="10" s="1"/>
  <c r="O197" i="10"/>
  <c r="N197" i="10"/>
  <c r="I197" i="10"/>
  <c r="P197" i="10" s="1"/>
  <c r="H197" i="10"/>
  <c r="H196" i="10"/>
  <c r="I196" i="10" s="1"/>
  <c r="M196" i="10" s="1"/>
  <c r="I195" i="10"/>
  <c r="G195" i="10"/>
  <c r="F195" i="10"/>
  <c r="D195" i="10"/>
  <c r="I194" i="10" s="1"/>
  <c r="O192" i="10"/>
  <c r="N192" i="10"/>
  <c r="I192" i="10"/>
  <c r="H192" i="10"/>
  <c r="H191" i="10"/>
  <c r="H193" i="10" s="1"/>
  <c r="I190" i="10"/>
  <c r="G190" i="10"/>
  <c r="F190" i="10"/>
  <c r="D190" i="10"/>
  <c r="I189" i="10" s="1"/>
  <c r="O187" i="10"/>
  <c r="P187" i="10" s="1"/>
  <c r="N187" i="10"/>
  <c r="I187" i="10"/>
  <c r="H187" i="10"/>
  <c r="I185" i="10"/>
  <c r="G185" i="10"/>
  <c r="H186" i="10" s="1"/>
  <c r="F185" i="10"/>
  <c r="D185" i="10"/>
  <c r="I184" i="10" s="1"/>
  <c r="O182" i="10"/>
  <c r="N182" i="10"/>
  <c r="H182" i="10"/>
  <c r="I182" i="10" s="1"/>
  <c r="I180" i="10"/>
  <c r="G180" i="10"/>
  <c r="H181" i="10" s="1"/>
  <c r="F180" i="10"/>
  <c r="D180" i="10"/>
  <c r="I179" i="10" s="1"/>
  <c r="O177" i="10"/>
  <c r="N177" i="10"/>
  <c r="H177" i="10"/>
  <c r="I177" i="10" s="1"/>
  <c r="P177" i="10" s="1"/>
  <c r="I175" i="10"/>
  <c r="G175" i="10"/>
  <c r="H176" i="10" s="1"/>
  <c r="F175" i="10"/>
  <c r="D175" i="10"/>
  <c r="I174" i="10" s="1"/>
  <c r="P172" i="10"/>
  <c r="O172" i="10"/>
  <c r="N172" i="10"/>
  <c r="I172" i="10"/>
  <c r="H172" i="10"/>
  <c r="I170" i="10"/>
  <c r="G170" i="10"/>
  <c r="H171" i="10" s="1"/>
  <c r="F170" i="10"/>
  <c r="D170" i="10"/>
  <c r="I169" i="10" s="1"/>
  <c r="O167" i="10"/>
  <c r="N167" i="10"/>
  <c r="H167" i="10"/>
  <c r="I167" i="10" s="1"/>
  <c r="P167" i="10" s="1"/>
  <c r="I165" i="10"/>
  <c r="G165" i="10"/>
  <c r="H166" i="10" s="1"/>
  <c r="F165" i="10"/>
  <c r="D165" i="10"/>
  <c r="I164" i="10" s="1"/>
  <c r="O162" i="10"/>
  <c r="N162" i="10"/>
  <c r="H162" i="10"/>
  <c r="I162" i="10" s="1"/>
  <c r="P162" i="10" s="1"/>
  <c r="I160" i="10"/>
  <c r="G160" i="10"/>
  <c r="H161" i="10" s="1"/>
  <c r="H163" i="10" s="1"/>
  <c r="F160" i="10"/>
  <c r="D160" i="10"/>
  <c r="I159" i="10" s="1"/>
  <c r="O157" i="10"/>
  <c r="N157" i="10"/>
  <c r="H157" i="10"/>
  <c r="I157" i="10" s="1"/>
  <c r="H156" i="10"/>
  <c r="H158" i="10" s="1"/>
  <c r="I155" i="10"/>
  <c r="G155" i="10"/>
  <c r="F155" i="10"/>
  <c r="D155" i="10"/>
  <c r="I154" i="10" s="1"/>
  <c r="O151" i="10"/>
  <c r="N151" i="10"/>
  <c r="H151" i="10"/>
  <c r="I151" i="10" s="1"/>
  <c r="I149" i="10"/>
  <c r="G149" i="10"/>
  <c r="H150" i="10" s="1"/>
  <c r="F149" i="10"/>
  <c r="D149" i="10"/>
  <c r="I148" i="10" s="1"/>
  <c r="O145" i="10"/>
  <c r="N145" i="10"/>
  <c r="H145" i="10"/>
  <c r="I145" i="10" s="1"/>
  <c r="P145" i="10" s="1"/>
  <c r="I143" i="10"/>
  <c r="G143" i="10"/>
  <c r="H144" i="10" s="1"/>
  <c r="I144" i="10" s="1"/>
  <c r="M144" i="10" s="1"/>
  <c r="F143" i="10"/>
  <c r="D143" i="10"/>
  <c r="I142" i="10" s="1"/>
  <c r="O139" i="10"/>
  <c r="N139" i="10"/>
  <c r="H139" i="10"/>
  <c r="I139" i="10" s="1"/>
  <c r="P139" i="10" s="1"/>
  <c r="I137" i="10"/>
  <c r="G137" i="10"/>
  <c r="H138" i="10" s="1"/>
  <c r="F137" i="10"/>
  <c r="D137" i="10"/>
  <c r="I136" i="10" s="1"/>
  <c r="O133" i="10"/>
  <c r="P133" i="10" s="1"/>
  <c r="N133" i="10"/>
  <c r="I133" i="10"/>
  <c r="H133" i="10"/>
  <c r="I131" i="10"/>
  <c r="G131" i="10"/>
  <c r="H132" i="10" s="1"/>
  <c r="F131" i="10"/>
  <c r="D131" i="10"/>
  <c r="I130" i="10" s="1"/>
  <c r="O127" i="10"/>
  <c r="N127" i="10"/>
  <c r="H127" i="10"/>
  <c r="I127" i="10" s="1"/>
  <c r="I125" i="10"/>
  <c r="G125" i="10"/>
  <c r="H126" i="10" s="1"/>
  <c r="F125" i="10"/>
  <c r="D125" i="10"/>
  <c r="I124" i="10" s="1"/>
  <c r="O121" i="10"/>
  <c r="N121" i="10"/>
  <c r="I121" i="10"/>
  <c r="P121" i="10" s="1"/>
  <c r="H121" i="10"/>
  <c r="I119" i="10"/>
  <c r="G119" i="10"/>
  <c r="H120" i="10" s="1"/>
  <c r="F119" i="10"/>
  <c r="D119" i="10"/>
  <c r="I118" i="10" s="1"/>
  <c r="P115" i="10"/>
  <c r="O115" i="10"/>
  <c r="N115" i="10"/>
  <c r="I115" i="10"/>
  <c r="H115" i="10"/>
  <c r="I113" i="10"/>
  <c r="G113" i="10"/>
  <c r="H114" i="10" s="1"/>
  <c r="I114" i="10" s="1"/>
  <c r="M114" i="10" s="1"/>
  <c r="F113" i="10"/>
  <c r="D113" i="10"/>
  <c r="O109" i="10"/>
  <c r="N109" i="10"/>
  <c r="H109" i="10"/>
  <c r="I109" i="10" s="1"/>
  <c r="P109" i="10" s="1"/>
  <c r="G107" i="10"/>
  <c r="H108" i="10" s="1"/>
  <c r="I108" i="10" s="1"/>
  <c r="M108" i="10" s="1"/>
  <c r="F107" i="10"/>
  <c r="D107" i="10"/>
  <c r="I106" i="10" s="1"/>
  <c r="O104" i="10"/>
  <c r="N104" i="10"/>
  <c r="H104" i="10"/>
  <c r="I104" i="10" s="1"/>
  <c r="P104" i="10" s="1"/>
  <c r="H103" i="10"/>
  <c r="H105" i="10" s="1"/>
  <c r="I102" i="10"/>
  <c r="G102" i="10"/>
  <c r="F102" i="10"/>
  <c r="D102" i="10"/>
  <c r="I101" i="10" s="1"/>
  <c r="O99" i="10"/>
  <c r="N99" i="10"/>
  <c r="H99" i="10"/>
  <c r="I99" i="10" s="1"/>
  <c r="H98" i="10"/>
  <c r="I98" i="10" s="1"/>
  <c r="M98" i="10" s="1"/>
  <c r="I97" i="10"/>
  <c r="G97" i="10"/>
  <c r="F97" i="10"/>
  <c r="D97" i="10"/>
  <c r="I96" i="10" s="1"/>
  <c r="O94" i="10"/>
  <c r="N94" i="10"/>
  <c r="H94" i="10"/>
  <c r="I94" i="10" s="1"/>
  <c r="H93" i="10"/>
  <c r="H95" i="10" s="1"/>
  <c r="I92" i="10"/>
  <c r="G92" i="10"/>
  <c r="F92" i="10"/>
  <c r="D92" i="10"/>
  <c r="I91" i="10" s="1"/>
  <c r="O89" i="10"/>
  <c r="N89" i="10"/>
  <c r="H89" i="10"/>
  <c r="I89" i="10" s="1"/>
  <c r="P89" i="10" s="1"/>
  <c r="I87" i="10"/>
  <c r="G87" i="10"/>
  <c r="H88" i="10" s="1"/>
  <c r="F87" i="10"/>
  <c r="D87" i="10"/>
  <c r="I86" i="10" s="1"/>
  <c r="O83" i="10"/>
  <c r="N83" i="10"/>
  <c r="H83" i="10"/>
  <c r="I83" i="10" s="1"/>
  <c r="I81" i="10"/>
  <c r="G81" i="10"/>
  <c r="H82" i="10" s="1"/>
  <c r="F81" i="10"/>
  <c r="D81" i="10"/>
  <c r="I80" i="10" s="1"/>
  <c r="O75" i="10"/>
  <c r="N75" i="10"/>
  <c r="I75" i="10"/>
  <c r="P75" i="10" s="1"/>
  <c r="H75" i="10"/>
  <c r="H74" i="10"/>
  <c r="I74" i="10" s="1"/>
  <c r="M74" i="10" s="1"/>
  <c r="I73" i="10"/>
  <c r="G73" i="10"/>
  <c r="F73" i="10"/>
  <c r="D73" i="10"/>
  <c r="I72" i="10" s="1"/>
  <c r="O70" i="10"/>
  <c r="P70" i="10" s="1"/>
  <c r="N70" i="10"/>
  <c r="I70" i="10"/>
  <c r="H70" i="10"/>
  <c r="I68" i="10"/>
  <c r="G68" i="10"/>
  <c r="H69" i="10" s="1"/>
  <c r="F68" i="10"/>
  <c r="D68" i="10"/>
  <c r="I67" i="10" s="1"/>
  <c r="O65" i="10"/>
  <c r="N65" i="10"/>
  <c r="H65" i="10"/>
  <c r="I65" i="10" s="1"/>
  <c r="I63" i="10"/>
  <c r="G63" i="10"/>
  <c r="H64" i="10" s="1"/>
  <c r="F63" i="10"/>
  <c r="D63" i="10"/>
  <c r="I62" i="10" s="1"/>
  <c r="O60" i="10"/>
  <c r="N60" i="10"/>
  <c r="I60" i="10"/>
  <c r="P60" i="10" s="1"/>
  <c r="H60" i="10"/>
  <c r="I58" i="10"/>
  <c r="G58" i="10"/>
  <c r="H59" i="10" s="1"/>
  <c r="F58" i="10"/>
  <c r="D58" i="10"/>
  <c r="I57" i="10" s="1"/>
  <c r="O55" i="10"/>
  <c r="N55" i="10"/>
  <c r="I55" i="10"/>
  <c r="H55" i="10"/>
  <c r="I53" i="10"/>
  <c r="G53" i="10"/>
  <c r="H54" i="10" s="1"/>
  <c r="F53" i="10"/>
  <c r="D53" i="10"/>
  <c r="I52" i="10" s="1"/>
  <c r="O50" i="10"/>
  <c r="N50" i="10"/>
  <c r="H50" i="10"/>
  <c r="I50" i="10" s="1"/>
  <c r="H49" i="10"/>
  <c r="H51" i="10" s="1"/>
  <c r="I48" i="10"/>
  <c r="G48" i="10"/>
  <c r="F48" i="10"/>
  <c r="D48" i="10"/>
  <c r="I47" i="10" s="1"/>
  <c r="O45" i="10"/>
  <c r="N45" i="10"/>
  <c r="H45" i="10"/>
  <c r="I45" i="10" s="1"/>
  <c r="H44" i="10"/>
  <c r="I43" i="10"/>
  <c r="G43" i="10"/>
  <c r="F43" i="10"/>
  <c r="D43" i="10"/>
  <c r="I42" i="10" s="1"/>
  <c r="O40" i="10"/>
  <c r="N40" i="10"/>
  <c r="H40" i="10"/>
  <c r="I40" i="10" s="1"/>
  <c r="I38" i="10"/>
  <c r="G38" i="10"/>
  <c r="H39" i="10" s="1"/>
  <c r="F38" i="10"/>
  <c r="D38" i="10"/>
  <c r="I37" i="10" s="1"/>
  <c r="O35" i="10"/>
  <c r="N35" i="10"/>
  <c r="H35" i="10"/>
  <c r="I35" i="10" s="1"/>
  <c r="P35" i="10" s="1"/>
  <c r="H34" i="10"/>
  <c r="H36" i="10" s="1"/>
  <c r="I33" i="10"/>
  <c r="G33" i="10"/>
  <c r="F33" i="10"/>
  <c r="D33" i="10"/>
  <c r="I32" i="10" s="1"/>
  <c r="O30" i="10"/>
  <c r="N30" i="10"/>
  <c r="I30" i="10"/>
  <c r="H30" i="10"/>
  <c r="I28" i="10"/>
  <c r="G28" i="10"/>
  <c r="H29" i="10" s="1"/>
  <c r="F28" i="10"/>
  <c r="D28" i="10"/>
  <c r="I27" i="10" s="1"/>
  <c r="O25" i="10"/>
  <c r="N25" i="10"/>
  <c r="I25" i="10"/>
  <c r="H25" i="10"/>
  <c r="I23" i="10"/>
  <c r="G23" i="10"/>
  <c r="H24" i="10" s="1"/>
  <c r="F23" i="10"/>
  <c r="D23" i="10"/>
  <c r="I22" i="10" s="1"/>
  <c r="O20" i="10"/>
  <c r="N20" i="10"/>
  <c r="H20" i="10"/>
  <c r="I20" i="10" s="1"/>
  <c r="I18" i="10"/>
  <c r="G18" i="10"/>
  <c r="H19" i="10" s="1"/>
  <c r="F18" i="10"/>
  <c r="D18" i="10"/>
  <c r="I17" i="10" s="1"/>
  <c r="O15" i="10"/>
  <c r="N15" i="10"/>
  <c r="H15" i="10"/>
  <c r="I15" i="10" s="1"/>
  <c r="I13" i="10"/>
  <c r="G13" i="10"/>
  <c r="H14" i="10" s="1"/>
  <c r="F13" i="10"/>
  <c r="D13" i="10"/>
  <c r="I12" i="10" s="1"/>
  <c r="O601" i="9"/>
  <c r="N601" i="9"/>
  <c r="H601" i="9"/>
  <c r="I601" i="9" s="1"/>
  <c r="I599" i="9"/>
  <c r="G599" i="9"/>
  <c r="H600" i="9" s="1"/>
  <c r="F599" i="9"/>
  <c r="D599" i="9"/>
  <c r="I598" i="9" s="1"/>
  <c r="O596" i="9"/>
  <c r="N596" i="9"/>
  <c r="H596" i="9"/>
  <c r="I596" i="9" s="1"/>
  <c r="I594" i="9"/>
  <c r="G594" i="9"/>
  <c r="H595" i="9" s="1"/>
  <c r="F594" i="9"/>
  <c r="D594" i="9"/>
  <c r="I593" i="9" s="1"/>
  <c r="O591" i="9"/>
  <c r="N591" i="9"/>
  <c r="H591" i="9"/>
  <c r="I591" i="9" s="1"/>
  <c r="G589" i="9"/>
  <c r="H590" i="9" s="1"/>
  <c r="I590" i="9" s="1"/>
  <c r="M590" i="9" s="1"/>
  <c r="F589" i="9"/>
  <c r="D589" i="9"/>
  <c r="O586" i="9"/>
  <c r="N586" i="9"/>
  <c r="H586" i="9"/>
  <c r="I586" i="9" s="1"/>
  <c r="G584" i="9"/>
  <c r="H585" i="9" s="1"/>
  <c r="I585" i="9" s="1"/>
  <c r="M585" i="9" s="1"/>
  <c r="F584" i="9"/>
  <c r="D584" i="9"/>
  <c r="O581" i="9"/>
  <c r="N581" i="9"/>
  <c r="H581" i="9"/>
  <c r="I581" i="9" s="1"/>
  <c r="I579" i="9"/>
  <c r="G579" i="9"/>
  <c r="H580" i="9" s="1"/>
  <c r="F579" i="9"/>
  <c r="D579" i="9"/>
  <c r="I578" i="9" s="1"/>
  <c r="O576" i="9"/>
  <c r="N576" i="9"/>
  <c r="H576" i="9"/>
  <c r="I576" i="9" s="1"/>
  <c r="I574" i="9"/>
  <c r="G574" i="9"/>
  <c r="H575" i="9" s="1"/>
  <c r="F574" i="9"/>
  <c r="D574" i="9"/>
  <c r="O571" i="9"/>
  <c r="N571" i="9"/>
  <c r="I571" i="9"/>
  <c r="H571" i="9"/>
  <c r="I569" i="9"/>
  <c r="G569" i="9"/>
  <c r="H570" i="9" s="1"/>
  <c r="F569" i="9"/>
  <c r="D569" i="9"/>
  <c r="I568" i="9" s="1"/>
  <c r="O566" i="9"/>
  <c r="N566" i="9"/>
  <c r="H566" i="9"/>
  <c r="I566" i="9" s="1"/>
  <c r="I564" i="9"/>
  <c r="G564" i="9"/>
  <c r="H565" i="9" s="1"/>
  <c r="F564" i="9"/>
  <c r="D564" i="9"/>
  <c r="I563" i="9" s="1"/>
  <c r="O561" i="9"/>
  <c r="N561" i="9"/>
  <c r="H561" i="9"/>
  <c r="I561" i="9" s="1"/>
  <c r="I559" i="9"/>
  <c r="G559" i="9"/>
  <c r="H560" i="9" s="1"/>
  <c r="I560" i="9" s="1"/>
  <c r="M560" i="9" s="1"/>
  <c r="F559" i="9"/>
  <c r="D559" i="9"/>
  <c r="I558" i="9" s="1"/>
  <c r="O556" i="9"/>
  <c r="N556" i="9"/>
  <c r="H556" i="9"/>
  <c r="I556" i="9" s="1"/>
  <c r="I554" i="9"/>
  <c r="G554" i="9"/>
  <c r="H555" i="9" s="1"/>
  <c r="I555" i="9" s="1"/>
  <c r="M555" i="9" s="1"/>
  <c r="F554" i="9"/>
  <c r="D554" i="9"/>
  <c r="I553" i="9" s="1"/>
  <c r="O551" i="9"/>
  <c r="N551" i="9"/>
  <c r="H551" i="9"/>
  <c r="I551" i="9" s="1"/>
  <c r="I549" i="9"/>
  <c r="G549" i="9"/>
  <c r="H550" i="9" s="1"/>
  <c r="F549" i="9"/>
  <c r="D549" i="9"/>
  <c r="I548" i="9" s="1"/>
  <c r="O546" i="9"/>
  <c r="N546" i="9"/>
  <c r="H546" i="9"/>
  <c r="I546" i="9" s="1"/>
  <c r="G544" i="9"/>
  <c r="F544" i="9"/>
  <c r="D544" i="9"/>
  <c r="O541" i="9"/>
  <c r="N541" i="9"/>
  <c r="H541" i="9"/>
  <c r="I541" i="9" s="1"/>
  <c r="I539" i="9"/>
  <c r="G539" i="9"/>
  <c r="F539" i="9"/>
  <c r="D539" i="9"/>
  <c r="O536" i="9"/>
  <c r="N536" i="9"/>
  <c r="H536" i="9"/>
  <c r="I536" i="9" s="1"/>
  <c r="I534" i="9"/>
  <c r="G534" i="9"/>
  <c r="H535" i="9" s="1"/>
  <c r="I535" i="9" s="1"/>
  <c r="M535" i="9" s="1"/>
  <c r="F534" i="9"/>
  <c r="D534" i="9"/>
  <c r="H533" i="9" s="1"/>
  <c r="I533" i="9" s="1"/>
  <c r="O531" i="9"/>
  <c r="N531" i="9"/>
  <c r="H531" i="9"/>
  <c r="I531" i="9" s="1"/>
  <c r="I529" i="9"/>
  <c r="G529" i="9"/>
  <c r="H530" i="9" s="1"/>
  <c r="F529" i="9"/>
  <c r="D529" i="9"/>
  <c r="I528" i="9" s="1"/>
  <c r="O526" i="9"/>
  <c r="N526" i="9"/>
  <c r="H526" i="9"/>
  <c r="I526" i="9" s="1"/>
  <c r="I524" i="9"/>
  <c r="G524" i="9"/>
  <c r="H525" i="9" s="1"/>
  <c r="F524" i="9"/>
  <c r="D524" i="9"/>
  <c r="I523" i="9" s="1"/>
  <c r="O521" i="9"/>
  <c r="N521" i="9"/>
  <c r="H521" i="9"/>
  <c r="I521" i="9" s="1"/>
  <c r="I519" i="9"/>
  <c r="G519" i="9"/>
  <c r="H520" i="9" s="1"/>
  <c r="H522" i="9" s="1"/>
  <c r="F519" i="9"/>
  <c r="D519" i="9"/>
  <c r="I518" i="9" s="1"/>
  <c r="O516" i="9"/>
  <c r="N516" i="9"/>
  <c r="H516" i="9"/>
  <c r="I516" i="9" s="1"/>
  <c r="I514" i="9"/>
  <c r="G514" i="9"/>
  <c r="H515" i="9" s="1"/>
  <c r="F514" i="9"/>
  <c r="D514" i="9"/>
  <c r="I513" i="9" s="1"/>
  <c r="O511" i="9"/>
  <c r="N511" i="9"/>
  <c r="H511" i="9"/>
  <c r="I511" i="9" s="1"/>
  <c r="I509" i="9"/>
  <c r="G509" i="9"/>
  <c r="H510" i="9" s="1"/>
  <c r="I510" i="9" s="1"/>
  <c r="M510" i="9" s="1"/>
  <c r="F509" i="9"/>
  <c r="D509" i="9"/>
  <c r="O506" i="9"/>
  <c r="N506" i="9"/>
  <c r="H506" i="9"/>
  <c r="H507" i="9" s="1"/>
  <c r="I505" i="9"/>
  <c r="M505" i="9" s="1"/>
  <c r="I504" i="9"/>
  <c r="G504" i="9"/>
  <c r="F504" i="9"/>
  <c r="D504" i="9"/>
  <c r="I503" i="9" s="1"/>
  <c r="O500" i="9"/>
  <c r="N500" i="9"/>
  <c r="H500" i="9"/>
  <c r="I500" i="9" s="1"/>
  <c r="G498" i="9"/>
  <c r="F498" i="9"/>
  <c r="D498" i="9"/>
  <c r="O494" i="9"/>
  <c r="N494" i="9"/>
  <c r="H494" i="9"/>
  <c r="I494" i="9" s="1"/>
  <c r="G492" i="9"/>
  <c r="F492" i="9"/>
  <c r="D492" i="9"/>
  <c r="I491" i="9" s="1"/>
  <c r="O488" i="9"/>
  <c r="N488" i="9"/>
  <c r="H488" i="9"/>
  <c r="I488" i="9" s="1"/>
  <c r="G486" i="9"/>
  <c r="F486" i="9"/>
  <c r="D486" i="9"/>
  <c r="I485" i="9" s="1"/>
  <c r="O483" i="9"/>
  <c r="N483" i="9"/>
  <c r="H483" i="9"/>
  <c r="I483" i="9" s="1"/>
  <c r="I481" i="9"/>
  <c r="G481" i="9"/>
  <c r="H482" i="9" s="1"/>
  <c r="F481" i="9"/>
  <c r="D481" i="9"/>
  <c r="I480" i="9" s="1"/>
  <c r="O478" i="9"/>
  <c r="N478" i="9"/>
  <c r="H478" i="9"/>
  <c r="I478" i="9" s="1"/>
  <c r="I476" i="9"/>
  <c r="G476" i="9"/>
  <c r="H477" i="9" s="1"/>
  <c r="I477" i="9" s="1"/>
  <c r="M477" i="9" s="1"/>
  <c r="F476" i="9"/>
  <c r="D476" i="9"/>
  <c r="I475" i="9" s="1"/>
  <c r="O473" i="9"/>
  <c r="N473" i="9"/>
  <c r="H473" i="9"/>
  <c r="I473" i="9" s="1"/>
  <c r="I471" i="9"/>
  <c r="G471" i="9"/>
  <c r="H472" i="9" s="1"/>
  <c r="I472" i="9" s="1"/>
  <c r="M472" i="9" s="1"/>
  <c r="F471" i="9"/>
  <c r="D471" i="9"/>
  <c r="O468" i="9"/>
  <c r="N468" i="9"/>
  <c r="H468" i="9"/>
  <c r="I468" i="9" s="1"/>
  <c r="G466" i="9"/>
  <c r="H467" i="9" s="1"/>
  <c r="I467" i="9" s="1"/>
  <c r="M467" i="9" s="1"/>
  <c r="F466" i="9"/>
  <c r="D466" i="9"/>
  <c r="O463" i="9"/>
  <c r="N463" i="9"/>
  <c r="H463" i="9"/>
  <c r="I463" i="9" s="1"/>
  <c r="G461" i="9"/>
  <c r="H462" i="9" s="1"/>
  <c r="I462" i="9" s="1"/>
  <c r="M462" i="9" s="1"/>
  <c r="F461" i="9"/>
  <c r="D461" i="9"/>
  <c r="H460" i="9" s="1"/>
  <c r="I460" i="9" s="1"/>
  <c r="O458" i="9"/>
  <c r="N458" i="9"/>
  <c r="H458" i="9"/>
  <c r="I458" i="9" s="1"/>
  <c r="I456" i="9"/>
  <c r="G456" i="9"/>
  <c r="H457" i="9" s="1"/>
  <c r="I457" i="9" s="1"/>
  <c r="M457" i="9" s="1"/>
  <c r="F456" i="9"/>
  <c r="D456" i="9"/>
  <c r="H455" i="9" s="1"/>
  <c r="I455" i="9" s="1"/>
  <c r="O453" i="9"/>
  <c r="N453" i="9"/>
  <c r="H453" i="9"/>
  <c r="I453" i="9" s="1"/>
  <c r="G451" i="9"/>
  <c r="H452" i="9" s="1"/>
  <c r="I452" i="9" s="1"/>
  <c r="M452" i="9" s="1"/>
  <c r="F451" i="9"/>
  <c r="H451" i="9" s="1"/>
  <c r="D451" i="9"/>
  <c r="I450" i="9" s="1"/>
  <c r="O448" i="9"/>
  <c r="N448" i="9"/>
  <c r="H448" i="9"/>
  <c r="I448" i="9" s="1"/>
  <c r="G446" i="9"/>
  <c r="H447" i="9" s="1"/>
  <c r="I447" i="9" s="1"/>
  <c r="M447" i="9" s="1"/>
  <c r="F446" i="9"/>
  <c r="D446" i="9"/>
  <c r="I445" i="9" s="1"/>
  <c r="O443" i="9"/>
  <c r="N443" i="9"/>
  <c r="H443" i="9"/>
  <c r="I443" i="9" s="1"/>
  <c r="G441" i="9"/>
  <c r="H442" i="9" s="1"/>
  <c r="I442" i="9" s="1"/>
  <c r="M442" i="9" s="1"/>
  <c r="F441" i="9"/>
  <c r="H441" i="9" s="1"/>
  <c r="D441" i="9"/>
  <c r="I440" i="9" s="1"/>
  <c r="O438" i="9"/>
  <c r="N438" i="9"/>
  <c r="H438" i="9"/>
  <c r="I438" i="9" s="1"/>
  <c r="H437" i="9"/>
  <c r="I437" i="9" s="1"/>
  <c r="M437" i="9" s="1"/>
  <c r="G436" i="9"/>
  <c r="F436" i="9"/>
  <c r="H436" i="9" s="1"/>
  <c r="D436" i="9"/>
  <c r="I435" i="9" s="1"/>
  <c r="O433" i="9"/>
  <c r="N433" i="9"/>
  <c r="H433" i="9"/>
  <c r="I433" i="9" s="1"/>
  <c r="G431" i="9"/>
  <c r="H432" i="9" s="1"/>
  <c r="I432" i="9" s="1"/>
  <c r="M432" i="9" s="1"/>
  <c r="F431" i="9"/>
  <c r="H431" i="9" s="1"/>
  <c r="D431" i="9"/>
  <c r="I430" i="9" s="1"/>
  <c r="O428" i="9"/>
  <c r="N428" i="9"/>
  <c r="H428" i="9"/>
  <c r="I428" i="9" s="1"/>
  <c r="G426" i="9"/>
  <c r="H427" i="9" s="1"/>
  <c r="I427" i="9" s="1"/>
  <c r="M427" i="9" s="1"/>
  <c r="F426" i="9"/>
  <c r="H426" i="9" s="1"/>
  <c r="D426" i="9"/>
  <c r="I425" i="9" s="1"/>
  <c r="O423" i="9"/>
  <c r="N423" i="9"/>
  <c r="H423" i="9"/>
  <c r="I423" i="9" s="1"/>
  <c r="G421" i="9"/>
  <c r="H422" i="9" s="1"/>
  <c r="I422" i="9" s="1"/>
  <c r="M422" i="9" s="1"/>
  <c r="F421" i="9"/>
  <c r="H421" i="9" s="1"/>
  <c r="I421" i="9" s="1"/>
  <c r="D421" i="9"/>
  <c r="I420" i="9" s="1"/>
  <c r="O418" i="9"/>
  <c r="N418" i="9"/>
  <c r="H418" i="9"/>
  <c r="I418" i="9" s="1"/>
  <c r="G416" i="9"/>
  <c r="H417" i="9" s="1"/>
  <c r="I417" i="9" s="1"/>
  <c r="M417" i="9" s="1"/>
  <c r="F416" i="9"/>
  <c r="H416" i="9" s="1"/>
  <c r="I416" i="9" s="1"/>
  <c r="D416" i="9"/>
  <c r="O413" i="9"/>
  <c r="N413" i="9"/>
  <c r="H413" i="9"/>
  <c r="I413" i="9" s="1"/>
  <c r="G411" i="9"/>
  <c r="H412" i="9" s="1"/>
  <c r="I412" i="9" s="1"/>
  <c r="M412" i="9" s="1"/>
  <c r="F411" i="9"/>
  <c r="H411" i="9" s="1"/>
  <c r="I411" i="9" s="1"/>
  <c r="D411" i="9"/>
  <c r="O408" i="9"/>
  <c r="N408" i="9"/>
  <c r="H408" i="9"/>
  <c r="I408" i="9" s="1"/>
  <c r="H407" i="9"/>
  <c r="I407" i="9" s="1"/>
  <c r="M407" i="9" s="1"/>
  <c r="I406" i="9"/>
  <c r="G406" i="9"/>
  <c r="F406" i="9"/>
  <c r="D406" i="9"/>
  <c r="O403" i="9"/>
  <c r="N403" i="9"/>
  <c r="H403" i="9"/>
  <c r="I403" i="9" s="1"/>
  <c r="I401" i="9"/>
  <c r="G401" i="9"/>
  <c r="F401" i="9"/>
  <c r="D401" i="9"/>
  <c r="O398" i="9"/>
  <c r="N398" i="9"/>
  <c r="H398" i="9"/>
  <c r="I398" i="9" s="1"/>
  <c r="I397" i="9"/>
  <c r="M397" i="9" s="1"/>
  <c r="G396" i="9"/>
  <c r="F396" i="9"/>
  <c r="D396" i="9"/>
  <c r="I395" i="9" s="1"/>
  <c r="O393" i="9"/>
  <c r="N393" i="9"/>
  <c r="H393" i="9"/>
  <c r="H394" i="9" s="1"/>
  <c r="I392" i="9"/>
  <c r="M392" i="9" s="1"/>
  <c r="I391" i="9"/>
  <c r="G391" i="9"/>
  <c r="F391" i="9"/>
  <c r="D391" i="9"/>
  <c r="I390" i="9" s="1"/>
  <c r="O388" i="9"/>
  <c r="N388" i="9"/>
  <c r="H388" i="9"/>
  <c r="I388" i="9" s="1"/>
  <c r="I387" i="9"/>
  <c r="M387" i="9" s="1"/>
  <c r="I386" i="9"/>
  <c r="G386" i="9"/>
  <c r="F386" i="9"/>
  <c r="D386" i="9"/>
  <c r="O383" i="9"/>
  <c r="N383" i="9"/>
  <c r="H383" i="9"/>
  <c r="I383" i="9" s="1"/>
  <c r="G381" i="9"/>
  <c r="F381" i="9"/>
  <c r="D381" i="9"/>
  <c r="I380" i="9" s="1"/>
  <c r="O378" i="9"/>
  <c r="N378" i="9"/>
  <c r="H378" i="9"/>
  <c r="I378" i="9" s="1"/>
  <c r="I376" i="9"/>
  <c r="G376" i="9"/>
  <c r="F376" i="9"/>
  <c r="D376" i="9"/>
  <c r="I375" i="9" s="1"/>
  <c r="H374" i="9"/>
  <c r="O373" i="9"/>
  <c r="N373" i="9"/>
  <c r="H373" i="9"/>
  <c r="I373" i="9" s="1"/>
  <c r="I372" i="9"/>
  <c r="M372" i="9" s="1"/>
  <c r="I371" i="9"/>
  <c r="G371" i="9"/>
  <c r="F371" i="9"/>
  <c r="D371" i="9"/>
  <c r="I370" i="9" s="1"/>
  <c r="O368" i="9"/>
  <c r="N368" i="9"/>
  <c r="H368" i="9"/>
  <c r="I368" i="9" s="1"/>
  <c r="I367" i="9"/>
  <c r="M367" i="9" s="1"/>
  <c r="G366" i="9"/>
  <c r="F366" i="9"/>
  <c r="D366" i="9"/>
  <c r="O363" i="9"/>
  <c r="N363" i="9"/>
  <c r="H363" i="9"/>
  <c r="I363" i="9" s="1"/>
  <c r="G361" i="9"/>
  <c r="F361" i="9"/>
  <c r="D361" i="9"/>
  <c r="I360" i="9" s="1"/>
  <c r="O357" i="9"/>
  <c r="N357" i="9"/>
  <c r="H357" i="9"/>
  <c r="I357" i="9" s="1"/>
  <c r="G355" i="9"/>
  <c r="H356" i="9" s="1"/>
  <c r="F355" i="9"/>
  <c r="D355" i="9"/>
  <c r="I354" i="9" s="1"/>
  <c r="O351" i="9"/>
  <c r="N351" i="9"/>
  <c r="H351" i="9"/>
  <c r="I351" i="9" s="1"/>
  <c r="G349" i="9"/>
  <c r="H350" i="9" s="1"/>
  <c r="F349" i="9"/>
  <c r="D349" i="9"/>
  <c r="I348" i="9" s="1"/>
  <c r="O345" i="9"/>
  <c r="N345" i="9"/>
  <c r="H345" i="9"/>
  <c r="I345" i="9" s="1"/>
  <c r="I343" i="9"/>
  <c r="G343" i="9"/>
  <c r="H344" i="9" s="1"/>
  <c r="F343" i="9"/>
  <c r="D343" i="9"/>
  <c r="I342" i="9" s="1"/>
  <c r="O339" i="9"/>
  <c r="N339" i="9"/>
  <c r="H339" i="9"/>
  <c r="I339" i="9" s="1"/>
  <c r="I337" i="9"/>
  <c r="G337" i="9"/>
  <c r="H338" i="9" s="1"/>
  <c r="F337" i="9"/>
  <c r="D337" i="9"/>
  <c r="I336" i="9" s="1"/>
  <c r="O333" i="9"/>
  <c r="N333" i="9"/>
  <c r="H333" i="9"/>
  <c r="I333" i="9" s="1"/>
  <c r="I331" i="9"/>
  <c r="G331" i="9"/>
  <c r="H332" i="9" s="1"/>
  <c r="I332" i="9" s="1"/>
  <c r="M332" i="9" s="1"/>
  <c r="F331" i="9"/>
  <c r="D331" i="9"/>
  <c r="I330" i="9" s="1"/>
  <c r="O327" i="9"/>
  <c r="N327" i="9"/>
  <c r="H327" i="9"/>
  <c r="I327" i="9" s="1"/>
  <c r="I325" i="9"/>
  <c r="G325" i="9"/>
  <c r="H326" i="9" s="1"/>
  <c r="I326" i="9" s="1"/>
  <c r="M326" i="9" s="1"/>
  <c r="F325" i="9"/>
  <c r="D325" i="9"/>
  <c r="I324" i="9" s="1"/>
  <c r="O321" i="9"/>
  <c r="N321" i="9"/>
  <c r="H321" i="9"/>
  <c r="I321" i="9" s="1"/>
  <c r="I319" i="9"/>
  <c r="G319" i="9"/>
  <c r="H320" i="9" s="1"/>
  <c r="F319" i="9"/>
  <c r="D319" i="9"/>
  <c r="I318" i="9" s="1"/>
  <c r="O316" i="9"/>
  <c r="N316" i="9"/>
  <c r="H316" i="9"/>
  <c r="I316" i="9" s="1"/>
  <c r="I314" i="9"/>
  <c r="G314" i="9"/>
  <c r="H315" i="9" s="1"/>
  <c r="F314" i="9"/>
  <c r="D314" i="9"/>
  <c r="I313" i="9" s="1"/>
  <c r="O310" i="9"/>
  <c r="N310" i="9"/>
  <c r="H310" i="9"/>
  <c r="I310" i="9" s="1"/>
  <c r="I308" i="9"/>
  <c r="G308" i="9"/>
  <c r="H309" i="9" s="1"/>
  <c r="I309" i="9" s="1"/>
  <c r="M309" i="9" s="1"/>
  <c r="F308" i="9"/>
  <c r="D308" i="9"/>
  <c r="I307" i="9" s="1"/>
  <c r="O303" i="9"/>
  <c r="N303" i="9"/>
  <c r="H303" i="9"/>
  <c r="I303" i="9" s="1"/>
  <c r="G301" i="9"/>
  <c r="H302" i="9" s="1"/>
  <c r="I302" i="9" s="1"/>
  <c r="M302" i="9" s="1"/>
  <c r="F301" i="9"/>
  <c r="D301" i="9"/>
  <c r="O297" i="9"/>
  <c r="N297" i="9"/>
  <c r="H297" i="9"/>
  <c r="I297" i="9" s="1"/>
  <c r="G295" i="9"/>
  <c r="H296" i="9" s="1"/>
  <c r="I296" i="9" s="1"/>
  <c r="M296" i="9" s="1"/>
  <c r="F295" i="9"/>
  <c r="D295" i="9"/>
  <c r="I294" i="9" s="1"/>
  <c r="O292" i="9"/>
  <c r="N292" i="9"/>
  <c r="H292" i="9"/>
  <c r="I292" i="9" s="1"/>
  <c r="G290" i="9"/>
  <c r="H291" i="9" s="1"/>
  <c r="F290" i="9"/>
  <c r="D290" i="9"/>
  <c r="I289" i="9" s="1"/>
  <c r="O285" i="9"/>
  <c r="N285" i="9"/>
  <c r="H285" i="9"/>
  <c r="I285" i="9" s="1"/>
  <c r="I283" i="9"/>
  <c r="G283" i="9"/>
  <c r="H284" i="9" s="1"/>
  <c r="F283" i="9"/>
  <c r="D283" i="9"/>
  <c r="I282" i="9" s="1"/>
  <c r="O274" i="9"/>
  <c r="N274" i="9"/>
  <c r="H274" i="9"/>
  <c r="I274" i="9" s="1"/>
  <c r="I272" i="9"/>
  <c r="G272" i="9"/>
  <c r="H273" i="9" s="1"/>
  <c r="F272" i="9"/>
  <c r="D272" i="9"/>
  <c r="I271" i="9" s="1"/>
  <c r="O263" i="9"/>
  <c r="N263" i="9"/>
  <c r="H263" i="9"/>
  <c r="I263" i="9" s="1"/>
  <c r="I261" i="9"/>
  <c r="G261" i="9"/>
  <c r="H262" i="9" s="1"/>
  <c r="F261" i="9"/>
  <c r="D261" i="9"/>
  <c r="I260" i="9" s="1"/>
  <c r="O257" i="9"/>
  <c r="N257" i="9"/>
  <c r="H257" i="9"/>
  <c r="I257" i="9" s="1"/>
  <c r="I255" i="9"/>
  <c r="G255" i="9"/>
  <c r="H256" i="9" s="1"/>
  <c r="F255" i="9"/>
  <c r="D255" i="9"/>
  <c r="O251" i="9"/>
  <c r="N251" i="9"/>
  <c r="H251" i="9"/>
  <c r="I251" i="9" s="1"/>
  <c r="I249" i="9"/>
  <c r="G249" i="9"/>
  <c r="H250" i="9" s="1"/>
  <c r="I250" i="9" s="1"/>
  <c r="M250" i="9" s="1"/>
  <c r="F249" i="9"/>
  <c r="D249" i="9"/>
  <c r="I248" i="9" s="1"/>
  <c r="O246" i="9"/>
  <c r="N246" i="9"/>
  <c r="H246" i="9"/>
  <c r="I246" i="9" s="1"/>
  <c r="I244" i="9"/>
  <c r="G244" i="9"/>
  <c r="H245" i="9" s="1"/>
  <c r="F244" i="9"/>
  <c r="D244" i="9"/>
  <c r="I243" i="9" s="1"/>
  <c r="O240" i="9"/>
  <c r="N240" i="9"/>
  <c r="H240" i="9"/>
  <c r="I240" i="9" s="1"/>
  <c r="I238" i="9"/>
  <c r="G238" i="9"/>
  <c r="H239" i="9" s="1"/>
  <c r="F238" i="9"/>
  <c r="D238" i="9"/>
  <c r="I237" i="9" s="1"/>
  <c r="O235" i="9"/>
  <c r="N235" i="9"/>
  <c r="H235" i="9"/>
  <c r="I235" i="9" s="1"/>
  <c r="I233" i="9"/>
  <c r="G233" i="9"/>
  <c r="H234" i="9" s="1"/>
  <c r="F233" i="9"/>
  <c r="D233" i="9"/>
  <c r="I232" i="9" s="1"/>
  <c r="O229" i="9"/>
  <c r="N229" i="9"/>
  <c r="H229" i="9"/>
  <c r="I229" i="9" s="1"/>
  <c r="I227" i="9"/>
  <c r="G227" i="9"/>
  <c r="H228" i="9" s="1"/>
  <c r="H230" i="9" s="1"/>
  <c r="F227" i="9"/>
  <c r="D227" i="9"/>
  <c r="I226" i="9" s="1"/>
  <c r="O223" i="9"/>
  <c r="N223" i="9"/>
  <c r="H223" i="9"/>
  <c r="I223" i="9" s="1"/>
  <c r="I221" i="9"/>
  <c r="G221" i="9"/>
  <c r="H222" i="9" s="1"/>
  <c r="I222" i="9" s="1"/>
  <c r="M222" i="9" s="1"/>
  <c r="F221" i="9"/>
  <c r="D221" i="9"/>
  <c r="O217" i="9"/>
  <c r="N217" i="9"/>
  <c r="H217" i="9"/>
  <c r="I217" i="9" s="1"/>
  <c r="G215" i="9"/>
  <c r="H216" i="9" s="1"/>
  <c r="I216" i="9" s="1"/>
  <c r="M216" i="9" s="1"/>
  <c r="F215" i="9"/>
  <c r="D215" i="9"/>
  <c r="O212" i="9"/>
  <c r="N212" i="9"/>
  <c r="H212" i="9"/>
  <c r="I212" i="9" s="1"/>
  <c r="G210" i="9"/>
  <c r="H211" i="9" s="1"/>
  <c r="I211" i="9" s="1"/>
  <c r="M211" i="9" s="1"/>
  <c r="F210" i="9"/>
  <c r="D210" i="9"/>
  <c r="I209" i="9" s="1"/>
  <c r="O206" i="9"/>
  <c r="N206" i="9"/>
  <c r="H206" i="9"/>
  <c r="I206" i="9" s="1"/>
  <c r="G204" i="9"/>
  <c r="H205" i="9" s="1"/>
  <c r="F204" i="9"/>
  <c r="D204" i="9"/>
  <c r="I203" i="9" s="1"/>
  <c r="O201" i="9"/>
  <c r="N201" i="9"/>
  <c r="H201" i="9"/>
  <c r="I201" i="9" s="1"/>
  <c r="I199" i="9"/>
  <c r="G199" i="9"/>
  <c r="H200" i="9" s="1"/>
  <c r="F199" i="9"/>
  <c r="D199" i="9"/>
  <c r="I198" i="9" s="1"/>
  <c r="O195" i="9"/>
  <c r="N195" i="9"/>
  <c r="H195" i="9"/>
  <c r="I195" i="9" s="1"/>
  <c r="I193" i="9"/>
  <c r="G193" i="9"/>
  <c r="H194" i="9" s="1"/>
  <c r="F193" i="9"/>
  <c r="D193" i="9"/>
  <c r="I192" i="9" s="1"/>
  <c r="O189" i="9"/>
  <c r="N189" i="9"/>
  <c r="H189" i="9"/>
  <c r="I189" i="9" s="1"/>
  <c r="I187" i="9"/>
  <c r="G187" i="9"/>
  <c r="H188" i="9" s="1"/>
  <c r="I188" i="9" s="1"/>
  <c r="M188" i="9" s="1"/>
  <c r="F187" i="9"/>
  <c r="D187" i="9"/>
  <c r="I186" i="9" s="1"/>
  <c r="O182" i="9"/>
  <c r="N182" i="9"/>
  <c r="H182" i="9"/>
  <c r="I182" i="9" s="1"/>
  <c r="I180" i="9"/>
  <c r="G180" i="9"/>
  <c r="H181" i="9" s="1"/>
  <c r="I181" i="9" s="1"/>
  <c r="M181" i="9" s="1"/>
  <c r="F180" i="9"/>
  <c r="D180" i="9"/>
  <c r="I179" i="9" s="1"/>
  <c r="O177" i="9"/>
  <c r="N177" i="9"/>
  <c r="H177" i="9"/>
  <c r="I177" i="9" s="1"/>
  <c r="I175" i="9"/>
  <c r="G175" i="9"/>
  <c r="H176" i="9" s="1"/>
  <c r="F175" i="9"/>
  <c r="D175" i="9"/>
  <c r="I174" i="9" s="1"/>
  <c r="O170" i="9"/>
  <c r="N170" i="9"/>
  <c r="H170" i="9"/>
  <c r="I170" i="9" s="1"/>
  <c r="I168" i="9"/>
  <c r="G168" i="9"/>
  <c r="H169" i="9" s="1"/>
  <c r="F168" i="9"/>
  <c r="D168" i="9"/>
  <c r="I167" i="9" s="1"/>
  <c r="O163" i="9"/>
  <c r="N163" i="9"/>
  <c r="H163" i="9"/>
  <c r="I163" i="9" s="1"/>
  <c r="I161" i="9"/>
  <c r="G161" i="9"/>
  <c r="H162" i="9" s="1"/>
  <c r="I162" i="9" s="1"/>
  <c r="M162" i="9" s="1"/>
  <c r="F161" i="9"/>
  <c r="D161" i="9"/>
  <c r="O156" i="9"/>
  <c r="N156" i="9"/>
  <c r="H156" i="9"/>
  <c r="I156" i="9" s="1"/>
  <c r="G154" i="9"/>
  <c r="H155" i="9" s="1"/>
  <c r="I155" i="9" s="1"/>
  <c r="M155" i="9" s="1"/>
  <c r="F154" i="9"/>
  <c r="D154" i="9"/>
  <c r="O149" i="9"/>
  <c r="N149" i="9"/>
  <c r="H149" i="9"/>
  <c r="I149" i="9" s="1"/>
  <c r="I147" i="9"/>
  <c r="G147" i="9"/>
  <c r="H148" i="9" s="1"/>
  <c r="F147" i="9"/>
  <c r="D147" i="9"/>
  <c r="O142" i="9"/>
  <c r="N142" i="9"/>
  <c r="H142" i="9"/>
  <c r="I142" i="9" s="1"/>
  <c r="I140" i="9"/>
  <c r="G140" i="9"/>
  <c r="H141" i="9" s="1"/>
  <c r="F140" i="9"/>
  <c r="D140" i="9"/>
  <c r="I139" i="9" s="1"/>
  <c r="O137" i="9"/>
  <c r="N137" i="9"/>
  <c r="H137" i="9"/>
  <c r="I137" i="9" s="1"/>
  <c r="I135" i="9"/>
  <c r="G135" i="9"/>
  <c r="H136" i="9" s="1"/>
  <c r="F135" i="9"/>
  <c r="D135" i="9"/>
  <c r="I134" i="9" s="1"/>
  <c r="O132" i="9"/>
  <c r="N132" i="9"/>
  <c r="H132" i="9"/>
  <c r="I132" i="9" s="1"/>
  <c r="I130" i="9"/>
  <c r="G130" i="9"/>
  <c r="H131" i="9" s="1"/>
  <c r="I131" i="9" s="1"/>
  <c r="M131" i="9" s="1"/>
  <c r="F130" i="9"/>
  <c r="D130" i="9"/>
  <c r="H129" i="9" s="1"/>
  <c r="I129" i="9" s="1"/>
  <c r="O127" i="9"/>
  <c r="N127" i="9"/>
  <c r="H127" i="9"/>
  <c r="I127" i="9" s="1"/>
  <c r="I125" i="9"/>
  <c r="G125" i="9"/>
  <c r="H126" i="9" s="1"/>
  <c r="F125" i="9"/>
  <c r="D125" i="9"/>
  <c r="I124" i="9" s="1"/>
  <c r="O122" i="9"/>
  <c r="N122" i="9"/>
  <c r="H122" i="9"/>
  <c r="I122" i="9" s="1"/>
  <c r="G120" i="9"/>
  <c r="H121" i="9" s="1"/>
  <c r="I121" i="9" s="1"/>
  <c r="M121" i="9" s="1"/>
  <c r="F120" i="9"/>
  <c r="D120" i="9"/>
  <c r="H119" i="9" s="1"/>
  <c r="I119" i="9" s="1"/>
  <c r="O117" i="9"/>
  <c r="N117" i="9"/>
  <c r="H117" i="9"/>
  <c r="I117" i="9" s="1"/>
  <c r="I115" i="9"/>
  <c r="G115" i="9"/>
  <c r="H116" i="9" s="1"/>
  <c r="I116" i="9" s="1"/>
  <c r="M116" i="9" s="1"/>
  <c r="F115" i="9"/>
  <c r="D115" i="9"/>
  <c r="O112" i="9"/>
  <c r="N112" i="9"/>
  <c r="H112" i="9"/>
  <c r="I112" i="9" s="1"/>
  <c r="G110" i="9"/>
  <c r="H111" i="9" s="1"/>
  <c r="I111" i="9" s="1"/>
  <c r="M111" i="9" s="1"/>
  <c r="F110" i="9"/>
  <c r="D110" i="9"/>
  <c r="O107" i="9"/>
  <c r="N107" i="9"/>
  <c r="H107" i="9"/>
  <c r="I106" i="9"/>
  <c r="M106" i="9" s="1"/>
  <c r="G105" i="9"/>
  <c r="F105" i="9"/>
  <c r="D105" i="9"/>
  <c r="I104" i="9" s="1"/>
  <c r="O101" i="9"/>
  <c r="N101" i="9"/>
  <c r="H101" i="9"/>
  <c r="I101" i="9" s="1"/>
  <c r="I100" i="9"/>
  <c r="I99" i="9"/>
  <c r="G99" i="9"/>
  <c r="F99" i="9"/>
  <c r="D99" i="9"/>
  <c r="I98" i="9" s="1"/>
  <c r="O95" i="9"/>
  <c r="N95" i="9"/>
  <c r="H95" i="9"/>
  <c r="I95" i="9" s="1"/>
  <c r="I94" i="9"/>
  <c r="M94" i="9" s="1"/>
  <c r="I93" i="9"/>
  <c r="G93" i="9"/>
  <c r="F93" i="9"/>
  <c r="D93" i="9"/>
  <c r="I92" i="9" s="1"/>
  <c r="O89" i="9"/>
  <c r="N89" i="9"/>
  <c r="H89" i="9"/>
  <c r="I89" i="9" s="1"/>
  <c r="G87" i="9"/>
  <c r="F87" i="9"/>
  <c r="D87" i="9"/>
  <c r="O83" i="9"/>
  <c r="N83" i="9"/>
  <c r="H83" i="9"/>
  <c r="I83" i="9" s="1"/>
  <c r="I82" i="9"/>
  <c r="M82" i="9" s="1"/>
  <c r="G81" i="9"/>
  <c r="F81" i="9"/>
  <c r="D81" i="9"/>
  <c r="I80" i="9" s="1"/>
  <c r="O77" i="9"/>
  <c r="N77" i="9"/>
  <c r="H77" i="9"/>
  <c r="H78" i="9" s="1"/>
  <c r="I76" i="9"/>
  <c r="M76" i="9" s="1"/>
  <c r="I75" i="9"/>
  <c r="G75" i="9"/>
  <c r="F75" i="9"/>
  <c r="D75" i="9"/>
  <c r="I74" i="9" s="1"/>
  <c r="O70" i="9"/>
  <c r="N70" i="9"/>
  <c r="H70" i="9"/>
  <c r="I70" i="9" s="1"/>
  <c r="G68" i="9"/>
  <c r="H69" i="9" s="1"/>
  <c r="I69" i="9" s="1"/>
  <c r="M69" i="9" s="1"/>
  <c r="F68" i="9"/>
  <c r="H68" i="9" s="1"/>
  <c r="D68" i="9"/>
  <c r="I67" i="9" s="1"/>
  <c r="O63" i="9"/>
  <c r="N63" i="9"/>
  <c r="H63" i="9"/>
  <c r="I63" i="9" s="1"/>
  <c r="I61" i="9"/>
  <c r="G61" i="9"/>
  <c r="H62" i="9" s="1"/>
  <c r="I62" i="9" s="1"/>
  <c r="M62" i="9" s="1"/>
  <c r="F61" i="9"/>
  <c r="D61" i="9"/>
  <c r="H60" i="9" s="1"/>
  <c r="I60" i="9" s="1"/>
  <c r="O57" i="9"/>
  <c r="N57" i="9"/>
  <c r="H57" i="9"/>
  <c r="I57" i="9" s="1"/>
  <c r="I55" i="9"/>
  <c r="G55" i="9"/>
  <c r="H56" i="9" s="1"/>
  <c r="F55" i="9"/>
  <c r="D55" i="9"/>
  <c r="I54" i="9" s="1"/>
  <c r="O50" i="9"/>
  <c r="N50" i="9"/>
  <c r="H50" i="9"/>
  <c r="I50" i="9" s="1"/>
  <c r="I48" i="9"/>
  <c r="G48" i="9"/>
  <c r="H49" i="9" s="1"/>
  <c r="F48" i="9"/>
  <c r="D48" i="9"/>
  <c r="I47" i="9" s="1"/>
  <c r="O45" i="9"/>
  <c r="N45" i="9"/>
  <c r="H45" i="9"/>
  <c r="I45" i="9" s="1"/>
  <c r="G43" i="9"/>
  <c r="H44" i="9" s="1"/>
  <c r="I44" i="9" s="1"/>
  <c r="M44" i="9" s="1"/>
  <c r="F43" i="9"/>
  <c r="D43" i="9"/>
  <c r="H42" i="9" s="1"/>
  <c r="I42" i="9" s="1"/>
  <c r="O40" i="9"/>
  <c r="N40" i="9"/>
  <c r="H40" i="9"/>
  <c r="I40" i="9" s="1"/>
  <c r="G38" i="9"/>
  <c r="H39" i="9" s="1"/>
  <c r="I39" i="9" s="1"/>
  <c r="M39" i="9" s="1"/>
  <c r="F38" i="9"/>
  <c r="D38" i="9"/>
  <c r="H37" i="9" s="1"/>
  <c r="I37" i="9" s="1"/>
  <c r="O35" i="9"/>
  <c r="N35" i="9"/>
  <c r="H35" i="9"/>
  <c r="I35" i="9" s="1"/>
  <c r="G33" i="9"/>
  <c r="H34" i="9" s="1"/>
  <c r="I34" i="9" s="1"/>
  <c r="M34" i="9" s="1"/>
  <c r="F33" i="9"/>
  <c r="D33" i="9"/>
  <c r="O30" i="9"/>
  <c r="N30" i="9"/>
  <c r="H30" i="9"/>
  <c r="I30" i="9" s="1"/>
  <c r="I28" i="9"/>
  <c r="G28" i="9"/>
  <c r="H29" i="9" s="1"/>
  <c r="I29" i="9" s="1"/>
  <c r="M29" i="9" s="1"/>
  <c r="F28" i="9"/>
  <c r="D28" i="9"/>
  <c r="I27" i="9" s="1"/>
  <c r="O25" i="9"/>
  <c r="N25" i="9"/>
  <c r="H25" i="9"/>
  <c r="I25" i="9" s="1"/>
  <c r="I23" i="9"/>
  <c r="G23" i="9"/>
  <c r="H24" i="9" s="1"/>
  <c r="F23" i="9"/>
  <c r="D23" i="9"/>
  <c r="O20" i="9"/>
  <c r="N20" i="9"/>
  <c r="H20" i="9"/>
  <c r="I20" i="9" s="1"/>
  <c r="I18" i="9"/>
  <c r="G18" i="9"/>
  <c r="H19" i="9" s="1"/>
  <c r="F18" i="9"/>
  <c r="D18" i="9"/>
  <c r="I17" i="9" s="1"/>
  <c r="O15" i="9"/>
  <c r="N15" i="9"/>
  <c r="H15" i="9"/>
  <c r="I15" i="9" s="1"/>
  <c r="I13" i="9"/>
  <c r="G13" i="9"/>
  <c r="H14" i="9" s="1"/>
  <c r="I14" i="9" s="1"/>
  <c r="F13" i="9"/>
  <c r="D13" i="9"/>
  <c r="I12" i="9" s="1"/>
  <c r="S37" i="5"/>
  <c r="R37" i="5"/>
  <c r="Q37" i="5"/>
  <c r="L37" i="5"/>
  <c r="K37" i="5"/>
  <c r="O35" i="5"/>
  <c r="N35" i="5"/>
  <c r="I35" i="5"/>
  <c r="P35" i="5" s="1"/>
  <c r="H35" i="5"/>
  <c r="G33" i="5"/>
  <c r="H34" i="5" s="1"/>
  <c r="I34" i="5" s="1"/>
  <c r="M34" i="5" s="1"/>
  <c r="F33" i="5"/>
  <c r="H33" i="5" s="1"/>
  <c r="D33" i="5"/>
  <c r="I32" i="5" s="1"/>
  <c r="O30" i="5"/>
  <c r="N30" i="5"/>
  <c r="I30" i="5"/>
  <c r="P30" i="5" s="1"/>
  <c r="H30" i="5"/>
  <c r="H29" i="5"/>
  <c r="I29" i="5" s="1"/>
  <c r="M29" i="5" s="1"/>
  <c r="H28" i="5"/>
  <c r="I28" i="5" s="1"/>
  <c r="G28" i="5"/>
  <c r="F28" i="5"/>
  <c r="D28" i="5"/>
  <c r="I27" i="5" s="1"/>
  <c r="O25" i="5"/>
  <c r="N25" i="5"/>
  <c r="H25" i="5"/>
  <c r="I25" i="5" s="1"/>
  <c r="P25" i="5" s="1"/>
  <c r="I24" i="5"/>
  <c r="M24" i="5" s="1"/>
  <c r="H24" i="5"/>
  <c r="H23" i="5"/>
  <c r="I23" i="5" s="1"/>
  <c r="G23" i="5"/>
  <c r="F23" i="5"/>
  <c r="D23" i="5"/>
  <c r="I22" i="5" s="1"/>
  <c r="O20" i="5"/>
  <c r="N20" i="5"/>
  <c r="I20" i="5"/>
  <c r="P20" i="5" s="1"/>
  <c r="H20" i="5"/>
  <c r="G18" i="5"/>
  <c r="H19" i="5" s="1"/>
  <c r="I19" i="5" s="1"/>
  <c r="M19" i="5" s="1"/>
  <c r="F18" i="5"/>
  <c r="H18" i="5" s="1"/>
  <c r="I18" i="5" s="1"/>
  <c r="D18" i="5"/>
  <c r="O15" i="5"/>
  <c r="O37" i="5" s="1"/>
  <c r="N15" i="5"/>
  <c r="N37" i="5" s="1"/>
  <c r="I15" i="5"/>
  <c r="P15" i="5" s="1"/>
  <c r="H15" i="5"/>
  <c r="H13" i="5"/>
  <c r="I13" i="5" s="1"/>
  <c r="G13" i="5"/>
  <c r="H14" i="5" s="1"/>
  <c r="I14" i="5" s="1"/>
  <c r="F13" i="5"/>
  <c r="D13" i="5"/>
  <c r="I12" i="5" s="1"/>
  <c r="S87" i="1"/>
  <c r="R87" i="1"/>
  <c r="Q87" i="1"/>
  <c r="L87" i="1"/>
  <c r="K87" i="1"/>
  <c r="O85" i="1"/>
  <c r="N85" i="1"/>
  <c r="H85" i="1"/>
  <c r="I85" i="1" s="1"/>
  <c r="P85" i="1" s="1"/>
  <c r="I83" i="1"/>
  <c r="G83" i="1"/>
  <c r="H84" i="1" s="1"/>
  <c r="F83" i="1"/>
  <c r="D83" i="1"/>
  <c r="I82" i="1" s="1"/>
  <c r="O80" i="1"/>
  <c r="N80" i="1"/>
  <c r="H80" i="1"/>
  <c r="I80" i="1" s="1"/>
  <c r="P80" i="1" s="1"/>
  <c r="I78" i="1"/>
  <c r="G78" i="1"/>
  <c r="H79" i="1" s="1"/>
  <c r="I79" i="1" s="1"/>
  <c r="M79" i="1" s="1"/>
  <c r="F78" i="1"/>
  <c r="D78" i="1"/>
  <c r="I77" i="1" s="1"/>
  <c r="O75" i="1"/>
  <c r="N75" i="1"/>
  <c r="H75" i="1"/>
  <c r="I75" i="1" s="1"/>
  <c r="P75" i="1" s="1"/>
  <c r="I73" i="1"/>
  <c r="G73" i="1"/>
  <c r="H74" i="1" s="1"/>
  <c r="F73" i="1"/>
  <c r="D73" i="1"/>
  <c r="I72" i="1" s="1"/>
  <c r="O70" i="1"/>
  <c r="N70" i="1"/>
  <c r="H70" i="1"/>
  <c r="I70" i="1" s="1"/>
  <c r="I68" i="1"/>
  <c r="G68" i="1"/>
  <c r="H69" i="1" s="1"/>
  <c r="F68" i="1"/>
  <c r="D68" i="1"/>
  <c r="I67" i="1" s="1"/>
  <c r="O65" i="1"/>
  <c r="N65" i="1"/>
  <c r="H65" i="1"/>
  <c r="I65" i="1" s="1"/>
  <c r="P65" i="1" s="1"/>
  <c r="H64" i="1"/>
  <c r="I64" i="1" s="1"/>
  <c r="M64" i="1" s="1"/>
  <c r="I63" i="1"/>
  <c r="G63" i="1"/>
  <c r="F63" i="1"/>
  <c r="D63" i="1"/>
  <c r="H62" i="1" s="1"/>
  <c r="I62" i="1" s="1"/>
  <c r="O60" i="1"/>
  <c r="N60" i="1"/>
  <c r="H60" i="1"/>
  <c r="I60" i="1" s="1"/>
  <c r="P60" i="1" s="1"/>
  <c r="I58" i="1"/>
  <c r="G58" i="1"/>
  <c r="H59" i="1" s="1"/>
  <c r="F58" i="1"/>
  <c r="D58" i="1"/>
  <c r="I57" i="1" s="1"/>
  <c r="O55" i="1"/>
  <c r="N55" i="1"/>
  <c r="H55" i="1"/>
  <c r="I55" i="1" s="1"/>
  <c r="I53" i="1"/>
  <c r="G53" i="1"/>
  <c r="H54" i="1" s="1"/>
  <c r="F53" i="1"/>
  <c r="D53" i="1"/>
  <c r="I52" i="1" s="1"/>
  <c r="O50" i="1"/>
  <c r="N50" i="1"/>
  <c r="H50" i="1"/>
  <c r="H51" i="1" s="1"/>
  <c r="I49" i="1"/>
  <c r="M49" i="1" s="1"/>
  <c r="I48" i="1"/>
  <c r="G48" i="1"/>
  <c r="F48" i="1"/>
  <c r="D48" i="1"/>
  <c r="I47" i="1" s="1"/>
  <c r="O45" i="1"/>
  <c r="N45" i="1"/>
  <c r="H45" i="1"/>
  <c r="I45" i="1" s="1"/>
  <c r="I43" i="1"/>
  <c r="G43" i="1"/>
  <c r="H44" i="1" s="1"/>
  <c r="F43" i="1"/>
  <c r="D43" i="1"/>
  <c r="I42" i="1" s="1"/>
  <c r="P40" i="1"/>
  <c r="O40" i="1"/>
  <c r="N40" i="1"/>
  <c r="I40" i="1"/>
  <c r="H40" i="1"/>
  <c r="H39" i="1"/>
  <c r="I38" i="1"/>
  <c r="G38" i="1"/>
  <c r="F38" i="1"/>
  <c r="D38" i="1"/>
  <c r="H37" i="1" s="1"/>
  <c r="I37" i="1" s="1"/>
  <c r="O35" i="1"/>
  <c r="N35" i="1"/>
  <c r="I35" i="1"/>
  <c r="P35" i="1" s="1"/>
  <c r="H35" i="1"/>
  <c r="I33" i="1"/>
  <c r="G33" i="1"/>
  <c r="H34" i="1" s="1"/>
  <c r="F33" i="1"/>
  <c r="D33" i="1"/>
  <c r="I32" i="1" s="1"/>
  <c r="O30" i="1"/>
  <c r="N30" i="1"/>
  <c r="H30" i="1"/>
  <c r="H31" i="1" s="1"/>
  <c r="I29" i="1"/>
  <c r="M29" i="1" s="1"/>
  <c r="I28" i="1"/>
  <c r="G28" i="1"/>
  <c r="F28" i="1"/>
  <c r="D28" i="1"/>
  <c r="I27" i="1" s="1"/>
  <c r="H26" i="1"/>
  <c r="O25" i="1"/>
  <c r="N25" i="1"/>
  <c r="I25" i="1"/>
  <c r="I24" i="1"/>
  <c r="M24" i="1" s="1"/>
  <c r="I23" i="1"/>
  <c r="G23" i="1"/>
  <c r="F23" i="1"/>
  <c r="D23" i="1"/>
  <c r="I22" i="1" s="1"/>
  <c r="H21" i="1"/>
  <c r="O20" i="1"/>
  <c r="O87" i="1" s="1"/>
  <c r="N20" i="1"/>
  <c r="H20" i="1"/>
  <c r="I20" i="1" s="1"/>
  <c r="I19" i="1"/>
  <c r="M19" i="1" s="1"/>
  <c r="I18" i="1"/>
  <c r="G18" i="1"/>
  <c r="F18" i="1"/>
  <c r="D18" i="1"/>
  <c r="I17" i="1" s="1"/>
  <c r="H16" i="1"/>
  <c r="O15" i="1"/>
  <c r="N15" i="1"/>
  <c r="I15" i="1"/>
  <c r="I14" i="1"/>
  <c r="M14" i="1" s="1"/>
  <c r="I13" i="1"/>
  <c r="G13" i="1"/>
  <c r="F13" i="1"/>
  <c r="D13" i="1"/>
  <c r="I12" i="1" s="1"/>
  <c r="I15" i="51" l="1"/>
  <c r="I51" i="50"/>
  <c r="M51" i="50" s="1"/>
  <c r="H53" i="50"/>
  <c r="I62" i="50"/>
  <c r="M62" i="50" s="1"/>
  <c r="H64" i="50"/>
  <c r="P21" i="50"/>
  <c r="P52" i="50"/>
  <c r="I42" i="50"/>
  <c r="O75" i="50"/>
  <c r="I53" i="50"/>
  <c r="P63" i="50"/>
  <c r="H42" i="50"/>
  <c r="P36" i="50"/>
  <c r="I43" i="50"/>
  <c r="I59" i="50"/>
  <c r="H37" i="50"/>
  <c r="I69" i="50"/>
  <c r="H16" i="50"/>
  <c r="I14" i="50"/>
  <c r="M14" i="50" s="1"/>
  <c r="I30" i="50"/>
  <c r="M30" i="50" s="1"/>
  <c r="H32" i="50"/>
  <c r="H75" i="50"/>
  <c r="P15" i="50"/>
  <c r="P75" i="50" s="1"/>
  <c r="I22" i="50"/>
  <c r="I33" i="50"/>
  <c r="I72" i="50"/>
  <c r="M72" i="50" s="1"/>
  <c r="I25" i="50"/>
  <c r="M25" i="50" s="1"/>
  <c r="H59" i="50"/>
  <c r="I27" i="50"/>
  <c r="I20" i="50"/>
  <c r="M20" i="50" s="1"/>
  <c r="I64" i="50"/>
  <c r="H69" i="50"/>
  <c r="P15" i="45"/>
  <c r="P18" i="45" s="1"/>
  <c r="P50" i="44"/>
  <c r="P30" i="44"/>
  <c r="N58" i="44"/>
  <c r="O58" i="44"/>
  <c r="P20" i="44"/>
  <c r="P45" i="44"/>
  <c r="P46" i="34"/>
  <c r="N55" i="34"/>
  <c r="I28" i="34"/>
  <c r="P28" i="34" s="1"/>
  <c r="O55" i="34"/>
  <c r="P40" i="34"/>
  <c r="H226" i="33"/>
  <c r="I224" i="33"/>
  <c r="M224" i="33" s="1"/>
  <c r="H121" i="33"/>
  <c r="I119" i="33"/>
  <c r="M119" i="33" s="1"/>
  <c r="P20" i="33"/>
  <c r="P40" i="33"/>
  <c r="P58" i="33"/>
  <c r="P145" i="33"/>
  <c r="P175" i="33"/>
  <c r="P190" i="33"/>
  <c r="P230" i="33"/>
  <c r="P270" i="33"/>
  <c r="P215" i="33"/>
  <c r="P240" i="33"/>
  <c r="H21" i="33"/>
  <c r="P155" i="33"/>
  <c r="O292" i="33"/>
  <c r="P140" i="33"/>
  <c r="P185" i="33"/>
  <c r="P210" i="33"/>
  <c r="P73" i="33"/>
  <c r="P125" i="33"/>
  <c r="I132" i="33"/>
  <c r="P265" i="33"/>
  <c r="P50" i="33"/>
  <c r="P165" i="33"/>
  <c r="I172" i="33"/>
  <c r="P195" i="33"/>
  <c r="P30" i="33"/>
  <c r="P90" i="33"/>
  <c r="H31" i="33"/>
  <c r="H59" i="33"/>
  <c r="H116" i="33"/>
  <c r="I151" i="33"/>
  <c r="H191" i="33"/>
  <c r="H236" i="33"/>
  <c r="H281" i="33"/>
  <c r="P66" i="33"/>
  <c r="P180" i="33"/>
  <c r="I252" i="33"/>
  <c r="P260" i="33"/>
  <c r="P285" i="33"/>
  <c r="H36" i="33"/>
  <c r="I156" i="33"/>
  <c r="H196" i="33"/>
  <c r="H241" i="33"/>
  <c r="H46" i="33"/>
  <c r="P105" i="33"/>
  <c r="P245" i="33"/>
  <c r="I45" i="33"/>
  <c r="P45" i="33" s="1"/>
  <c r="P115" i="33"/>
  <c r="H246" i="33"/>
  <c r="H41" i="33"/>
  <c r="P80" i="33"/>
  <c r="I104" i="33"/>
  <c r="M104" i="33" s="1"/>
  <c r="H106" i="33"/>
  <c r="I161" i="33"/>
  <c r="I181" i="33"/>
  <c r="I259" i="33"/>
  <c r="M259" i="33" s="1"/>
  <c r="H261" i="33"/>
  <c r="I99" i="33"/>
  <c r="M99" i="33" s="1"/>
  <c r="H101" i="33"/>
  <c r="I79" i="33"/>
  <c r="M79" i="33" s="1"/>
  <c r="H81" i="33"/>
  <c r="I254" i="33"/>
  <c r="M254" i="33" s="1"/>
  <c r="H256" i="33"/>
  <c r="I121" i="33"/>
  <c r="I166" i="33"/>
  <c r="I291" i="33"/>
  <c r="I126" i="33"/>
  <c r="I182" i="33"/>
  <c r="I186" i="33" s="1"/>
  <c r="H186" i="33"/>
  <c r="I266" i="33"/>
  <c r="I72" i="33"/>
  <c r="M72" i="33" s="1"/>
  <c r="H74" i="33"/>
  <c r="I91" i="33"/>
  <c r="H96" i="33"/>
  <c r="I94" i="33"/>
  <c r="I109" i="33"/>
  <c r="M109" i="33" s="1"/>
  <c r="H111" i="33"/>
  <c r="H211" i="33"/>
  <c r="I208" i="33"/>
  <c r="H292" i="33"/>
  <c r="P15" i="33"/>
  <c r="H141" i="33"/>
  <c r="I139" i="33"/>
  <c r="I249" i="33"/>
  <c r="M249" i="33" s="1"/>
  <c r="H251" i="33"/>
  <c r="H136" i="33"/>
  <c r="I134" i="33"/>
  <c r="M134" i="33" s="1"/>
  <c r="I206" i="33"/>
  <c r="I256" i="33"/>
  <c r="I286" i="33"/>
  <c r="I26" i="33"/>
  <c r="I218" i="33"/>
  <c r="I221" i="33" s="1"/>
  <c r="H221" i="33"/>
  <c r="I49" i="33"/>
  <c r="M49" i="33" s="1"/>
  <c r="I129" i="33"/>
  <c r="M129" i="33" s="1"/>
  <c r="H151" i="33"/>
  <c r="I216" i="33"/>
  <c r="I229" i="33"/>
  <c r="M229" i="33" s="1"/>
  <c r="I233" i="33"/>
  <c r="I236" i="33" s="1"/>
  <c r="I276" i="33"/>
  <c r="I29" i="33"/>
  <c r="M29" i="33" s="1"/>
  <c r="I74" i="33"/>
  <c r="H156" i="33"/>
  <c r="H216" i="33"/>
  <c r="H161" i="33"/>
  <c r="I112" i="33"/>
  <c r="I116" i="33" s="1"/>
  <c r="I65" i="33"/>
  <c r="M65" i="33" s="1"/>
  <c r="I144" i="33"/>
  <c r="M144" i="33" s="1"/>
  <c r="H166" i="33"/>
  <c r="I251" i="33"/>
  <c r="H26" i="33"/>
  <c r="H91" i="33"/>
  <c r="H176" i="33"/>
  <c r="H266" i="33"/>
  <c r="H171" i="33"/>
  <c r="I21" i="33"/>
  <c r="I131" i="33"/>
  <c r="H181" i="33"/>
  <c r="H201" i="33"/>
  <c r="I32" i="33"/>
  <c r="I36" i="33" s="1"/>
  <c r="I55" i="33"/>
  <c r="I59" i="33" s="1"/>
  <c r="I86" i="33"/>
  <c r="I171" i="33"/>
  <c r="H206" i="33"/>
  <c r="H271" i="33"/>
  <c r="H291" i="33"/>
  <c r="I176" i="33"/>
  <c r="I192" i="33"/>
  <c r="I196" i="33" s="1"/>
  <c r="H276" i="33"/>
  <c r="H286" i="33"/>
  <c r="I51" i="33"/>
  <c r="I211" i="33"/>
  <c r="I237" i="33"/>
  <c r="I241" i="33" s="1"/>
  <c r="I277" i="33"/>
  <c r="I41" i="33"/>
  <c r="I242" i="33"/>
  <c r="I246" i="33" s="1"/>
  <c r="I271" i="33"/>
  <c r="P35" i="29"/>
  <c r="H36" i="29"/>
  <c r="H38" i="29"/>
  <c r="P38" i="29"/>
  <c r="F38" i="29"/>
  <c r="G38" i="29"/>
  <c r="H16" i="29"/>
  <c r="O38" i="29"/>
  <c r="H262" i="28"/>
  <c r="I259" i="28"/>
  <c r="H222" i="28"/>
  <c r="P206" i="28"/>
  <c r="P221" i="28"/>
  <c r="P23" i="28"/>
  <c r="P236" i="28"/>
  <c r="P286" i="28"/>
  <c r="H317" i="28"/>
  <c r="I71" i="28"/>
  <c r="P71" i="28" s="1"/>
  <c r="H177" i="28"/>
  <c r="P191" i="28"/>
  <c r="I303" i="28"/>
  <c r="P201" i="28"/>
  <c r="P256" i="28"/>
  <c r="P271" i="28"/>
  <c r="P311" i="28"/>
  <c r="H187" i="28"/>
  <c r="H232" i="28"/>
  <c r="H40" i="28"/>
  <c r="I218" i="28"/>
  <c r="N318" i="28"/>
  <c r="P111" i="28"/>
  <c r="P171" i="28"/>
  <c r="H16" i="28"/>
  <c r="H112" i="28"/>
  <c r="H157" i="28"/>
  <c r="H237" i="28"/>
  <c r="O318" i="28"/>
  <c r="I258" i="28"/>
  <c r="I262" i="28" s="1"/>
  <c r="H120" i="28"/>
  <c r="H162" i="28"/>
  <c r="H197" i="28"/>
  <c r="H282" i="28"/>
  <c r="P39" i="28"/>
  <c r="I140" i="28"/>
  <c r="P156" i="28"/>
  <c r="P181" i="28"/>
  <c r="P281" i="28"/>
  <c r="H24" i="28"/>
  <c r="H247" i="28"/>
  <c r="H287" i="28"/>
  <c r="I92" i="28"/>
  <c r="I173" i="28"/>
  <c r="P316" i="28"/>
  <c r="H32" i="28"/>
  <c r="P55" i="28"/>
  <c r="P79" i="28"/>
  <c r="P151" i="28"/>
  <c r="P166" i="28"/>
  <c r="P196" i="28"/>
  <c r="P251" i="28"/>
  <c r="P276" i="28"/>
  <c r="I239" i="28"/>
  <c r="H242" i="28"/>
  <c r="H292" i="28"/>
  <c r="I289" i="28"/>
  <c r="I292" i="28" s="1"/>
  <c r="H307" i="28"/>
  <c r="I304" i="28"/>
  <c r="I307" i="28" s="1"/>
  <c r="H56" i="28"/>
  <c r="I317" i="28"/>
  <c r="I126" i="28"/>
  <c r="M126" i="28" s="1"/>
  <c r="H128" i="28"/>
  <c r="I104" i="28"/>
  <c r="H182" i="28"/>
  <c r="I179" i="28"/>
  <c r="I264" i="28"/>
  <c r="I267" i="28" s="1"/>
  <c r="H267" i="28"/>
  <c r="H167" i="28"/>
  <c r="I165" i="28"/>
  <c r="M165" i="28" s="1"/>
  <c r="I310" i="28"/>
  <c r="M310" i="28" s="1"/>
  <c r="H312" i="28"/>
  <c r="I46" i="28"/>
  <c r="M46" i="28" s="1"/>
  <c r="H48" i="28"/>
  <c r="I78" i="28"/>
  <c r="M78" i="28" s="1"/>
  <c r="H80" i="28"/>
  <c r="I64" i="28"/>
  <c r="I282" i="28"/>
  <c r="I199" i="28"/>
  <c r="F318" i="28" s="1"/>
  <c r="H202" i="28"/>
  <c r="H257" i="28"/>
  <c r="I254" i="28"/>
  <c r="I257" i="28" s="1"/>
  <c r="I62" i="28"/>
  <c r="M62" i="28" s="1"/>
  <c r="H64" i="28"/>
  <c r="I86" i="28"/>
  <c r="H88" i="28"/>
  <c r="H136" i="28"/>
  <c r="I134" i="28"/>
  <c r="M134" i="28" s="1"/>
  <c r="I209" i="28"/>
  <c r="I212" i="28" s="1"/>
  <c r="H212" i="28"/>
  <c r="I242" i="28"/>
  <c r="H227" i="28"/>
  <c r="I233" i="28"/>
  <c r="I237" i="28" s="1"/>
  <c r="I302" i="28"/>
  <c r="I52" i="28"/>
  <c r="I56" i="28" s="1"/>
  <c r="I109" i="28"/>
  <c r="I170" i="28"/>
  <c r="M170" i="28" s="1"/>
  <c r="I217" i="28"/>
  <c r="I219" i="28"/>
  <c r="H302" i="28"/>
  <c r="H277" i="28"/>
  <c r="I38" i="28"/>
  <c r="M38" i="28" s="1"/>
  <c r="I192" i="28"/>
  <c r="I153" i="28"/>
  <c r="I157" i="28" s="1"/>
  <c r="I272" i="28"/>
  <c r="P15" i="28"/>
  <c r="I31" i="28"/>
  <c r="P31" i="28" s="1"/>
  <c r="H207" i="28"/>
  <c r="I232" i="28"/>
  <c r="I243" i="28"/>
  <c r="I247" i="28" s="1"/>
  <c r="H272" i="28"/>
  <c r="I144" i="28"/>
  <c r="I158" i="28"/>
  <c r="I162" i="28" s="1"/>
  <c r="I273" i="28"/>
  <c r="I283" i="28"/>
  <c r="I287" i="28" s="1"/>
  <c r="I176" i="28"/>
  <c r="P176" i="28" s="1"/>
  <c r="I20" i="28"/>
  <c r="I24" i="28" s="1"/>
  <c r="H252" i="28"/>
  <c r="I136" i="28"/>
  <c r="I80" i="28"/>
  <c r="H104" i="28"/>
  <c r="I182" i="28"/>
  <c r="H217" i="28"/>
  <c r="I295" i="28"/>
  <c r="M295" i="28" s="1"/>
  <c r="I112" i="28"/>
  <c r="I183" i="28"/>
  <c r="I187" i="28" s="1"/>
  <c r="H192" i="28"/>
  <c r="H96" i="28"/>
  <c r="I116" i="28"/>
  <c r="I120" i="28" s="1"/>
  <c r="I193" i="28"/>
  <c r="I197" i="28" s="1"/>
  <c r="I227" i="28"/>
  <c r="I252" i="28"/>
  <c r="H229" i="27"/>
  <c r="I226" i="27"/>
  <c r="H194" i="27"/>
  <c r="I191" i="27"/>
  <c r="P95" i="27"/>
  <c r="P158" i="27"/>
  <c r="P25" i="27"/>
  <c r="I36" i="27"/>
  <c r="H41" i="27"/>
  <c r="P126" i="27"/>
  <c r="I186" i="27"/>
  <c r="P228" i="27"/>
  <c r="H91" i="27"/>
  <c r="I88" i="27"/>
  <c r="I91" i="27" s="1"/>
  <c r="P223" i="27"/>
  <c r="P238" i="27"/>
  <c r="H174" i="27"/>
  <c r="P30" i="27"/>
  <c r="P90" i="27"/>
  <c r="P183" i="27"/>
  <c r="P50" i="27"/>
  <c r="H16" i="27"/>
  <c r="H61" i="27"/>
  <c r="P210" i="27"/>
  <c r="P60" i="27"/>
  <c r="P100" i="27"/>
  <c r="N245" i="27"/>
  <c r="P110" i="27"/>
  <c r="O245" i="27"/>
  <c r="P75" i="27"/>
  <c r="P143" i="27"/>
  <c r="P217" i="27"/>
  <c r="H46" i="27"/>
  <c r="I44" i="27"/>
  <c r="M44" i="27" s="1"/>
  <c r="I232" i="27"/>
  <c r="M232" i="27" s="1"/>
  <c r="H234" i="27"/>
  <c r="I108" i="27"/>
  <c r="I111" i="27" s="1"/>
  <c r="H111" i="27"/>
  <c r="H96" i="27"/>
  <c r="H26" i="27"/>
  <c r="I23" i="27"/>
  <c r="I26" i="27" s="1"/>
  <c r="I194" i="27"/>
  <c r="I199" i="27"/>
  <c r="H21" i="27"/>
  <c r="H101" i="27"/>
  <c r="I162" i="27"/>
  <c r="M162" i="27" s="1"/>
  <c r="H164" i="27"/>
  <c r="I54" i="27"/>
  <c r="H56" i="27"/>
  <c r="H122" i="27"/>
  <c r="I120" i="27"/>
  <c r="M120" i="27" s="1"/>
  <c r="I103" i="27"/>
  <c r="H106" i="27"/>
  <c r="I174" i="27"/>
  <c r="P173" i="27"/>
  <c r="H204" i="27"/>
  <c r="I202" i="27"/>
  <c r="M202" i="27" s="1"/>
  <c r="I221" i="27"/>
  <c r="I224" i="27" s="1"/>
  <c r="H224" i="27"/>
  <c r="I64" i="27"/>
  <c r="M64" i="27" s="1"/>
  <c r="H66" i="27"/>
  <c r="I81" i="27"/>
  <c r="I132" i="27"/>
  <c r="I28" i="27"/>
  <c r="I31" i="27" s="1"/>
  <c r="H31" i="27"/>
  <c r="I218" i="27"/>
  <c r="I14" i="27"/>
  <c r="M14" i="27" s="1"/>
  <c r="H81" i="27"/>
  <c r="I106" i="27"/>
  <c r="I114" i="27"/>
  <c r="H132" i="27"/>
  <c r="H154" i="27"/>
  <c r="H86" i="27"/>
  <c r="I69" i="27"/>
  <c r="M69" i="27" s="1"/>
  <c r="H149" i="27"/>
  <c r="H159" i="27"/>
  <c r="H184" i="27"/>
  <c r="H138" i="27"/>
  <c r="I209" i="27"/>
  <c r="M209" i="27" s="1"/>
  <c r="I40" i="27"/>
  <c r="P40" i="27" s="1"/>
  <c r="I49" i="27"/>
  <c r="M49" i="27" s="1"/>
  <c r="I57" i="27"/>
  <c r="I61" i="27" s="1"/>
  <c r="I125" i="27"/>
  <c r="M125" i="27" s="1"/>
  <c r="I159" i="27"/>
  <c r="I179" i="27"/>
  <c r="I229" i="27"/>
  <c r="H169" i="27"/>
  <c r="P15" i="27"/>
  <c r="I138" i="27"/>
  <c r="I154" i="27"/>
  <c r="I164" i="27"/>
  <c r="H36" i="27"/>
  <c r="I169" i="27"/>
  <c r="I184" i="27"/>
  <c r="I189" i="27"/>
  <c r="I234" i="27"/>
  <c r="H244" i="27"/>
  <c r="I17" i="27"/>
  <c r="I21" i="27" s="1"/>
  <c r="I92" i="27"/>
  <c r="I96" i="27" s="1"/>
  <c r="H199" i="27"/>
  <c r="H239" i="27"/>
  <c r="I97" i="27"/>
  <c r="I101" i="27" s="1"/>
  <c r="I76" i="27"/>
  <c r="I239" i="27"/>
  <c r="H218" i="27"/>
  <c r="I244" i="27"/>
  <c r="H170" i="26"/>
  <c r="I129" i="26"/>
  <c r="P139" i="26"/>
  <c r="P43" i="26"/>
  <c r="P174" i="26"/>
  <c r="P76" i="26"/>
  <c r="N237" i="26"/>
  <c r="I221" i="26"/>
  <c r="P144" i="26"/>
  <c r="P169" i="26"/>
  <c r="P229" i="26"/>
  <c r="I18" i="26"/>
  <c r="H44" i="26"/>
  <c r="I187" i="26"/>
  <c r="I230" i="26"/>
  <c r="I145" i="26"/>
  <c r="P54" i="26"/>
  <c r="P164" i="26"/>
  <c r="P180" i="26"/>
  <c r="H150" i="26"/>
  <c r="H235" i="26"/>
  <c r="P87" i="26"/>
  <c r="P192" i="26"/>
  <c r="P237" i="26" s="1"/>
  <c r="I12" i="26"/>
  <c r="I16" i="26" s="1"/>
  <c r="I189" i="26"/>
  <c r="H193" i="26"/>
  <c r="I75" i="26"/>
  <c r="M75" i="26" s="1"/>
  <c r="H77" i="26"/>
  <c r="I155" i="26"/>
  <c r="H33" i="26"/>
  <c r="I31" i="26"/>
  <c r="M31" i="26" s="1"/>
  <c r="H126" i="26"/>
  <c r="I124" i="26"/>
  <c r="M124" i="26" s="1"/>
  <c r="H181" i="26"/>
  <c r="I179" i="26"/>
  <c r="M179" i="26" s="1"/>
  <c r="I86" i="26"/>
  <c r="M86" i="26" s="1"/>
  <c r="H88" i="26"/>
  <c r="I152" i="26"/>
  <c r="H155" i="26"/>
  <c r="I206" i="26"/>
  <c r="H210" i="26"/>
  <c r="I193" i="26"/>
  <c r="H160" i="26"/>
  <c r="I157" i="26"/>
  <c r="I160" i="26" s="1"/>
  <c r="I195" i="26"/>
  <c r="I199" i="26" s="1"/>
  <c r="H199" i="26"/>
  <c r="H66" i="26"/>
  <c r="I64" i="26"/>
  <c r="M64" i="26" s="1"/>
  <c r="I91" i="26"/>
  <c r="M91" i="26" s="1"/>
  <c r="H93" i="26"/>
  <c r="H133" i="26"/>
  <c r="I131" i="26"/>
  <c r="M131" i="26" s="1"/>
  <c r="I211" i="26"/>
  <c r="I215" i="26" s="1"/>
  <c r="H215" i="26"/>
  <c r="H105" i="26"/>
  <c r="I20" i="26"/>
  <c r="M20" i="26" s="1"/>
  <c r="H22" i="26"/>
  <c r="I53" i="26"/>
  <c r="M53" i="26" s="1"/>
  <c r="H55" i="26"/>
  <c r="H175" i="26"/>
  <c r="I173" i="26"/>
  <c r="M173" i="26" s="1"/>
  <c r="H119" i="26"/>
  <c r="H165" i="26"/>
  <c r="I55" i="26"/>
  <c r="O237" i="26"/>
  <c r="I167" i="26"/>
  <c r="I170" i="26" s="1"/>
  <c r="H220" i="26"/>
  <c r="I231" i="26"/>
  <c r="I235" i="26" s="1"/>
  <c r="I165" i="26"/>
  <c r="H112" i="26"/>
  <c r="H205" i="26"/>
  <c r="H140" i="26"/>
  <c r="I93" i="26"/>
  <c r="I210" i="26"/>
  <c r="H230" i="26"/>
  <c r="H145" i="26"/>
  <c r="H237" i="26"/>
  <c r="I115" i="26"/>
  <c r="I119" i="26" s="1"/>
  <c r="H187" i="26"/>
  <c r="I40" i="26"/>
  <c r="I44" i="26" s="1"/>
  <c r="H98" i="26"/>
  <c r="I146" i="26"/>
  <c r="I150" i="26" s="1"/>
  <c r="I112" i="26"/>
  <c r="I101" i="26"/>
  <c r="I105" i="26" s="1"/>
  <c r="H16" i="26"/>
  <c r="I225" i="26"/>
  <c r="I205" i="26"/>
  <c r="H106" i="25"/>
  <c r="I104" i="25"/>
  <c r="M104" i="25" s="1"/>
  <c r="I22" i="25"/>
  <c r="M22" i="25" s="1"/>
  <c r="H24" i="25"/>
  <c r="H32" i="25"/>
  <c r="I30" i="25"/>
  <c r="M30" i="25" s="1"/>
  <c r="P180" i="25"/>
  <c r="P195" i="25"/>
  <c r="P130" i="25"/>
  <c r="H126" i="25"/>
  <c r="P31" i="25"/>
  <c r="P87" i="25"/>
  <c r="P105" i="25"/>
  <c r="I123" i="25"/>
  <c r="P175" i="25"/>
  <c r="H40" i="25"/>
  <c r="H16" i="25"/>
  <c r="H64" i="25"/>
  <c r="H191" i="25"/>
  <c r="P55" i="25"/>
  <c r="H80" i="25"/>
  <c r="I181" i="25"/>
  <c r="I111" i="25"/>
  <c r="P100" i="25"/>
  <c r="P47" i="25"/>
  <c r="P71" i="25"/>
  <c r="P95" i="25"/>
  <c r="P115" i="25"/>
  <c r="P164" i="25"/>
  <c r="H197" i="25"/>
  <c r="I121" i="25"/>
  <c r="I133" i="25"/>
  <c r="I136" i="25" s="1"/>
  <c r="H136" i="25"/>
  <c r="I46" i="25"/>
  <c r="M46" i="25" s="1"/>
  <c r="H48" i="25"/>
  <c r="H96" i="25"/>
  <c r="I94" i="25"/>
  <c r="M94" i="25" s="1"/>
  <c r="I145" i="25"/>
  <c r="M145" i="25" s="1"/>
  <c r="H147" i="25"/>
  <c r="I159" i="25"/>
  <c r="H88" i="25"/>
  <c r="I86" i="25"/>
  <c r="M86" i="25" s="1"/>
  <c r="I126" i="25"/>
  <c r="H131" i="25"/>
  <c r="I128" i="25"/>
  <c r="I131" i="25" s="1"/>
  <c r="I139" i="25"/>
  <c r="M139" i="25" s="1"/>
  <c r="H141" i="25"/>
  <c r="I54" i="25"/>
  <c r="M54" i="25" s="1"/>
  <c r="M197" i="25" s="1"/>
  <c r="H56" i="25"/>
  <c r="I99" i="25"/>
  <c r="M99" i="25" s="1"/>
  <c r="H101" i="25"/>
  <c r="I176" i="25"/>
  <c r="I32" i="25"/>
  <c r="I78" i="25"/>
  <c r="M78" i="25" s="1"/>
  <c r="I186" i="25"/>
  <c r="I189" i="25"/>
  <c r="M189" i="25" s="1"/>
  <c r="I112" i="25"/>
  <c r="I116" i="25" s="1"/>
  <c r="H121" i="25"/>
  <c r="I40" i="25"/>
  <c r="I60" i="25"/>
  <c r="I64" i="25" s="1"/>
  <c r="I153" i="25"/>
  <c r="H153" i="25"/>
  <c r="H159" i="25"/>
  <c r="I72" i="25"/>
  <c r="H72" i="25"/>
  <c r="I147" i="25"/>
  <c r="H171" i="25"/>
  <c r="H176" i="25"/>
  <c r="I80" i="25"/>
  <c r="H165" i="25"/>
  <c r="H181" i="25"/>
  <c r="H196" i="25"/>
  <c r="N197" i="25"/>
  <c r="H186" i="25"/>
  <c r="O197" i="25"/>
  <c r="I165" i="25"/>
  <c r="P34" i="24"/>
  <c r="H43" i="24"/>
  <c r="P67" i="24"/>
  <c r="N104" i="24"/>
  <c r="O104" i="24"/>
  <c r="P101" i="24"/>
  <c r="H16" i="24"/>
  <c r="P27" i="24"/>
  <c r="H104" i="24"/>
  <c r="I49" i="24"/>
  <c r="M49" i="24" s="1"/>
  <c r="H51" i="24"/>
  <c r="H102" i="24"/>
  <c r="P15" i="24"/>
  <c r="H28" i="24"/>
  <c r="H35" i="24"/>
  <c r="I35" i="24"/>
  <c r="I43" i="24"/>
  <c r="I28" i="24"/>
  <c r="I44" i="23"/>
  <c r="M44" i="23" s="1"/>
  <c r="H46" i="23"/>
  <c r="I88" i="23"/>
  <c r="M88" i="23" s="1"/>
  <c r="H90" i="23"/>
  <c r="I285" i="23"/>
  <c r="M285" i="23" s="1"/>
  <c r="H287" i="23"/>
  <c r="H84" i="23"/>
  <c r="I82" i="23"/>
  <c r="M82" i="23" s="1"/>
  <c r="I19" i="23"/>
  <c r="M19" i="23" s="1"/>
  <c r="H21" i="23"/>
  <c r="H280" i="23"/>
  <c r="I278" i="23"/>
  <c r="M278" i="23" s="1"/>
  <c r="H159" i="23"/>
  <c r="P173" i="23"/>
  <c r="H223" i="23"/>
  <c r="P279" i="23"/>
  <c r="P306" i="23"/>
  <c r="P316" i="23"/>
  <c r="P371" i="23"/>
  <c r="P387" i="23"/>
  <c r="P163" i="23"/>
  <c r="P15" i="23"/>
  <c r="P35" i="23"/>
  <c r="H108" i="23"/>
  <c r="P125" i="23"/>
  <c r="I189" i="23"/>
  <c r="P189" i="23" s="1"/>
  <c r="P207" i="23"/>
  <c r="P300" i="23"/>
  <c r="P326" i="23"/>
  <c r="P30" i="23"/>
  <c r="P68" i="23"/>
  <c r="P183" i="23"/>
  <c r="P365" i="23"/>
  <c r="P382" i="23"/>
  <c r="P83" i="23"/>
  <c r="I136" i="23"/>
  <c r="M136" i="23" s="1"/>
  <c r="P153" i="23"/>
  <c r="P217" i="23"/>
  <c r="P346" i="23"/>
  <c r="I322" i="23"/>
  <c r="I393" i="23"/>
  <c r="P232" i="23"/>
  <c r="P392" i="23"/>
  <c r="P25" i="23"/>
  <c r="P40" i="23"/>
  <c r="P131" i="23"/>
  <c r="P227" i="23"/>
  <c r="P244" i="23"/>
  <c r="P55" i="23"/>
  <c r="P148" i="23"/>
  <c r="P341" i="23"/>
  <c r="H26" i="23"/>
  <c r="I24" i="23"/>
  <c r="M24" i="23" s="1"/>
  <c r="H102" i="23"/>
  <c r="I100" i="23"/>
  <c r="M100" i="23" s="1"/>
  <c r="I118" i="23"/>
  <c r="H120" i="23"/>
  <c r="H202" i="23"/>
  <c r="I200" i="23"/>
  <c r="M200" i="23" s="1"/>
  <c r="I287" i="23"/>
  <c r="H294" i="23"/>
  <c r="I292" i="23"/>
  <c r="M292" i="23" s="1"/>
  <c r="H179" i="23"/>
  <c r="I177" i="23"/>
  <c r="M177" i="23" s="1"/>
  <c r="I294" i="23"/>
  <c r="I130" i="23"/>
  <c r="M130" i="23" s="1"/>
  <c r="H132" i="23"/>
  <c r="I243" i="23"/>
  <c r="M243" i="23" s="1"/>
  <c r="H245" i="23"/>
  <c r="I34" i="23"/>
  <c r="M34" i="23" s="1"/>
  <c r="H36" i="23"/>
  <c r="I172" i="23"/>
  <c r="M172" i="23" s="1"/>
  <c r="H174" i="23"/>
  <c r="I236" i="23"/>
  <c r="M236" i="23" s="1"/>
  <c r="H238" i="23"/>
  <c r="I257" i="23"/>
  <c r="M257" i="23" s="1"/>
  <c r="H259" i="23"/>
  <c r="I314" i="23"/>
  <c r="I317" i="23" s="1"/>
  <c r="H317" i="23"/>
  <c r="I327" i="23"/>
  <c r="H79" i="23"/>
  <c r="I77" i="23"/>
  <c r="M77" i="23" s="1"/>
  <c r="I162" i="23"/>
  <c r="M162" i="23" s="1"/>
  <c r="H164" i="23"/>
  <c r="I264" i="23"/>
  <c r="M264" i="23" s="1"/>
  <c r="H266" i="23"/>
  <c r="I329" i="23"/>
  <c r="I332" i="23" s="1"/>
  <c r="H332" i="23"/>
  <c r="H56" i="23"/>
  <c r="I54" i="23"/>
  <c r="M54" i="23" s="1"/>
  <c r="H149" i="23"/>
  <c r="I147" i="23"/>
  <c r="M147" i="23" s="1"/>
  <c r="H74" i="23"/>
  <c r="I72" i="23"/>
  <c r="M72" i="23" s="1"/>
  <c r="H96" i="23"/>
  <c r="I94" i="23"/>
  <c r="M94" i="23" s="1"/>
  <c r="H327" i="23"/>
  <c r="I324" i="23"/>
  <c r="I14" i="23"/>
  <c r="M14" i="23" s="1"/>
  <c r="H16" i="23"/>
  <c r="I46" i="23"/>
  <c r="H69" i="23"/>
  <c r="I67" i="23"/>
  <c r="M67" i="23" s="1"/>
  <c r="I124" i="23"/>
  <c r="M124" i="23" s="1"/>
  <c r="H126" i="23"/>
  <c r="H51" i="23"/>
  <c r="I49" i="23"/>
  <c r="M49" i="23" s="1"/>
  <c r="H144" i="23"/>
  <c r="I142" i="23"/>
  <c r="M142" i="23" s="1"/>
  <c r="I271" i="23"/>
  <c r="M271" i="23" s="1"/>
  <c r="H273" i="23"/>
  <c r="I334" i="23"/>
  <c r="I337" i="23" s="1"/>
  <c r="H337" i="23"/>
  <c r="I39" i="23"/>
  <c r="M39" i="23" s="1"/>
  <c r="H41" i="23"/>
  <c r="H31" i="23"/>
  <c r="I29" i="23"/>
  <c r="G419" i="23" s="1"/>
  <c r="H169" i="23"/>
  <c r="I167" i="23"/>
  <c r="M167" i="23" s="1"/>
  <c r="I231" i="23"/>
  <c r="M231" i="23" s="1"/>
  <c r="H233" i="23"/>
  <c r="H347" i="23"/>
  <c r="I344" i="23"/>
  <c r="H154" i="23"/>
  <c r="I152" i="23"/>
  <c r="M152" i="23" s="1"/>
  <c r="H218" i="23"/>
  <c r="I216" i="23"/>
  <c r="M216" i="23" s="1"/>
  <c r="I250" i="23"/>
  <c r="M250" i="23" s="1"/>
  <c r="H252" i="23"/>
  <c r="I309" i="23"/>
  <c r="I312" i="23" s="1"/>
  <c r="H312" i="23"/>
  <c r="I221" i="23"/>
  <c r="M221" i="23" s="1"/>
  <c r="I351" i="23"/>
  <c r="P351" i="23" s="1"/>
  <c r="I194" i="23"/>
  <c r="M194" i="23" s="1"/>
  <c r="O419" i="23"/>
  <c r="H307" i="23"/>
  <c r="I366" i="23"/>
  <c r="I79" i="23"/>
  <c r="I74" i="23"/>
  <c r="I108" i="23"/>
  <c r="I301" i="23"/>
  <c r="I360" i="23"/>
  <c r="I372" i="23"/>
  <c r="I398" i="23"/>
  <c r="I403" i="23"/>
  <c r="I413" i="23"/>
  <c r="I106" i="23"/>
  <c r="M106" i="23" s="1"/>
  <c r="I157" i="23"/>
  <c r="M157" i="23" s="1"/>
  <c r="I179" i="23"/>
  <c r="I226" i="23"/>
  <c r="M226" i="23" s="1"/>
  <c r="I359" i="23"/>
  <c r="P359" i="23" s="1"/>
  <c r="I245" i="23"/>
  <c r="I266" i="23"/>
  <c r="I407" i="23"/>
  <c r="P407" i="23" s="1"/>
  <c r="I169" i="23"/>
  <c r="I174" i="23"/>
  <c r="I212" i="23"/>
  <c r="P212" i="23" s="1"/>
  <c r="I238" i="23"/>
  <c r="I259" i="23"/>
  <c r="I342" i="23"/>
  <c r="H388" i="23"/>
  <c r="I84" i="23"/>
  <c r="I184" i="23"/>
  <c r="H208" i="23"/>
  <c r="H322" i="23"/>
  <c r="H342" i="23"/>
  <c r="H383" i="23"/>
  <c r="H393" i="23"/>
  <c r="H418" i="23"/>
  <c r="I21" i="23"/>
  <c r="I90" i="23"/>
  <c r="I190" i="23"/>
  <c r="H366" i="23"/>
  <c r="H378" i="23"/>
  <c r="H413" i="23"/>
  <c r="I96" i="23"/>
  <c r="I144" i="23"/>
  <c r="I223" i="23"/>
  <c r="H301" i="23"/>
  <c r="H372" i="23"/>
  <c r="H398" i="23"/>
  <c r="I59" i="23"/>
  <c r="M59" i="23" s="1"/>
  <c r="I112" i="23"/>
  <c r="M112" i="23" s="1"/>
  <c r="I26" i="23"/>
  <c r="I51" i="23"/>
  <c r="N419" i="23"/>
  <c r="I307" i="23"/>
  <c r="H403" i="23"/>
  <c r="I180" i="22"/>
  <c r="M180" i="22" s="1"/>
  <c r="H182" i="22"/>
  <c r="I383" i="22"/>
  <c r="M383" i="22" s="1"/>
  <c r="H385" i="22"/>
  <c r="I424" i="22"/>
  <c r="H428" i="22"/>
  <c r="I458" i="22"/>
  <c r="I322" i="22"/>
  <c r="I325" i="22" s="1"/>
  <c r="H325" i="22"/>
  <c r="I137" i="22"/>
  <c r="M137" i="22" s="1"/>
  <c r="H139" i="22"/>
  <c r="I488" i="22"/>
  <c r="I36" i="22"/>
  <c r="I267" i="22"/>
  <c r="H458" i="22"/>
  <c r="I471" i="22"/>
  <c r="M471" i="22" s="1"/>
  <c r="H473" i="22"/>
  <c r="H193" i="22"/>
  <c r="I191" i="22"/>
  <c r="M191" i="22" s="1"/>
  <c r="I350" i="22"/>
  <c r="I378" i="22"/>
  <c r="M378" i="22" s="1"/>
  <c r="H380" i="22"/>
  <c r="H153" i="22"/>
  <c r="I227" i="22"/>
  <c r="I428" i="22"/>
  <c r="I347" i="22"/>
  <c r="H350" i="22"/>
  <c r="I463" i="22"/>
  <c r="I421" i="22"/>
  <c r="M421" i="22" s="1"/>
  <c r="H423" i="22"/>
  <c r="I433" i="22"/>
  <c r="I203" i="22"/>
  <c r="M203" i="22" s="1"/>
  <c r="H205" i="22"/>
  <c r="P15" i="22"/>
  <c r="I29" i="22"/>
  <c r="M29" i="22" s="1"/>
  <c r="H31" i="22"/>
  <c r="I416" i="22"/>
  <c r="M416" i="22" s="1"/>
  <c r="H418" i="22"/>
  <c r="H453" i="22"/>
  <c r="I451" i="22"/>
  <c r="M451" i="22" s="1"/>
  <c r="H146" i="22"/>
  <c r="I144" i="22"/>
  <c r="M144" i="22" s="1"/>
  <c r="I219" i="22"/>
  <c r="M219" i="22" s="1"/>
  <c r="H221" i="22"/>
  <c r="I242" i="22"/>
  <c r="M242" i="22" s="1"/>
  <c r="H244" i="22"/>
  <c r="I330" i="22"/>
  <c r="H345" i="22"/>
  <c r="I342" i="22"/>
  <c r="I345" i="22" s="1"/>
  <c r="I352" i="22"/>
  <c r="H355" i="22"/>
  <c r="I446" i="22"/>
  <c r="M446" i="22" s="1"/>
  <c r="H448" i="22"/>
  <c r="I101" i="22"/>
  <c r="M101" i="22" s="1"/>
  <c r="H103" i="22"/>
  <c r="H233" i="22"/>
  <c r="I231" i="22"/>
  <c r="M231" i="22" s="1"/>
  <c r="I21" i="22"/>
  <c r="I53" i="22"/>
  <c r="I88" i="22"/>
  <c r="I182" i="22"/>
  <c r="I270" i="22"/>
  <c r="I273" i="22" s="1"/>
  <c r="H340" i="22"/>
  <c r="H77" i="22"/>
  <c r="H98" i="22"/>
  <c r="I123" i="22"/>
  <c r="M123" i="22" s="1"/>
  <c r="I157" i="22"/>
  <c r="P157" i="22" s="1"/>
  <c r="H187" i="22"/>
  <c r="I208" i="22"/>
  <c r="M208" i="22" s="1"/>
  <c r="H227" i="22"/>
  <c r="I254" i="22"/>
  <c r="P254" i="22" s="1"/>
  <c r="I304" i="22"/>
  <c r="P304" i="22" s="1"/>
  <c r="I332" i="22"/>
  <c r="H370" i="22"/>
  <c r="I448" i="22"/>
  <c r="I480" i="22"/>
  <c r="I483" i="22" s="1"/>
  <c r="I59" i="22"/>
  <c r="H36" i="22"/>
  <c r="I149" i="22"/>
  <c r="I153" i="22" s="1"/>
  <c r="I98" i="22"/>
  <c r="H108" i="22"/>
  <c r="I174" i="22"/>
  <c r="M174" i="22" s="1"/>
  <c r="I195" i="22"/>
  <c r="I199" i="22" s="1"/>
  <c r="I398" i="22"/>
  <c r="I402" i="22" s="1"/>
  <c r="I418" i="22"/>
  <c r="I285" i="22"/>
  <c r="I130" i="22"/>
  <c r="M130" i="22" s="1"/>
  <c r="I64" i="22"/>
  <c r="P64" i="22" s="1"/>
  <c r="I70" i="22"/>
  <c r="P70" i="22" s="1"/>
  <c r="I109" i="22"/>
  <c r="I113" i="22" s="1"/>
  <c r="I146" i="22"/>
  <c r="I284" i="22"/>
  <c r="P284" i="22" s="1"/>
  <c r="I375" i="22"/>
  <c r="I392" i="22"/>
  <c r="H375" i="22"/>
  <c r="I436" i="22"/>
  <c r="M436" i="22" s="1"/>
  <c r="I91" i="22"/>
  <c r="M91" i="22" s="1"/>
  <c r="I42" i="22"/>
  <c r="I310" i="22"/>
  <c r="I380" i="22"/>
  <c r="I459" i="22"/>
  <c r="H83" i="22"/>
  <c r="I108" i="22"/>
  <c r="I261" i="22"/>
  <c r="H330" i="22"/>
  <c r="I355" i="22"/>
  <c r="I385" i="22"/>
  <c r="I408" i="22"/>
  <c r="I429" i="22"/>
  <c r="I176" i="22"/>
  <c r="I24" i="22"/>
  <c r="M24" i="22" s="1"/>
  <c r="M489" i="22" s="1"/>
  <c r="H41" i="22"/>
  <c r="H267" i="22"/>
  <c r="H290" i="22"/>
  <c r="I296" i="22"/>
  <c r="I300" i="22" s="1"/>
  <c r="I390" i="22"/>
  <c r="I464" i="22"/>
  <c r="I468" i="22" s="1"/>
  <c r="H59" i="22"/>
  <c r="I335" i="22"/>
  <c r="I356" i="22"/>
  <c r="I478" i="22"/>
  <c r="H413" i="22"/>
  <c r="I214" i="22"/>
  <c r="M214" i="22" s="1"/>
  <c r="I46" i="22"/>
  <c r="I118" i="22"/>
  <c r="I165" i="22"/>
  <c r="I275" i="22"/>
  <c r="I279" i="22" s="1"/>
  <c r="I290" i="22"/>
  <c r="I361" i="22"/>
  <c r="I365" i="22" s="1"/>
  <c r="I316" i="22"/>
  <c r="I320" i="22" s="1"/>
  <c r="I340" i="22"/>
  <c r="H443" i="22"/>
  <c r="I29" i="16"/>
  <c r="M29" i="16" s="1"/>
  <c r="H31" i="16"/>
  <c r="P30" i="16"/>
  <c r="N75" i="16"/>
  <c r="I23" i="16"/>
  <c r="M23" i="16" s="1"/>
  <c r="I74" i="16"/>
  <c r="O75" i="16"/>
  <c r="I41" i="16"/>
  <c r="M41" i="16" s="1"/>
  <c r="H43" i="16"/>
  <c r="I14" i="16"/>
  <c r="M14" i="16" s="1"/>
  <c r="H16" i="16"/>
  <c r="P15" i="16"/>
  <c r="I65" i="16"/>
  <c r="P65" i="16" s="1"/>
  <c r="H37" i="16"/>
  <c r="I25" i="16"/>
  <c r="I31" i="16"/>
  <c r="I37" i="16"/>
  <c r="G75" i="16"/>
  <c r="H207" i="15"/>
  <c r="I204" i="15"/>
  <c r="H24" i="15"/>
  <c r="I22" i="15"/>
  <c r="M22" i="15" s="1"/>
  <c r="H40" i="15"/>
  <c r="I38" i="15"/>
  <c r="M38" i="15" s="1"/>
  <c r="O347" i="15"/>
  <c r="P246" i="15"/>
  <c r="P321" i="15"/>
  <c r="P63" i="15"/>
  <c r="P111" i="15"/>
  <c r="P135" i="15"/>
  <c r="P156" i="15"/>
  <c r="P171" i="15"/>
  <c r="P216" i="15"/>
  <c r="P231" i="15"/>
  <c r="P306" i="15"/>
  <c r="H96" i="15"/>
  <c r="P55" i="15"/>
  <c r="P151" i="15"/>
  <c r="P211" i="15"/>
  <c r="P166" i="15"/>
  <c r="H197" i="15"/>
  <c r="P251" i="15"/>
  <c r="P271" i="15"/>
  <c r="P345" i="15"/>
  <c r="P23" i="15"/>
  <c r="P119" i="15"/>
  <c r="H144" i="15"/>
  <c r="H162" i="15"/>
  <c r="P176" i="15"/>
  <c r="P286" i="15"/>
  <c r="P328" i="15"/>
  <c r="P71" i="15"/>
  <c r="I142" i="15"/>
  <c r="M142" i="15" s="1"/>
  <c r="I160" i="15"/>
  <c r="M160" i="15" s="1"/>
  <c r="P221" i="15"/>
  <c r="P206" i="15"/>
  <c r="P281" i="15"/>
  <c r="I93" i="15"/>
  <c r="N347" i="15"/>
  <c r="P47" i="15"/>
  <c r="P87" i="15"/>
  <c r="P201" i="15"/>
  <c r="P296" i="15"/>
  <c r="I189" i="15"/>
  <c r="H192" i="15"/>
  <c r="I118" i="15"/>
  <c r="M118" i="15" s="1"/>
  <c r="M347" i="15" s="1"/>
  <c r="H120" i="15"/>
  <c r="I187" i="15"/>
  <c r="H252" i="15"/>
  <c r="I14" i="15"/>
  <c r="M14" i="15" s="1"/>
  <c r="H16" i="15"/>
  <c r="I339" i="15"/>
  <c r="M339" i="15" s="1"/>
  <c r="H341" i="15"/>
  <c r="I217" i="15"/>
  <c r="I199" i="15"/>
  <c r="I202" i="15" s="1"/>
  <c r="H202" i="15"/>
  <c r="I259" i="15"/>
  <c r="I262" i="15" s="1"/>
  <c r="H262" i="15"/>
  <c r="H104" i="15"/>
  <c r="I110" i="15"/>
  <c r="M110" i="15" s="1"/>
  <c r="H112" i="15"/>
  <c r="I154" i="15"/>
  <c r="I157" i="15" s="1"/>
  <c r="H157" i="15"/>
  <c r="I257" i="15"/>
  <c r="H64" i="15"/>
  <c r="I62" i="15"/>
  <c r="M62" i="15" s="1"/>
  <c r="I126" i="15"/>
  <c r="M126" i="15" s="1"/>
  <c r="H128" i="15"/>
  <c r="I239" i="15"/>
  <c r="I242" i="15" s="1"/>
  <c r="H242" i="15"/>
  <c r="I334" i="15"/>
  <c r="M334" i="15" s="1"/>
  <c r="H336" i="15"/>
  <c r="H182" i="15"/>
  <c r="H287" i="15"/>
  <c r="I284" i="15"/>
  <c r="I234" i="15"/>
  <c r="H237" i="15"/>
  <c r="I227" i="15"/>
  <c r="I299" i="15"/>
  <c r="I302" i="15" s="1"/>
  <c r="H302" i="15"/>
  <c r="H317" i="15"/>
  <c r="H56" i="15"/>
  <c r="I54" i="15"/>
  <c r="M54" i="15" s="1"/>
  <c r="H212" i="15"/>
  <c r="I269" i="15"/>
  <c r="I272" i="15" s="1"/>
  <c r="H272" i="15"/>
  <c r="I294" i="15"/>
  <c r="I297" i="15" s="1"/>
  <c r="I46" i="15"/>
  <c r="M46" i="15" s="1"/>
  <c r="I64" i="15"/>
  <c r="I165" i="15"/>
  <c r="M165" i="15" s="1"/>
  <c r="I179" i="15"/>
  <c r="I182" i="15" s="1"/>
  <c r="H187" i="15"/>
  <c r="I249" i="15"/>
  <c r="I252" i="15" s="1"/>
  <c r="H257" i="15"/>
  <c r="I279" i="15"/>
  <c r="I282" i="15" s="1"/>
  <c r="I314" i="15"/>
  <c r="I317" i="15" s="1"/>
  <c r="H346" i="15"/>
  <c r="I85" i="15"/>
  <c r="I88" i="15" s="1"/>
  <c r="I175" i="15"/>
  <c r="M175" i="15" s="1"/>
  <c r="I219" i="15"/>
  <c r="I222" i="15" s="1"/>
  <c r="H227" i="15"/>
  <c r="H232" i="15"/>
  <c r="H80" i="15"/>
  <c r="I96" i="15"/>
  <c r="I237" i="15"/>
  <c r="I70" i="15"/>
  <c r="M70" i="15" s="1"/>
  <c r="I311" i="15"/>
  <c r="P311" i="15" s="1"/>
  <c r="I320" i="15"/>
  <c r="M320" i="15" s="1"/>
  <c r="I327" i="15"/>
  <c r="M327" i="15" s="1"/>
  <c r="H32" i="15"/>
  <c r="I136" i="15"/>
  <c r="H136" i="15"/>
  <c r="I207" i="15"/>
  <c r="I346" i="15"/>
  <c r="I192" i="15"/>
  <c r="I112" i="15"/>
  <c r="I16" i="15"/>
  <c r="I144" i="15"/>
  <c r="I247" i="15"/>
  <c r="I277" i="15"/>
  <c r="I291" i="15"/>
  <c r="P291" i="15" s="1"/>
  <c r="I24" i="15"/>
  <c r="H247" i="15"/>
  <c r="H277" i="15"/>
  <c r="H307" i="15"/>
  <c r="I32" i="15"/>
  <c r="H172" i="15"/>
  <c r="H217" i="15"/>
  <c r="I267" i="15"/>
  <c r="I40" i="15"/>
  <c r="I287" i="15"/>
  <c r="P30" i="14"/>
  <c r="P153" i="14"/>
  <c r="P219" i="14"/>
  <c r="P61" i="14"/>
  <c r="P111" i="14"/>
  <c r="P136" i="14"/>
  <c r="P204" i="14"/>
  <c r="P249" i="14"/>
  <c r="P147" i="14"/>
  <c r="N271" i="14"/>
  <c r="O271" i="14"/>
  <c r="P179" i="14"/>
  <c r="P35" i="14"/>
  <c r="P68" i="14"/>
  <c r="P141" i="14"/>
  <c r="H165" i="14"/>
  <c r="P209" i="14"/>
  <c r="P236" i="14"/>
  <c r="P269" i="14"/>
  <c r="P82" i="14"/>
  <c r="P101" i="14"/>
  <c r="P126" i="14"/>
  <c r="P159" i="14"/>
  <c r="I185" i="14"/>
  <c r="P189" i="14"/>
  <c r="P20" i="14"/>
  <c r="P47" i="14"/>
  <c r="P174" i="14"/>
  <c r="I114" i="14"/>
  <c r="I117" i="14" s="1"/>
  <c r="H117" i="14"/>
  <c r="H69" i="14"/>
  <c r="I67" i="14"/>
  <c r="M67" i="14" s="1"/>
  <c r="H127" i="14"/>
  <c r="I124" i="14"/>
  <c r="I127" i="14" s="1"/>
  <c r="H142" i="14"/>
  <c r="I140" i="14"/>
  <c r="M140" i="14" s="1"/>
  <c r="I18" i="14"/>
  <c r="H21" i="14"/>
  <c r="I112" i="14"/>
  <c r="I28" i="14"/>
  <c r="I31" i="14" s="1"/>
  <c r="H31" i="14"/>
  <c r="H220" i="14"/>
  <c r="I217" i="14"/>
  <c r="I220" i="14" s="1"/>
  <c r="I235" i="14"/>
  <c r="M235" i="14" s="1"/>
  <c r="H237" i="14"/>
  <c r="I60" i="14"/>
  <c r="M60" i="14" s="1"/>
  <c r="M271" i="14" s="1"/>
  <c r="H62" i="14"/>
  <c r="I228" i="14"/>
  <c r="M228" i="14" s="1"/>
  <c r="H230" i="14"/>
  <c r="I119" i="14"/>
  <c r="H122" i="14"/>
  <c r="H41" i="14"/>
  <c r="I39" i="14"/>
  <c r="M39" i="14" s="1"/>
  <c r="I74" i="14"/>
  <c r="M74" i="14" s="1"/>
  <c r="H76" i="14"/>
  <c r="I99" i="14"/>
  <c r="F271" i="14" s="1"/>
  <c r="H102" i="14"/>
  <c r="I26" i="14"/>
  <c r="H26" i="14"/>
  <c r="I23" i="14"/>
  <c r="I88" i="14"/>
  <c r="M88" i="14" s="1"/>
  <c r="H90" i="14"/>
  <c r="I258" i="14"/>
  <c r="M258" i="14" s="1"/>
  <c r="H260" i="14"/>
  <c r="I21" i="14"/>
  <c r="I81" i="14"/>
  <c r="M81" i="14" s="1"/>
  <c r="H83" i="14"/>
  <c r="H36" i="14"/>
  <c r="I33" i="14"/>
  <c r="I36" i="14" s="1"/>
  <c r="H55" i="14"/>
  <c r="I53" i="14"/>
  <c r="M53" i="14" s="1"/>
  <c r="H132" i="14"/>
  <c r="I222" i="14"/>
  <c r="H225" i="14"/>
  <c r="I255" i="14"/>
  <c r="I104" i="14"/>
  <c r="I107" i="14" s="1"/>
  <c r="H112" i="14"/>
  <c r="H137" i="14"/>
  <c r="H170" i="14"/>
  <c r="H180" i="14"/>
  <c r="H215" i="14"/>
  <c r="I247" i="14"/>
  <c r="I250" i="14" s="1"/>
  <c r="H255" i="14"/>
  <c r="I137" i="14"/>
  <c r="H185" i="14"/>
  <c r="I46" i="14"/>
  <c r="M46" i="14" s="1"/>
  <c r="H154" i="14"/>
  <c r="I180" i="14"/>
  <c r="H190" i="14"/>
  <c r="I225" i="14"/>
  <c r="H265" i="14"/>
  <c r="I48" i="14"/>
  <c r="H195" i="14"/>
  <c r="I122" i="14"/>
  <c r="I148" i="14"/>
  <c r="I15" i="14"/>
  <c r="I154" i="14"/>
  <c r="I190" i="14"/>
  <c r="I265" i="14"/>
  <c r="I142" i="14"/>
  <c r="I97" i="14"/>
  <c r="I160" i="14"/>
  <c r="I195" i="14"/>
  <c r="H244" i="14"/>
  <c r="H148" i="14"/>
  <c r="I200" i="14"/>
  <c r="I132" i="14"/>
  <c r="I244" i="14"/>
  <c r="H125" i="13"/>
  <c r="P65" i="13"/>
  <c r="H99" i="13"/>
  <c r="P119" i="13"/>
  <c r="H185" i="13"/>
  <c r="P21" i="13"/>
  <c r="I121" i="13"/>
  <c r="P207" i="13"/>
  <c r="I220" i="13"/>
  <c r="H268" i="13"/>
  <c r="P144" i="13"/>
  <c r="P247" i="13"/>
  <c r="P124" i="13"/>
  <c r="P159" i="13"/>
  <c r="P184" i="13"/>
  <c r="P139" i="13"/>
  <c r="P277" i="13"/>
  <c r="P76" i="13"/>
  <c r="P169" i="13"/>
  <c r="P201" i="13"/>
  <c r="P257" i="13"/>
  <c r="N280" i="13"/>
  <c r="P43" i="13"/>
  <c r="P109" i="13"/>
  <c r="P219" i="13"/>
  <c r="H238" i="13"/>
  <c r="O280" i="13"/>
  <c r="P32" i="13"/>
  <c r="H44" i="13"/>
  <c r="P195" i="13"/>
  <c r="P15" i="13"/>
  <c r="H22" i="13"/>
  <c r="I20" i="13"/>
  <c r="M20" i="13" s="1"/>
  <c r="H175" i="13"/>
  <c r="I172" i="13"/>
  <c r="I157" i="13"/>
  <c r="I160" i="13" s="1"/>
  <c r="H160" i="13"/>
  <c r="I254" i="13"/>
  <c r="E280" i="13" s="1"/>
  <c r="H258" i="13"/>
  <c r="H170" i="13"/>
  <c r="I118" i="13"/>
  <c r="M118" i="13" s="1"/>
  <c r="H120" i="13"/>
  <c r="I276" i="13"/>
  <c r="M276" i="13" s="1"/>
  <c r="H278" i="13"/>
  <c r="H66" i="13"/>
  <c r="I64" i="13"/>
  <c r="M64" i="13" s="1"/>
  <c r="M280" i="13" s="1"/>
  <c r="H165" i="13"/>
  <c r="I162" i="13"/>
  <c r="I165" i="13" s="1"/>
  <c r="H190" i="13"/>
  <c r="I188" i="13"/>
  <c r="M188" i="13" s="1"/>
  <c r="I108" i="13"/>
  <c r="M108" i="13" s="1"/>
  <c r="H110" i="13"/>
  <c r="I31" i="13"/>
  <c r="M31" i="13" s="1"/>
  <c r="H33" i="13"/>
  <c r="H214" i="13"/>
  <c r="I212" i="13"/>
  <c r="M212" i="13" s="1"/>
  <c r="I53" i="13"/>
  <c r="M53" i="13" s="1"/>
  <c r="H55" i="13"/>
  <c r="I113" i="13"/>
  <c r="M113" i="13" s="1"/>
  <c r="H115" i="13"/>
  <c r="H196" i="13"/>
  <c r="I194" i="13"/>
  <c r="M194" i="13" s="1"/>
  <c r="I177" i="13"/>
  <c r="I180" i="13" s="1"/>
  <c r="H180" i="13"/>
  <c r="I206" i="13"/>
  <c r="M206" i="13" s="1"/>
  <c r="H208" i="13"/>
  <c r="I196" i="13"/>
  <c r="I75" i="13"/>
  <c r="M75" i="13" s="1"/>
  <c r="I88" i="13"/>
  <c r="I115" i="13"/>
  <c r="I138" i="13"/>
  <c r="M138" i="13" s="1"/>
  <c r="I120" i="13"/>
  <c r="H130" i="13"/>
  <c r="I166" i="13"/>
  <c r="I170" i="13" s="1"/>
  <c r="H226" i="13"/>
  <c r="H243" i="13"/>
  <c r="H248" i="13"/>
  <c r="I263" i="13"/>
  <c r="I237" i="13"/>
  <c r="P237" i="13" s="1"/>
  <c r="I135" i="13"/>
  <c r="H135" i="13"/>
  <c r="I33" i="13"/>
  <c r="I143" i="13"/>
  <c r="M143" i="13" s="1"/>
  <c r="I125" i="13"/>
  <c r="H232" i="13"/>
  <c r="H253" i="13"/>
  <c r="I44" i="13"/>
  <c r="I97" i="13"/>
  <c r="M97" i="13" s="1"/>
  <c r="I200" i="13"/>
  <c r="M200" i="13" s="1"/>
  <c r="I214" i="13"/>
  <c r="I175" i="13"/>
  <c r="I226" i="13"/>
  <c r="I150" i="13"/>
  <c r="I185" i="13"/>
  <c r="I148" i="13"/>
  <c r="M148" i="13" s="1"/>
  <c r="H88" i="13"/>
  <c r="H220" i="13"/>
  <c r="I232" i="13"/>
  <c r="I243" i="13"/>
  <c r="I248" i="13"/>
  <c r="I253" i="13"/>
  <c r="H263" i="13"/>
  <c r="H273" i="13"/>
  <c r="H298" i="12"/>
  <c r="I295" i="12"/>
  <c r="I252" i="12"/>
  <c r="M252" i="12" s="1"/>
  <c r="H254" i="12"/>
  <c r="I71" i="12"/>
  <c r="P71" i="12" s="1"/>
  <c r="P259" i="12"/>
  <c r="I355" i="12"/>
  <c r="P355" i="12" s="1"/>
  <c r="I61" i="12"/>
  <c r="P61" i="12" s="1"/>
  <c r="H182" i="12"/>
  <c r="I272" i="12"/>
  <c r="H338" i="12"/>
  <c r="P31" i="12"/>
  <c r="P109" i="12"/>
  <c r="P133" i="12"/>
  <c r="H230" i="12"/>
  <c r="P370" i="12"/>
  <c r="P181" i="12"/>
  <c r="I303" i="12"/>
  <c r="P313" i="12"/>
  <c r="I372" i="12"/>
  <c r="I376" i="12" s="1"/>
  <c r="H16" i="12"/>
  <c r="H314" i="12"/>
  <c r="N382" i="12"/>
  <c r="P173" i="12"/>
  <c r="P253" i="12"/>
  <c r="O382" i="12"/>
  <c r="P41" i="12"/>
  <c r="P343" i="12"/>
  <c r="P197" i="12"/>
  <c r="P265" i="12"/>
  <c r="P282" i="12"/>
  <c r="P325" i="12"/>
  <c r="I72" i="12"/>
  <c r="P117" i="12"/>
  <c r="P141" i="12"/>
  <c r="P165" i="12"/>
  <c r="P221" i="12"/>
  <c r="P241" i="12"/>
  <c r="P297" i="12"/>
  <c r="P360" i="12"/>
  <c r="P292" i="12"/>
  <c r="I350" i="12"/>
  <c r="H381" i="12"/>
  <c r="H283" i="12"/>
  <c r="I280" i="12"/>
  <c r="I283" i="12" s="1"/>
  <c r="I326" i="12"/>
  <c r="P15" i="12"/>
  <c r="H142" i="12"/>
  <c r="I140" i="12"/>
  <c r="M140" i="12" s="1"/>
  <c r="I27" i="12"/>
  <c r="I188" i="12"/>
  <c r="M188" i="12" s="1"/>
  <c r="H190" i="12"/>
  <c r="H293" i="12"/>
  <c r="I290" i="12"/>
  <c r="I278" i="12"/>
  <c r="I318" i="12"/>
  <c r="M318" i="12" s="1"/>
  <c r="H320" i="12"/>
  <c r="H118" i="12"/>
  <c r="I116" i="12"/>
  <c r="M116" i="12" s="1"/>
  <c r="I220" i="12"/>
  <c r="H222" i="12"/>
  <c r="I108" i="12"/>
  <c r="H110" i="12"/>
  <c r="I258" i="12"/>
  <c r="M258" i="12" s="1"/>
  <c r="H260" i="12"/>
  <c r="I293" i="12"/>
  <c r="I156" i="12"/>
  <c r="M156" i="12" s="1"/>
  <c r="H158" i="12"/>
  <c r="I164" i="12"/>
  <c r="M164" i="12" s="1"/>
  <c r="H166" i="12"/>
  <c r="I100" i="12"/>
  <c r="M100" i="12" s="1"/>
  <c r="H102" i="12"/>
  <c r="H308" i="12"/>
  <c r="I306" i="12"/>
  <c r="M306" i="12" s="1"/>
  <c r="I330" i="12"/>
  <c r="M330" i="12" s="1"/>
  <c r="H332" i="12"/>
  <c r="I172" i="12"/>
  <c r="M172" i="12" s="1"/>
  <c r="H174" i="12"/>
  <c r="I124" i="12"/>
  <c r="M124" i="12" s="1"/>
  <c r="H126" i="12"/>
  <c r="I246" i="12"/>
  <c r="M246" i="12" s="1"/>
  <c r="H248" i="12"/>
  <c r="I344" i="12"/>
  <c r="H303" i="12"/>
  <c r="H344" i="12"/>
  <c r="H27" i="12"/>
  <c r="H42" i="12"/>
  <c r="H52" i="12"/>
  <c r="I132" i="12"/>
  <c r="M132" i="12" s="1"/>
  <c r="I150" i="12"/>
  <c r="I204" i="12"/>
  <c r="M204" i="12" s="1"/>
  <c r="H236" i="12"/>
  <c r="H242" i="12"/>
  <c r="H288" i="12"/>
  <c r="H361" i="12"/>
  <c r="I32" i="12"/>
  <c r="I42" i="12"/>
  <c r="I52" i="12"/>
  <c r="I91" i="12"/>
  <c r="P91" i="12" s="1"/>
  <c r="I262" i="12"/>
  <c r="I266" i="12" s="1"/>
  <c r="I361" i="12"/>
  <c r="H350" i="12"/>
  <c r="H366" i="12"/>
  <c r="I21" i="12"/>
  <c r="P21" i="12" s="1"/>
  <c r="I174" i="12"/>
  <c r="I134" i="12"/>
  <c r="I179" i="12"/>
  <c r="I182" i="12" s="1"/>
  <c r="H198" i="12"/>
  <c r="I298" i="12"/>
  <c r="I314" i="12"/>
  <c r="I356" i="12"/>
  <c r="I371" i="12"/>
  <c r="I212" i="12"/>
  <c r="M212" i="12" s="1"/>
  <c r="H272" i="12"/>
  <c r="H278" i="12"/>
  <c r="H326" i="12"/>
  <c r="I82" i="12"/>
  <c r="I142" i="12"/>
  <c r="H371" i="12"/>
  <c r="I12" i="12"/>
  <c r="I16" i="12" s="1"/>
  <c r="H150" i="12"/>
  <c r="I198" i="12"/>
  <c r="I366" i="12"/>
  <c r="I158" i="12"/>
  <c r="I334" i="12"/>
  <c r="I338" i="12" s="1"/>
  <c r="P40" i="11"/>
  <c r="N130" i="11"/>
  <c r="P55" i="11"/>
  <c r="H65" i="11"/>
  <c r="H16" i="11"/>
  <c r="P82" i="11"/>
  <c r="P28" i="11"/>
  <c r="H29" i="11"/>
  <c r="I27" i="11"/>
  <c r="M27" i="11" s="1"/>
  <c r="H76" i="11"/>
  <c r="I74" i="11"/>
  <c r="M74" i="11" s="1"/>
  <c r="P15" i="11"/>
  <c r="I56" i="11"/>
  <c r="I81" i="11"/>
  <c r="M81" i="11" s="1"/>
  <c r="I41" i="11"/>
  <c r="I126" i="11"/>
  <c r="M126" i="11" s="1"/>
  <c r="I22" i="11"/>
  <c r="P22" i="11" s="1"/>
  <c r="I47" i="11"/>
  <c r="P47" i="11" s="1"/>
  <c r="H56" i="11"/>
  <c r="I33" i="11"/>
  <c r="M33" i="11" s="1"/>
  <c r="H140" i="10"/>
  <c r="I138" i="10"/>
  <c r="M138" i="10" s="1"/>
  <c r="H90" i="10"/>
  <c r="I88" i="10"/>
  <c r="M88" i="10" s="1"/>
  <c r="H26" i="10"/>
  <c r="I24" i="10"/>
  <c r="M24" i="10" s="1"/>
  <c r="H344" i="10"/>
  <c r="I341" i="10"/>
  <c r="I344" i="10" s="1"/>
  <c r="H41" i="10"/>
  <c r="I39" i="10"/>
  <c r="M39" i="10" s="1"/>
  <c r="P40" i="10"/>
  <c r="P55" i="10"/>
  <c r="P202" i="10"/>
  <c r="H267" i="10"/>
  <c r="P272" i="10"/>
  <c r="H294" i="10"/>
  <c r="I369" i="10"/>
  <c r="P398" i="10"/>
  <c r="I26" i="10"/>
  <c r="I34" i="10"/>
  <c r="M34" i="10" s="1"/>
  <c r="M466" i="10" s="1"/>
  <c r="I265" i="10"/>
  <c r="M265" i="10" s="1"/>
  <c r="I292" i="10"/>
  <c r="M292" i="10" s="1"/>
  <c r="I465" i="10"/>
  <c r="I191" i="10"/>
  <c r="M191" i="10" s="1"/>
  <c r="I285" i="10"/>
  <c r="M285" i="10" s="1"/>
  <c r="N466" i="10"/>
  <c r="P50" i="10"/>
  <c r="P65" i="10"/>
  <c r="P83" i="10"/>
  <c r="I156" i="10"/>
  <c r="M156" i="10" s="1"/>
  <c r="P213" i="10"/>
  <c r="P429" i="10"/>
  <c r="O466" i="10"/>
  <c r="P30" i="10"/>
  <c r="P192" i="10"/>
  <c r="P231" i="10"/>
  <c r="P286" i="10"/>
  <c r="P363" i="10"/>
  <c r="P157" i="10"/>
  <c r="P444" i="10"/>
  <c r="H46" i="10"/>
  <c r="P99" i="10"/>
  <c r="P279" i="10"/>
  <c r="P424" i="10"/>
  <c r="P45" i="10"/>
  <c r="P151" i="10"/>
  <c r="P207" i="10"/>
  <c r="P241" i="10"/>
  <c r="I290" i="10"/>
  <c r="P343" i="10"/>
  <c r="P459" i="10"/>
  <c r="H203" i="10"/>
  <c r="P358" i="10"/>
  <c r="P20" i="10"/>
  <c r="P25" i="10"/>
  <c r="I93" i="10"/>
  <c r="M93" i="10" s="1"/>
  <c r="P127" i="10"/>
  <c r="I201" i="10"/>
  <c r="M201" i="10" s="1"/>
  <c r="P300" i="10"/>
  <c r="P321" i="10"/>
  <c r="P94" i="10"/>
  <c r="P182" i="10"/>
  <c r="P219" i="10"/>
  <c r="I228" i="10"/>
  <c r="P338" i="10"/>
  <c r="H369" i="10"/>
  <c r="P439" i="10"/>
  <c r="P454" i="10"/>
  <c r="H152" i="10"/>
  <c r="I150" i="10"/>
  <c r="M150" i="10" s="1"/>
  <c r="I240" i="10"/>
  <c r="M240" i="10" s="1"/>
  <c r="H242" i="10"/>
  <c r="I371" i="10"/>
  <c r="I374" i="10" s="1"/>
  <c r="H374" i="10"/>
  <c r="H280" i="10"/>
  <c r="I278" i="10"/>
  <c r="M278" i="10" s="1"/>
  <c r="I166" i="10"/>
  <c r="M166" i="10" s="1"/>
  <c r="H168" i="10"/>
  <c r="H257" i="10"/>
  <c r="I255" i="10"/>
  <c r="M255" i="10" s="1"/>
  <c r="I339" i="10"/>
  <c r="H359" i="10"/>
  <c r="I110" i="10"/>
  <c r="I220" i="10"/>
  <c r="H322" i="10"/>
  <c r="I59" i="10"/>
  <c r="M59" i="10" s="1"/>
  <c r="H61" i="10"/>
  <c r="H21" i="10"/>
  <c r="I19" i="10"/>
  <c r="M19" i="10" s="1"/>
  <c r="I126" i="10"/>
  <c r="M126" i="10" s="1"/>
  <c r="H128" i="10"/>
  <c r="I198" i="10"/>
  <c r="I351" i="10"/>
  <c r="I354" i="10" s="1"/>
  <c r="H354" i="10"/>
  <c r="H116" i="10"/>
  <c r="I328" i="10"/>
  <c r="H252" i="10"/>
  <c r="I250" i="10"/>
  <c r="M250" i="10" s="1"/>
  <c r="H122" i="10"/>
  <c r="I120" i="10"/>
  <c r="M120" i="10" s="1"/>
  <c r="I69" i="10"/>
  <c r="M69" i="10" s="1"/>
  <c r="H71" i="10"/>
  <c r="H178" i="10"/>
  <c r="I176" i="10"/>
  <c r="M176" i="10" s="1"/>
  <c r="H315" i="10"/>
  <c r="I313" i="10"/>
  <c r="M313" i="10" s="1"/>
  <c r="I346" i="10"/>
  <c r="I349" i="10" s="1"/>
  <c r="H349" i="10"/>
  <c r="H16" i="10"/>
  <c r="I14" i="10"/>
  <c r="M14" i="10" s="1"/>
  <c r="I245" i="10"/>
  <c r="M245" i="10" s="1"/>
  <c r="H247" i="10"/>
  <c r="H364" i="10"/>
  <c r="I361" i="10"/>
  <c r="I364" i="10" s="1"/>
  <c r="I54" i="10"/>
  <c r="M54" i="10" s="1"/>
  <c r="H56" i="10"/>
  <c r="I29" i="10"/>
  <c r="M29" i="10" s="1"/>
  <c r="H31" i="10"/>
  <c r="H66" i="10"/>
  <c r="I64" i="10"/>
  <c r="M64" i="10" s="1"/>
  <c r="H84" i="10"/>
  <c r="I82" i="10"/>
  <c r="M82" i="10" s="1"/>
  <c r="I260" i="10"/>
  <c r="M260" i="10" s="1"/>
  <c r="H262" i="10"/>
  <c r="P15" i="10"/>
  <c r="I132" i="10"/>
  <c r="M132" i="10" s="1"/>
  <c r="H134" i="10"/>
  <c r="I171" i="10"/>
  <c r="M171" i="10" s="1"/>
  <c r="H173" i="10"/>
  <c r="I306" i="10"/>
  <c r="M306" i="10" s="1"/>
  <c r="H308" i="10"/>
  <c r="I181" i="10"/>
  <c r="M181" i="10" s="1"/>
  <c r="H183" i="10"/>
  <c r="I331" i="10"/>
  <c r="H334" i="10"/>
  <c r="I158" i="10"/>
  <c r="I186" i="10"/>
  <c r="M186" i="10" s="1"/>
  <c r="H188" i="10"/>
  <c r="I224" i="10"/>
  <c r="M224" i="10" s="1"/>
  <c r="H226" i="10"/>
  <c r="H110" i="10"/>
  <c r="I168" i="10"/>
  <c r="H220" i="10"/>
  <c r="I430" i="10"/>
  <c r="H445" i="10"/>
  <c r="I112" i="10"/>
  <c r="I308" i="10"/>
  <c r="I435" i="10"/>
  <c r="H450" i="10"/>
  <c r="I51" i="10"/>
  <c r="H393" i="10"/>
  <c r="H399" i="10"/>
  <c r="I445" i="10"/>
  <c r="I440" i="10"/>
  <c r="I44" i="10"/>
  <c r="M44" i="10" s="1"/>
  <c r="I161" i="10"/>
  <c r="M161" i="10" s="1"/>
  <c r="I49" i="10"/>
  <c r="M49" i="10" s="1"/>
  <c r="I103" i="10"/>
  <c r="M103" i="10" s="1"/>
  <c r="I116" i="10"/>
  <c r="I212" i="10"/>
  <c r="M212" i="10" s="1"/>
  <c r="I247" i="10"/>
  <c r="I299" i="10"/>
  <c r="M299" i="10" s="1"/>
  <c r="H328" i="10"/>
  <c r="I450" i="10"/>
  <c r="I460" i="10"/>
  <c r="I252" i="10"/>
  <c r="I334" i="10"/>
  <c r="I393" i="10"/>
  <c r="I419" i="10"/>
  <c r="P419" i="10" s="1"/>
  <c r="I76" i="10"/>
  <c r="H76" i="10"/>
  <c r="H146" i="10"/>
  <c r="H198" i="10"/>
  <c r="H273" i="10"/>
  <c r="I359" i="10"/>
  <c r="I387" i="10"/>
  <c r="I399" i="10"/>
  <c r="I236" i="10"/>
  <c r="P236" i="10" s="1"/>
  <c r="I379" i="10"/>
  <c r="I36" i="10"/>
  <c r="I90" i="10"/>
  <c r="I140" i="10"/>
  <c r="I193" i="10"/>
  <c r="H339" i="10"/>
  <c r="H425" i="10"/>
  <c r="I146" i="10"/>
  <c r="I273" i="10"/>
  <c r="H430" i="10"/>
  <c r="H100" i="10"/>
  <c r="I208" i="10"/>
  <c r="H208" i="10"/>
  <c r="I280" i="10"/>
  <c r="H415" i="10"/>
  <c r="H435" i="10"/>
  <c r="H465" i="10"/>
  <c r="I122" i="10"/>
  <c r="I128" i="10"/>
  <c r="I318" i="10"/>
  <c r="I322" i="10" s="1"/>
  <c r="I152" i="10"/>
  <c r="I287" i="10"/>
  <c r="H410" i="10"/>
  <c r="H440" i="10"/>
  <c r="H460" i="10"/>
  <c r="P601" i="9"/>
  <c r="P297" i="9"/>
  <c r="H90" i="9"/>
  <c r="H51" i="9"/>
  <c r="P246" i="9"/>
  <c r="P351" i="9"/>
  <c r="I22" i="9"/>
  <c r="P292" i="9"/>
  <c r="H424" i="9"/>
  <c r="M14" i="9"/>
  <c r="P368" i="9"/>
  <c r="P418" i="9"/>
  <c r="H84" i="9"/>
  <c r="H102" i="9"/>
  <c r="P122" i="9"/>
  <c r="P285" i="9"/>
  <c r="H495" i="9"/>
  <c r="N603" i="9"/>
  <c r="O603" i="9"/>
  <c r="P25" i="9"/>
  <c r="H517" i="9"/>
  <c r="H369" i="9"/>
  <c r="P142" i="9"/>
  <c r="P189" i="9"/>
  <c r="P576" i="9"/>
  <c r="P478" i="9"/>
  <c r="P212" i="9"/>
  <c r="P170" i="9"/>
  <c r="P251" i="9"/>
  <c r="P423" i="9"/>
  <c r="P443" i="9"/>
  <c r="P383" i="9"/>
  <c r="P463" i="9"/>
  <c r="P30" i="9"/>
  <c r="P177" i="9"/>
  <c r="P398" i="9"/>
  <c r="P433" i="9"/>
  <c r="P531" i="9"/>
  <c r="P591" i="9"/>
  <c r="I385" i="9"/>
  <c r="I389" i="9" s="1"/>
  <c r="I81" i="9"/>
  <c r="I84" i="9" s="1"/>
  <c r="P15" i="9"/>
  <c r="P321" i="9"/>
  <c r="P363" i="9"/>
  <c r="P83" i="9"/>
  <c r="H150" i="9"/>
  <c r="P223" i="9"/>
  <c r="P473" i="9"/>
  <c r="I543" i="9"/>
  <c r="I547" i="9" s="1"/>
  <c r="P586" i="9"/>
  <c r="P333" i="9"/>
  <c r="P403" i="9"/>
  <c r="P536" i="9"/>
  <c r="P63" i="9"/>
  <c r="P163" i="9"/>
  <c r="P195" i="9"/>
  <c r="H379" i="9"/>
  <c r="P388" i="9"/>
  <c r="P448" i="9"/>
  <c r="P546" i="9"/>
  <c r="P35" i="9"/>
  <c r="P217" i="9"/>
  <c r="P316" i="9"/>
  <c r="P373" i="9"/>
  <c r="P458" i="9"/>
  <c r="P521" i="9"/>
  <c r="P45" i="9"/>
  <c r="P89" i="9"/>
  <c r="P240" i="9"/>
  <c r="H479" i="9"/>
  <c r="P494" i="9"/>
  <c r="P551" i="9"/>
  <c r="I148" i="9"/>
  <c r="M148" i="9" s="1"/>
  <c r="H113" i="9"/>
  <c r="H108" i="9"/>
  <c r="P149" i="9"/>
  <c r="H218" i="9"/>
  <c r="H304" i="9"/>
  <c r="H409" i="9"/>
  <c r="H469" i="9"/>
  <c r="H547" i="9"/>
  <c r="H157" i="9"/>
  <c r="P257" i="9"/>
  <c r="P561" i="9"/>
  <c r="H389" i="9"/>
  <c r="H489" i="9"/>
  <c r="P339" i="9"/>
  <c r="P57" i="9"/>
  <c r="H64" i="9"/>
  <c r="P117" i="9"/>
  <c r="I311" i="9"/>
  <c r="H96" i="9"/>
  <c r="P40" i="9"/>
  <c r="I77" i="9"/>
  <c r="P77" i="9" s="1"/>
  <c r="P101" i="9"/>
  <c r="P182" i="9"/>
  <c r="P235" i="9"/>
  <c r="P327" i="9"/>
  <c r="I515" i="9"/>
  <c r="M515" i="9" s="1"/>
  <c r="I538" i="9"/>
  <c r="P566" i="9"/>
  <c r="P201" i="9"/>
  <c r="P310" i="9"/>
  <c r="P413" i="9"/>
  <c r="P488" i="9"/>
  <c r="P500" i="9"/>
  <c r="P516" i="9"/>
  <c r="I123" i="9"/>
  <c r="P127" i="9"/>
  <c r="H252" i="9"/>
  <c r="H293" i="9"/>
  <c r="I400" i="9"/>
  <c r="P556" i="9"/>
  <c r="P596" i="9"/>
  <c r="I49" i="9"/>
  <c r="M49" i="9" s="1"/>
  <c r="I254" i="9"/>
  <c r="P263" i="9"/>
  <c r="H328" i="9"/>
  <c r="P378" i="9"/>
  <c r="P112" i="9"/>
  <c r="I146" i="9"/>
  <c r="P229" i="9"/>
  <c r="I334" i="9"/>
  <c r="P408" i="9"/>
  <c r="P468" i="9"/>
  <c r="H36" i="9"/>
  <c r="I464" i="9"/>
  <c r="P50" i="9"/>
  <c r="P95" i="9"/>
  <c r="P20" i="9"/>
  <c r="P70" i="9"/>
  <c r="P137" i="9"/>
  <c r="P156" i="9"/>
  <c r="P303" i="9"/>
  <c r="P438" i="9"/>
  <c r="P453" i="9"/>
  <c r="P483" i="9"/>
  <c r="P511" i="9"/>
  <c r="P526" i="9"/>
  <c r="P541" i="9"/>
  <c r="H557" i="9"/>
  <c r="I573" i="9"/>
  <c r="P581" i="9"/>
  <c r="I169" i="9"/>
  <c r="M169" i="9" s="1"/>
  <c r="H171" i="9"/>
  <c r="H138" i="9"/>
  <c r="I136" i="9"/>
  <c r="M136" i="9" s="1"/>
  <c r="I183" i="9"/>
  <c r="I451" i="9"/>
  <c r="I454" i="9" s="1"/>
  <c r="H454" i="9"/>
  <c r="H582" i="9"/>
  <c r="I580" i="9"/>
  <c r="M580" i="9" s="1"/>
  <c r="I205" i="9"/>
  <c r="M205" i="9" s="1"/>
  <c r="H207" i="9"/>
  <c r="I228" i="9"/>
  <c r="M228" i="9" s="1"/>
  <c r="I252" i="9"/>
  <c r="I262" i="9"/>
  <c r="M262" i="9" s="1"/>
  <c r="H264" i="9"/>
  <c r="I520" i="9"/>
  <c r="M520" i="9" s="1"/>
  <c r="H597" i="9"/>
  <c r="I595" i="9"/>
  <c r="M595" i="9" s="1"/>
  <c r="I530" i="9"/>
  <c r="M530" i="9" s="1"/>
  <c r="H532" i="9"/>
  <c r="H501" i="9"/>
  <c r="H31" i="9"/>
  <c r="I68" i="9"/>
  <c r="I71" i="9" s="1"/>
  <c r="H71" i="9"/>
  <c r="H123" i="9"/>
  <c r="P206" i="9"/>
  <c r="I256" i="9"/>
  <c r="M256" i="9" s="1"/>
  <c r="H258" i="9"/>
  <c r="H286" i="9"/>
  <c r="I284" i="9"/>
  <c r="M284" i="9" s="1"/>
  <c r="I320" i="9"/>
  <c r="M320" i="9" s="1"/>
  <c r="H322" i="9"/>
  <c r="H334" i="9"/>
  <c r="I344" i="9"/>
  <c r="M344" i="9" s="1"/>
  <c r="H346" i="9"/>
  <c r="I426" i="9"/>
  <c r="I429" i="9" s="1"/>
  <c r="H429" i="9"/>
  <c r="H577" i="9"/>
  <c r="I575" i="9"/>
  <c r="M575" i="9" s="1"/>
  <c r="I41" i="9"/>
  <c r="H118" i="9"/>
  <c r="H164" i="9"/>
  <c r="H414" i="9"/>
  <c r="H592" i="9"/>
  <c r="H484" i="9"/>
  <c r="I482" i="9"/>
  <c r="M482" i="9" s="1"/>
  <c r="H298" i="9"/>
  <c r="I295" i="9"/>
  <c r="I298" i="9" s="1"/>
  <c r="I239" i="9"/>
  <c r="M239" i="9" s="1"/>
  <c r="H241" i="9"/>
  <c r="I176" i="9"/>
  <c r="M176" i="9" s="1"/>
  <c r="H178" i="9"/>
  <c r="H190" i="9"/>
  <c r="H202" i="9"/>
  <c r="I200" i="9"/>
  <c r="M200" i="9" s="1"/>
  <c r="I492" i="9"/>
  <c r="I495" i="9" s="1"/>
  <c r="H537" i="9"/>
  <c r="I46" i="9"/>
  <c r="H224" i="9"/>
  <c r="H311" i="9"/>
  <c r="H419" i="9"/>
  <c r="H474" i="9"/>
  <c r="H512" i="9"/>
  <c r="I210" i="9"/>
  <c r="I213" i="9" s="1"/>
  <c r="H213" i="9"/>
  <c r="I361" i="9"/>
  <c r="I364" i="9" s="1"/>
  <c r="H364" i="9"/>
  <c r="I381" i="9"/>
  <c r="I384" i="9" s="1"/>
  <c r="H384" i="9"/>
  <c r="H404" i="9"/>
  <c r="I402" i="9"/>
  <c r="M402" i="9" s="1"/>
  <c r="I540" i="9"/>
  <c r="M540" i="9" s="1"/>
  <c r="H542" i="9"/>
  <c r="I24" i="9"/>
  <c r="M24" i="9" s="1"/>
  <c r="H26" i="9"/>
  <c r="P345" i="9"/>
  <c r="I424" i="9"/>
  <c r="I441" i="9"/>
  <c r="I444" i="9" s="1"/>
  <c r="H444" i="9"/>
  <c r="H16" i="9"/>
  <c r="P132" i="9"/>
  <c r="H183" i="9"/>
  <c r="I338" i="9"/>
  <c r="M338" i="9" s="1"/>
  <c r="H340" i="9"/>
  <c r="I356" i="9"/>
  <c r="M356" i="9" s="1"/>
  <c r="H358" i="9"/>
  <c r="P428" i="9"/>
  <c r="I86" i="9"/>
  <c r="I90" i="9" s="1"/>
  <c r="I273" i="9"/>
  <c r="M273" i="9" s="1"/>
  <c r="H275" i="9"/>
  <c r="H562" i="9"/>
  <c r="I570" i="9"/>
  <c r="M570" i="9" s="1"/>
  <c r="H572" i="9"/>
  <c r="I600" i="9"/>
  <c r="M600" i="9" s="1"/>
  <c r="H602" i="9"/>
  <c r="I194" i="9"/>
  <c r="M194" i="9" s="1"/>
  <c r="H196" i="9"/>
  <c r="H236" i="9"/>
  <c r="I234" i="9"/>
  <c r="M234" i="9" s="1"/>
  <c r="I315" i="9"/>
  <c r="M315" i="9" s="1"/>
  <c r="H317" i="9"/>
  <c r="P357" i="9"/>
  <c r="H439" i="9"/>
  <c r="H527" i="9"/>
  <c r="I525" i="9"/>
  <c r="M525" i="9" s="1"/>
  <c r="H143" i="9"/>
  <c r="I245" i="9"/>
  <c r="M245" i="9" s="1"/>
  <c r="H247" i="9"/>
  <c r="H449" i="9"/>
  <c r="I126" i="9"/>
  <c r="M126" i="9" s="1"/>
  <c r="H128" i="9"/>
  <c r="I19" i="9"/>
  <c r="M19" i="9" s="1"/>
  <c r="H21" i="9"/>
  <c r="I56" i="9"/>
  <c r="M56" i="9" s="1"/>
  <c r="H58" i="9"/>
  <c r="P274" i="9"/>
  <c r="I350" i="9"/>
  <c r="M350" i="9" s="1"/>
  <c r="H352" i="9"/>
  <c r="I431" i="9"/>
  <c r="I434" i="9" s="1"/>
  <c r="H434" i="9"/>
  <c r="I506" i="9"/>
  <c r="P506" i="9" s="1"/>
  <c r="I550" i="9"/>
  <c r="M550" i="9" s="1"/>
  <c r="H552" i="9"/>
  <c r="H567" i="9"/>
  <c r="I565" i="9"/>
  <c r="M565" i="9" s="1"/>
  <c r="P571" i="9"/>
  <c r="I109" i="9"/>
  <c r="I113" i="9" s="1"/>
  <c r="I150" i="9"/>
  <c r="I557" i="9"/>
  <c r="I114" i="9"/>
  <c r="I118" i="9" s="1"/>
  <c r="I141" i="9"/>
  <c r="M141" i="9" s="1"/>
  <c r="I291" i="9"/>
  <c r="M291" i="9" s="1"/>
  <c r="I436" i="9"/>
  <c r="I439" i="9" s="1"/>
  <c r="H133" i="9"/>
  <c r="I190" i="9"/>
  <c r="I365" i="9"/>
  <c r="I369" i="9" s="1"/>
  <c r="H459" i="9"/>
  <c r="I562" i="9"/>
  <c r="I107" i="9"/>
  <c r="P107" i="9" s="1"/>
  <c r="I393" i="9"/>
  <c r="P393" i="9" s="1"/>
  <c r="H464" i="9"/>
  <c r="I214" i="9"/>
  <c r="I218" i="9" s="1"/>
  <c r="I346" i="9"/>
  <c r="I405" i="9"/>
  <c r="I409" i="9" s="1"/>
  <c r="I465" i="9"/>
  <c r="I469" i="9" s="1"/>
  <c r="I508" i="9"/>
  <c r="I410" i="9"/>
  <c r="I414" i="9" s="1"/>
  <c r="I459" i="9"/>
  <c r="I470" i="9"/>
  <c r="I474" i="9" s="1"/>
  <c r="I583" i="9"/>
  <c r="I537" i="9"/>
  <c r="I32" i="9"/>
  <c r="I36" i="9" s="1"/>
  <c r="H41" i="9"/>
  <c r="I133" i="9"/>
  <c r="I31" i="9"/>
  <c r="H46" i="9"/>
  <c r="I153" i="9"/>
  <c r="I157" i="9" s="1"/>
  <c r="I300" i="9"/>
  <c r="I304" i="9" s="1"/>
  <c r="I497" i="9"/>
  <c r="I501" i="9" s="1"/>
  <c r="I588" i="9"/>
  <c r="I592" i="9" s="1"/>
  <c r="I64" i="9"/>
  <c r="I160" i="9"/>
  <c r="I164" i="9" s="1"/>
  <c r="I236" i="9"/>
  <c r="I415" i="9"/>
  <c r="I419" i="9" s="1"/>
  <c r="I512" i="9"/>
  <c r="I31" i="5"/>
  <c r="G37" i="5"/>
  <c r="M14" i="5"/>
  <c r="M37" i="5" s="1"/>
  <c r="F37" i="5"/>
  <c r="I26" i="5"/>
  <c r="P37" i="5"/>
  <c r="H36" i="5"/>
  <c r="I33" i="5"/>
  <c r="H16" i="5"/>
  <c r="H37" i="5"/>
  <c r="I17" i="5"/>
  <c r="I21" i="5" s="1"/>
  <c r="H26" i="5"/>
  <c r="H21" i="5"/>
  <c r="H31" i="5"/>
  <c r="I36" i="5"/>
  <c r="I16" i="5"/>
  <c r="P20" i="1"/>
  <c r="N87" i="1"/>
  <c r="P55" i="1"/>
  <c r="P70" i="1"/>
  <c r="I50" i="1"/>
  <c r="P50" i="1" s="1"/>
  <c r="P45" i="1"/>
  <c r="I66" i="1"/>
  <c r="P25" i="1"/>
  <c r="H41" i="1"/>
  <c r="I167" i="15"/>
  <c r="I162" i="15"/>
  <c r="I48" i="15"/>
  <c r="I230" i="14"/>
  <c r="I210" i="14"/>
  <c r="I273" i="13"/>
  <c r="I268" i="13"/>
  <c r="I155" i="13"/>
  <c r="I130" i="13"/>
  <c r="H16" i="13"/>
  <c r="I254" i="12"/>
  <c r="I455" i="10"/>
  <c r="I415" i="10"/>
  <c r="I425" i="10"/>
  <c r="I410" i="10"/>
  <c r="H405" i="10"/>
  <c r="I262" i="10"/>
  <c r="I232" i="10"/>
  <c r="I173" i="10"/>
  <c r="I100" i="10"/>
  <c r="I61" i="10"/>
  <c r="I37" i="50"/>
  <c r="I12" i="29"/>
  <c r="I587" i="9"/>
  <c r="I479" i="9"/>
  <c r="I449" i="9"/>
  <c r="H399" i="9"/>
  <c r="I328" i="9"/>
  <c r="I264" i="9"/>
  <c r="I220" i="9"/>
  <c r="I224" i="9" s="1"/>
  <c r="I138" i="9"/>
  <c r="I102" i="9"/>
  <c r="I96" i="9"/>
  <c r="I281" i="33"/>
  <c r="I201" i="33"/>
  <c r="I191" i="33"/>
  <c r="I136" i="33"/>
  <c r="I46" i="33"/>
  <c r="I16" i="33"/>
  <c r="H16" i="33"/>
  <c r="G18" i="51"/>
  <c r="I16" i="51"/>
  <c r="I18" i="51" s="1"/>
  <c r="I47" i="50"/>
  <c r="M45" i="50"/>
  <c r="F75" i="50"/>
  <c r="E75" i="50"/>
  <c r="G18" i="45"/>
  <c r="I16" i="45"/>
  <c r="I18" i="45" s="1"/>
  <c r="I34" i="44"/>
  <c r="M34" i="44" s="1"/>
  <c r="H36" i="44"/>
  <c r="M14" i="44"/>
  <c r="I51" i="44"/>
  <c r="M49" i="44"/>
  <c r="H57" i="44"/>
  <c r="I55" i="44"/>
  <c r="H26" i="44"/>
  <c r="I24" i="44"/>
  <c r="M24" i="44" s="1"/>
  <c r="P15" i="44"/>
  <c r="P58" i="44" s="1"/>
  <c r="H58" i="44"/>
  <c r="I19" i="44"/>
  <c r="M19" i="44" s="1"/>
  <c r="H21" i="44"/>
  <c r="I39" i="44"/>
  <c r="M39" i="44" s="1"/>
  <c r="H41" i="44"/>
  <c r="P25" i="44"/>
  <c r="I44" i="44"/>
  <c r="M44" i="44" s="1"/>
  <c r="H16" i="44"/>
  <c r="H31" i="44"/>
  <c r="H51" i="44"/>
  <c r="I16" i="44"/>
  <c r="I31" i="44"/>
  <c r="E58" i="44"/>
  <c r="F58" i="44"/>
  <c r="I39" i="34"/>
  <c r="M39" i="34" s="1"/>
  <c r="H41" i="34"/>
  <c r="P15" i="34"/>
  <c r="I34" i="34"/>
  <c r="P34" i="34" s="1"/>
  <c r="I47" i="34"/>
  <c r="H53" i="34"/>
  <c r="H47" i="34"/>
  <c r="I53" i="34"/>
  <c r="F55" i="34"/>
  <c r="M27" i="34"/>
  <c r="I29" i="34"/>
  <c r="I16" i="34"/>
  <c r="E55" i="34"/>
  <c r="H16" i="34"/>
  <c r="M34" i="29"/>
  <c r="M38" i="29" s="1"/>
  <c r="I36" i="29"/>
  <c r="I274" i="28"/>
  <c r="I277" i="28" s="1"/>
  <c r="M230" i="28"/>
  <c r="M175" i="28"/>
  <c r="I152" i="28"/>
  <c r="I96" i="28"/>
  <c r="I12" i="28"/>
  <c r="I149" i="27"/>
  <c r="I144" i="27"/>
  <c r="I122" i="27"/>
  <c r="I82" i="27"/>
  <c r="I86" i="27" s="1"/>
  <c r="F245" i="27"/>
  <c r="M208" i="26"/>
  <c r="I171" i="26"/>
  <c r="I175" i="26" s="1"/>
  <c r="I140" i="26"/>
  <c r="I98" i="26"/>
  <c r="I77" i="26"/>
  <c r="I196" i="25"/>
  <c r="M174" i="25"/>
  <c r="I171" i="25"/>
  <c r="I106" i="25"/>
  <c r="I24" i="25"/>
  <c r="P23" i="25"/>
  <c r="I12" i="25"/>
  <c r="I102" i="24"/>
  <c r="I68" i="24"/>
  <c r="I59" i="24"/>
  <c r="G104" i="24"/>
  <c r="E104" i="24"/>
  <c r="M14" i="24"/>
  <c r="I16" i="24"/>
  <c r="I418" i="23"/>
  <c r="I388" i="23"/>
  <c r="I383" i="23"/>
  <c r="I378" i="23"/>
  <c r="P251" i="23"/>
  <c r="I252" i="23"/>
  <c r="I208" i="23"/>
  <c r="M206" i="23"/>
  <c r="E419" i="23"/>
  <c r="I470" i="22"/>
  <c r="I473" i="22" s="1"/>
  <c r="I453" i="22"/>
  <c r="I410" i="22"/>
  <c r="I413" i="22" s="1"/>
  <c r="M406" i="22"/>
  <c r="I396" i="22"/>
  <c r="I360" i="22"/>
  <c r="I315" i="22"/>
  <c r="I305" i="22"/>
  <c r="I295" i="22"/>
  <c r="G489" i="22"/>
  <c r="I244" i="22"/>
  <c r="I221" i="22"/>
  <c r="I205" i="22"/>
  <c r="I187" i="22"/>
  <c r="I171" i="22"/>
  <c r="I73" i="22"/>
  <c r="I77" i="22" s="1"/>
  <c r="I65" i="22"/>
  <c r="I16" i="22"/>
  <c r="M72" i="16"/>
  <c r="E75" i="16"/>
  <c r="F75" i="16"/>
  <c r="I16" i="16"/>
  <c r="I292" i="15"/>
  <c r="H152" i="15"/>
  <c r="I152" i="15"/>
  <c r="I80" i="15"/>
  <c r="I77" i="15"/>
  <c r="I232" i="15"/>
  <c r="I197" i="15"/>
  <c r="I177" i="15"/>
  <c r="I104" i="15"/>
  <c r="E347" i="15"/>
  <c r="I270" i="14"/>
  <c r="I215" i="14"/>
  <c r="I205" i="14"/>
  <c r="I175" i="14"/>
  <c r="I170" i="14"/>
  <c r="I165" i="14"/>
  <c r="I90" i="14"/>
  <c r="I62" i="14"/>
  <c r="I41" i="14"/>
  <c r="E271" i="14"/>
  <c r="I16" i="14"/>
  <c r="I16" i="13"/>
  <c r="I381" i="12"/>
  <c r="I308" i="12"/>
  <c r="I242" i="12"/>
  <c r="I236" i="12"/>
  <c r="I230" i="12"/>
  <c r="I118" i="12"/>
  <c r="M80" i="12"/>
  <c r="E382" i="12"/>
  <c r="I62" i="12"/>
  <c r="I65" i="11"/>
  <c r="M54" i="11"/>
  <c r="E130" i="11"/>
  <c r="M46" i="11"/>
  <c r="F130" i="11"/>
  <c r="I16" i="11"/>
  <c r="I405" i="10"/>
  <c r="M377" i="10"/>
  <c r="I242" i="10"/>
  <c r="E466" i="10"/>
  <c r="I21" i="10"/>
  <c r="I489" i="9"/>
  <c r="I399" i="9"/>
  <c r="I374" i="9"/>
  <c r="I379" i="9"/>
  <c r="M100" i="9"/>
  <c r="I21" i="9"/>
  <c r="I16" i="9"/>
  <c r="E37" i="5"/>
  <c r="I37" i="5"/>
  <c r="I74" i="1"/>
  <c r="M74" i="1" s="1"/>
  <c r="H76" i="1"/>
  <c r="I34" i="1"/>
  <c r="M34" i="1" s="1"/>
  <c r="H36" i="1"/>
  <c r="I59" i="1"/>
  <c r="M59" i="1" s="1"/>
  <c r="H61" i="1"/>
  <c r="I54" i="1"/>
  <c r="M54" i="1" s="1"/>
  <c r="H56" i="1"/>
  <c r="H71" i="1"/>
  <c r="I69" i="1"/>
  <c r="M69" i="1" s="1"/>
  <c r="I84" i="1"/>
  <c r="M84" i="1" s="1"/>
  <c r="H86" i="1"/>
  <c r="I44" i="1"/>
  <c r="M44" i="1" s="1"/>
  <c r="H46" i="1"/>
  <c r="I39" i="1"/>
  <c r="M39" i="1" s="1"/>
  <c r="I30" i="1"/>
  <c r="P30" i="1" s="1"/>
  <c r="H66" i="1"/>
  <c r="H81" i="1"/>
  <c r="I71" i="1"/>
  <c r="I81" i="1"/>
  <c r="I86" i="1"/>
  <c r="F87" i="1"/>
  <c r="I26" i="1"/>
  <c r="I21" i="1"/>
  <c r="E87" i="1"/>
  <c r="P15" i="1"/>
  <c r="I16" i="1"/>
  <c r="F64" i="38"/>
  <c r="I64" i="38" s="1"/>
  <c r="E59" i="38"/>
  <c r="I59" i="38" s="1"/>
  <c r="E69" i="38"/>
  <c r="H18" i="51" l="1"/>
  <c r="P15" i="51"/>
  <c r="P18" i="51" s="1"/>
  <c r="I74" i="50"/>
  <c r="G75" i="50"/>
  <c r="I32" i="50"/>
  <c r="I16" i="50"/>
  <c r="I75" i="50" s="1"/>
  <c r="M75" i="50"/>
  <c r="I36" i="44"/>
  <c r="I41" i="34"/>
  <c r="M55" i="34"/>
  <c r="G55" i="34"/>
  <c r="I111" i="33"/>
  <c r="I106" i="33"/>
  <c r="F292" i="33"/>
  <c r="I261" i="33"/>
  <c r="P292" i="33"/>
  <c r="I226" i="33"/>
  <c r="E292" i="33"/>
  <c r="I141" i="33"/>
  <c r="M139" i="33"/>
  <c r="I231" i="33"/>
  <c r="G292" i="33"/>
  <c r="I96" i="33"/>
  <c r="M94" i="33"/>
  <c r="I67" i="33"/>
  <c r="I81" i="33"/>
  <c r="I146" i="33"/>
  <c r="I31" i="33"/>
  <c r="I101" i="33"/>
  <c r="I222" i="28"/>
  <c r="I167" i="28"/>
  <c r="I72" i="28"/>
  <c r="I297" i="28"/>
  <c r="I48" i="28"/>
  <c r="I172" i="28"/>
  <c r="I32" i="28"/>
  <c r="H318" i="28"/>
  <c r="P318" i="28"/>
  <c r="I177" i="28"/>
  <c r="I202" i="28"/>
  <c r="I40" i="28"/>
  <c r="I88" i="28"/>
  <c r="M86" i="28"/>
  <c r="M318" i="28" s="1"/>
  <c r="I128" i="28"/>
  <c r="I312" i="28"/>
  <c r="G318" i="28"/>
  <c r="I211" i="27"/>
  <c r="I71" i="27"/>
  <c r="I204" i="27"/>
  <c r="I16" i="27"/>
  <c r="M245" i="27"/>
  <c r="I127" i="27"/>
  <c r="I116" i="27"/>
  <c r="M114" i="27"/>
  <c r="I51" i="27"/>
  <c r="I66" i="27"/>
  <c r="M54" i="27"/>
  <c r="I56" i="27"/>
  <c r="G245" i="27"/>
  <c r="I41" i="27"/>
  <c r="I46" i="27"/>
  <c r="H245" i="27"/>
  <c r="P245" i="27"/>
  <c r="E245" i="27"/>
  <c r="I133" i="26"/>
  <c r="I181" i="26"/>
  <c r="I88" i="26"/>
  <c r="I66" i="26"/>
  <c r="F237" i="26"/>
  <c r="M237" i="26"/>
  <c r="E237" i="26"/>
  <c r="G237" i="26"/>
  <c r="I126" i="26"/>
  <c r="I33" i="26"/>
  <c r="I22" i="26"/>
  <c r="P197" i="25"/>
  <c r="I191" i="25"/>
  <c r="I88" i="25"/>
  <c r="I56" i="25"/>
  <c r="G197" i="25"/>
  <c r="I141" i="25"/>
  <c r="F197" i="25"/>
  <c r="I48" i="25"/>
  <c r="I96" i="25"/>
  <c r="I101" i="25"/>
  <c r="M104" i="24"/>
  <c r="I51" i="24"/>
  <c r="P104" i="24"/>
  <c r="I104" i="24"/>
  <c r="I132" i="23"/>
  <c r="I159" i="23"/>
  <c r="I164" i="23"/>
  <c r="I126" i="23"/>
  <c r="I213" i="23"/>
  <c r="F419" i="23"/>
  <c r="I36" i="23"/>
  <c r="I149" i="23"/>
  <c r="I61" i="23"/>
  <c r="I102" i="23"/>
  <c r="I138" i="23"/>
  <c r="I69" i="23"/>
  <c r="I280" i="23"/>
  <c r="P419" i="23"/>
  <c r="I347" i="23"/>
  <c r="I114" i="23"/>
  <c r="I154" i="23"/>
  <c r="I218" i="23"/>
  <c r="I352" i="23"/>
  <c r="H419" i="23"/>
  <c r="I56" i="23"/>
  <c r="M118" i="23"/>
  <c r="I120" i="23"/>
  <c r="I228" i="23"/>
  <c r="I196" i="23"/>
  <c r="I273" i="23"/>
  <c r="I408" i="23"/>
  <c r="I202" i="23"/>
  <c r="I31" i="23"/>
  <c r="M29" i="23"/>
  <c r="M419" i="23" s="1"/>
  <c r="I41" i="23"/>
  <c r="I233" i="23"/>
  <c r="I16" i="23"/>
  <c r="I419" i="23" s="1"/>
  <c r="I158" i="22"/>
  <c r="I139" i="22"/>
  <c r="I193" i="22"/>
  <c r="I71" i="22"/>
  <c r="H489" i="22"/>
  <c r="P489" i="22"/>
  <c r="I125" i="22"/>
  <c r="I438" i="22"/>
  <c r="I26" i="22"/>
  <c r="I489" i="22" s="1"/>
  <c r="I233" i="22"/>
  <c r="I210" i="22"/>
  <c r="I132" i="22"/>
  <c r="I103" i="22"/>
  <c r="I31" i="22"/>
  <c r="I93" i="22"/>
  <c r="I423" i="22"/>
  <c r="I216" i="22"/>
  <c r="I255" i="22"/>
  <c r="M75" i="16"/>
  <c r="P75" i="16"/>
  <c r="H75" i="16"/>
  <c r="I43" i="16"/>
  <c r="I75" i="16" s="1"/>
  <c r="I66" i="16"/>
  <c r="I120" i="15"/>
  <c r="I329" i="15"/>
  <c r="P347" i="15"/>
  <c r="I72" i="15"/>
  <c r="H347" i="15"/>
  <c r="I312" i="15"/>
  <c r="F347" i="15"/>
  <c r="I322" i="15"/>
  <c r="I56" i="15"/>
  <c r="I336" i="15"/>
  <c r="I341" i="15"/>
  <c r="I128" i="15"/>
  <c r="G347" i="15"/>
  <c r="I102" i="14"/>
  <c r="I69" i="14"/>
  <c r="G271" i="14"/>
  <c r="I237" i="14"/>
  <c r="I76" i="14"/>
  <c r="P15" i="14"/>
  <c r="P271" i="14" s="1"/>
  <c r="H271" i="14"/>
  <c r="I83" i="14"/>
  <c r="I260" i="14"/>
  <c r="I55" i="14"/>
  <c r="I271" i="14" s="1"/>
  <c r="I66" i="13"/>
  <c r="I99" i="13"/>
  <c r="F280" i="13"/>
  <c r="I22" i="13"/>
  <c r="I55" i="13"/>
  <c r="I110" i="13"/>
  <c r="I77" i="13"/>
  <c r="I145" i="13"/>
  <c r="I202" i="13"/>
  <c r="I278" i="13"/>
  <c r="I208" i="13"/>
  <c r="I238" i="13"/>
  <c r="G280" i="13"/>
  <c r="I258" i="13"/>
  <c r="P280" i="13"/>
  <c r="I190" i="13"/>
  <c r="I140" i="13"/>
  <c r="H280" i="13"/>
  <c r="I102" i="12"/>
  <c r="I248" i="12"/>
  <c r="F382" i="12"/>
  <c r="I166" i="12"/>
  <c r="I190" i="12"/>
  <c r="I110" i="12"/>
  <c r="M108" i="12"/>
  <c r="I260" i="12"/>
  <c r="I222" i="12"/>
  <c r="M220" i="12"/>
  <c r="I332" i="12"/>
  <c r="P382" i="12"/>
  <c r="G382" i="12"/>
  <c r="I22" i="12"/>
  <c r="I214" i="12"/>
  <c r="H382" i="12"/>
  <c r="I206" i="12"/>
  <c r="M382" i="12"/>
  <c r="I92" i="12"/>
  <c r="I320" i="12"/>
  <c r="I126" i="12"/>
  <c r="P130" i="11"/>
  <c r="I48" i="11"/>
  <c r="I128" i="11"/>
  <c r="I83" i="11"/>
  <c r="I35" i="11"/>
  <c r="I23" i="11"/>
  <c r="I76" i="11"/>
  <c r="I29" i="11"/>
  <c r="H130" i="11"/>
  <c r="I130" i="11"/>
  <c r="G130" i="11"/>
  <c r="M130" i="11"/>
  <c r="I41" i="10"/>
  <c r="H466" i="10"/>
  <c r="I134" i="10"/>
  <c r="I267" i="10"/>
  <c r="P466" i="10"/>
  <c r="I257" i="10"/>
  <c r="I294" i="10"/>
  <c r="I178" i="10"/>
  <c r="I56" i="10"/>
  <c r="F466" i="10"/>
  <c r="I203" i="10"/>
  <c r="I95" i="10"/>
  <c r="I183" i="10"/>
  <c r="I16" i="10"/>
  <c r="I214" i="10"/>
  <c r="I71" i="10"/>
  <c r="I315" i="10"/>
  <c r="I237" i="10"/>
  <c r="I420" i="10"/>
  <c r="I46" i="10"/>
  <c r="I226" i="10"/>
  <c r="I188" i="10"/>
  <c r="G466" i="10"/>
  <c r="I84" i="10"/>
  <c r="I466" i="10" s="1"/>
  <c r="I105" i="10"/>
  <c r="I31" i="10"/>
  <c r="I66" i="10"/>
  <c r="I301" i="10"/>
  <c r="I163" i="10"/>
  <c r="I202" i="9"/>
  <c r="I352" i="9"/>
  <c r="I293" i="9"/>
  <c r="I207" i="9"/>
  <c r="I317" i="9"/>
  <c r="I275" i="9"/>
  <c r="F603" i="9"/>
  <c r="H603" i="9"/>
  <c r="I340" i="9"/>
  <c r="I358" i="9"/>
  <c r="E603" i="9"/>
  <c r="G603" i="9"/>
  <c r="P603" i="9"/>
  <c r="M603" i="9"/>
  <c r="I286" i="9"/>
  <c r="I582" i="9"/>
  <c r="I171" i="9"/>
  <c r="I567" i="9"/>
  <c r="I532" i="9"/>
  <c r="I552" i="9"/>
  <c r="I322" i="9"/>
  <c r="I128" i="9"/>
  <c r="I542" i="9"/>
  <c r="I404" i="9"/>
  <c r="I78" i="9"/>
  <c r="I26" i="9"/>
  <c r="I603" i="9" s="1"/>
  <c r="I247" i="9"/>
  <c r="I522" i="9"/>
  <c r="I143" i="9"/>
  <c r="I196" i="9"/>
  <c r="I517" i="9"/>
  <c r="I572" i="9"/>
  <c r="I230" i="9"/>
  <c r="I597" i="9"/>
  <c r="I51" i="9"/>
  <c r="I602" i="9"/>
  <c r="I484" i="9"/>
  <c r="I394" i="9"/>
  <c r="I178" i="9"/>
  <c r="I527" i="9"/>
  <c r="I258" i="9"/>
  <c r="I58" i="9"/>
  <c r="I577" i="9"/>
  <c r="I241" i="9"/>
  <c r="I108" i="9"/>
  <c r="I507" i="9"/>
  <c r="I76" i="1"/>
  <c r="M87" i="1"/>
  <c r="I36" i="1"/>
  <c r="H87" i="1"/>
  <c r="I41" i="1"/>
  <c r="I51" i="1"/>
  <c r="I31" i="1"/>
  <c r="P87" i="1"/>
  <c r="I280" i="13"/>
  <c r="E38" i="29"/>
  <c r="I16" i="29"/>
  <c r="I38" i="29" s="1"/>
  <c r="I41" i="44"/>
  <c r="M55" i="44"/>
  <c r="M58" i="44" s="1"/>
  <c r="I57" i="44"/>
  <c r="I21" i="44"/>
  <c r="I46" i="44"/>
  <c r="G58" i="44"/>
  <c r="I26" i="44"/>
  <c r="I35" i="34"/>
  <c r="P55" i="34"/>
  <c r="H55" i="34"/>
  <c r="I55" i="34"/>
  <c r="E318" i="28"/>
  <c r="I16" i="28"/>
  <c r="I318" i="28" s="1"/>
  <c r="I237" i="26"/>
  <c r="E197" i="25"/>
  <c r="I16" i="25"/>
  <c r="F489" i="22"/>
  <c r="E489" i="22"/>
  <c r="I347" i="15"/>
  <c r="I46" i="1"/>
  <c r="I56" i="1"/>
  <c r="G87" i="1"/>
  <c r="I61" i="1"/>
  <c r="I87" i="1" s="1"/>
  <c r="F70" i="38"/>
  <c r="E70" i="38"/>
  <c r="I70" i="38" s="1"/>
  <c r="I69" i="38"/>
  <c r="I292" i="33" l="1"/>
  <c r="M292" i="33"/>
  <c r="I245" i="27"/>
  <c r="I197" i="25"/>
  <c r="I382" i="12"/>
  <c r="I58" i="44"/>
  <c r="I71" i="38"/>
  <c r="G10" i="56" l="1"/>
  <c r="G11" i="56" s="1"/>
  <c r="I72" i="38"/>
  <c r="I75" i="38" s="1"/>
  <c r="G12" i="56" l="1"/>
  <c r="G13" i="56" s="1"/>
  <c r="G14" i="56" s="1"/>
  <c r="C11" i="57"/>
  <c r="G103" i="56"/>
  <c r="G108" i="56" s="1"/>
  <c r="G23" i="56"/>
  <c r="G24" i="56" s="1"/>
  <c r="G86" i="56"/>
  <c r="G90" i="56" s="1"/>
  <c r="C15" i="57" s="1"/>
  <c r="G121" i="56"/>
  <c r="G128" i="56" s="1"/>
  <c r="G129" i="56" s="1"/>
  <c r="G130" i="56" s="1"/>
  <c r="G109" i="56" l="1"/>
  <c r="G110" i="56" s="1"/>
  <c r="C16" i="57"/>
  <c r="G91" i="56"/>
  <c r="G92" i="56" s="1"/>
  <c r="G25" i="56"/>
  <c r="G26" i="56" s="1"/>
  <c r="G27" i="56" s="1"/>
  <c r="C12" i="57"/>
  <c r="G68" i="56"/>
  <c r="G73" i="56" l="1"/>
  <c r="G44" i="56"/>
  <c r="G74" i="56" l="1"/>
  <c r="G75" i="56" s="1"/>
  <c r="C14" i="57"/>
  <c r="G49" i="56"/>
  <c r="C13" i="57" s="1"/>
  <c r="C18" i="57" s="1"/>
  <c r="C19" i="57" s="1"/>
  <c r="C20" i="57" s="1"/>
  <c r="G50" i="56" l="1"/>
  <c r="G51" i="56" s="1"/>
</calcChain>
</file>

<file path=xl/sharedStrings.xml><?xml version="1.0" encoding="utf-8"?>
<sst xmlns="http://schemas.openxmlformats.org/spreadsheetml/2006/main" count="5458" uniqueCount="1557">
  <si>
    <t>Formular F3</t>
  </si>
  <si>
    <t>Obiectiv: 01F Construire ansamblu educational compus din scoala, gradinita, cai de circulatie, spatii verzi, terenuri de sport, zone de joaca, corpuri de iluminat, spatiu de parcare, gard incinta,care se va amplasa în partea de nord a Bucurestiului</t>
  </si>
  <si>
    <r>
      <t xml:space="preserve">Obiectiv: 01F </t>
    </r>
    <r>
      <rPr>
        <sz val="10"/>
        <color theme="1"/>
        <rFont val="Calibri"/>
        <family val="2"/>
        <scheme val="minor"/>
      </rPr>
      <t>Construire ansamblu educational compus din scoala, gradinita, cai de circulatie, spatii verzi, terenuri de sport, zone de joaca, corpuri de iluminat, spatiu de parcare, gard incinta,care se va amplasa în partea de nord a Bucurestiului</t>
    </r>
  </si>
  <si>
    <t>LISTA_x000D_
cu cantitatile de lucrari pe categorii de lucrari</t>
  </si>
  <si>
    <r>
      <t xml:space="preserve">Obiect: 00 </t>
    </r>
    <r>
      <rPr>
        <sz val="10"/>
        <color theme="1"/>
        <rFont val="Calibri"/>
        <family val="2"/>
        <scheme val="minor"/>
      </rPr>
      <t>CAPITOLUL 2</t>
    </r>
  </si>
  <si>
    <t>[ ron ]</t>
  </si>
  <si>
    <r>
      <t xml:space="preserve">Categorie: 2 </t>
    </r>
    <r>
      <rPr>
        <sz val="10"/>
        <color theme="1"/>
        <rFont val="Calibri"/>
        <family val="2"/>
        <scheme val="minor"/>
      </rPr>
      <t>CHELTUIELEI PT.ASIG.UTILITATI</t>
    </r>
  </si>
  <si>
    <t>Nr.</t>
  </si>
  <si>
    <t>Capitol lucrari</t>
  </si>
  <si>
    <t>U/M</t>
  </si>
  <si>
    <t>Cantitatea</t>
  </si>
  <si>
    <t>Pretul unitar</t>
  </si>
  <si>
    <t>Valoare</t>
  </si>
  <si>
    <t>Crt.</t>
  </si>
  <si>
    <t>Simbol</t>
  </si>
  <si>
    <t>a)materiale</t>
  </si>
  <si>
    <t>Denumire resursa</t>
  </si>
  <si>
    <t>b)manopera</t>
  </si>
  <si>
    <t>Observatii</t>
  </si>
  <si>
    <t>c)utilaj</t>
  </si>
  <si>
    <t>Corectii</t>
  </si>
  <si>
    <t>d)transport</t>
  </si>
  <si>
    <t>Liste Anexe</t>
  </si>
  <si>
    <t>Total(a+b+c+d)</t>
  </si>
  <si>
    <t xml:space="preserve">ACE134A01+     </t>
  </si>
  <si>
    <t xml:space="preserve">M         </t>
  </si>
  <si>
    <t xml:space="preserve">TEAVA PVC CU MUFA SI GARNITURA PT. CANALIZARE EXTERIOARA GRAVITATIONALA D = 250 MM                  </t>
  </si>
  <si>
    <t xml:space="preserve">                                                  </t>
  </si>
  <si>
    <t>ACD04B1      82</t>
  </si>
  <si>
    <t xml:space="preserve">BUCATA    </t>
  </si>
  <si>
    <t xml:space="preserve">CAMIN CANALIZARE MENAJERA 800 CU RAMA SI CAPAC CAROSABIL                                            </t>
  </si>
  <si>
    <t xml:space="preserve">CAMIN CANALIZARE MENAJERA 800 CU RAMA SI CAPAC NECAROSABIL                                          </t>
  </si>
  <si>
    <t xml:space="preserve">SF05F1         </t>
  </si>
  <si>
    <t xml:space="preserve">EFECTUAREA PROBEI DE ETANSEITATE LA PRESIUNE A CONDUCTELOR AVAND DIAMETRUL MAX DE 500MM             </t>
  </si>
  <si>
    <t>ACE08A1      82</t>
  </si>
  <si>
    <t xml:space="preserve">M CUB     </t>
  </si>
  <si>
    <t>UMPLUTURA IN SANT.LA COND.DE ALIM.CU APA SI CANALIZARE CU: NISIP                                   $</t>
  </si>
  <si>
    <t>TSA01XC      91</t>
  </si>
  <si>
    <t xml:space="preserve">SAPATURA MANUALA DE PAM.IN SPATII INTINSE LA DEBLEE LA CANALE,GROPI,INDEPART.STRAT VEG.TEREN TARE   </t>
  </si>
  <si>
    <t>TSF01XA1     91</t>
  </si>
  <si>
    <t xml:space="preserve">MP        </t>
  </si>
  <si>
    <t>SPRIJINIRI MALURI DULAPI BRAD ORIZONTAL,LAA SAP.INSPA. LIM. ADIN.0,00-2M,INTERSP.0,00-0,20M,&lt;1,50MAL</t>
  </si>
  <si>
    <t>GD17E        99</t>
  </si>
  <si>
    <t xml:space="preserve">TEAVA POLIETILENA PT.CONDUCTE DE DISTRIBUTIE MONTATA IN SANT CU DN =110 MM                          </t>
  </si>
  <si>
    <t>00609C2      02</t>
  </si>
  <si>
    <t xml:space="preserve">CAMIN DE APOMETRU                                                                                   </t>
  </si>
  <si>
    <t>ACE11XA      93</t>
  </si>
  <si>
    <t xml:space="preserve">MONTARE CONTOR DE APA CU PALETE  APOMETRU IN CAMINDE BRANSAMENT DIAM DE 15MM,20MM SI 30MM           </t>
  </si>
  <si>
    <t>TSA01XC      93</t>
  </si>
  <si>
    <t>SPRIJINIRI MALURI DULAPI BRAD ORIZONTAL,LAA SAP.INSPA.LIM.ADIN.0,00-2M,INTERSP.0,00-0,20M,&lt;1,50MALUR</t>
  </si>
  <si>
    <t>W2E05XA1     93</t>
  </si>
  <si>
    <t xml:space="preserve">FIRIDA DE BRANSAMENT RETELE ELECTRICE EXTERIOR                                                      </t>
  </si>
  <si>
    <t xml:space="preserve">FIRIDA 600X800X250MM                              </t>
  </si>
  <si>
    <t>W1S09A1      82</t>
  </si>
  <si>
    <t xml:space="preserve">CUTIE BRANSAMENT TELECOMUNICATII                                                                    </t>
  </si>
  <si>
    <t>GD05A1       82</t>
  </si>
  <si>
    <t xml:space="preserve">FIRIDA DE BRANSAMENT GAZE                                                                           </t>
  </si>
  <si>
    <t xml:space="preserve">FIRIDA 600X600X300MM                              </t>
  </si>
  <si>
    <t>Cheltuieli directe</t>
  </si>
  <si>
    <t xml:space="preserve">  din care utilaje</t>
  </si>
  <si>
    <t xml:space="preserve">  - Vut termice</t>
  </si>
  <si>
    <t xml:space="preserve">  - Vut electrice</t>
  </si>
  <si>
    <t xml:space="preserve">  - Vut altele</t>
  </si>
  <si>
    <t xml:space="preserve"> Material beneficiar</t>
  </si>
  <si>
    <t xml:space="preserve"> Mat. demontat-remont.</t>
  </si>
  <si>
    <t>Total cheltuieli directe actualizat</t>
  </si>
  <si>
    <t>Alte cheltuieli directe</t>
  </si>
  <si>
    <t>TOTAL CHELT. DIRECTE</t>
  </si>
  <si>
    <t>Cheltuieli indirecte    Io =</t>
  </si>
  <si>
    <t>x To</t>
  </si>
  <si>
    <t>Profit                  Po =</t>
  </si>
  <si>
    <t>x (To+Io)</t>
  </si>
  <si>
    <t>TOTAL GENERAL categorie Vo =</t>
  </si>
  <si>
    <t>To+Io+Po</t>
  </si>
  <si>
    <t/>
  </si>
  <si>
    <r>
      <t xml:space="preserve">Obiect: 000 </t>
    </r>
    <r>
      <rPr>
        <sz val="10"/>
        <color theme="1"/>
        <rFont val="Calibri"/>
        <family val="2"/>
        <scheme val="minor"/>
      </rPr>
      <t>CAP 1.3 + CAP 6.2</t>
    </r>
  </si>
  <si>
    <r>
      <t xml:space="preserve">Categorie: 6.2 </t>
    </r>
    <r>
      <rPr>
        <sz val="10"/>
        <color theme="1"/>
        <rFont val="Calibri"/>
        <family val="2"/>
        <scheme val="minor"/>
      </rPr>
      <t>PROBE TEHNOLOGICE SI TESTE</t>
    </r>
  </si>
  <si>
    <t>YC01         82</t>
  </si>
  <si>
    <t xml:space="preserve">LEI       </t>
  </si>
  <si>
    <t xml:space="preserve">PROBA TERASA - ETANSEITATE LA APA - GRADINITA                                                       </t>
  </si>
  <si>
    <t xml:space="preserve">PROBA TERASA - ETANSEITATE LA APA - SCOALA                                                          </t>
  </si>
  <si>
    <t xml:space="preserve">PROBA ETANSEITATE AER- GRADINITA                                                                    </t>
  </si>
  <si>
    <t xml:space="preserve">PROBA ETANSEITATE AER - SCOALA                                                                      </t>
  </si>
  <si>
    <t xml:space="preserve">PROBA ETANSEITATE AER - SALA DE SPORT                                                               </t>
  </si>
  <si>
    <r>
      <t xml:space="preserve">Obiect: 01 </t>
    </r>
    <r>
      <rPr>
        <sz val="10"/>
        <color theme="1"/>
        <rFont val="Calibri"/>
        <family val="2"/>
        <scheme val="minor"/>
      </rPr>
      <t>SCOALA</t>
    </r>
  </si>
  <si>
    <t>CD04C        02</t>
  </si>
  <si>
    <t>CG03E1       82</t>
  </si>
  <si>
    <t xml:space="preserve">ASIMILAT                                          </t>
  </si>
  <si>
    <r>
      <t xml:space="preserve">Categorie: 04 </t>
    </r>
    <r>
      <rPr>
        <sz val="10"/>
        <color theme="1"/>
        <rFont val="Calibri"/>
        <family val="2"/>
        <scheme val="minor"/>
      </rPr>
      <t>INSTALATII SANITARE</t>
    </r>
  </si>
  <si>
    <t>SD17B        99</t>
  </si>
  <si>
    <t xml:space="preserve">HIDRANT INTERIOR, PENTRU CLADIRI, CU DIAMETRUL DE 2", PE PERETE (CUTIE+RAMA)                        </t>
  </si>
  <si>
    <t>SA02XC       91</t>
  </si>
  <si>
    <t xml:space="preserve">TEAVA OL ZN SUDATA LONG,CU FILET SI MUFA,PT.INST.MONT.LA CONST.CIVILE AVIND DIAMETRUL DE 1 1/2"-2"  </t>
  </si>
  <si>
    <t>SA02XD       91</t>
  </si>
  <si>
    <t xml:space="preserve">TEAVA OL ZN SUDATA LONG,CU FILET SI MUFA,PT.INST.MONT.LA CONST.CIVILE AVIND DIAMETRUL DE 2 1/2"-3"  </t>
  </si>
  <si>
    <t>SA02XE       91</t>
  </si>
  <si>
    <t xml:space="preserve">TEAVA OL ZN SUDATA LONG,CU FILET SI MUFA,PT.INST.MONT.LA CONST.CIVILE AVIND DIAMETRUL DE 4"         </t>
  </si>
  <si>
    <t>SF05A        99</t>
  </si>
  <si>
    <t xml:space="preserve">SPALAREA INSTALATIEI DE APA, EXECUTATA DIN TEAVA DE OTEL ZINCATA, D= 3/8" - 2"                      </t>
  </si>
  <si>
    <t>SF05B        99</t>
  </si>
  <si>
    <t xml:space="preserve">SPALAREA INSTALATIEI DE APA, EXECUTATA DIN TEAVA DE OTEL ZINCATA, D= 2 1/2" - 4"                    </t>
  </si>
  <si>
    <t>IC46A        99</t>
  </si>
  <si>
    <t xml:space="preserve">DISTRIBUITOR-COLECTOR PTR.PUNCTE SI CENTRALE TERMICE MONT.PE SUSTINATOR GATA CONF.65-100 MM         </t>
  </si>
  <si>
    <t xml:space="preserve">Confectionare si montare corp distribuitor apa rece din conducta otel zincata Dn 3", avand racord </t>
  </si>
  <si>
    <t xml:space="preserve">manometru, racord golire 1/2"                       </t>
  </si>
  <si>
    <t>SE56A        99</t>
  </si>
  <si>
    <t xml:space="preserve">FILTRU PT. APA POTABILA CU MUFE FILETATE PT. MONTAJ PE CONDUCTA,AVIND DIAMETRUL DE 1"-2"            </t>
  </si>
  <si>
    <t xml:space="preserve">Filtru impuritati autocuratator Dn 3”, inclusiv transformatorul electric de alimentare              </t>
  </si>
  <si>
    <t>CR34A        99</t>
  </si>
  <si>
    <t xml:space="preserve">RIGOLE DE SCURGERE,DIN CARAMIDA PRESATA EXECUTATE CU SECTIUNEA DE 12X25 CM                          </t>
  </si>
  <si>
    <t xml:space="preserve">ASIMILAT MONTAJ                                   </t>
  </si>
  <si>
    <t xml:space="preserve">Sistem rigole din Filcoten, beton armat cu fibre minerale, clasa A1 rezistenta la foc, LN100, </t>
  </si>
  <si>
    <t xml:space="preserve">inaltime variabila, lungime element 1 m, gratar fonta D399                                          </t>
  </si>
  <si>
    <t xml:space="preserve">R000102        </t>
  </si>
  <si>
    <t xml:space="preserve">RIGOLA  FILCOTEN, CLASA A1, LN100, H=VAR, GR FONTA D399                                             </t>
  </si>
  <si>
    <t>ACA12A1      82</t>
  </si>
  <si>
    <t xml:space="preserve">MONTARE TEAVA PVC MUFATA DE 9M LUNG.,IN PAMINT,IN EXTERIORUL CLADIRILOR ETANS.CU GARNIT.CAUC.DN 125 </t>
  </si>
  <si>
    <t xml:space="preserve">PVC-KG 110                                        </t>
  </si>
  <si>
    <t xml:space="preserve">PVC-KG 125                                        </t>
  </si>
  <si>
    <t>ACA12B1      82</t>
  </si>
  <si>
    <t xml:space="preserve">MONTARE TEAVA PVC MUFATA DE 9M LUNG.,IN PAMINT,IN EXTERIORUL CLADIRILOR ETANS.CU GARNIT.CAUC.DN 160 </t>
  </si>
  <si>
    <t xml:space="preserve">PVC-KG 160                                        </t>
  </si>
  <si>
    <t>ACA12C1      82</t>
  </si>
  <si>
    <t xml:space="preserve">MONTARE TEAVA PVC MUFATA DE 9M LUNG.,IN PAMINT,IN EXTERIORUL CLADIRILOR ETANS.CU GARNIT.CAUC.DN 200 </t>
  </si>
  <si>
    <t xml:space="preserve">PVC-KG 200                                        </t>
  </si>
  <si>
    <t>ACA12D1      82</t>
  </si>
  <si>
    <t xml:space="preserve">MONTARE TEAVA PVC MUFATA DE 9M LUNG.,IN PAMINT,IN EXTERIORUL CLADIRILOR ETANS.CU GARNIT.CAUC.DN 225 </t>
  </si>
  <si>
    <t xml:space="preserve">PVC-KG 250                                        </t>
  </si>
  <si>
    <t>ACD04H1      82</t>
  </si>
  <si>
    <t xml:space="preserve">CAMIN VIZITARE STAS 2448-73 CU CAMERA LUCRU HC=2M DIN TUB BET.CU CEP SI BUZA LA CANALE CU DN 800    </t>
  </si>
  <si>
    <t>ACD01XF      93</t>
  </si>
  <si>
    <t xml:space="preserve">CAPAC SI RAMA DIN FONTA SAU FONTA-BET,MONT.LA CAM.PT ALIM CU APA SI CANAL CU PIESA SUP. TIP IV      </t>
  </si>
  <si>
    <t>SF04B        99</t>
  </si>
  <si>
    <t xml:space="preserve">ZECI M    </t>
  </si>
  <si>
    <t>EFECTUAREA PROBEI DE ETANSEITATE SI FUCTIONARE A INSTALATIEI DE CANALIZARE(INDIFERENT MAT.),D=&gt;100MM</t>
  </si>
  <si>
    <t>TSA04B1      82</t>
  </si>
  <si>
    <t xml:space="preserve">SAP.MAN.IN SPATII LIMIT.SUB 1M CU SPRIJ.SI EVAC.MAN.IN PAM.CU UMID.NAT.LA ADINC.0,0-1,5M T.MIJLOC.  </t>
  </si>
  <si>
    <t>TSF01A1      82</t>
  </si>
  <si>
    <t xml:space="preserve">SPRIJIN.DE MALURI CU DULAPI DE FAG ASEZ.ORIZ.LAT.INTRE MAL.&lt;1,5M,ADIN.0,0-2M,0,0-0,2M INTRE DULAPI  </t>
  </si>
  <si>
    <t>SB02XA       91</t>
  </si>
  <si>
    <t xml:space="preserve">TEAVA DIN PVC NEPLASTEFIATA TIP USOR (U) PT.CANALIZARE AVIND DIAMETRUL DE 32-50 MM                  </t>
  </si>
  <si>
    <t xml:space="preserve">Tub PP ? 32mm cu mufa si garnitura,inclusiv piese de legatura, coturi ramificatii, reductii, piese </t>
  </si>
  <si>
    <t xml:space="preserve">de curatire                                        </t>
  </si>
  <si>
    <t xml:space="preserve">Tub PP ? 40mm cu mufa si garnitura,inclusiv piese de legatura, coturi ramificatii, reductii, piese </t>
  </si>
  <si>
    <t xml:space="preserve">Tub PP ? 50mm cu mufa si garnitura,inclusiv piese de legatura, coturi ramificatii, reductii, piese </t>
  </si>
  <si>
    <t>SB02XB       91</t>
  </si>
  <si>
    <t xml:space="preserve">TEAVA DIN PVC NEPLASTEFIATA TIP USOR (U) PT.CANALIZARE AVIND DIAMETRUL DE 75 MM                     </t>
  </si>
  <si>
    <t xml:space="preserve">Tub PP ? 75mm cu mufa si garnitura,inclusiv piese de legatura, coturi ramificatii, reductii, piese </t>
  </si>
  <si>
    <t>SB02XC       91</t>
  </si>
  <si>
    <t xml:space="preserve">TEAVA DIN PVC NEPLASTEFIATA TIP USOR (U) PT.CANALIZARE AVIND DIAMETRUL DE 110-125 MM                </t>
  </si>
  <si>
    <t xml:space="preserve">Tub PP ? 110mm cu mufa si garnitura,inclusiv piese de legatura, coturi ramificatii, reductii, piese </t>
  </si>
  <si>
    <t xml:space="preserve">de curatire                                       </t>
  </si>
  <si>
    <t>SB49A3       82</t>
  </si>
  <si>
    <t xml:space="preserve">CACIULA DE VENTILATIE DIN TABLA,MONT PE COLOANE AERIS DIN TUB FONTA SAU GRESIE ANTIACIDA D=100MM    </t>
  </si>
  <si>
    <t>SB44B1       82</t>
  </si>
  <si>
    <t xml:space="preserve">SIFON DE PARDOSEALA DIN FONTA EMAILATA AVIND D= 50MM,SIMPLU                                         </t>
  </si>
  <si>
    <t xml:space="preserve">Sifon pardoseala din PEHD , pentru montaj ingropat in beton, cu o iesire, DN 50 mm prevazut cu </t>
  </si>
  <si>
    <t xml:space="preserve">garda hidraulica                                       </t>
  </si>
  <si>
    <t>SB44C1       82</t>
  </si>
  <si>
    <t xml:space="preserve">SIFON DE PARDOSEALA DIN FONTA EMAILATA AVIND D= 50MM,DUBLU CU 1 RACORD SI IESIRE LATERALA           </t>
  </si>
  <si>
    <t xml:space="preserve">Sifon pardoseala din PEHD , pentru montaj ingropat in beton, cu o intrare si o iesire, DN 50 mm     </t>
  </si>
  <si>
    <t>SB44E1       82</t>
  </si>
  <si>
    <t xml:space="preserve">SIFON DE PARDOSEALA DIN FONTA EMAILATA AVIND D= 75MM,SIMPLU                                         </t>
  </si>
  <si>
    <t xml:space="preserve">Sifon pardoseala din PEHD , pentru montaj ingropat in beton, cu o intrare si o iesire, DN 75 mm     </t>
  </si>
  <si>
    <t>SC07D1       82</t>
  </si>
  <si>
    <t xml:space="preserve">LAVOAR DIN PORTELAN SANITAR,MONTAT PE MASCA DE BETON PREFABRICAT                                    </t>
  </si>
  <si>
    <t>SD06A1       82</t>
  </si>
  <si>
    <t xml:space="preserve">BATERIE AMESTECATOARE,STATIVA,PENTRU LAVOAR AVIND D=1/2 TOLI                                        </t>
  </si>
  <si>
    <t xml:space="preserve">baterie amestecatoare monocomanda din alama cromata D ½ ", cu ventil automat si dop                 </t>
  </si>
  <si>
    <t>SC19A1       82</t>
  </si>
  <si>
    <t xml:space="preserve">SIFON DIN BACHELITA PENTRU LAVOAR DE PORTELAN SANITAR                                               </t>
  </si>
  <si>
    <t>SD12A1       82</t>
  </si>
  <si>
    <t xml:space="preserve">ROBINET DE REGLAJ,DE COLT,DIN ALAMA NICHELATA,AVIND D=3/8 SAU D=1/2 TOLI                            </t>
  </si>
  <si>
    <t xml:space="preserve">robineti reglaj coltar O ½" - 3/8;                </t>
  </si>
  <si>
    <t>SD20A        99</t>
  </si>
  <si>
    <t xml:space="preserve">RACORD OLANDEZ SI CU COT CU RACORD OLANDEZ, ZINCAT, CU ETANSARE PLANA, FILET INT-EXT,D= 3/8" - 1/2" </t>
  </si>
  <si>
    <t xml:space="preserve">Racorduri flexibile 1/2"                          </t>
  </si>
  <si>
    <t xml:space="preserve"> lavoar portelan sanitar montat in blat           </t>
  </si>
  <si>
    <t>SE59A        99</t>
  </si>
  <si>
    <t xml:space="preserve">USCATOR DE MIINI SAU DISTRIBUITOR AUTOMAT DE SAPUN LICHID,PE PERETE DIN ZIDARIE                     </t>
  </si>
  <si>
    <t xml:space="preserve">RAC. OLAND. SI CU COT CU RAC. OLAND., ZN, CU ETANSARE PLANA, FILET INT-EXT,D= 3/8" - 1/2"           </t>
  </si>
  <si>
    <t xml:space="preserve">racorduri flexibile 1/2                           </t>
  </si>
  <si>
    <t>SC38A1       82</t>
  </si>
  <si>
    <t xml:space="preserve">INST. PT. CLOSET COMPLETA,DIN SEMIPORTELAN SAU PORTELAN SANIT. SI REZ. DE  9 LITRI                  </t>
  </si>
  <si>
    <t xml:space="preserve">"Instalatie completa pentru WC, continand:- 1 vas WC montat in consola, din portelan sanitar, cu </t>
  </si>
  <si>
    <t xml:space="preserve">iesire laterala,rama pentru vas closet;- 1 cadru metalic </t>
  </si>
  <si>
    <t xml:space="preserve">sustinere rezervor,complet echipat:-rezervor apa pt montaj ingropat,racord alimentare apa,cot si </t>
  </si>
  <si>
    <t>robinet coltar 3/8"";- set conectare vas WC, cot iesire vas</t>
  </si>
  <si>
    <t>WC si piesa mufata;- clapeta dubla actionare rezervor;material marunt,garnituri,suruburi,fixare etc.</t>
  </si>
  <si>
    <t xml:space="preserve">"                                   </t>
  </si>
  <si>
    <t xml:space="preserve">"Instalatie completa pentru WC echipat cu accesorii pentru persoane cu handicap, continand:- 1 vas </t>
  </si>
  <si>
    <t xml:space="preserve">WC montat in consola, din portelan sanitar, cu iesire </t>
  </si>
  <si>
    <t xml:space="preserve">laterala,rama pentru vas closet;- 1 cadru metalic sustinere rezervor,complet echipat:-rezervor apa </t>
  </si>
  <si>
    <t xml:space="preserve">pt montaj ingropat,racord alimentare apa,cot si robinet </t>
  </si>
  <si>
    <t xml:space="preserve">coltar 3/8"";- set conectare vas WC, cot iesire vas WC si piesa mufata;- clapeta dubla actionare </t>
  </si>
  <si>
    <t>rezervor;material marunt,garnituri,suruburi,fixare etc."</t>
  </si>
  <si>
    <t>SC22B1       82</t>
  </si>
  <si>
    <t xml:space="preserve">PISOAR DIN PORTELAN SANITAR TIP U1 MONTAT CU DIBLURI DE LEMN PE ZID DE BETON                        </t>
  </si>
  <si>
    <t xml:space="preserve">"Instalatie completa pentru pisoar, continand:- 1 vas pisoar;- 1 robinet cu temporizare din alama </t>
  </si>
  <si>
    <t xml:space="preserve">cromata O ½ "", - 1 sifon O 1 1/4""; "              </t>
  </si>
  <si>
    <t>SC03A1       82</t>
  </si>
  <si>
    <t xml:space="preserve">CADA PENTRU DUS,CALIT.1,DIN FONTA EMAILATA PATRATA CU 1...2 LATURI LIBERE                           </t>
  </si>
  <si>
    <t>SB48A1       82</t>
  </si>
  <si>
    <t xml:space="preserve">SIFON FONTA CU MUFA EMAIL IN INT. PT.OPRIREA RASPIND GAZ. DEGAJ DE APELE INTREB.D=50 TIP P          </t>
  </si>
  <si>
    <t xml:space="preserve">sifon pentru cadita de dus, cu iesire O 40/50 mm  </t>
  </si>
  <si>
    <t>SD03B1       82</t>
  </si>
  <si>
    <t xml:space="preserve">BATERIE AMESTEC.PT.BAIE,CU DUS FLEXIIBIL,DE 1/2 TOLI TIP...MONT.CU DIBL. LEMN PE ZID DE BETON       </t>
  </si>
  <si>
    <t xml:space="preserve"> baterie amestecatoare monocomanda pentru cada de dus, cu dus flexibil, para pentru dus si duport </t>
  </si>
  <si>
    <t xml:space="preserve">de prindere pentru para de dus;                     </t>
  </si>
  <si>
    <t>SC12H1       82</t>
  </si>
  <si>
    <t xml:space="preserve">CHIUVETA DIN GRES CERAM ANTIACIDA MONT CU DIBLURI  METALICE FARA SPATAR DE 540X350X180 MM           </t>
  </si>
  <si>
    <t xml:space="preserve">chiuveta laborator montata in blat                </t>
  </si>
  <si>
    <t xml:space="preserve">racord flexibil 1/2"                              </t>
  </si>
  <si>
    <t>SC37A1       82</t>
  </si>
  <si>
    <t xml:space="preserve">SPALATOR SIMPLU PT VASE DIN TABLA DE OTEL EMAILATA MONTAT PE CONSOLE FIXATE CU DIBLURI DE LEMN      </t>
  </si>
  <si>
    <t xml:space="preserve">spalator inox montat in blat                      </t>
  </si>
  <si>
    <t>SD08A1       82</t>
  </si>
  <si>
    <t xml:space="preserve">BATERIE AMESTECATOARE DE PERETE PT. SPALATOR,DIN FONTA SAU ALAMA,AVIND D=1/2 TOLI                   </t>
  </si>
  <si>
    <t xml:space="preserve">baterie amestecatoare monocomanda din alama cromata O ½ ", cu ventil automat si dop                 </t>
  </si>
  <si>
    <t xml:space="preserve">sifon O 1 1/4"                                    </t>
  </si>
  <si>
    <t xml:space="preserve">robineti reglaj coltar O ½" - 3/8                 </t>
  </si>
  <si>
    <t xml:space="preserve"> racorduri flexibile 1/2"                         </t>
  </si>
  <si>
    <t>SA15A        99</t>
  </si>
  <si>
    <t>TEAVA MAT.PLASTIC(PE,PP,PP-R,SIMILAR),SUDURA -POLIFUZIUNE,COND.LEGATURA,CLADIRI LOC.-SOC.CULT,D=16MM</t>
  </si>
  <si>
    <t>SA15B        99</t>
  </si>
  <si>
    <t>TEAVA MAT.PLASTIC(PE,PP,PP-R,SIMILAR),SUDURA -POLIFUZIUNE,COND.LEGATURA,CLAD.LOC.-SOC.CULT,D=20-25MM</t>
  </si>
  <si>
    <t>SA16B        99</t>
  </si>
  <si>
    <t>TEAVA DIN MATERIAL PLASTIC(PP,PE,PP-R),SUDURA -POLIFUZIUNE,IN COLOANE, CLAD. LOCUIT-SOC.CULT, D=25MM</t>
  </si>
  <si>
    <t>SA16C        99</t>
  </si>
  <si>
    <t>TEAVA DIN MATERIAL PLASTIC(PP,PE,PP-R),SUDURA -POLIFUZIUNE,IN COLOANE, CLAD. LOCUIT-SOC.CULT, D=32MM</t>
  </si>
  <si>
    <t>SA16D        99</t>
  </si>
  <si>
    <t>TEAVA DIN MATERIAL PLASTIC(PP,PE,PP-R),SUDURA -POLIFUZIUNE,IN COLOANE, CLAD. LOCUIT-SOC.CULT, D=40MM</t>
  </si>
  <si>
    <t>SA16E        99</t>
  </si>
  <si>
    <t xml:space="preserve">TEAVA DIN MATERIAL PLASTIC(PP,PE,PP-R)SUDURA -POLIFUZIUNE,IN COLOANE, CLAD. LOCUIT-SOC.CULT, D=50MM </t>
  </si>
  <si>
    <t>SA17E        99</t>
  </si>
  <si>
    <t>TEAVA MATERIAL PLASTIC(PP,PE,PP-R), SUDURA -POLIFUZIUNE,IN COND.DISTRIB,CLAD.LOCUIT-SOC.CULT, D=63MM</t>
  </si>
  <si>
    <t>SA17F        99</t>
  </si>
  <si>
    <t>TEAVA MATERIAL PLASTIC(PP,PE,PP-R), SUDURA -POLIFUZIUNE,IN COND.DISTRIB,CLAD.LOCUIT-SOC.CULT, D=75MM</t>
  </si>
  <si>
    <t>IZD07A       09</t>
  </si>
  <si>
    <t xml:space="preserve">IZOLARE TUBURI (TEVI) POLIETILENA DIN PERETI SI PARDOSEALA CU IZOLATIE TIP TUBOLIT S                </t>
  </si>
  <si>
    <t xml:space="preserve">ASIMILAT MONTAJ IZOLATIE ARMAFLEX                 </t>
  </si>
  <si>
    <t xml:space="preserve">7805346        </t>
  </si>
  <si>
    <t xml:space="preserve">IZOLATIE TERMICA TIP ARMAFLEX 13MM PT TEAVA DN 16MM                                                 </t>
  </si>
  <si>
    <t xml:space="preserve">780534#        </t>
  </si>
  <si>
    <t xml:space="preserve">IZOLATIE TERMICA TIP ARMAFLEX 13MM PT TEAVA DN 20MM                                                 </t>
  </si>
  <si>
    <t xml:space="preserve">1 M                                               </t>
  </si>
  <si>
    <t xml:space="preserve">7805348        </t>
  </si>
  <si>
    <t xml:space="preserve">IZOLATIE TERMICA TIP ARMAFLEX 13MM PT TEAVA DN 25MM                                                 </t>
  </si>
  <si>
    <t xml:space="preserve">7805349        </t>
  </si>
  <si>
    <t xml:space="preserve">IZOLATIE TERMICA TIP ARMAFLEX 13MM PT TEAVA DN 32MM                                                 </t>
  </si>
  <si>
    <t xml:space="preserve">7805350        </t>
  </si>
  <si>
    <t xml:space="preserve">IZOLATIE TERMICA TIP ARMAFLEX 13MM PT DEAVA DN 40MM                                                 </t>
  </si>
  <si>
    <t xml:space="preserve">7805352        </t>
  </si>
  <si>
    <t xml:space="preserve">IZOLATIE TERMICA TIP ARMFALEX 13MM PT TEAVA DN 50MM                                                 </t>
  </si>
  <si>
    <t xml:space="preserve">7805354        </t>
  </si>
  <si>
    <t xml:space="preserve">IZOLATIE TERMICA TIP ARMAFLEX 13 MM PT TEAVA DN 63MM                                                </t>
  </si>
  <si>
    <t xml:space="preserve">7805355        </t>
  </si>
  <si>
    <t xml:space="preserve">IZOLATIE TERMICA TIP ARMAFLEX 13MM PT TEAVA DN 75MM                                                 </t>
  </si>
  <si>
    <t>IA37A        99</t>
  </si>
  <si>
    <t>POMPA CIRCULATIE (RECIRCULATIE) MONT. PE COND. EXISTENTA PRIN INSURUBARE AVAND D.PANA LA 1" INCLUSIV</t>
  </si>
  <si>
    <t>ASIMILAT MONTAJ Pompa de condens unitati climatiza</t>
  </si>
  <si>
    <t xml:space="preserve">R000685        </t>
  </si>
  <si>
    <t xml:space="preserve">POMPA DE CONDENS UNITATI DE CLIMATIZARE INTERIOARE                                                  </t>
  </si>
  <si>
    <t>SF05C        99</t>
  </si>
  <si>
    <t xml:space="preserve">SPALAREA INSTALATIEI DE APA, EXECUTATA DIN TEAVA DE MATERIAL PLASTIC (PVC-G,PE,PP,PP-R), D=20-75MM  </t>
  </si>
  <si>
    <t>SF02C        99</t>
  </si>
  <si>
    <t xml:space="preserve">EFECTUAREA PROBEI DE FUNCTIONARE A INSTALATIEI DE APA RECE, CU TEAVA DIN PVC, D= 16-110 MM          </t>
  </si>
  <si>
    <t>SC30A1       82</t>
  </si>
  <si>
    <t xml:space="preserve">SUPORT PT.HIRTIE CALITATEA 1 (PORTHIRTIE) DIN PORTELAN SANITAR,HA1 NI 545/63                        </t>
  </si>
  <si>
    <t>SB16E1       82</t>
  </si>
  <si>
    <t xml:space="preserve">TEAVA PVC-U NEPLASTIF.PT.CANALIZ.,MONT.AP.IN NISA,INGROP.PAMINT,SUSPEND.PLANSEU,CU D=110MM          </t>
  </si>
  <si>
    <t xml:space="preserve">TEAVA PP                                          </t>
  </si>
  <si>
    <t>SB16F1       82</t>
  </si>
  <si>
    <t xml:space="preserve">TEAVA PVC-U NEPLAST.PT.CANALIZARE,MONT.AP.IN NISA,INGROP.PAMINT,SUSPEND.PLANSEU,CU D=125 MM         </t>
  </si>
  <si>
    <t>SB16G1       82</t>
  </si>
  <si>
    <t xml:space="preserve">TEAVA PVC-U NEPLAST.PT CANALIZ.MONT APAR. IN NISA,INGROP PAMINT,SUSPEND PLANSEU,CU D=160MM TEAVA PP </t>
  </si>
  <si>
    <t xml:space="preserve">MONT.TEAVA PVC MUFATA DE 9M LUNG.,IN PAMINT,IN EXT. CLAD. ETANS.CU GARNIT.CAUC.DN 225               </t>
  </si>
  <si>
    <t>SB26A        99</t>
  </si>
  <si>
    <t xml:space="preserve">GURA DE SCURGERE,FONTA EMAILATA,PT. EVACUAREA APELOR DE PE TERASE-ACPERISURII,D=100-150 MM          </t>
  </si>
  <si>
    <t>00611G01     02</t>
  </si>
  <si>
    <t xml:space="preserve">SUDURA PRIN POLIFUZIUNE RACORD /COT PP-R TIP FI /FE  D.20 X 1/2"                                    </t>
  </si>
  <si>
    <t>SA35A        99</t>
  </si>
  <si>
    <t>FITINGURI-FONTA MALEABILA,INSURUBARE,LA TEVILE DIN OTEL PT.INSTAL-ZINCATE,IN COL.PT.HIDRANTI INTR,2"</t>
  </si>
  <si>
    <t>SD13A1       82</t>
  </si>
  <si>
    <t xml:space="preserve">ROBINET TREC.CU VENTIL SI MUFE,PT TEVI OTEL CU D= 1/2 SAU D= 3/8 TOLI                               </t>
  </si>
  <si>
    <t>SD17B1       82</t>
  </si>
  <si>
    <t xml:space="preserve">ROBINET CU VENTIL,CU FILETUL TIJEI LA EXTERIOR,DIN FONTA CU FLANSE,DREPT SAU DE COLT CU D=15MM      </t>
  </si>
  <si>
    <t>SD17C1       82</t>
  </si>
  <si>
    <t xml:space="preserve">ROBINET CU VENTIL,CU FILETUL TIJEI LA EXTERIOR,DIN FONTA CU FLANSE,DREPT SAU DE COLT CU D=20MM      </t>
  </si>
  <si>
    <t>SD17D1       82</t>
  </si>
  <si>
    <t xml:space="preserve">ROBINET CU VENTIL,CU FILETUL TIJEI LA EXTERIOR,DIN FONTA CU FLANSE,DREPT SAU DE COLT CU D=25MM      </t>
  </si>
  <si>
    <t>SD17E1       82</t>
  </si>
  <si>
    <t xml:space="preserve">ROBINET CU VENTIL,CU FILETUL TIJEI LA EXTERIOR,DIN FONTA CU FLANSE,DREPT SAU DE COLT CU D=32MM      </t>
  </si>
  <si>
    <t>SD17F1       82</t>
  </si>
  <si>
    <t xml:space="preserve">ROBINET CU VENTIL,CU FILETUL TIJEI LA EXTERIOR,DIN FONTA CU FLANSE,DREPT SAU DE COLT CU D=40MM      </t>
  </si>
  <si>
    <t>SD17G1       82</t>
  </si>
  <si>
    <t xml:space="preserve">ROBINET CU VENTIL,CU FILETUL TIJEI LA EXTERIOR,DIN FONTA CU FLANSE,DREPT SAU DE COLT CU D=50MM      </t>
  </si>
  <si>
    <t>SD17H1       82</t>
  </si>
  <si>
    <t xml:space="preserve">ROBINET CU VENTIL,CU FILETUL TIJEI LA EXTERIOR,DIN FONTA CU FLANSE,DREPT SAU DE COLT CU D=65MM      </t>
  </si>
  <si>
    <t>SD17I1       82</t>
  </si>
  <si>
    <t xml:space="preserve">ROBINET CU VENTIL,CU FILETUL TIJEI LA EXTERIOR,DIN FONTA CU FLANSE,DREPT SAU DE COLT CU D=80MM      </t>
  </si>
  <si>
    <t>SB21C1       82</t>
  </si>
  <si>
    <t xml:space="preserve">PIESA DE CURATIRE PVC-U,PT.CANALIZARE,CU IMBINARE PRIN LIPIRE AVIND D=110 MM                        </t>
  </si>
  <si>
    <r>
      <t xml:space="preserve">Categorie: 05 </t>
    </r>
    <r>
      <rPr>
        <sz val="10"/>
        <color theme="1"/>
        <rFont val="Calibri"/>
        <family val="2"/>
        <scheme val="minor"/>
      </rPr>
      <t>INST. INCAL-CENTRALA TERMICA</t>
    </r>
  </si>
  <si>
    <t>IC11XC       91</t>
  </si>
  <si>
    <t xml:space="preserve">DISTRIBUITOR-COLECTOR MONTAT PE SUSTINATOR GATA CONFECTIONAT,AVIND DIAMETRUL DE 152 - 250 MM        </t>
  </si>
  <si>
    <t>IC11XD       91</t>
  </si>
  <si>
    <t xml:space="preserve">DISTRIBUITOR-COLECTOR MONTAT PE SUSTINATOR GATA CONFECTIONAT,AVIND DIAMETRUL DE 252 - 390 MM        </t>
  </si>
  <si>
    <t>EF03A1       82</t>
  </si>
  <si>
    <t xml:space="preserve">TABLOU ELECTRIC PANOU,DULAP,CELULA SAU PUPITRU GATA ECHIPAT,CU GREUTATEA &lt;150KG                     </t>
  </si>
  <si>
    <t>ID03A        99</t>
  </si>
  <si>
    <t xml:space="preserve">ROBINET CU CEP, CU 3 CAI,CU FLANSE, DN=15-20 MM ,CU PRESGARNITURA PTR.INST.DE INCALZIRE CENTRALA    </t>
  </si>
  <si>
    <t>ID03B        99</t>
  </si>
  <si>
    <t xml:space="preserve">ROBINET CU CEP, CU 3 CAI,CU FLANSE, DN=25-50 MM ,CU PRESGARNITURA PTR.INST.DE INCALZIRE CENT        </t>
  </si>
  <si>
    <t xml:space="preserve">ROBINET CU CEP, CU 3 CAI,CU FLANSE, DN=25-50 MM ,CU PRESGARNITURA PTR.INST.DE INCALZIRE CENTRALA    </t>
  </si>
  <si>
    <t>ID03C        99</t>
  </si>
  <si>
    <t xml:space="preserve">ROBINET CU CEP, CU 3 CAI,CU FLANSE, DN=65-125 MM ,CU PRESGARNITURA PTR.INST.DE INCALZIRE CENTRALA   </t>
  </si>
  <si>
    <t>IB02C        99</t>
  </si>
  <si>
    <t xml:space="preserve">CONVECTORADIATOR TIP PANOU -CRP AVAND 2 RANDURI DE TEVI SI RACORDAT PRIN MUFE                       </t>
  </si>
  <si>
    <t xml:space="preserve">Calorifer din otel, tip panou 22/600x1400 complet echipat (robinet termostatabil si cap termosat </t>
  </si>
  <si>
    <t xml:space="preserve">tur pentru calorifere dn15, robinet coltar retur pentru </t>
  </si>
  <si>
    <t xml:space="preserve">radiatoare dn15, dop de golire, aerisitor, console, suruburi si dibluri);                      </t>
  </si>
  <si>
    <t>IC48V1       82</t>
  </si>
  <si>
    <t xml:space="preserve">COMPENSATOR DILAT.FORMA U EXEC.TEAVA OTEL CTII FARA SUD SAU SUD.LONG.D.EXT.=168  MM                 </t>
  </si>
  <si>
    <t xml:space="preserve">Compensator de dilatare cu flanse Dn150, pn=6 bar </t>
  </si>
  <si>
    <t>ID07C1       82</t>
  </si>
  <si>
    <t xml:space="preserve">ROBINET FONTA,SERTAR,FLANSE,PT.INSTALATII INCALZIRE CENTRALA,CORP PLAT SAU OVAL CU D:  80 MM        </t>
  </si>
  <si>
    <t>ID07C2       82</t>
  </si>
  <si>
    <t xml:space="preserve">ROBINET FONTA,SERTAR,FLANSE,PT.INSTALATII INCALZIRE CENTRALA,CORP PLAT SAU OVAL CU D: 100 MM        </t>
  </si>
  <si>
    <t>ID07D1       82</t>
  </si>
  <si>
    <t xml:space="preserve">ROBINET FONTA,SERTAR,FLANSE,PT.INSTALATII INCALZIRE CENTRALA,CORP PLAT SAU OVAL CU D: 125 MM        </t>
  </si>
  <si>
    <t>ID03XA       91</t>
  </si>
  <si>
    <t xml:space="preserve">ROBINET CU CEP (CANA),CU MUFE PT.INSTALATIILE DE  INCALZIRE CENTRALA,DIAM.NOMINAL 3/8"-1/2"         </t>
  </si>
  <si>
    <t xml:space="preserve">Robinet cu obturator sferic, cu mufe Dn15         </t>
  </si>
  <si>
    <t xml:space="preserve">Robinet cu obturator sferic, cu mufe Dn20         </t>
  </si>
  <si>
    <t>ID03XB       91</t>
  </si>
  <si>
    <t xml:space="preserve">ROBINET CU CEP (CANA),CU MUFE PT.INSTALATIILE DE  INCALZIRE CENTRALA,DIAM.NOMINAL 3/4"-1"           </t>
  </si>
  <si>
    <t xml:space="preserve">Robinet cu obturator sferic, cu mufe Dn25         </t>
  </si>
  <si>
    <t>ID03XC       91</t>
  </si>
  <si>
    <t xml:space="preserve">ROBINET CU CEP (CANA),CU MUFE PT.INSTALATIILE DE  INCALZIRE CENTRALA,DIAM.NOMINAL 1 1/4"-1 1/2"     </t>
  </si>
  <si>
    <t xml:space="preserve">Robinet cu obturator sferic, cu mufe Dn32         </t>
  </si>
  <si>
    <t xml:space="preserve">Robinet cu obturator sferic, cu mufe Dn40         </t>
  </si>
  <si>
    <t>ID03XD       91</t>
  </si>
  <si>
    <t xml:space="preserve">ROBINET CU CEP (CANA),CU MUFE PT.INSTALATIILE DE  INCALZIRE CENTRALA,DIAM.NOMINAL 2"                </t>
  </si>
  <si>
    <t xml:space="preserve">Robinet cu obturator sferic, cu mufe Dn50         </t>
  </si>
  <si>
    <t>ID06A3       82</t>
  </si>
  <si>
    <t xml:space="preserve">ROBINET CU SERTAR PANA , CU MUFE , PT. INST. INCALZIRE CENTRALA , CU D: 1''                         </t>
  </si>
  <si>
    <t>Filtru "Y" cu sit? din inox cu mufe Dn25, pn=6 bar</t>
  </si>
  <si>
    <t>ID11D2       82</t>
  </si>
  <si>
    <t xml:space="preserve">ROBINET DE FONTA CU VENTIL,CU FILET TIJA LA EXTERIOR,CU FLANSE PT.INST.INC.CENTRALA CU D: 100 MM    </t>
  </si>
  <si>
    <t xml:space="preserve">Filtru "Y" cu sit? din inox cu flan?e Dn100, pn=6 bar                                               </t>
  </si>
  <si>
    <t>ID11F1       82</t>
  </si>
  <si>
    <t xml:space="preserve">ROBINET DE FONTA CU VENTIL,CU FILET TIJA LA EXTERIOR,CU FLANSE PT.INST.INC.CENTRALA CU D: 150 MM    </t>
  </si>
  <si>
    <t>ID14B1       82</t>
  </si>
  <si>
    <t xml:space="preserve">ROBINET DE RETINERE CU VENTIL, DREPT, CU MUFE PT. INST.INCALZ.CENTRALA CU D: 3/4''                  </t>
  </si>
  <si>
    <t>ID14C2       82</t>
  </si>
  <si>
    <t xml:space="preserve">ROBINET DE RETINERE CU VENTIL, DREPT, CU MUFE PT. INST.INCALZ.CENTRALA CU D: 1 1/2''                </t>
  </si>
  <si>
    <t>ID13B1       82</t>
  </si>
  <si>
    <t xml:space="preserve">ROBINET DE RETINERE DIN FONTA CU O CLAPA SI FLANSA PT.INST.INCALZ.CENTRALA CU D:  50 MM             </t>
  </si>
  <si>
    <t>ID13C1       82</t>
  </si>
  <si>
    <t xml:space="preserve">ROBINET DE RETINERE DIN FONTA CU O CLAPA SI FLANSA PT.INST.INCALZ.CENTRALA CU D:  80 MM             </t>
  </si>
  <si>
    <t xml:space="preserve">CU FLANSE                                         </t>
  </si>
  <si>
    <t>ID13E1       82</t>
  </si>
  <si>
    <t xml:space="preserve">ROBINET DE RETINERE DIN FONTA CU O CLAPA SI FLANSA PT.INST.INCALZ.CENTRALA CU D: 125 MM CU FLANSE   </t>
  </si>
  <si>
    <t>ID06A2       82</t>
  </si>
  <si>
    <t xml:space="preserve">ROBINET CU SERTAR PANA , CU MUFE , PT. INST. INCALZIRE CENTRALA , CU D: 3/4''                       </t>
  </si>
  <si>
    <t>ID06C1       82</t>
  </si>
  <si>
    <t xml:space="preserve">ROBINET CU SERTAR PANA , CU MUFE , PT. INST. INCALZIRE CENTRALA , CU D: 2''                         </t>
  </si>
  <si>
    <t>ID07E1       82</t>
  </si>
  <si>
    <t xml:space="preserve">ROBINET FONTA,SERTAR,FLANSE,PT.INSTALATII INCALZIRE CENTRALA,CORP PLAT SAU OVAL CU D: 150 MM        </t>
  </si>
  <si>
    <t xml:space="preserve">Robinet de golire cu port-furtun Dn15             </t>
  </si>
  <si>
    <t xml:space="preserve">Robinet de golire cu port-furtun Dn25             </t>
  </si>
  <si>
    <t>ID10XA       91</t>
  </si>
  <si>
    <t xml:space="preserve">SUPAPA DE BLOCARE CU MUFE,MONTATA PE CONDUCTE DE  GAZE,AVIND DIAMETRUL NOMINAL DE 1/2"-3/4"         </t>
  </si>
  <si>
    <t xml:space="preserve">Ventil automat de aerisire Dn15                   </t>
  </si>
  <si>
    <t>ID10XB       91</t>
  </si>
  <si>
    <t xml:space="preserve">SUPAPA DE BLOCARE CU MUFE,MONTATA PE CONDUCTE DE  GAZE,AVIND DIAMETRUL NOMINAL DE 1"-1 1/2"         </t>
  </si>
  <si>
    <t xml:space="preserve">Ventil automat de aerisire Dn25                   </t>
  </si>
  <si>
    <t>ATC01XA      93</t>
  </si>
  <si>
    <t xml:space="preserve">MONT.PRIN INTERCALARE AMC SI MIJLOACE DE AUTOMATIZARE PE COND.CU DIAM.DE PINA LA 100 MM             </t>
  </si>
  <si>
    <t>IA23B2       82</t>
  </si>
  <si>
    <t xml:space="preserve">ARMATURI FINE PT.CAZANE INCALZIRE CENTRALA: MANOMETRU.                                              </t>
  </si>
  <si>
    <t>IA23A1       82</t>
  </si>
  <si>
    <t xml:space="preserve">ARMATURI FINE PT. CAZANE INCALZIRE CENTRALA: TERMOMETRU                                             </t>
  </si>
  <si>
    <t>IA24A1       82</t>
  </si>
  <si>
    <t xml:space="preserve">SUPAPA DE SIGURANTA  DIN ALAMA CU D:1/2''                                                           </t>
  </si>
  <si>
    <t>Supapa de siguranta cu arc Dn15, pn 6 bar, p desch</t>
  </si>
  <si>
    <t>IA24B1       82</t>
  </si>
  <si>
    <t xml:space="preserve">SUPAPA DE SIGURANTA  DIN ALAMA CU D:3/4''                                                           </t>
  </si>
  <si>
    <t>Supapa de siguranta cu arc Dn20, pn 6 bar, p desch</t>
  </si>
  <si>
    <t>IA24E1       82</t>
  </si>
  <si>
    <t xml:space="preserve">SUPAPA DE SIGURANTA  DIN ALAMA CU D:1 1/2''                                                         </t>
  </si>
  <si>
    <t>Supapa de siguranta cu arc Dn40, pn 6 bar, p desch</t>
  </si>
  <si>
    <t>IC01XA       91</t>
  </si>
  <si>
    <t xml:space="preserve">TEAVA OL NEAGRA SUDATA LONG.PT.INST.CU FILET SI MUFA MONT.INSURUB.,IN INST.INCAL.CENTR.,D=3/8"-3/4" </t>
  </si>
  <si>
    <t>Teava OL 1/2", Dn20, inclusiv piese speciale (bride, teuri, coturi, mufe, reductii, etc)</t>
  </si>
  <si>
    <t xml:space="preserve">?eav? o?el 3/4", inclusiv piese speciale (bride de prindere, coturi, teuri, reduc?ii, mansoane, </t>
  </si>
  <si>
    <t>treceri prin pere?i rezisten?i la foc, etc)</t>
  </si>
  <si>
    <t>IC01XB       91</t>
  </si>
  <si>
    <t xml:space="preserve">TEAVA OL NEAGRA SUDATA LONG.PT.INST.CU FILET SI MUFA MONT.INSURUB.,IN INST.INCAL.CENTR.,D=1"-1 1/4" </t>
  </si>
  <si>
    <t xml:space="preserve">?eav? o?el 1", inclusiv piese speciale (bride de prindere, coturi, teuri, reduc?ii, mansoane, </t>
  </si>
  <si>
    <t xml:space="preserve">?eav? o?el 1 1/4", inclusiv piese speciale (bride de prindere, coturi, teuri, reduc?ii, mansoane, </t>
  </si>
  <si>
    <t xml:space="preserve">treceri prin pere?i rezisten?i la foc, etc)         </t>
  </si>
  <si>
    <t xml:space="preserve">?eav? o?el 1 1/2", inclusiv piese speciale (bride de prindere, coturi, teuri, reduc?ii, mansoane, </t>
  </si>
  <si>
    <t>IC01XC       91</t>
  </si>
  <si>
    <t>TEAVA OL NEAGRA SUDATA LONG.PT.INST.CU FILET SI MUFA MONT.INSURUB.,IN INST.INCAL.CENTR.,D=1 1/2"- 2"</t>
  </si>
  <si>
    <t xml:space="preserve">?eav? o?el 2", inclusiv piese speciale (bride de prindere, coturi, teuri, reduc?ii, mansoane, </t>
  </si>
  <si>
    <t>IC01XD       91</t>
  </si>
  <si>
    <t>TEAVA OL NEAGRA SUDATA LONG.PT.INST.CU FILET SI MUFA MONT.INSURUB.,IN INST.INCAL.CENTR.,D=2 1/2"- 3"</t>
  </si>
  <si>
    <t xml:space="preserve">?eav? o?el 3", inclusiv piese speciale (bride de prindere, coturi, teuri, reduc?ii, mansoane, </t>
  </si>
  <si>
    <t xml:space="preserve">treceri prin pere?i rezisten?i la foc, etc)             </t>
  </si>
  <si>
    <t>IC01XE       91</t>
  </si>
  <si>
    <t xml:space="preserve">TEAVA OL NEAGRA SUDATA LONG.PT.INST.CU FILET SI MUFA MONT.INSURUB.,IN INST.INCAL.CENTR.,D= 4"       </t>
  </si>
  <si>
    <t xml:space="preserve">?eav? o?el 4", inclusiv piese speciale (bride de prindere, coturi, teuri, reduc?ii, mansoane, </t>
  </si>
  <si>
    <t>IC02XD       91</t>
  </si>
  <si>
    <t xml:space="preserve">TEAVA OL NEAGRA FARA SUD./SUD LONG.PT.CONST.MONT. SUD.LA INST.INCAL.CENTR,D= 152X5,5 - 194X8 MM     </t>
  </si>
  <si>
    <t xml:space="preserve">Teava OL Dn150, inclusiv piese speciale (bride, teuri, coturi, mufe, reductii, etc)                 </t>
  </si>
  <si>
    <t>IZH02XA      91</t>
  </si>
  <si>
    <t xml:space="preserve">IZOLAREA CU CARTON ONDULAT A COND.DIN PVC INGROPATE DIRECT IN PERETE,PT.TEVI CU DIAM.DE 20 MM       </t>
  </si>
  <si>
    <t xml:space="preserve">ASIMILAT montaj                                   </t>
  </si>
  <si>
    <t xml:space="preserve">Izolatie vata minerala cu folie de aluminiu       </t>
  </si>
  <si>
    <t xml:space="preserve">R000671        </t>
  </si>
  <si>
    <t xml:space="preserve">IZOLATIE VATA MINERALA, FOLIE DE ALUMINIU, 1/2", G=30MM                                             </t>
  </si>
  <si>
    <t xml:space="preserve">R000127        </t>
  </si>
  <si>
    <t xml:space="preserve">IZOLATIE VATA MINERALA, FOLIE DE ALUMINIU, 3/4", G=30MM                                             </t>
  </si>
  <si>
    <t xml:space="preserve">R000128        </t>
  </si>
  <si>
    <t xml:space="preserve">IZOLATIE VATA MINERALA, FOLIE DE ALUMINIU, 1", G=30MM                                               </t>
  </si>
  <si>
    <t xml:space="preserve">R000129        </t>
  </si>
  <si>
    <t xml:space="preserve">IZOLATIE VATA MINERALA, FOLIE DE ALUMINIU, 1 1/4", G=30                                             </t>
  </si>
  <si>
    <t xml:space="preserve">R000131        </t>
  </si>
  <si>
    <t xml:space="preserve">IZOLATIE VATA MINERALA, FOLIE DE ALUMINIU, 2", G=30MM                                               </t>
  </si>
  <si>
    <t xml:space="preserve">R000132        </t>
  </si>
  <si>
    <t xml:space="preserve">IZOLATIE VATA MINERALA, FOLIE DE ALUMINIU, 2 1/2", G=30                                             </t>
  </si>
  <si>
    <t xml:space="preserve">R000133        </t>
  </si>
  <si>
    <t xml:space="preserve">IZOLATIE VATA MINERALA, FOLIE DE ALUMINIU, 3", G=30MM                                               </t>
  </si>
  <si>
    <t xml:space="preserve">R000134        </t>
  </si>
  <si>
    <t xml:space="preserve">IZOLATIE VATA MINERALA, FOLIE DE ALUMINIU, 4", G=30MM                                               </t>
  </si>
  <si>
    <t xml:space="preserve">R000136        </t>
  </si>
  <si>
    <t xml:space="preserve">IZOLATIE VATA MINERALA, FOLIE DE ALUMINIU, 150MM, G=30M                                             </t>
  </si>
  <si>
    <t>VB10A        99</t>
  </si>
  <si>
    <t xml:space="preserve">RAMA RECTANGULARA, CU JALUZELE FIXE, CU PERIMETRUL:1200-2500MM, MONT.PE ZIDARIE, DET. IPCT 61/013   </t>
  </si>
  <si>
    <t xml:space="preserve">Grila exterioara rectangulara 600x400 mm, cu jaluzele fixe, inclinate la 45 grade, avand un profil </t>
  </si>
  <si>
    <t>special ce impiedica patrunderea apei, prevazuta cu plasa</t>
  </si>
  <si>
    <t>metalica</t>
  </si>
  <si>
    <t xml:space="preserve">Grila interioara rectangulara 600x400 mm          </t>
  </si>
  <si>
    <t>SF02A        99</t>
  </si>
  <si>
    <t xml:space="preserve">EFECTUAREA PROBEI DE FUNCTIONARE A INSTALATIEI DE APA RECE, CU COND.OL.PT.INSTAL.,ZN, D=3/8" - 2"   </t>
  </si>
  <si>
    <t xml:space="preserve">Efectuare proba la rece a instalatiei interioare de incalzire                                       </t>
  </si>
  <si>
    <t>SF02B        99</t>
  </si>
  <si>
    <t xml:space="preserve">EFECTUAREA PROBEI DE FUNCTIONARE A INSTALATIEI DE APA RECE, CU TEAVA OL.PT.INSTAL.,ZN, D=2 1/2"-4"  </t>
  </si>
  <si>
    <t>IE03A        99</t>
  </si>
  <si>
    <t xml:space="preserve">EFECT.PROBEI DE ETANSEITATE LA PRES.A COND.DE ALIMENTARE A APARATELOR DE INCALZ.CU DIAM. 3/8"...1"  </t>
  </si>
  <si>
    <t>IE03B        99</t>
  </si>
  <si>
    <t xml:space="preserve">EFECT.PROBEI DE ETANSEITATE LA PRES.A COND.DE ALIMENTARE A APARATELOR DE INCALZ.CU DIAM. 11/4"...2" </t>
  </si>
  <si>
    <t>IE03C        99</t>
  </si>
  <si>
    <t>EFECT.PROBEI DE ETANSEIT. LA PRES.A COND.DE ALIMENTARE A APARATELOR DE INCALZ.CU D= 54X3,5-83X3,5 MM</t>
  </si>
  <si>
    <t>IE03D        99</t>
  </si>
  <si>
    <t xml:space="preserve">EFECT.PROBEI DE ETANSEIT. LA PRES.A COND.DE ALIMENTARE A APARATELOR DE INCALZ.CU D= 80X3,5-159X8 MM </t>
  </si>
  <si>
    <t>IE03E        99</t>
  </si>
  <si>
    <t xml:space="preserve">EFECT.PROBEI DE ETANSEIT. LA PRES.A COND.DE ALIMENTARE A APARATELOR DE INCALZ.CU D= 108X8-273X9 MM  </t>
  </si>
  <si>
    <t>IE04A        99</t>
  </si>
  <si>
    <t xml:space="preserve">EFECT.PROBEI DE DILATARE-CONTRACT.SI FUNCT.A CONDUCT.DE ALIM.A APARAT.DE INCALZ.CU D=3/8"-1"        </t>
  </si>
  <si>
    <t>IE04B        99</t>
  </si>
  <si>
    <t xml:space="preserve">EFECT.PROBEI DE DILATARE-CONTRACT.SI FUNCT.A CONDUCT.DE ALIM.A APARAT.DE INCALZ.CU D=11/4"-2"       </t>
  </si>
  <si>
    <t>IE04C        99</t>
  </si>
  <si>
    <t>EFECT.PROBEI DE DILATARE-CONTRACT.SI FUNCT.A CONDUCT.DE ALIM.A APARAT.DE INCAL.CU D=54X3,5-83X3,5 MM</t>
  </si>
  <si>
    <t>IE04D        99</t>
  </si>
  <si>
    <t>EFECT.PROBEI DE DILATARE-CONTRACT.SI FUNCT.A CONDUCT.DE ALIM.A APARAT.DE INCALZ.CU D=89X3,5-159X8 MM</t>
  </si>
  <si>
    <t>IE04E        99</t>
  </si>
  <si>
    <t xml:space="preserve">EFECT.PROBEI DE DILATARE-CONTRACT.SI FUNCT.A CONDUCT.DE ALIM.A APARAT.DE INCALZ.CU D=168X8-273X9 MM </t>
  </si>
  <si>
    <t>IZD28B       99</t>
  </si>
  <si>
    <t xml:space="preserve">GRUNDUIREA CONDUCTELOR SI APARATELOR, CU: 2 STRATURI GRUND DE MINIU DE PLUMB                        </t>
  </si>
  <si>
    <t>IE08A        99</t>
  </si>
  <si>
    <t xml:space="preserve">SPALAREA CU APA POTABILA A INST.INT.DE INCALZ.CENTRALA SUPR.TOTALA A CORPURILOR PANA LA 100 MP      </t>
  </si>
  <si>
    <t>ATE11J       82</t>
  </si>
  <si>
    <t xml:space="preserve">VERIFICARE CORECTITUDINE MONTAJ                                                                     </t>
  </si>
  <si>
    <t xml:space="preserve">ASIMILAT proba de punere in functiune             </t>
  </si>
  <si>
    <r>
      <t xml:space="preserve">Categorie: 06 </t>
    </r>
    <r>
      <rPr>
        <sz val="10"/>
        <color theme="1"/>
        <rFont val="Calibri"/>
        <family val="2"/>
        <scheme val="minor"/>
      </rPr>
      <t>MONTAJ ECHIPAMENTE CT</t>
    </r>
  </si>
  <si>
    <t>IA14D        99</t>
  </si>
  <si>
    <t xml:space="preserve">CAZAN PREP.AGENT TERMIC PTR.INCALZ.DE OTEL,MONOBLOC,AVAND PUTERE CALORICA  211-290 KW               </t>
  </si>
  <si>
    <t xml:space="preserve">Cazan din otel în condensatie ce functioneaza cu combustibil gazos, Qi=250 kW, Lxaxh 1900x860x1400 </t>
  </si>
  <si>
    <t xml:space="preserve">mm, 995 kg                                         </t>
  </si>
  <si>
    <t>IA34A        99</t>
  </si>
  <si>
    <t xml:space="preserve">ARZATOR CU ARDERE FORTATA PTR.COMBUSTIBIL GAZOS AVAND PUTEREA MAXIMA A FLACARII DE PANA LA 480 KW   </t>
  </si>
  <si>
    <t xml:space="preserve">Arzator gaz automat, progresiv modulant functionând pe gaz Qi=250 kW                                </t>
  </si>
  <si>
    <t>CD11D        02</t>
  </si>
  <si>
    <t xml:space="preserve">SIST DE COS DE FUM (TIP SCHIEDEL) PREFABR CU TUBULAT DE SAMOTA CU IZOL SI AERIS POSTER  D.INT=20 CM </t>
  </si>
  <si>
    <t xml:space="preserve">canal racordare O200 mm, l=1 m, piese speciale    </t>
  </si>
  <si>
    <t>CD11G        02</t>
  </si>
  <si>
    <t xml:space="preserve">SIST DE COS FUM (TIP SCHIEDEL) PREFABR CU TUBULAT DE SAMOTA CU IZOL SI AERIS POSTER  D.INT=30 CM    </t>
  </si>
  <si>
    <t xml:space="preserve">Cos de fum O300 mm, H=5 m, piese speciale         </t>
  </si>
  <si>
    <t>IA17C        99</t>
  </si>
  <si>
    <t xml:space="preserve">BOILER VERTICAL MONTAT PE PARDOSEALA CU CAPACIT.DE 1000-2000 L                                      </t>
  </si>
  <si>
    <t>Boiler cu o serpentina si rezistenta electrica 2,0 kW, V=1000 litri, Dxh 880x2035 mm, productie a.c.</t>
  </si>
  <si>
    <t xml:space="preserve">m. 1775 litri/ora (la 60°C)                       </t>
  </si>
  <si>
    <t>FA16C1       82</t>
  </si>
  <si>
    <t xml:space="preserve">GRUP DE RACIREA LICHIDELOR COMPACT CU CAPACITATEA FRIGORIFICA PINA LA 200001-500000 KCAL/H          </t>
  </si>
  <si>
    <t xml:space="preserve">Agregat pentru producere apa racita 7/12 °C cu capacitatea frigorifica de racire 430 kW, echipat cu </t>
  </si>
  <si>
    <t xml:space="preserve">kit hidraulic, 400V/3Ph/50Hz, Pe max=210 kW, Imax= 261 </t>
  </si>
  <si>
    <t xml:space="preserve">A, lxaxh 4800x2255x2300 mm, 1670 kg        </t>
  </si>
  <si>
    <t>IA27D        99</t>
  </si>
  <si>
    <t xml:space="preserve">REZERVOR DE CONDENS MONTAT PE POSTAMENT AVAND CAPACITATEA DE 2000 L                                 </t>
  </si>
  <si>
    <t xml:space="preserve">Vas acumumare apa racita V=2000 litri, Dxh 1140x2375 mm, presiune maxima de lucru 6 bar, </t>
  </si>
  <si>
    <t xml:space="preserve">temperatura de lucru minim / maxim: -10 °C / +50 °C, racorduri </t>
  </si>
  <si>
    <t xml:space="preserve">intrare/iesire rezervor apa rece: 3", racorduri auxiliare: 1/2", izolat cu poliuretan expandat cu </t>
  </si>
  <si>
    <t xml:space="preserve">grosime 30 mm;                                  </t>
  </si>
  <si>
    <t>IA29A        99</t>
  </si>
  <si>
    <t xml:space="preserve">VAS DE EXPANSIUNE MONTAT PE CONSOLE AVAND CAPACITATEA DE 500 L                                      </t>
  </si>
  <si>
    <t xml:space="preserve"> ASIMILAT MONTAJ                                  </t>
  </si>
  <si>
    <t xml:space="preserve">Vas de expansiune închis încalzire cazan, V=24 litri, Oxh 320x355 mm, racord 3/4", presiune maxima </t>
  </si>
  <si>
    <t>de lucru 10 bar	buc	2</t>
  </si>
  <si>
    <t xml:space="preserve">Vas de expansiune închis încalzire, V=200 litri, Oxh 600x1100 mm, racord 1", presiune maxima de </t>
  </si>
  <si>
    <t>lucru 10 bar	 buc	2</t>
  </si>
  <si>
    <t xml:space="preserve">Vas de expansiune închis sanitar, V=80 litri, Oxh 400x825 mm, racord 1" , presiune maxima de lucru </t>
  </si>
  <si>
    <t xml:space="preserve">10 bar	 buc	1                                                 </t>
  </si>
  <si>
    <t>IA39D1       82</t>
  </si>
  <si>
    <t xml:space="preserve">REDUCTOR PRESIUNE PT.INSTAL.INCALZ.CU RACORD DE: 100 MM                                             </t>
  </si>
  <si>
    <t xml:space="preserve">Butelie de egalizare a presiunii având diametrul D 323x9 (Dn300), înaltime h 1,6 m, racord Dn100, </t>
  </si>
  <si>
    <t xml:space="preserve">echipat cu robinet de golire si vana de aerisire automata                                           </t>
  </si>
  <si>
    <t>IA37B        99</t>
  </si>
  <si>
    <t xml:space="preserve">POMPA CIRCULATIE (RECIRCULATIE) MONT. PE COND. EXISTENTA PRIN INSURUBARE AVAND DIAM.PESTE 1"        </t>
  </si>
  <si>
    <t xml:space="preserve">Pomp? de circula?ie circuit cazan cu tura?ie variabil? având în?l?imea de pompare H=3,0 mCA ?i </t>
  </si>
  <si>
    <t xml:space="preserve">debitul G=11 m3/h, 230V/1Ph/50Hz, Pe=500 W, racord Dn80, </t>
  </si>
  <si>
    <t>tura?ie 800-3400 rpm, debit maxim 20,0 m3/h, în?l?imea maxim? de pompare 10 mCA	buc	2</t>
  </si>
  <si>
    <t xml:space="preserve">Pomp? de recirculare cazan cu tura?ie variabil? având în?l?imea de pompare H=3,0 mCA ?i debitul G=2 </t>
  </si>
  <si>
    <t xml:space="preserve">m3/h, 230V/1Ph/50Hz, Pe=500 W, racord Dn80, tura?ie </t>
  </si>
  <si>
    <t>800-3400 rpm, debit maxim 10,0 m3/h, în?l?imea maxim? de pompare 10 mCA;	buc	2</t>
  </si>
  <si>
    <t xml:space="preserve">Pomp? de circula?ie circuit preparare a.c.m. cu tura?ie variabil? având în?l?imea de pompare H=2,0 </t>
  </si>
  <si>
    <t xml:space="preserve">mCA ?i debitul G=4,5 m3/h, 230V/1Ph/50Hz, Pe=150 W, </t>
  </si>
  <si>
    <t>racord Dn50, tura?ie 800-3400 rpm, debit maxim 7,0 m3/h, în?l?imea maxim? de pompare 10 mCA;	buc	1</t>
  </si>
  <si>
    <t xml:space="preserve">Pomp? de circula?ie circuit înc?lzire în pardoseal?, cu tura?ie variabil? având în?l?imea de </t>
  </si>
  <si>
    <t>pompare H=10,0 mCA ?i debitul G= 10 m3/h, 230V/1Ph/50Hz, Pe=500</t>
  </si>
  <si>
    <t>W, racord Dn80, tura?ie 800-3400 rpm, debit maxim 20,0 m3/h, în?l?imea maxim? de pompare 20 mCA;</t>
  </si>
  <si>
    <t xml:space="preserve">	buc	1</t>
  </si>
  <si>
    <t xml:space="preserve">Pompa de circulatie circuit încalzire cu calorifere, cu turatie variabila având înaltiimea de </t>
  </si>
  <si>
    <t xml:space="preserve">pompare H=6,0 mCA si debitul G= 2,5 m3/h, 230V/1Ph/50Hz, </t>
  </si>
  <si>
    <t xml:space="preserve">Pe=100 W, racord Dn40, turatie 800-3400 rpm, debit maxim 7,0 m3/h, în?l?imea maxim? de pompare 10 </t>
  </si>
  <si>
    <t>mCA;	buc	1</t>
  </si>
  <si>
    <t>Pomp? de circula?ie circuit baterie de înc?lzire CTA 14000 m3/h, cu tura?ie variabil? având în?l?</t>
  </si>
  <si>
    <t xml:space="preserve">imea de pompare H=5 mCA ?i debitul G= 2,5 m3/h, </t>
  </si>
  <si>
    <t xml:space="preserve">230V/1Ph/50Hz, Pe=200 W, racord Dn32, tura?ie 800-3400 rpm, debit maxim 7,0 m3/h, în?l?imea maxim? </t>
  </si>
  <si>
    <t>de pompare 10 mCA;	buc	2</t>
  </si>
  <si>
    <t>Pomp? de circula?ie circuit baterie de înc?lzire CTA 5500 m3/h,, cu tura?ie variabil? având în?l?</t>
  </si>
  <si>
    <t xml:space="preserve">imea de pompare H=5 mCA ?i debitul G= 1,0 m3/h, </t>
  </si>
  <si>
    <t>de pompare 10 mCA;	buc	1</t>
  </si>
  <si>
    <t xml:space="preserve">Pomp? de circula?ie circuit baterie de r?cire CTA 14000 m3/h, cu tura?ie variabil? având în?l?imea </t>
  </si>
  <si>
    <t xml:space="preserve">de pompare H=4,0 mCA ?i debitul G= 7,0 m3/h, </t>
  </si>
  <si>
    <t xml:space="preserve">230V/1Ph/50Hz, Pe=500 W, racord Dn80, tura?ie 800-3400 rpm, debit maxim 10,0 m3/h, în?l?imea maxim? </t>
  </si>
  <si>
    <t xml:space="preserve">Pomp? de circula?ie circuit baterie de r?cire CTA 5500 m3/h, cu tura?ie variabil? având în?l?imea </t>
  </si>
  <si>
    <t xml:space="preserve">de pompare H=4,0 mCA ?i debitul G= 5,0 m3/h, </t>
  </si>
  <si>
    <t xml:space="preserve">230V/1Ph/50Hz, Pe=500 W, racord Dn50, tura?ie 800-3400 rpm, debit maxim 10,0 m3/h, în?l?imea maxim? </t>
  </si>
  <si>
    <t>Pomp? de circula?ie circuit ventiloconvectoare, cu tura?ie variabil? având în?l?imea de pompare H=</t>
  </si>
  <si>
    <t xml:space="preserve">20 mCA ?i debitul G= 43,5 m3/h, 230V/1Ph/50Hz, Pe=500 W, </t>
  </si>
  <si>
    <t>racord Dn125, tura?ie 800-3400 rpm, debit maxim 50,0 m3/h, în?l?imea maxim? de pompare 30 mCA;	buc	1</t>
  </si>
  <si>
    <t xml:space="preserve">Pomp? de circula?ie circuit r?cire vas de acumulare ap? r?cit?-distribuitor, cu tura?ie variabil? </t>
  </si>
  <si>
    <t xml:space="preserve">având în?l?imea de pompare H=4,0 mCA ?i debitul G= 75,0 </t>
  </si>
  <si>
    <t>m3/h, 230V/1Ph/50Hz, Pe=1000 W, racord Dn150, tura?ie 800-3400 rpm, debit maxim 80,0 m3/h, în?l?</t>
  </si>
  <si>
    <t>imea maxim? de pompare 10 mCA;	buc	1</t>
  </si>
  <si>
    <t>IA39A        99</t>
  </si>
  <si>
    <t xml:space="preserve">INST.DE DEDURIZARE A APEI ,COMPLET ECHIPATA ,AVAND DEBITUL DE APA DE 900-2250 L/H                   </t>
  </si>
  <si>
    <t xml:space="preserve">Statie de dedurizare 1,2 m3/h                     </t>
  </si>
  <si>
    <r>
      <t xml:space="preserve">Categorie: 07 </t>
    </r>
    <r>
      <rPr>
        <sz val="10"/>
        <color theme="1"/>
        <rFont val="Calibri"/>
        <family val="2"/>
        <scheme val="minor"/>
      </rPr>
      <t>INCALZIRE CU CORPURI STATICE (CALORIFERE SI CONVECTOARE DE PARDOSEALA)</t>
    </r>
  </si>
  <si>
    <t>IC36A        99</t>
  </si>
  <si>
    <t xml:space="preserve">TV POLIET.ARMATA DE INALTA DENSIT.,POLIPROP.ARMATA /NEARMATA D&lt;20MM MONT.IN COL.LA INST.INC.CENTR.  </t>
  </si>
  <si>
    <t>Teava PPR verde la colac O20x2.8 mm, pentru alimentare calorifere si convectoare de pardoseala</t>
  </si>
  <si>
    <t xml:space="preserve">7805327        </t>
  </si>
  <si>
    <t xml:space="preserve">IZOLATIE ARMAFLEX 9 MM SAU SIMILAR OL 1/2", DN15                                                    </t>
  </si>
  <si>
    <t>IC39C        99</t>
  </si>
  <si>
    <t xml:space="preserve">DISTRIB/COLECTOR DIN CUPRU D=3/4" PT.RAC.CORPURI I NC.LA INST.INC.CU TV. PLASTIC MONT PE ZID BETON  </t>
  </si>
  <si>
    <t xml:space="preserve"> Distribuitor/colector complet echipat pentru incalzirea cu calorifere, izolat, cu 3 racorduri, </t>
  </si>
  <si>
    <t xml:space="preserve">sistem de legare la automatizare, robineti de sectionare pe </t>
  </si>
  <si>
    <t xml:space="preserve">fiecare circuit, senzori de temperatura, robineti automati de aerisire, robineti de golire, caseta </t>
  </si>
  <si>
    <t xml:space="preserve">pentru montaj ventilata, cu cadru realizat din tabla </t>
  </si>
  <si>
    <t xml:space="preserve">vopsita, cu adancime reglabila, consola.                                                </t>
  </si>
  <si>
    <t>IC39D        99</t>
  </si>
  <si>
    <t xml:space="preserve">DISTRIB/COLECTOR DIN CUPRU D=1" PT.RAC.CORPURI INC .LA INST.INC.CU TV. PLASTIC MONT PE ZID BETON    </t>
  </si>
  <si>
    <t xml:space="preserve">Distribuitor/colector complet echipat pentru incalzirea cu calorifere, izolat, cu 4 racorduri, </t>
  </si>
  <si>
    <t xml:space="preserve">vopsita, cu adancime reglabila, consola.                                                 </t>
  </si>
  <si>
    <t xml:space="preserve">Distribuitor/colector complet echipat pentru incalzirea cu calorifere, izolat, cu 7 racorduri, </t>
  </si>
  <si>
    <t xml:space="preserve">Distribuitor/colector complet echipat pentru incalzirea cu calorifere, izolat, cu 10 racorduri, </t>
  </si>
  <si>
    <t xml:space="preserve">Distribuitor/colector complet echipat pentru incalzirea cu convectoare de pardoseala, izolat, cu 6 </t>
  </si>
  <si>
    <t xml:space="preserve">racorduri, sistem de legare la automatizare, robineti de </t>
  </si>
  <si>
    <t xml:space="preserve">sectionare pe fiecare circuit, senzori de temperatura, robineti automati de aerisire, robineti de </t>
  </si>
  <si>
    <t xml:space="preserve">golire, caseta pentru montaj ventilata, cu cadru realizat </t>
  </si>
  <si>
    <t>din tabla vopsita, cu adancime reglabila, consola.</t>
  </si>
  <si>
    <t xml:space="preserve">Distribuitor/colector complet echipat pentru incalzirea cu calorifere de pardoseala, izolat, cu 11 </t>
  </si>
  <si>
    <t xml:space="preserve">Distribuitor/colector complet echipat pentru incalzirea cu convectoare de pardoseala, izolat, cu 12 </t>
  </si>
  <si>
    <t>racorduri, sistem de legare la automatizare, robineti de</t>
  </si>
  <si>
    <t xml:space="preserve">din tabla vopsita, cu adancime reglabila, consola.                                  </t>
  </si>
  <si>
    <t xml:space="preserve">Calorifer din otel, tip panou 22/600-600 complet echipat (robinet termostatabil si cap termosat tur </t>
  </si>
  <si>
    <t xml:space="preserve">pentru calorifere Dn15, robinet coltar retur pentru </t>
  </si>
  <si>
    <t>radiatoare Dn15, dop de golire, aerisitor, console, suruburi si dibluri)</t>
  </si>
  <si>
    <t xml:space="preserve">Calorifer din otel, tip panou 22/600-1800 complet echipat (robinet termostatabil si cap termosat </t>
  </si>
  <si>
    <t xml:space="preserve">tur pentru calorifere Dn15, robinet coltar retur pentru </t>
  </si>
  <si>
    <t xml:space="preserve">Calorifer din otel, tip panou 33/500-1400 complet echipat (robinet termostatabil si cap termosat </t>
  </si>
  <si>
    <t xml:space="preserve">Calorifer din otel, tip panou 33/500-1600 complet echipat (robinet termostatabil si cap termosat </t>
  </si>
  <si>
    <t xml:space="preserve">radiatoare Dn15, dop de golire, aerisitor, console, suruburi si dibluri)                       </t>
  </si>
  <si>
    <t xml:space="preserve">Calorifer din otel, tip panou 33/500-1800 complet echipat (robinet termostatabil si cap termosat </t>
  </si>
  <si>
    <t xml:space="preserve">Calorifer din otel, tip panou 33/600-600 complet echipat (robinet termostatabil si cap termosat tur </t>
  </si>
  <si>
    <t xml:space="preserve">Calorifer din otel, tip panou 33/600-500 complet echipat (robinet termostatabil si cap termosat tur </t>
  </si>
  <si>
    <t xml:space="preserve">radiatoare Dn15, dop de golire, aerisitor, console, suruburi si dibluri)                        </t>
  </si>
  <si>
    <t xml:space="preserve">Calorifer din otel, tip panou 33/600-700 complet echipat (robinet termostatabil si cap termosat tur </t>
  </si>
  <si>
    <t xml:space="preserve">Calorifer din otel, tip panou 33/600-800 complet echipat (robinet termostatabil si cap termosat tur </t>
  </si>
  <si>
    <t xml:space="preserve">Calorifer din otel, tip panou 33/600-900 complet echipat (robinet termostatabil si cap termosat tur </t>
  </si>
  <si>
    <t xml:space="preserve">Calorifer din otel, tip panou 33/600-1000 complet echipat (robinet termostatabil si cap termosat </t>
  </si>
  <si>
    <t xml:space="preserve">Calorifer din otel, tip panou 33/600-1400 complet echipat (robinet termostatabil si cap termosat </t>
  </si>
  <si>
    <t xml:space="preserve">Calorifer din otel, tip panou 33/600-1600 complet echipat (robinet termostatabil si cap termosat </t>
  </si>
  <si>
    <t xml:space="preserve">Calorifer din otel, tip panou 33/600-1800 complet echipat (robinet termostatabil si cap termosat </t>
  </si>
  <si>
    <t xml:space="preserve">Calorifer din otel, tip panou 33/600-2000 complet echipat (robinet termostatabil si cap termosat </t>
  </si>
  <si>
    <t>IB08A        99</t>
  </si>
  <si>
    <t xml:space="preserve">AEROTERMA DE PERETE /TAVAN FUNCT.CU APA CALDA ,RACORDATA CU FLANSE,AVAND PUTEREA CALORICA &lt; 8,0 KW  </t>
  </si>
  <si>
    <t xml:space="preserve">Convector cu montaj în pardoseal? lxaxh 2100x340x140                                                </t>
  </si>
  <si>
    <t xml:space="preserve">Convector cu montaj în pardoseal? lxaxh 1500x340x140                                                </t>
  </si>
  <si>
    <t xml:space="preserve">Convector cu montaj în pardoseal? lxaxh 1900x340x140                                                </t>
  </si>
  <si>
    <t xml:space="preserve">Teava OL 1/2", Dn15, inclusiv piese speciale (bride, teuri, coturi, mufe, reductii, etc)            </t>
  </si>
  <si>
    <t xml:space="preserve">Teava OL 3/4", Dn20, inclusiv piese speciale (bride, teuri, coturi, mufe, reductii, etc)            </t>
  </si>
  <si>
    <t xml:space="preserve">Teava OL 1", Dn25, inclusiv piese speciale (bride, teuri, coturi, mufe, reductii, etc)              </t>
  </si>
  <si>
    <t xml:space="preserve">Teava OL 1 1/4", Dn32, inclusiv piese speciale (bride, teuri, coturi, mufe, reductii, etc)          </t>
  </si>
  <si>
    <t>Teava OL 1 1/2", Dn40, inclusiv piese speciale (bride, teuri, coturi, mufe, reductii, etc)</t>
  </si>
  <si>
    <t xml:space="preserve">7805328        </t>
  </si>
  <si>
    <t xml:space="preserve">IZOLATIE TERMICA ARMAFLEX 9 MM SAU SIMILAR OL3/4", DN20                                             </t>
  </si>
  <si>
    <t xml:space="preserve">7805329        </t>
  </si>
  <si>
    <t xml:space="preserve">IZOLATIE TERMICA ARMAFLEX 9 MM SAU SIMILAR OL 1", DN25                                              </t>
  </si>
  <si>
    <t xml:space="preserve">7805330        </t>
  </si>
  <si>
    <t xml:space="preserve">IZOLATIE TERMICA ARMAFLEX 9 MM SAU SIMILAR OL 1 1/4", DN32                                          </t>
  </si>
  <si>
    <t xml:space="preserve">7805331        </t>
  </si>
  <si>
    <t xml:space="preserve">IZOLATIE ARMAFLEX 9 MM SAU SIMILAR OL 1 1/2", DN40                                                  </t>
  </si>
  <si>
    <t>RPIA17C      99</t>
  </si>
  <si>
    <t xml:space="preserve">MONT. ACCESORIILOR LA CAZANE SAU CENTRALE MONOBLOC, DE INCALZIRE CENTRALA - CRONOTERMOSTAT          </t>
  </si>
  <si>
    <t xml:space="preserve">Termostat ambiental wireless                      </t>
  </si>
  <si>
    <r>
      <t xml:space="preserve">Categorie: 08 </t>
    </r>
    <r>
      <rPr>
        <sz val="10"/>
        <color theme="1"/>
        <rFont val="Calibri"/>
        <family val="2"/>
        <scheme val="minor"/>
      </rPr>
      <t>INCALZIRE IN PARDOSEALA</t>
    </r>
  </si>
  <si>
    <t>00612D2A     02</t>
  </si>
  <si>
    <t xml:space="preserve">TEAVA PEX D.16 MM INCALZIRE IN PARDOSEALA, MONTATA PE PLACA CU NUTURI                               </t>
  </si>
  <si>
    <t xml:space="preserve">Teava Pe-Xa D17x2 mm neizolata pentru incalzire in pardoseala de tip Rautherm                       </t>
  </si>
  <si>
    <t>00612D6      02</t>
  </si>
  <si>
    <t xml:space="preserve">DISTRIBUITOR SI COLECTOR 2-10 CIRCUITE, INCLUSIV KITUL DE GOLIRE PT PEX INCALZIRE PRIN PARDOSEALA   </t>
  </si>
  <si>
    <t xml:space="preserve">Distribuitor/colector complet echipat pentru incalzirea in pardoseala, izolat, dotat cu pompa si </t>
  </si>
  <si>
    <t>vana cu 3 cai, clapeta de sens, cu 3 racorduri, electrovane</t>
  </si>
  <si>
    <t>pentru fiecare circuit, sistem de legare la automatizare, robineti de sectionare pe fiecare circuit,</t>
  </si>
  <si>
    <t xml:space="preserve"> senzori de temperatura, robineti automati de aerisire,</t>
  </si>
  <si>
    <t xml:space="preserve">robineti de golire, caseta pentru montaj ventilata, cu cadru realizat din tabla vopsita, cu </t>
  </si>
  <si>
    <t xml:space="preserve">adancime reglabila, consola.               </t>
  </si>
  <si>
    <t xml:space="preserve">DISTRIBUITOR SI COLECTOR 2-10 CIRCUITE, INCLUSIV K ITUL DE GOLIRE PT PEX INCALZIRE PRIN PARDOSEALA  </t>
  </si>
  <si>
    <t>vana cu 3 cai, clapeta de sens, cu 4 racorduri, electrovane</t>
  </si>
  <si>
    <t>vana cu 3 cai, clapeta de sens, cu 5 racorduri, electrovane</t>
  </si>
  <si>
    <t>vana cu 3 cai, clapeta de sens, cu 7 racorduri, electrovane</t>
  </si>
  <si>
    <t>adancime reglabila, consola.</t>
  </si>
  <si>
    <t>vana cu 3 cai, clapeta de sens, cu 9 racorduri, electrovane</t>
  </si>
  <si>
    <t xml:space="preserve">vana cu 3 cai, clapeta de sens, cu 10 racorduri, </t>
  </si>
  <si>
    <t xml:space="preserve">electrovane pentru fiecare circuit, sistem de legare la automatizare, robineti de sectionare pe </t>
  </si>
  <si>
    <t xml:space="preserve">fiecare circuit, senzori de temperatura, robineti automati </t>
  </si>
  <si>
    <t xml:space="preserve">de aerisire, robineti de golire, caseta pentru montaj ventilata, cu cadru realizat din tabla </t>
  </si>
  <si>
    <t xml:space="preserve">vopsita, cu adancime reglabila, consola.            </t>
  </si>
  <si>
    <t xml:space="preserve">vana cu 3 cai, clapeta de sens, cu 12 racorduri, </t>
  </si>
  <si>
    <t>vopsita, cu adancime reglabila, consola.</t>
  </si>
  <si>
    <t>vana cu 3 cai, clapeta de sens, cu 13racorduri, electrovane</t>
  </si>
  <si>
    <t>00612D3A     02</t>
  </si>
  <si>
    <t xml:space="preserve">BANDA PERIMETRALA AUTOADEZIVA 120 X 8 MM PT. SISTE M PEX DE INCALZIRE IN PARDOSEALA                 </t>
  </si>
  <si>
    <t>00612D1A     02</t>
  </si>
  <si>
    <t xml:space="preserve">SUPORT PENTRU TUBULATURA DE INCALZIRE PRIN PARDOSE ALA: PLACA POLISTIREN CU NUTURI                  </t>
  </si>
  <si>
    <t xml:space="preserve">7805333        </t>
  </si>
  <si>
    <t xml:space="preserve">IZOLATIE ARMAFLEX 9 MM SAU SIMILAR OL 2", DN50                                                      </t>
  </si>
  <si>
    <t xml:space="preserve">7805335        </t>
  </si>
  <si>
    <t xml:space="preserve">IZOLATIE ARMAFLEX 9 MM SAU SIMILAR OL 2 1/2", DN65                                                  </t>
  </si>
  <si>
    <t>IZH06XA      91</t>
  </si>
  <si>
    <t xml:space="preserve">IZOL.COND.CU COCHILII DIN POLIESTER SPUMA CU GROS.30-100 MM EXEC.INTR-UN STRAT                      </t>
  </si>
  <si>
    <t xml:space="preserve">Izolatie vata minerala bazaltica cu protectie UV OL 3", DN80                                        </t>
  </si>
  <si>
    <t xml:space="preserve">EFECTUAREA PROBEI DE FUNCTIONARE A INSTALATIEI DE  APA RECE, CU TEAVA DIN PVC, D= 16-110 MM         </t>
  </si>
  <si>
    <t xml:space="preserve">EFECTUAREA PROBEI DE FUNCTIONARE A INSTALATIEI DE  APA RECE, CU COND.OL.PT.INSTAL.,ZN, D=3/8" - 2"  </t>
  </si>
  <si>
    <t xml:space="preserve">EFECTUAREA PROBEI DE FUNCTIONARE A INSTALATIEI DE  APA RECE, CU TEAVA OL.PT.INSTAL.,ZN, D=2 1/2"-4" </t>
  </si>
  <si>
    <t xml:space="preserve">EFECT.PROBEI DE ETANSEITATE LA PRES.A COND.DE ALIM ENTARE A APARATELOR DE INCALZ.CU DIAM. 3/8"...1" </t>
  </si>
  <si>
    <t xml:space="preserve">EFECT.PROBEI DE DILATARE-CONTRACT.SI FUNCT.A CONDU CT.DE ALIM.A APARAT.DE INCALZ.CU D=3/8"-1"       </t>
  </si>
  <si>
    <t xml:space="preserve">EFECT.PROBEI DE DILATARE-CONTRACT.SI FUNCT.A CONDU CT.DE ALIM.A APARAT.DE INCALZ.CU D=11/4"-2"      </t>
  </si>
  <si>
    <t xml:space="preserve">GRUNDUIREA CONDUCTELOR SI APARATELOR, CU: 2 STRATU RI GRUND DE MINIU DE PLUMB                       </t>
  </si>
  <si>
    <t xml:space="preserve">SPALAREA CU APA POTABILA A INST.INT.DE INCALZ.CENT RALA SUPR.TOTALA A CORPURILOR PANA LA 100 MP     </t>
  </si>
  <si>
    <t xml:space="preserve">MONT. ACCESORIILOR LA CAZANE SAU CENTRALE MONOBLOC , DE INCALZIRE CENTRALA - CRONOTERMOSTAT         </t>
  </si>
  <si>
    <r>
      <t xml:space="preserve">Categorie: 09 </t>
    </r>
    <r>
      <rPr>
        <sz val="10"/>
        <color theme="1"/>
        <rFont val="Calibri"/>
        <family val="2"/>
        <scheme val="minor"/>
      </rPr>
      <t>INSTALATII DE CLIMATIZARE CU VENTILOCONVECTOARE</t>
    </r>
  </si>
  <si>
    <t>IB09A        99</t>
  </si>
  <si>
    <t xml:space="preserve">AEROTERMA DE PERETE /TAVAN FUNCT.CU APA CALDA ,RACORDATA CU MUFE,AVAND PUTEREA CALORICA &lt; 8,0 KW    </t>
  </si>
  <si>
    <t xml:space="preserve">ASIMILAT MONTAJ VENTILOCONVECTOARE                </t>
  </si>
  <si>
    <t xml:space="preserve">R000138        </t>
  </si>
  <si>
    <t xml:space="preserve">VENTILOCONVECTOR 2 TEVI TIP CASETA QR=2,7 KW, ECHIPAT                                               </t>
  </si>
  <si>
    <t xml:space="preserve">R000140        </t>
  </si>
  <si>
    <t xml:space="preserve">VENTILOCONVECTOR 2 TEVI TIP CASETA QR=3,3 KW, ECHIPAT                                               </t>
  </si>
  <si>
    <t xml:space="preserve">R000141        </t>
  </si>
  <si>
    <t xml:space="preserve">VENTILOCONVECTOR 2 TEVI TIP CASETA QR=4,5 KW,ECHIP AT                                               </t>
  </si>
  <si>
    <t xml:space="preserve">R000143        </t>
  </si>
  <si>
    <t xml:space="preserve">VENTILOCONVECTOR 2 TEVI TIP CASETA QR=5,0 KW,ECHIP AT                                               </t>
  </si>
  <si>
    <t xml:space="preserve">?eav? o?el 2 1/2", inclusiv piese speciale (bride de prindere, coturi, teuri, reduc?ii, mansoane, </t>
  </si>
  <si>
    <t xml:space="preserve">IZOL.TUBURI (TEVI) POLIETILENA DIN PERETI SI PARDOS. CU IZOL. TIP TUBOLIT S                         </t>
  </si>
  <si>
    <t xml:space="preserve">IZOLATIE ARMAFLEX 9 MM SAU SIMILAR OL 3/4", DN20                                                    </t>
  </si>
  <si>
    <t xml:space="preserve">IZOLATIE ARMAFLEX 9 MM SAU SIMILAR OL 1", DN25                                                      </t>
  </si>
  <si>
    <t xml:space="preserve">IZOLATIE ARMAFLEX 9 MM SAU SIMILAR OL 1 1/4" DN 32                                                  </t>
  </si>
  <si>
    <t xml:space="preserve">IZOLATIE ARMAFLEX 9 MM SAU SIMILAR OL 1 1/2" DN 40                                                  </t>
  </si>
  <si>
    <t xml:space="preserve">IZOLATIE ARMAFLEX 9 MM SAU SIMILAR OL 2" DN 50                                                      </t>
  </si>
  <si>
    <t xml:space="preserve">IZOLATIE ARMAFLEX 9 MM SAU SIMILAR OL 2 1/2" DN 65                                                  </t>
  </si>
  <si>
    <t xml:space="preserve">7805337        </t>
  </si>
  <si>
    <t xml:space="preserve">IZOLATIE ARMAFLEX 9 MM SAU SIMILAR OL 2 1/2" DN 80                                                  </t>
  </si>
  <si>
    <t xml:space="preserve">7805338        </t>
  </si>
  <si>
    <t xml:space="preserve">IZOLATIE ARMAFLEX 9 MM SAU SIMILAR OL 4", DN100                                                     </t>
  </si>
  <si>
    <t xml:space="preserve">Izolatie vata minerala bazaltica cu protectie UV OL 4", Dn100	ml	30                                 </t>
  </si>
  <si>
    <t xml:space="preserve">EFECT. PROBEI DE FUNCT. A INSTAL. DE APA RECE, CU COND.OL.PT.INSTAL.,ZN, D=3/8" - 2"                </t>
  </si>
  <si>
    <t xml:space="preserve">ASIMILAT Efectuare proba de punere in functiune   </t>
  </si>
  <si>
    <t>IE08C        99</t>
  </si>
  <si>
    <t xml:space="preserve">SPALAREA CU APA POTABILA A INST.INT.DE INCALZ.CENTRALA SUPR.TOTALA A CORPURILOR 201-500 MP          </t>
  </si>
  <si>
    <t>FA02A1       82</t>
  </si>
  <si>
    <t xml:space="preserve">COMPRESOR FRIG VERT LENT 20000-50000 KCAL/H ASIMILAT MONTAJ UI SAU UE                               </t>
  </si>
  <si>
    <t xml:space="preserve">R000146        </t>
  </si>
  <si>
    <t xml:space="preserve">UI, AER CONDITIONAT DE PERETE REGIM PERMANENT QR=3,5 KW                                             </t>
  </si>
  <si>
    <t xml:space="preserve">R000147        </t>
  </si>
  <si>
    <t xml:space="preserve">UE, QR=3,5 KW, DEBIT DE AER PE 9/12; 5/12 MC/MIN, R 32, 230V.                                       </t>
  </si>
  <si>
    <t>FE03B1       82</t>
  </si>
  <si>
    <t xml:space="preserve">TEAVA DIN CUPRU CU D EXT.SI GROS.PERETELUI 8X1 MM                                                   </t>
  </si>
  <si>
    <t xml:space="preserve">Teava CuO6,35 mm moale izolat, inclusiv piese speciale (bride de prindere, piese de transformare, </t>
  </si>
  <si>
    <t xml:space="preserve">mansoane, treceri prin pere?i rezisten?i la foc, etc)                                               </t>
  </si>
  <si>
    <t>FE03C1       82</t>
  </si>
  <si>
    <t xml:space="preserve">TEAVA DIN CUPRU CU D EXT.SI GROS.PERETELUI 14X1 MM                                                  </t>
  </si>
  <si>
    <t xml:space="preserve">Teava CuO12,7 mm moale izolat, inclusiv piese speciale (bride de prindere, piese de transformare, </t>
  </si>
  <si>
    <t>IZH01XA      91</t>
  </si>
  <si>
    <t xml:space="preserve">IZOLAREA CU BETE DIN POSTAV A CONDUCTELOR CU DIAMETRUL PANA LA UN TOL (1")                          </t>
  </si>
  <si>
    <t xml:space="preserve">(ASIMILAT)                                        </t>
  </si>
  <si>
    <t xml:space="preserve">MONTAJ Izolatie vata minerala bazaltica cu protectie                                                </t>
  </si>
  <si>
    <t xml:space="preserve">R000148        </t>
  </si>
  <si>
    <t xml:space="preserve">IZOLATIE VATA MINERALA BAZALTICA CU PROTECTIE UV CU6, 35                                            </t>
  </si>
  <si>
    <t xml:space="preserve">R000149        </t>
  </si>
  <si>
    <t xml:space="preserve">IZOLATIE VATA MINERALA BAZALTICA CU PROTECTIE UV CU12,7                                             </t>
  </si>
  <si>
    <t>FI01A1       82</t>
  </si>
  <si>
    <t xml:space="preserve">PROBA DE ETANSEITATE CU APA A CONDUCTELOR PENTRU  AGENTI FRIGORIFICI INTERMEDIARI CU DN 20-40       </t>
  </si>
  <si>
    <t>FI02A1       82</t>
  </si>
  <si>
    <t xml:space="preserve">PROBA PNEUMATICA A CONDUCTELOR SI ARMATURILOR PEN-TRU AMONIAC CU DIAMETRUL NOMINAL 5-30             </t>
  </si>
  <si>
    <t xml:space="preserve">ASIMILAT PROBA PIF                                </t>
  </si>
  <si>
    <r>
      <t xml:space="preserve">Categorie: 10 </t>
    </r>
    <r>
      <rPr>
        <sz val="10"/>
        <color theme="1"/>
        <rFont val="Calibri"/>
        <family val="2"/>
        <scheme val="minor"/>
      </rPr>
      <t>INSTALATII DE VENTILARE</t>
    </r>
  </si>
  <si>
    <t>VA01XF       93</t>
  </si>
  <si>
    <t xml:space="preserve">CANALE DREPTE CU GR.DE 0.3-2MM INCLUSIV,CONF.DIN  TB ZN,CU PERIMETRUL SECT.RECTANG.DE 700-1600MM    </t>
  </si>
  <si>
    <t xml:space="preserve">Tubulatura rectangulara din tabla zincata 400x400 mm, inclusiv piese speciale (bride de prindere, </t>
  </si>
  <si>
    <t xml:space="preserve">coturi, teuri, reductii, mansoane, treceri prin pereti </t>
  </si>
  <si>
    <t xml:space="preserve">rezistenti la foc, etc) si izolatie vata minerala bazaltica 30 mm                              </t>
  </si>
  <si>
    <t>VA01XG       93</t>
  </si>
  <si>
    <t xml:space="preserve">CANALE DREPTE CU GR.DE 0.3-2MM INCLUSIV,CONF.DIN  TB ZN,CU PERIMETRUL SECT.RECTANG.DE 1600-2500 MM  </t>
  </si>
  <si>
    <t xml:space="preserve">Tubulatura rectangulara din tabla zincata 600x400 mm, inclusiv piese speciale (bride de prindere, </t>
  </si>
  <si>
    <t xml:space="preserve">Tubulatura rectangulara din tabla zincata 800x400 mm, inclusiv piese speciale (bride de prindere, </t>
  </si>
  <si>
    <t>VA01XH       93</t>
  </si>
  <si>
    <t xml:space="preserve">CANALE DREPTE CU GR.DE 0.3-2MM INCLUSIV,CONF.DIN  TB ZN,CU PERIMETRUL SECT.RECTANG.PESTE 2500 MM    </t>
  </si>
  <si>
    <t xml:space="preserve">Tubulatura rectangulara din tabla zincata 800x500 mm, inclusiv piese speciale (bride de prindere, </t>
  </si>
  <si>
    <t xml:space="preserve">Tubulatura rectangulara din tabla zincata 800x800 mm, inclusiv piese speciale (bride de prindere, </t>
  </si>
  <si>
    <t xml:space="preserve">Tubulatura rectangulara din tabla zincata 1000x500 mm, inclusiv piese speciale (bride de prindere, </t>
  </si>
  <si>
    <t xml:space="preserve">rezistenti la foc, etc) si izolatie vata minerala bazaltica 30 mm                             </t>
  </si>
  <si>
    <t xml:space="preserve">Tubulatura rectangulara din tabla zincata 1200x800 mm, inclusiv piese speciale (bride de prindere, </t>
  </si>
  <si>
    <t xml:space="preserve">Tubulatura rectangulara din tabla zincata 1600x800 mm, inclusiv piese speciale (bride de prindere, </t>
  </si>
  <si>
    <t>VA01XM       93</t>
  </si>
  <si>
    <t xml:space="preserve">CANALE DREPTE CU GR.DE 0.3-2MM INCLUSIV,CONF.DIN  TB ZN,CU PERIMETRUL SECT.CIRCUL.DE 250-700 MM     </t>
  </si>
  <si>
    <t xml:space="preserve">Tubulatura rigida circulara din tabla zincata O100 mm, inclusiv piese speciale (bride de prindere, </t>
  </si>
  <si>
    <t xml:space="preserve">coturi, teuri, reduc?ii, mansoane, treceri prin pere?i </t>
  </si>
  <si>
    <t xml:space="preserve">rezisten?i la foc, etc) si izolatie vata minerala bazaltica 30 mm                             </t>
  </si>
  <si>
    <t xml:space="preserve">Tubulatura rigida circulara tip tabla zincata O125 mm, inclusiv piese speciale (bride de prindere, </t>
  </si>
  <si>
    <t xml:space="preserve">Tubulatura rigida circulara tip tabla zincata O160 mm, inclusiv piese speciale (bride de prindere, </t>
  </si>
  <si>
    <t xml:space="preserve">Tubulatura rigida circulara tip tabla zincata O200 mm, inclusiv piese speciale (bride de prindere, </t>
  </si>
  <si>
    <t>VA01XN       93</t>
  </si>
  <si>
    <t xml:space="preserve">CANALE DREPTE CU GR.DE 0.3-2MM INCLUSIV,CONF.DIN  TB ZN,CU PERIMETRUL SECT.CIRCUL.DE 700-1600 MM    </t>
  </si>
  <si>
    <t xml:space="preserve">Tubulatura rigida circulara tip tabla zincata O250 mm, inclusiv piese speciale (bride de prindere, </t>
  </si>
  <si>
    <t xml:space="preserve">Tubulatura rigida circulara tip tabla zincata O315 mm, inclusiv piese speciale (bride de prindere, </t>
  </si>
  <si>
    <t xml:space="preserve">Tubulatura rigida circulara tip tabla zincata O500 mm, inclusiv piese speciale (bride de prindere, </t>
  </si>
  <si>
    <t>VA01XO       93</t>
  </si>
  <si>
    <t xml:space="preserve">CANALE DREPTE CU GR.DE 0.3-2MM INCLUSIV,CONF.DIN  TB ZN,CU PERIMETRUL SECT.CIRCUL.DE 1600-2500 MM   </t>
  </si>
  <si>
    <t xml:space="preserve">Tubulatura rigida circulara tip tabla zincata O630 mm, inclusiv piese speciale (bride de prindere, </t>
  </si>
  <si>
    <t xml:space="preserve">Tubulatura rigida circulara tip tabla zincata O710 mm, inclusiv piese speciale (bride de prindere, </t>
  </si>
  <si>
    <t xml:space="preserve">coturi, teuri, reduc?ii, mansoane, treceri prin pereti </t>
  </si>
  <si>
    <t>IZD06A       09</t>
  </si>
  <si>
    <t xml:space="preserve">IZOLAREA CONDUCTELOR CU SALTEA LAMELARA DIN VATA MINERALA CASERATA CU ALUMINIU                      </t>
  </si>
  <si>
    <t>7806608      09</t>
  </si>
  <si>
    <t xml:space="preserve">VATA MINERALA BAZALTICA 30MM                                                                        </t>
  </si>
  <si>
    <t>VA05A        99</t>
  </si>
  <si>
    <t xml:space="preserve">MONT.SANTIER TUB VENTILATIE DIN ALP, GATA CONF.(PL.PLACATE 2 FETE FOLIE AL.) P.SECTIUNE  150-700MM  </t>
  </si>
  <si>
    <t>VB11B        99</t>
  </si>
  <si>
    <t xml:space="preserve">RAMA CIRCULARA, CU JALUZELE FIXE, CU PERIMETRUL:_ 600-1200MM, MONT.PE CANAL, DET. IPCT 61/024       </t>
  </si>
  <si>
    <t xml:space="preserve">R000639        </t>
  </si>
  <si>
    <t xml:space="preserve">GRILA EXTERIOARA, JALUZELE AL SI PLASA SARMA D=100MM                                                </t>
  </si>
  <si>
    <t xml:space="preserve">R000172        </t>
  </si>
  <si>
    <t xml:space="preserve">GRILA EXTERIOARA, JALUZELE AL SI PLASA SARMA D=250MM                                                </t>
  </si>
  <si>
    <t xml:space="preserve">R000640        </t>
  </si>
  <si>
    <t xml:space="preserve">GRILA EXTERIOARA, JALUZELE AL SI PLASA SARMA D=160MM                                                </t>
  </si>
  <si>
    <t>VB04A        99</t>
  </si>
  <si>
    <t xml:space="preserve">CLAPETA CU CONTRAGREUTATE, CU PERIMETRUL:_800-160 0MM, DET. IPCT 60/341                             </t>
  </si>
  <si>
    <t xml:space="preserve">ASIMILAT MONTAJ CLAPET ANTIRETUR                  </t>
  </si>
  <si>
    <t xml:space="preserve">R000641        </t>
  </si>
  <si>
    <t xml:space="preserve">CLAPETA ANTIRETUR D=100MM                                                                           </t>
  </si>
  <si>
    <t xml:space="preserve">R000642        </t>
  </si>
  <si>
    <t xml:space="preserve">CLAPETA ANTIRETUR D=125MM                                                                           </t>
  </si>
  <si>
    <t xml:space="preserve">R000643        </t>
  </si>
  <si>
    <t xml:space="preserve">CLAPETA ANTIRETUR D=160MM                                                                           </t>
  </si>
  <si>
    <t>VB25B        99</t>
  </si>
  <si>
    <t xml:space="preserve">ANEMOSTAT CIRCULAR PLAN - TIP II, DET. IPCT TIP 61/605                                              </t>
  </si>
  <si>
    <t xml:space="preserve">ASIMILAT MONTAJ ANEMOSTAT                         </t>
  </si>
  <si>
    <t xml:space="preserve">R000181        </t>
  </si>
  <si>
    <t xml:space="preserve">ANEMOSTAT ECHIPAT CU PLENUM D=100MM                                                                 </t>
  </si>
  <si>
    <t xml:space="preserve">R000183        </t>
  </si>
  <si>
    <t xml:space="preserve">ANEMOSTAT ECHIPAT CU PLENUM D=160MM                                                                 </t>
  </si>
  <si>
    <t>VB20A        99</t>
  </si>
  <si>
    <t xml:space="preserve">GURA DE REFULARE PE CANAL, CU PERIMETRUL:_600-160 0MM, DET. IPCT  61/405                            </t>
  </si>
  <si>
    <t xml:space="preserve">ASIMILAT MONTAJ GRILE                             </t>
  </si>
  <si>
    <t xml:space="preserve">R000644        </t>
  </si>
  <si>
    <t xml:space="preserve">GRILA LINIARA 1175-1-80, ECHIPATA CU PLENUM                                                         </t>
  </si>
  <si>
    <t xml:space="preserve">R000645        </t>
  </si>
  <si>
    <t xml:space="preserve">GRILA LINIARA 1175-2-80, ECHIPATA CU PLENUM                                                         </t>
  </si>
  <si>
    <t xml:space="preserve">R000646        </t>
  </si>
  <si>
    <t xml:space="preserve">GRILA LINIARA 1175-4-80, ECHIPATA CU PLENUM                                                         </t>
  </si>
  <si>
    <t xml:space="preserve">R000647        </t>
  </si>
  <si>
    <t xml:space="preserve">GRILA LINIARA 1475-4-80, ECHIPATA CU PLENUM                                                         </t>
  </si>
  <si>
    <t xml:space="preserve">R000648        </t>
  </si>
  <si>
    <t xml:space="preserve">DIFUZOARE INDUSTRIALE ALUMINIU,INTROD AER PROASPAT D400                                             </t>
  </si>
  <si>
    <t xml:space="preserve">R000649        </t>
  </si>
  <si>
    <t xml:space="preserve">GRILA LIN DUBLA DEFLEX,AL,EVAC,REG,CIRC 1025/225                                                    </t>
  </si>
  <si>
    <t>VB01A        99</t>
  </si>
  <si>
    <t xml:space="preserve">CLAPETA-FLUTURE REGLARE, MONT.CANAL.CIRCULAR,TIP CFC-I/-II,P.SECT. 800-1600MM, DET.IPCT 60/302-/303 </t>
  </si>
  <si>
    <t xml:space="preserve">R000192        </t>
  </si>
  <si>
    <t xml:space="preserve">CLAPETA DE REGLARE D=100MM ACTIONATA MECANIC                                                        </t>
  </si>
  <si>
    <t xml:space="preserve">R000193        </t>
  </si>
  <si>
    <t xml:space="preserve">CLAPETA DE REGLARE D=125MM ACTIONATA MECANIC                                                        </t>
  </si>
  <si>
    <t xml:space="preserve">R000194        </t>
  </si>
  <si>
    <t xml:space="preserve">CLAPETA DE REGLARE D=160MM ACTIONATA MECANIC                                                        </t>
  </si>
  <si>
    <t xml:space="preserve">R000195        </t>
  </si>
  <si>
    <t xml:space="preserve">CLAPETA DE REGLARE D=200MM ACTIONATA MECANIC                                                        </t>
  </si>
  <si>
    <t>VB23A        99</t>
  </si>
  <si>
    <t xml:space="preserve">GURA DE ABSORBTIE, CU PALETA DE REGLARE SI PLASA SARMA, CU PERIMETRUL: 700-1200MM, DET. IPCT 61/562 </t>
  </si>
  <si>
    <t xml:space="preserve">ASIMILAT GRILA USA                                </t>
  </si>
  <si>
    <t xml:space="preserve">R000650        </t>
  </si>
  <si>
    <t xml:space="preserve">GRILA DE TRANSFER MONTATA IN USA 300X150 MM                                                         </t>
  </si>
  <si>
    <t xml:space="preserve">R000651        </t>
  </si>
  <si>
    <t xml:space="preserve">GRILA DE TRANSFER MONTATA IN USA 300X300 MM                                                         </t>
  </si>
  <si>
    <t xml:space="preserve">R000198        </t>
  </si>
  <si>
    <t xml:space="preserve">GRILA DE TRANSFER MONTATA IN USA 400X200 MM                                                         </t>
  </si>
  <si>
    <t>VB23B        99</t>
  </si>
  <si>
    <t xml:space="preserve">GURA DE ABSORBTIE, CU PALETA DE REGLARE SI PLASA SARMA, CU PERIMETRUL:1201-1600MM, DET. IPCT 61/562 </t>
  </si>
  <si>
    <t xml:space="preserve">R000652        </t>
  </si>
  <si>
    <t xml:space="preserve">GRILA DE TRANSFER MONTATA IN USA 600X400 MM                                                         </t>
  </si>
  <si>
    <t>FE03D2       82</t>
  </si>
  <si>
    <t xml:space="preserve">TEAVA DE CUPRU 25X1,5                                                                               </t>
  </si>
  <si>
    <t xml:space="preserve">Teava Cu 22,2 mm moale izolat, inclusiv piese speciale (bride de prindere, piese de transformare, </t>
  </si>
  <si>
    <t xml:space="preserve">mansoane, treceri prin pereti rezistenti la foc, etc)                                               </t>
  </si>
  <si>
    <t>FE03E2       82</t>
  </si>
  <si>
    <t xml:space="preserve">TEAVA DE CUPRU 42X2 MM                                                                              </t>
  </si>
  <si>
    <t xml:space="preserve">Teava Cu 41,3 mm moale izolat, inclusiv piese speciale (bride de prindere, piese de transformare, </t>
  </si>
  <si>
    <t>VD01B        99</t>
  </si>
  <si>
    <t xml:space="preserve">VERIFICARE-PUNERE IN FUNC. INST.VENTIL./CLIMATIZ./CONDITIONARE AER, &gt;30M TUB., &gt;20 BUC.PIESE SPEC.  </t>
  </si>
  <si>
    <r>
      <t xml:space="preserve">Categorie: 11 </t>
    </r>
    <r>
      <rPr>
        <sz val="10"/>
        <color theme="1"/>
        <rFont val="Calibri"/>
        <family val="2"/>
        <scheme val="minor"/>
      </rPr>
      <t>MONTAJ ECHIPAMENTE VENTILATII</t>
    </r>
  </si>
  <si>
    <t>VB02A1       82</t>
  </si>
  <si>
    <t xml:space="preserve">CLAPETE DE REGL.INCHIDERE ANTIFOC GATA CONFEC.CU  PERIM. 700-1500 MM MONTATE PE CANAL CIRCULAR      </t>
  </si>
  <si>
    <t>Clapet? antifoc circulara O100 mm RF120 min echipat? cu servomotor 24V	buc	6</t>
  </si>
  <si>
    <t>Clapet? antifoc circulara O125 mm RF120 min echipat? cu servomotor 24V	buc	20</t>
  </si>
  <si>
    <t>Clapet? antifoc circulara O250 mm RF120 min echipat? cu servomotor 24V	buc	6</t>
  </si>
  <si>
    <t xml:space="preserve">Clapet? antifoc circulara O315 mm RF120 min echipat? cu servomotor 24V	buc	36                       </t>
  </si>
  <si>
    <t>VB01A1       82</t>
  </si>
  <si>
    <t xml:space="preserve">CLAP.DE REGL.BIF.CONTRA GREUT.ANTIFOC GATA CONFEC.PERIM. 700-1500 MM MONT.PE CANAL RECTANGULARE     </t>
  </si>
  <si>
    <t xml:space="preserve">Clapet? antifoc rectangulara 400x250 mm, RF120 min echipat? cu servomotor 24V	buc	2                 </t>
  </si>
  <si>
    <t>VB01D1       82</t>
  </si>
  <si>
    <t xml:space="preserve">CLAP.DE REGL.BIF.CONTRA GREUT.ANTIFOC GATA CONFEC.PERIM.2501-3200 MM MONT.PE CANAL RECTANGULARE     </t>
  </si>
  <si>
    <t xml:space="preserve">Clapet? antifoc rectangulara 1000x500 mm, RF120 min echipat? cu servomotor 24V	buc	4                </t>
  </si>
  <si>
    <t>VB01F1       82</t>
  </si>
  <si>
    <t xml:space="preserve">CLAP.DE REGL.BIF.CONTRA GREUT.ANTIFOC GATA CONFEC.PERIM.4001-6000 MM MONT.PE CANAL RECTANGULARE     </t>
  </si>
  <si>
    <t xml:space="preserve">Clapet? antifoc rectangulara 1600x800 mm, RF120 min echipat? cu servomotor 24V	buc	2                </t>
  </si>
  <si>
    <t>VC01C1       82</t>
  </si>
  <si>
    <t xml:space="preserve">MONTAREA VENTILATORULUI AXIAL GR.TOTALA 50-200KG                                                    </t>
  </si>
  <si>
    <t xml:space="preserve">Ventilator de extrac?ie de tubulatur? ?100 mm, L=100 m3/h, alimentat conform proiect instalatii </t>
  </si>
  <si>
    <t xml:space="preserve">electrice, 230 V/1 Ph/50 Hz, Pe=50 W, ?p=100 Pa, cu tura?ie </t>
  </si>
  <si>
    <t>variabil?;	buc	4</t>
  </si>
  <si>
    <t xml:space="preserve">Ventilator de extrac?ie de tubulatur? ?125 mm, L=150 m3/h, alimentat conform proiect instalatii </t>
  </si>
  <si>
    <t xml:space="preserve">electrice, 230 V/1 Ph/50 Hz, Pe=75 W, ?p=100 Pa, cu tura?ie </t>
  </si>
  <si>
    <t>variabil?;	buc	1</t>
  </si>
  <si>
    <t xml:space="preserve"> Ventilator de extrac?ie de tubulatur? ?125 mm, L=200 m3/h, alimentat conform proiect instalatii </t>
  </si>
  <si>
    <t xml:space="preserve">electrice, 230 V/1 Ph/50 Hz, Pe=150 W, ?p=100 Pa, cu </t>
  </si>
  <si>
    <t>tura?ie variabil?;	buc	1</t>
  </si>
  <si>
    <t xml:space="preserve">Ventilator de extrac?ie de tubulatur? ?125 mm, L=400 m3/h, alimentat conform proiect instalatii </t>
  </si>
  <si>
    <t xml:space="preserve">electrice, 230 V/1 Ph/50 Hz, Pe=200 W, ?p=100 Pa, cu </t>
  </si>
  <si>
    <t>tura?ie variabil?;	buc	3</t>
  </si>
  <si>
    <t xml:space="preserve">Ventilator de extrac?ie de tubulatur? ?125 mm, L=425 m3/h, alimentat conform proiect instalatii </t>
  </si>
  <si>
    <t>tura?ie variabil?;	buc	2</t>
  </si>
  <si>
    <t xml:space="preserve">Ventilator de extrac?ie de tubulatur? ?125 mm, L=525 m3/h, alimentat conform proiect instalatii </t>
  </si>
  <si>
    <t>FB08A1       82</t>
  </si>
  <si>
    <t xml:space="preserve">GRUP EVAPORATOR SUPERINTENSIV FORMAT DIN 4,6,8 SAU14 PANOURI CU SUPR.TOTALA 1-20,9 MP               </t>
  </si>
  <si>
    <t xml:space="preserve">ASIMILAT MONTAJ CENTRALE TRATARE AER              </t>
  </si>
  <si>
    <t>Centrala de tratare de aer cu montaj de tavan L=5500 m3/h	buc	1</t>
  </si>
  <si>
    <t>Centrala de tratare de aer cu montaj in exterior L=14000 m3/h	buc	2</t>
  </si>
  <si>
    <t xml:space="preserve">Centrala de tratare de aer cu montaj in exterior L=20000 m3/h	buc	1                                 </t>
  </si>
  <si>
    <t>FA03B1       82</t>
  </si>
  <si>
    <t xml:space="preserve">COMPRESOR FRIG VERT RAPID 50001-200000 KCAL/H                                                       </t>
  </si>
  <si>
    <t xml:space="preserve">ASIMILAT MONTAJ UE VRF Qr=106.5 KW, QI=114 KW     </t>
  </si>
  <si>
    <t>TSD01C1      82</t>
  </si>
  <si>
    <t xml:space="preserve">IMPRASTIEREA CU LOPATA A PAMINT.AFINAT,STRAT UNIFORM 10-30CM.GROS CU SFARIM.BULG.TEREN TARE         </t>
  </si>
  <si>
    <t>TSD05A1      82</t>
  </si>
  <si>
    <t xml:space="preserve">SUTE MC   </t>
  </si>
  <si>
    <t xml:space="preserve">COMPACTARE CU MAI.MEC.DE 150-200KG A UMPL.IN STRAT.DE 20-30CM EXCLUSIV UDARE STRAT DIN PAM.NECOEZ.  </t>
  </si>
  <si>
    <r>
      <t xml:space="preserve">Obiect: 02 </t>
    </r>
    <r>
      <rPr>
        <sz val="10"/>
        <color theme="1"/>
        <rFont val="Calibri"/>
        <family val="2"/>
        <scheme val="minor"/>
      </rPr>
      <t>GRADINITA</t>
    </r>
  </si>
  <si>
    <t>de curatire</t>
  </si>
  <si>
    <t xml:space="preserve">RAC.OLANDEZ SI CU COT CU RAC.OLANDEZ, ZN, CU ETANS. PLANA, FILET INT-EXT,D= 3/8" - 1/2"             </t>
  </si>
  <si>
    <t xml:space="preserve">RAC. OLAND. SI CU COT CU RAC. OLAND., ZN, CU ETANS. PLANA, FILET INT-EXT,D= 3/8" - 1/2"             </t>
  </si>
  <si>
    <t xml:space="preserve">SPALAT. SIMPLU PT VASE DIN TB. DE OTEL EMAIL. MONT. PE CONS. FIXATE CU DIBL. LEMN                   </t>
  </si>
  <si>
    <t xml:space="preserve">BAT. AMESTEC. DE PERETE PT. SPALATOR,DIN FONTA SAU ALAMA,AVIND D=1/2 TOLI                           </t>
  </si>
  <si>
    <t xml:space="preserve">racorduri flexibile 1/2"                          </t>
  </si>
  <si>
    <t xml:space="preserve">PENTRU 1 M                                        </t>
  </si>
  <si>
    <r>
      <t xml:space="preserve">Categorie: 05 </t>
    </r>
    <r>
      <rPr>
        <sz val="10"/>
        <color theme="1"/>
        <rFont val="Calibri"/>
        <family val="2"/>
        <scheme val="minor"/>
      </rPr>
      <t>INSTALATIA DE INCALZIRE - CENTRALA TERMICA</t>
    </r>
  </si>
  <si>
    <t>IC11XA       91</t>
  </si>
  <si>
    <t xml:space="preserve">DISTRIBUITOR-COLECTOR MONTAT PE SUSTINATOR GATA CONFECTIONAT,AVIND DIAMETRUL DE PINA LA 100 MM      </t>
  </si>
  <si>
    <t xml:space="preserve">ROB. CU CEP, CU 3 CAI,CU FLANSE, DN=15-20 MM ,CU PRESGARNIT.PTR.INST.DE INCALZ.CENTR.               </t>
  </si>
  <si>
    <t xml:space="preserve">ROB.CU CEP, CU 3 CAI,CU FLANSE, DN=25-50 MM ,CU PRESGARNITURA PTR.INST.DE INCALZ.CENTR.             </t>
  </si>
  <si>
    <t xml:space="preserve">Calorifer din otel, tip panou 22/600x700 complet echipat (robinet termostatabil si cap termosat tur </t>
  </si>
  <si>
    <t xml:space="preserve">pentru calorifere dn15, robinet coltar retur pentru </t>
  </si>
  <si>
    <t>radiatoare dn15, dop de golire, aerisitor, console, suruburi si dibluri);</t>
  </si>
  <si>
    <t>IC48Q1       82</t>
  </si>
  <si>
    <t xml:space="preserve">COMPENSATOR DILAT.FORMA U EXEC.TEAVA OTEL CTII FARA SUD SAU SUD.LONG.D.EXT.=133   MM                </t>
  </si>
  <si>
    <t xml:space="preserve">Compensator de dilatare cu flanse Dn125, pn=6 bar </t>
  </si>
  <si>
    <t>ID03XE       91</t>
  </si>
  <si>
    <t xml:space="preserve">ROBINET CU CEP (CANA),CU MUFE PT.INSTALATIILE DE  INCALZIRE CENTRALA,DIAM.NOMINAL 2 1/2"            </t>
  </si>
  <si>
    <t xml:space="preserve">Robinet cu obturator sferic, cu mufe Dn65         </t>
  </si>
  <si>
    <t>ID06D1       82</t>
  </si>
  <si>
    <t xml:space="preserve">ROBINET CU SERTAR PANA , CU MUFE , PT. INST. INCALZIRE CENTRALA , CU D: 2 1/2''                     </t>
  </si>
  <si>
    <t>Filtru "Y" cu sit? din inox cu mufe Dn65, pn=6 bar</t>
  </si>
  <si>
    <t>ID11E1       82</t>
  </si>
  <si>
    <t xml:space="preserve">ROB.DE FONTA CU VENTIL,CU FILET TIJA LA EXT.CU FLANSE PT.INST.INC.CENTR. CU D: 125 MM               </t>
  </si>
  <si>
    <t xml:space="preserve">Filtru "Y" cu sit? din inox cu flan?e Dn125, pn=6 bar                                               </t>
  </si>
  <si>
    <t>ID14C1       82</t>
  </si>
  <si>
    <t xml:space="preserve">ROBINET DE RETINERE CU VENTIL, DREPT, CU MUFE PT. INST.INCALZ.CENTRALA CU D: 1 1/4''                </t>
  </si>
  <si>
    <t xml:space="preserve">ROBINET DE RETINERE DIN FONTA CU O CLAPA SI FLANSA PT.INST.INCALZ.CENTRALA CU D: 125 MM             </t>
  </si>
  <si>
    <t xml:space="preserve">ARMATURI FINE PT. INCALZIRE CENTRALA: MANOMETRU.                                                    </t>
  </si>
  <si>
    <t xml:space="preserve">ARMATURI FINE PT. INCALZIRE CENTRALA: TERMOMETRU                                                    </t>
  </si>
  <si>
    <t>IA24C1       82</t>
  </si>
  <si>
    <t xml:space="preserve">SUPAPA DE SIGURANTA  DIN ALAMA CU D:1''                                                             </t>
  </si>
  <si>
    <t xml:space="preserve">?eav? o?el 1/2", inclusiv piese speciale (bride de prindere, coturi, teuri, reduc?ii, mansoane, </t>
  </si>
  <si>
    <t xml:space="preserve">treceri prin pere?i rezisten?i la foc, etc)           </t>
  </si>
  <si>
    <t>IC02XC       91</t>
  </si>
  <si>
    <t xml:space="preserve">TEAVA OL NEAGRA FARA SUD./SUD LONG.PT.CONST.MONT. SUD.LA INST.INCAL.CENTR,D= 102X4 - 146X5 MM       </t>
  </si>
  <si>
    <t xml:space="preserve">?eav? o?el 5", inclusiv piese speciale (bride de prindere, coturi, teuri, reduc?ii, mansoane, </t>
  </si>
  <si>
    <t xml:space="preserve">R000130        </t>
  </si>
  <si>
    <t xml:space="preserve">IZOLATIE VATA MINERALA, FOLIE DE ALUMINIU 1 1/2", G=30MM                                            </t>
  </si>
  <si>
    <t xml:space="preserve">R000135        </t>
  </si>
  <si>
    <t xml:space="preserve">IZOLATIE VATA MINERALA, FOLIE DE ALUMINIU 125 MM, G=30M                                             </t>
  </si>
  <si>
    <t xml:space="preserve">RAMA RECT. CU JALUZ.FIXE, CU PERIM.:1200-2500MM, MONT.PE ZIDARIE, DET. IPCT 61/013                  </t>
  </si>
  <si>
    <t xml:space="preserve">RAMA RECTANG.CU JALUZ. FIXE, CU PERIM.:1200-2500MM, MONT.PE ZIDARIE, DET. IPCT 61/013               </t>
  </si>
  <si>
    <t xml:space="preserve">SPALAREA CU APA POTABILA A INST.INT.DE INCALZ.CENTRALA SUPR.TOTALA A CORPURILOR 101-200 MP          </t>
  </si>
  <si>
    <r>
      <t xml:space="preserve">Categorie: 06 </t>
    </r>
    <r>
      <rPr>
        <sz val="10"/>
        <color theme="1"/>
        <rFont val="Calibri"/>
        <family val="2"/>
        <scheme val="minor"/>
      </rPr>
      <t>MONTAJ ECHIPAMENTE C.T.</t>
    </r>
  </si>
  <si>
    <t>IA14C        99</t>
  </si>
  <si>
    <t xml:space="preserve">CAZAN PREP.AGENT TERMIC PTR.INCALZ.DE OTEL,MONOBLOC,AVAND PUTERE CALORICA  131-210 KW               </t>
  </si>
  <si>
    <t>Centrala termica murala în condensatie ce functioneaza cu combustibil gazos, cu tiraj fortat, Qi=</t>
  </si>
  <si>
    <t xml:space="preserve">150 kW (50/30°C), Qi=136 kW (80/60°C), 230V/50Hz/1Ph, </t>
  </si>
  <si>
    <t xml:space="preserve">Pe=222 W, IP X4D, complet echipata cu kit de evacuare gaze arse, pompa de circulatie de înalta </t>
  </si>
  <si>
    <t xml:space="preserve">eficienta cu turatie variabila, robineti sferici, teu cu </t>
  </si>
  <si>
    <t xml:space="preserve">robinet sferic, supapa unisens, robinet pentru umplerea si golirea cazanului, supapa de siguranta, </t>
  </si>
  <si>
    <t xml:space="preserve">robinet de gaz cu robinet de închidere termica de </t>
  </si>
  <si>
    <t>siguranta (încorporat), termoizolatie, vas de expansiune închis;</t>
  </si>
  <si>
    <t>IA17B        99</t>
  </si>
  <si>
    <t xml:space="preserve">BOILER VERTICAL MONTAT PE PARDOSEALA CU CAPACIT.DE 350-800 L                                        </t>
  </si>
  <si>
    <t>Boiler cu o serpentina si rezistenta electrica 2,0 kW, V=800 litri, Dxh 880x1785 mm, productie a.c.</t>
  </si>
  <si>
    <t xml:space="preserve">m. 955 litri/ora (la 60°C);                        </t>
  </si>
  <si>
    <t xml:space="preserve">GRUP DE RACIREA LICHID. COMPACT CU CAPACIT. FRIG. PINA LA 200001-500000 KCAL/H                      </t>
  </si>
  <si>
    <t xml:space="preserve">Agregat pentru producere apa racita 7/12 °C cu capacitatea frigorifica de racire 261 kW, echipat cu </t>
  </si>
  <si>
    <t xml:space="preserve">kit hidraulic, 400V/3Ph/50Hz, Pe max=129 kW, Imax= 230 </t>
  </si>
  <si>
    <t xml:space="preserve">A, lxaxh 2410x2255x2300 mm, 1670 kg;       </t>
  </si>
  <si>
    <t xml:space="preserve">Vas de expansiune închis încalzire, V=200 litri, Oxh 600x1100 mm, racord 1", presiune maxim? de </t>
  </si>
  <si>
    <t>lucru 10 bar;	buc	1</t>
  </si>
  <si>
    <t xml:space="preserve">Vas expansiune inchis sanitar V=50 litri	buc	2                                     </t>
  </si>
  <si>
    <t>IA39C1       82</t>
  </si>
  <si>
    <t xml:space="preserve">REDUCTOR PRESIUNE PT.INSTAL.INCALZ.CU RACORD DE:  80MM                                              </t>
  </si>
  <si>
    <t xml:space="preserve">Butelie de egalizare a presiunii având diametrul D 273x6,3 (Dn250), înaltime h 1,4 m, racord Dn80, </t>
  </si>
  <si>
    <t xml:space="preserve">echipata cu robinet de golire si vana de aerisire </t>
  </si>
  <si>
    <t xml:space="preserve">automata;                                        </t>
  </si>
  <si>
    <t xml:space="preserve">POMPA CIRC. (RECIRC.) MONT. PE COND. EXISTENTA PRIN INSURUB. AVAND DIAM.PESTE 1"                    </t>
  </si>
  <si>
    <t xml:space="preserve">mCA ?i debitul G= 1,6 m3/h, 230V/1Ph/50Hz, Pe=150 W, </t>
  </si>
  <si>
    <t>racord Dn40, tura?ie 800-3400 rpm, debit maxim 7,0 m3/h, în?l?imea maxim? de pompare 10 mCA;	buc	1</t>
  </si>
  <si>
    <t>pompare H=7,5 mCA ?i debitul G= 5,0 m3/h, 230V/1Ph/50Hz, Pe=200</t>
  </si>
  <si>
    <t>W, racord Dn50, tura?ie 800-3400 rpm, debit maxim 7,0 m3/h, în?l?imea maxim? de pompare 10 mCA;</t>
  </si>
  <si>
    <t xml:space="preserve">Pomp? de circula?ie circuit înc?lzire cu calorifere, cu tura?ie variabil? având în?l?imea de </t>
  </si>
  <si>
    <t>pompare H=4,5 mCA ?i debitul G= 1,5 m3/h, 230V/1Ph/50Hz, Pe=100</t>
  </si>
  <si>
    <t>W, racord Dn32, tura?ie 800-3400 rpm, debit maxim 7,0 m3/h, în?l?imea maxim? de pompare 10 mCA;</t>
  </si>
  <si>
    <t xml:space="preserve"> Pomp? de circula?ie circuit baterie de înc?lzire CTA, cu tura?ie variabil? având în?l?imea de </t>
  </si>
  <si>
    <t>pompare H=5 mCA ?i debitul G= 2,0 m3/h, 230V/1Ph/50Hz, Pe=200</t>
  </si>
  <si>
    <t xml:space="preserve">11 mCA ?i debitul G= 16,5 m3/h, 230V/1Ph/50Hz, Pe=500 W, </t>
  </si>
  <si>
    <t>racord Dn80, tura?ie 800-3400 rpm, debit maxim 20,0 m3/h, în?l?imea maxim? de pompare 20 mCA;	buc	1</t>
  </si>
  <si>
    <t xml:space="preserve">Pomp? de circula?ie circuit grinzi de r?cire, cu tura?ie variabil? având în?l?imea de pompare H=5,5 </t>
  </si>
  <si>
    <t xml:space="preserve">mCA ?i debitul G= 13 m3/h, 230V/1Ph/50Hz, Pe=500 W, </t>
  </si>
  <si>
    <t>racord Dn80, tura?ie 800-3400 rpm, debit maxim 20,0 m3/h, în?l?imea maxim? de pompare 20 mCA	buc	1</t>
  </si>
  <si>
    <t xml:space="preserve">Pomp? de circula?ie circuit baterie de r?cire CTA, cu tura?ie variabil? având în?l?imea de pompare </t>
  </si>
  <si>
    <t xml:space="preserve">H=7,5 mCA ?i debitul G= 9,6 m3/h, 230V/1Ph/50Hz, Pe=500 </t>
  </si>
  <si>
    <t>W, racord Dn80, tura?ie 800-3400 rpm, debit maxim 15,0 m3/h, în?l?imea maxim? de pompare 10 mCA;</t>
  </si>
  <si>
    <t xml:space="preserve">Pompa circulatie agent termic circuit racire vas de acumulare-distribuitor cu tura?ie variabil? </t>
  </si>
  <si>
    <t xml:space="preserve">având în?l?imea de pompare H=15 mCA ?i debitul G=45,0 m3/h, </t>
  </si>
  <si>
    <t xml:space="preserve">cu turatie variabila,230V/1Ph/50Hz, Pe=200 W, racord Dn125, tura?ie 800-3400 rpm, debit maxim 50,0 </t>
  </si>
  <si>
    <t>m3/h, în?l?imea maxim? de pompare 20 mCA;	buc	1</t>
  </si>
  <si>
    <t>Statie de dedurizare cu saramura având debitul de 1,2 m3/h;</t>
  </si>
  <si>
    <r>
      <t xml:space="preserve">Categorie: 07 </t>
    </r>
    <r>
      <rPr>
        <sz val="10"/>
        <color theme="1"/>
        <rFont val="Calibri"/>
        <family val="2"/>
        <scheme val="minor"/>
      </rPr>
      <t>INCALZIRE CU CORPURI STATICE (CALORIFERE)</t>
    </r>
  </si>
  <si>
    <t xml:space="preserve">Calorifer din otel, tip panou 33/600-400 complet echipat (robinet termostatabil si cap termosat tur </t>
  </si>
  <si>
    <t xml:space="preserve">Calorifer din otel, tip panou 33/600-1200 complet echipat (robinet termostatabil si cap termosat </t>
  </si>
  <si>
    <t>Termostat ambiental wireless</t>
  </si>
  <si>
    <t xml:space="preserve">ROBINET CU CEP (CANA),CU MUFE PT.INST. DE  INCALZIRE CENTRALA,DIAM.NOMINAL 3/8"-1/2"                </t>
  </si>
  <si>
    <t xml:space="preserve">SUPAPA DE BLOCARE CU MUFE,MONT. PE CONDUCTE DE  GAZE,AVIND DIAMETRUL NOMINAL DE 1/2"-3/4"           </t>
  </si>
  <si>
    <t>EFECT. PROBEI DE ETANSEITATE LA PRES.A COND.DE ALIMENTARE A APARATELOR DE INCALZ.CU DIAM. 3/8"...1''</t>
  </si>
  <si>
    <t>vana cu 3 cai, clapeta de sens, cu 6 racorduri, electrovane</t>
  </si>
  <si>
    <t>vana cu 3 cai, clapeta de sens, cu 8 racorduri, electrovane</t>
  </si>
  <si>
    <t xml:space="preserve">vana cu 3 cai, clapeta de sens, cu 13 racorduri, </t>
  </si>
  <si>
    <t xml:space="preserve">BANDA PERIMETRALA AUTOADEZIVA 120 X 8 MM PT. SISTEM PEX DE INCALZIRE IN PARDOSEALA                  </t>
  </si>
  <si>
    <t xml:space="preserve">SUPORT PENTRU TUBULATURA DE INCALZIRE PRIN PARDOSEALA: PLACA POLISTIREN CU NUTURI                   </t>
  </si>
  <si>
    <t xml:space="preserve">ROBINET CU CEP (CANA),CU MUFE PT.INSTAL. DE  INCALZ. CENTRALA,DIAM.NOMINAL 3/8"-1/2"                </t>
  </si>
  <si>
    <t xml:space="preserve">SUPAPA DE BLOCARE CU MUFE,MONTATA PE CONDUCTE DE  GAZE,AVIND DIAM. NOM.DE 1/2"-3/4"                 </t>
  </si>
  <si>
    <t xml:space="preserve">EFECT. PROB. DE FUNCT. A INSTALATIEI DE APA RECE, CU COND.OL.PT.INSTAL.,ZN, D=3/8" - 2"             </t>
  </si>
  <si>
    <t xml:space="preserve">ASIMILAT MONTAJ VENTILOCONVECTOARE+GRINDA RACIRE  </t>
  </si>
  <si>
    <t xml:space="preserve"> VENTILOCONVECTOR 2 TEVI TIP CASETA QR=4,5 KW,ECHIPAT                                               </t>
  </si>
  <si>
    <t xml:space="preserve">VENTILOCONVECTOR 2 TEVI TIP CASETA QR=5,0 KW,ECHIP                                                  </t>
  </si>
  <si>
    <t xml:space="preserve">R000145        </t>
  </si>
  <si>
    <t xml:space="preserve">IZOLATIE TERMICA K-FLEX (BARA 2 M) 9 X 89 MM                                                        </t>
  </si>
  <si>
    <t xml:space="preserve">Izolatie vata minerala bazaltica cu protectie UV OL 2 1/2", Dn65	ml	35                              </t>
  </si>
  <si>
    <t>ID07B2       82</t>
  </si>
  <si>
    <t xml:space="preserve">ROBINET FONTA,SERTAR,FLANSE,PT.INSTALATII INCALZIRE CENTRALA,CORP PLAT SAU OVAL CU D:  65 MM        </t>
  </si>
  <si>
    <t xml:space="preserve">COMPRESOR FRIG VERT LENT 20000-50000 KCAL/H                                                         </t>
  </si>
  <si>
    <t xml:space="preserve">ASIMILAT MONTAJ UI SAU UE                         </t>
  </si>
  <si>
    <t xml:space="preserve">UI, AER CONDITIONAT DE PUTERE REGIM PERMANENT QR=3,5 KW                                             </t>
  </si>
  <si>
    <t xml:space="preserve">UE, QR=3,5 KW, DEBIT AER PE 9/12 5/12 MC/MIN,R 32, 230V                                             </t>
  </si>
  <si>
    <t>mansoane, treceri prin pere?i rezisten?i la foc, etc)</t>
  </si>
  <si>
    <t xml:space="preserve">IZOLAREA CU BETE DIN POSTAV A CONDUCTELOR CU DIAMETRUL PINA LA UN TOL (1")                          </t>
  </si>
  <si>
    <t xml:space="preserve">Montaj izolatie cu vata minerala bazaltica cu protectie UV                                          </t>
  </si>
  <si>
    <t xml:space="preserve">IZOLATIE VATA MINERALA BAZALTICA CU PROTECTIE UV CU6,35                                             </t>
  </si>
  <si>
    <t xml:space="preserve">PROBA PNEUMATICA A CONDUCTELOR SI ARMATURILOR PENTRU AMONIAC CU DIAMETRUL NOMINAL 5-30              </t>
  </si>
  <si>
    <t xml:space="preserve"> ASIMILAT proba de punere in functiune            </t>
  </si>
  <si>
    <t xml:space="preserve">Tubulatura rectangulara din tabla zincata 250x200 mm, inclusiv piese speciale (bride de prindere, </t>
  </si>
  <si>
    <t xml:space="preserve">Tubulatura rectangulara din tabla zincata 300x200 mm, inclusiv piese speciale (bride de prindere, </t>
  </si>
  <si>
    <t xml:space="preserve">rezisten?i la foc, etc) si izolatie vata minerala bazaltica 30 mm                              </t>
  </si>
  <si>
    <t xml:space="preserve">Tubulatura rectangulara din tabla zincata 400x200 mm, inclusiv piese speciale (bride de prindere, </t>
  </si>
  <si>
    <t xml:space="preserve">Tubulatura rectangulara din tabla zincata 500x200 mm, inclusiv piese speciale (bride de prindere, </t>
  </si>
  <si>
    <t xml:space="preserve">Tubulatura rectangulara din tabla zincata 500x250 mm, inclusiv piese speciale (bride de prindere, </t>
  </si>
  <si>
    <t xml:space="preserve">Tubulatura rectangulara din tabla zincata 600x200 mm, inclusiv piese speciale (bride de prindere, </t>
  </si>
  <si>
    <t xml:space="preserve">Tubulatura rectangulara din tabla zincata 600x250 mm, inclusiv piese speciale (bride de prindere, </t>
  </si>
  <si>
    <t xml:space="preserve">Tubulatura rectangulara din tabla zincata 600x300 mm, inclusiv piese speciale (bride de prindere, </t>
  </si>
  <si>
    <t xml:space="preserve">Tubulatura rectangulara din tabla zincata 900x900 mm, inclusiv piese speciale (bride de prindere, </t>
  </si>
  <si>
    <t xml:space="preserve">Tubulatura rectangulara din tabla zincata 1200x1200 mm, inclusiv piese speciale (bride de prindere, </t>
  </si>
  <si>
    <t xml:space="preserve">rezisten?i la foc, etc) si izolatie vata minerala bazaltica 30 mm                            </t>
  </si>
  <si>
    <t xml:space="preserve">7806608        </t>
  </si>
  <si>
    <t xml:space="preserve">RAMA CIRCUL CU JALUZELE FIXE, CU PERIM_ 600-1200MM, MONT.PE CANAL, DET. IPCT 61/024                 </t>
  </si>
  <si>
    <t xml:space="preserve">CLAPETA CU CONTRAGREUTATE, CU PERIMETRUL:_800-1600MM, DET. IPCT 60/341                              </t>
  </si>
  <si>
    <t xml:space="preserve">R000175        </t>
  </si>
  <si>
    <t xml:space="preserve">CLAPETA ANTIRETUR DN 315 MM                                                                         </t>
  </si>
  <si>
    <t xml:space="preserve">R000182        </t>
  </si>
  <si>
    <t xml:space="preserve">ANEMOSTAT ECHIPAT CU PLENUM DN 125 MM                                                               </t>
  </si>
  <si>
    <t xml:space="preserve">GURA DE REFULARE PE CANAL, CU PERIM._600-160 0MM, DET. IPCT  61/405                                 </t>
  </si>
  <si>
    <t xml:space="preserve">ASIMILAT MONTAJ GRILE LINIARE                     </t>
  </si>
  <si>
    <t xml:space="preserve">RO00644        </t>
  </si>
  <si>
    <t xml:space="preserve">CLAPETA FLUTURE REGLARE,MONT.CANAL.CIRCULAR,TIP CFC-I/-II,P.SECT. 800-1600MM, DET.IPCT 60/302-/303  </t>
  </si>
  <si>
    <t xml:space="preserve">GURA ABSORB. CU PALETA DE REGLARE SI PLASA SARMA, CU PERIM.700-1200MM,DET.IPCT61/562                </t>
  </si>
  <si>
    <t>VB33A1       82</t>
  </si>
  <si>
    <t xml:space="preserve">CACIULA DE PROTECTIE PE CANALE CIRCULARE CU PERIM DE  250- 400 MM GATA CONFECTIONAT. DET TIP 61/020 </t>
  </si>
  <si>
    <t xml:space="preserve">5775325        </t>
  </si>
  <si>
    <t xml:space="preserve">CACIULA PT.CANAL AER CIRCULAR    D= 100      TIP 60/020                                             </t>
  </si>
  <si>
    <t xml:space="preserve">5775349        </t>
  </si>
  <si>
    <t xml:space="preserve">CACIULA PT.CANAL AER CIRCULAR    D= 125      TIP 60/020                                             </t>
  </si>
  <si>
    <t>VB33C1       82</t>
  </si>
  <si>
    <t xml:space="preserve">CACIULA DE PROTECTIE PE CANALE CIRCULARE CU PERIM DE  701-1600 MM GATA CONFECTIONAT. DET TIP 61/020 </t>
  </si>
  <si>
    <r>
      <t xml:space="preserve">Categorie: 11 </t>
    </r>
    <r>
      <rPr>
        <sz val="10"/>
        <color theme="1"/>
        <rFont val="Calibri"/>
        <family val="2"/>
        <scheme val="minor"/>
      </rPr>
      <t>MONTAJ ECHIP.VENTILARE</t>
    </r>
  </si>
  <si>
    <t>variabil?;	buc	10</t>
  </si>
  <si>
    <t xml:space="preserve">Ventilator de extrac?ie de tubulatur? ?100 mm, L=125 m3/h, alimentat conform proiect instalatii </t>
  </si>
  <si>
    <t>variabil?;	buc	14</t>
  </si>
  <si>
    <t xml:space="preserve">Ventilator de extrac?ie de tubulatur? ?125 mm, L=200 m3/h, alimentat conform proiect instalatii </t>
  </si>
  <si>
    <t>electrice, 230 V/1 Ph/50 Hz, Pe=150 W, ?p=100 Pa, cu tura?ie</t>
  </si>
  <si>
    <t>variabil?;	buc	2</t>
  </si>
  <si>
    <t xml:space="preserve">Ventilator de extrac?ie de tubulatur? ?125 mm, L=325 m3/h, alimentat conform proiect instalatii </t>
  </si>
  <si>
    <t xml:space="preserve">Ventilator de extrac?ie de tubulatur? ?315 mm, L=1300 m3/h, alimentat conform proiect instalatii </t>
  </si>
  <si>
    <t xml:space="preserve">electrice, 230 V/1 Ph/50 Hz, Pe=500 W, ?p=100 Pa, cu </t>
  </si>
  <si>
    <t xml:space="preserve">tura?ie variabil?;	buc	2                 </t>
  </si>
  <si>
    <t xml:space="preserve">GR.EVAP.SUPERINTENSIV FORM.DIN 4,6,8 SAU14 PAN. CU SUPR.TOTALA 1-20,9 MP                            </t>
  </si>
  <si>
    <t>Centrala de tratare de aer cu montaj in exterior L=14000 m3/h	buc	1</t>
  </si>
  <si>
    <r>
      <t xml:space="preserve">Obiect: 03 </t>
    </r>
    <r>
      <rPr>
        <sz val="10"/>
        <color theme="1"/>
        <rFont val="Calibri"/>
        <family val="2"/>
        <scheme val="minor"/>
      </rPr>
      <t>SPATII COMUNE (POMPE REZ. APA)</t>
    </r>
  </si>
  <si>
    <r>
      <t xml:space="preserve">Categorie: 02 </t>
    </r>
    <r>
      <rPr>
        <sz val="10"/>
        <color theme="1"/>
        <rFont val="Calibri"/>
        <family val="2"/>
        <scheme val="minor"/>
      </rPr>
      <t>INSTALATII SANITARE</t>
    </r>
  </si>
  <si>
    <t>SD19XC       91</t>
  </si>
  <si>
    <t xml:space="preserve">RACORD FIX PENTRU STINS INCENDIU AVIND DIAMETRUL  NOMINAL DE 4" TIP A                               </t>
  </si>
  <si>
    <t>SD19XB       91</t>
  </si>
  <si>
    <t xml:space="preserve">RACORD FIX PENTRU STINS INDENDIU AVIND DIAMENTRUL NOMINAL DE 2 1/2" TIP B                           </t>
  </si>
  <si>
    <t>ACE01XA      93</t>
  </si>
  <si>
    <t xml:space="preserve">HIDRANT SUBTERAN DE INCENDIU AVAND DIAM 65-100MM                                                    </t>
  </si>
  <si>
    <t>SA27F        99</t>
  </si>
  <si>
    <t xml:space="preserve">TEAVA DIN MATERIAL PLASTIC(PE,PP,PP-R)SUDURA CAP LA CAP,IN CANALE DE DISTANTA, D=110MM              </t>
  </si>
  <si>
    <t xml:space="preserve">ASMIMILAT                                         </t>
  </si>
  <si>
    <t>SA27E        99</t>
  </si>
  <si>
    <t xml:space="preserve">TEAVA DIN MATERIAL PLASTIC(PE,PP,PP-R)SUDURA CAP LA CAP,IN CANALE DE DISTANTA, D= 90MM              </t>
  </si>
  <si>
    <t>ACB04XE      93</t>
  </si>
  <si>
    <t xml:space="preserve">TEAVA DIN OTEL NEAGRA SAU ZINCATA PT COND MONT IN PAMANT IMBINATA PRIN INSUR.DIAM (TOLI) 4"         </t>
  </si>
  <si>
    <t xml:space="preserve">Montare teava de otel galvanizata pentru instalatii la hidranti interiori - Dn 4 ", inclusiv </t>
  </si>
  <si>
    <t xml:space="preserve">procurarerea tevilor si fitingurilor (mufe de racord, </t>
  </si>
  <si>
    <t>coturi,teuri, bratari de prindere, grund vopsea)</t>
  </si>
  <si>
    <t xml:space="preserve">Montare teava de otel galvanizata pentru instalatii la hidranti interiori - Dn 3 ", inclusiv </t>
  </si>
  <si>
    <t>IC11XB       91</t>
  </si>
  <si>
    <t xml:space="preserve">DISTRIBUITOR-COLECTOR MONTAT PE SUSTINATOR GATA CONFECTIONAT,AVIND DIAMETRUL DE 102 - 150 MM        </t>
  </si>
  <si>
    <t xml:space="preserve">Confectionare si montare corp distribuitor hidranti interiori din conducta otel zincata Dn 6", </t>
  </si>
  <si>
    <t xml:space="preserve">avand racord manometru, racord golire 1/2"             </t>
  </si>
  <si>
    <t xml:space="preserve">Confectionare si montare corp distribuitor hidranti interiori din conducta otel zincata Dn 8", </t>
  </si>
  <si>
    <t>SD13XC       91</t>
  </si>
  <si>
    <t xml:space="preserve">SORB SIMPLU CU FLANSA,PT.CONDUCTE DE ASPIRATIE CU DIAMETRUL DE 125 SI 150 MM                        </t>
  </si>
  <si>
    <t>SD13XB       91</t>
  </si>
  <si>
    <t xml:space="preserve">SORB SIMPLU CU FLANSA,PT.CONDUCTE DE ASPIRATIE CU DIAMETRUL DE 80 SI 100 MM                         </t>
  </si>
  <si>
    <t>SD10XC       93</t>
  </si>
  <si>
    <t xml:space="preserve">ROBINET CU COLT CU VENTIL SI PLUTITOR SAU ROBINET DE RETINERE CU VENTIL DREPT CU DIAM. 80...100 MM  </t>
  </si>
  <si>
    <t xml:space="preserve">ASIMILAT ROBINET PLUTITOR                         </t>
  </si>
  <si>
    <t>VC23XB       93</t>
  </si>
  <si>
    <t xml:space="preserve">PREAPLIN+PIESA TRECERE ETANSE PRIN PERETE BETON CUFLANSE OL+MANSOANE TV.NG.PT.COND.D=76X3-108X4 MM  </t>
  </si>
  <si>
    <t>ATB04XA      93</t>
  </si>
  <si>
    <t xml:space="preserve">MONTAREA TRADUCTOARELOR DE NIVEL PE PRIZE DE NIVELEXISTENTE TRADUCTOARE DE NIVEL CU CAPSULA         </t>
  </si>
  <si>
    <t>SD11XB       91</t>
  </si>
  <si>
    <t>ROBINET CU SERTAR CORP PLAT SAU OVAL,ROB.CU VENT. FILET TIJA EXT.DIN FONTA FLANSA AVIND DIAM.50-64MM</t>
  </si>
  <si>
    <t>SD11XC       91</t>
  </si>
  <si>
    <t>ROBINET SERTAT CORP PLAT SAU OVAL,ROB.VENTIL CU FILET TIJA EXT.DIN FONTA FLANSA AVIND DIAM.80-100 MM</t>
  </si>
  <si>
    <t>SD11XD       91</t>
  </si>
  <si>
    <t>ROBINET CU SERTAR CORP PLAT SAU OVAL,ROB.VENT.FIL.TIJA EXT.DIN FONTA CU FLANSA AVIND DIAM.125 SI 150</t>
  </si>
  <si>
    <t>SD10XB       91</t>
  </si>
  <si>
    <t xml:space="preserve">ROBINET DE TRECERE CU VENTIL SI MUFE,AVIND DIAM.  DE 3/4" SI 1"                                     </t>
  </si>
  <si>
    <t xml:space="preserve">Vana de golire                                    </t>
  </si>
  <si>
    <t>SD10XF       91</t>
  </si>
  <si>
    <t xml:space="preserve">ROBINET DE TRECERE CU VENTIL SI MUFE AVIND DIAM.  DE 3"                                             </t>
  </si>
  <si>
    <t>SD10XG       91</t>
  </si>
  <si>
    <t xml:space="preserve">ROBINET DE TRECERE CU VENTIL SI MUFE AVIND DIAM.  DE 4"                                             </t>
  </si>
  <si>
    <t>IA18B        99</t>
  </si>
  <si>
    <t xml:space="preserve">HIDROMETRU SAU MANOMETRU CU ROBINET DE CONTROL                                                      </t>
  </si>
  <si>
    <t>SF05D        99</t>
  </si>
  <si>
    <t xml:space="preserve">SPALAREA INSTALATIEI DE APA, EXECUTATA DIN TEAVA DE MATERIAL PLASTIC (PVC-G,PE,PP,PP-R), D=90-110MM </t>
  </si>
  <si>
    <t>SF01C        99</t>
  </si>
  <si>
    <t xml:space="preserve">EFECTUAREA PROBEI DE ETANSEITATE LA PRESIUNE A INSTAL. APA, EXEC.CU COND.PVC D=16-110MM             </t>
  </si>
  <si>
    <t>SF01B        99</t>
  </si>
  <si>
    <t xml:space="preserve">EFECTUAREA PROBEI DE ETANSEITATE LA PRESIUNE A INSTAL. APA, EXEC.CU COND.OL.PT.INSTAL,ZN., 2 1/2-4" </t>
  </si>
  <si>
    <t>SA27D        99</t>
  </si>
  <si>
    <t xml:space="preserve">TEAVA DIN MATERIAL PLASTIC(PE,PP,PP-R)SUDURA CAP LA CAP,IN CANALE DE DISTANTA, D= 75MM              </t>
  </si>
  <si>
    <t xml:space="preserve">R000573        </t>
  </si>
  <si>
    <t xml:space="preserve">CONTOR APA 3"                                                                                       </t>
  </si>
  <si>
    <t xml:space="preserve">R000574        </t>
  </si>
  <si>
    <t xml:space="preserve">CONTOR APA 2 1/2"                                                                                   </t>
  </si>
  <si>
    <t xml:space="preserve">R000575        </t>
  </si>
  <si>
    <t xml:space="preserve">CONTOR APA 2"                                                                                       </t>
  </si>
  <si>
    <t>VC23XC       93</t>
  </si>
  <si>
    <t xml:space="preserve">PREAPLIN+PIESA TRECERE ETANSE PRIN PERETE BETON CUFLANSE OL+MANSOANE TV.NG.PT.COND.D=136X4-273X8 MM </t>
  </si>
  <si>
    <r>
      <t xml:space="preserve">Categorie: 03 </t>
    </r>
    <r>
      <rPr>
        <sz val="10"/>
        <color theme="1"/>
        <rFont val="Calibri"/>
        <family val="2"/>
        <scheme val="minor"/>
      </rPr>
      <t>MONTAJ ECHIPAMENTE INSTALATII SANITARE</t>
    </r>
  </si>
  <si>
    <t>SE55A        99</t>
  </si>
  <si>
    <t xml:space="preserve">GRUP COMPACT DE RIDIC. A PRES. SI DE POMPARE (ELECTROPOMPA,RECIPIENT HIDROPNEUMATIC)                </t>
  </si>
  <si>
    <t>"Grup de pompare pentru instalatia cu hidranti de incendiu interiori:-pompa de baza : Q=15.0mc/h; H=</t>
  </si>
  <si>
    <t>70mCA; N=7.5kW ;-pompa de rezerva : Q=15.0mc/h; H=70mCA;</t>
  </si>
  <si>
    <t>N=7.5kW;-pompa pilot : Q=2.2mc/h; H=55mCA; N=1.1kW;"	buc	1</t>
  </si>
  <si>
    <t>"Grup de pompare pentru instalatia cu hidranti de incendiu exteriori:-pompa de baza : Q=20 l/s; H=</t>
  </si>
  <si>
    <t xml:space="preserve">55mCA; N=15kW ;-pompa de rezerva : Q=20 l/s; H=55mCA; </t>
  </si>
  <si>
    <t>N=15kW;-pompa pilot : Q=3.0l/s; H=65,0mCA; N=1.55kW;"	buc	1</t>
  </si>
  <si>
    <t>"Grup de pompare pentru apa potabila compus din:-2 x pompa de baza : Q=1.1 l/s; H=40mCA; N=7.5kW ;-</t>
  </si>
  <si>
    <t xml:space="preserve">pompa de rezerva : Q=1.1 l/s; H=40mCA; N=7.5kW;"	buc	1              </t>
  </si>
  <si>
    <t>Vas de expansiune cu membrana sub presiune, V=200 l</t>
  </si>
  <si>
    <t>SE49A        99</t>
  </si>
  <si>
    <t xml:space="preserve">RECIPIENT PT.HIDROFOR, DIN TABLA DE OTEL, MONTAT PE FUNDATIE, CAPACITATE 160L SAU 250L              </t>
  </si>
  <si>
    <t xml:space="preserve">ASIMILAT MONATJ                                   </t>
  </si>
  <si>
    <t xml:space="preserve">Recipient de hidrofor cu membrana sub presiune, V=300 l                                             </t>
  </si>
  <si>
    <t xml:space="preserve">ROB. CU CEP, CU 3 CAI,CU FLANSE, DN=65-125 MM ,CU PRESGARNITURA PTR.INST.DE INCALZIRE CENTRALA      </t>
  </si>
  <si>
    <t xml:space="preserve">Electrovana DN80                                  </t>
  </si>
  <si>
    <t>SE52B        99</t>
  </si>
  <si>
    <t xml:space="preserve">POMPA MANUALA CU CLAPE (ALLWEILER)MONTATA PE PERETE, AVIND DIAMETRUL DE 1" - 1 1/4"                 </t>
  </si>
  <si>
    <t xml:space="preserve">Pompa submersibila, montata in basa,Q=1.1 l/s; H=10mCA; N=2kW                                       </t>
  </si>
  <si>
    <t>SE49C        99</t>
  </si>
  <si>
    <t xml:space="preserve">RECIPIENT PT.HIDROFOR, DIN TABLA DE OTEL, MONTAT PE FUNDATIE, CAPACITATE 630L SAU 800 L             </t>
  </si>
  <si>
    <t xml:space="preserve">Recipient de hidrofor cu membrana sub presiune, V=750 l                                             </t>
  </si>
  <si>
    <r>
      <t xml:space="preserve">Obiect: 04 </t>
    </r>
    <r>
      <rPr>
        <sz val="10"/>
        <color theme="1"/>
        <rFont val="Calibri"/>
        <family val="2"/>
        <scheme val="minor"/>
      </rPr>
      <t>AMENAJARI EXTERIOARE</t>
    </r>
  </si>
  <si>
    <r>
      <t xml:space="preserve">Categorie: 01 </t>
    </r>
    <r>
      <rPr>
        <sz val="10"/>
        <color theme="1"/>
        <rFont val="Calibri"/>
        <family val="2"/>
        <scheme val="minor"/>
      </rPr>
      <t>ARHITECTURA INCINTA GRADINITA</t>
    </r>
  </si>
  <si>
    <t>CO06A        02</t>
  </si>
  <si>
    <t xml:space="preserve">IMPREJMUIRE SEMITRANSPARENTA INCINTA GRADI DIN TABLA EXPANDATA MONTATA PE CADRU METALIC 50X50 MM    </t>
  </si>
  <si>
    <t xml:space="preserve">Incl 1 poarta dubla pietonala = 1 poarta simpla   </t>
  </si>
  <si>
    <t xml:space="preserve">IMPREJMUIRE OPACA INCINTA ZIDARIE GVP 25CM GR+TENCUIALA DECORATIVA                                  </t>
  </si>
  <si>
    <t>RCSS04B      99</t>
  </si>
  <si>
    <t xml:space="preserve">PERETE DECORATIV SI DE PROT., STRUCT. METALI CA PLACATA CU PANOURI DE ALUMINIU; H=2.50M             </t>
  </si>
  <si>
    <t xml:space="preserve">inclusiv poarta pietonala   ASIMILAT              </t>
  </si>
  <si>
    <t>DE08XB       91</t>
  </si>
  <si>
    <t xml:space="preserve">BORDURA PREFABRICATA DIN BETON10 CM                                                                 </t>
  </si>
  <si>
    <t xml:space="preserve">BORDURA PREF. BETON PT. DRUM CAROSABIL 10 CM H=15C M                                                </t>
  </si>
  <si>
    <t xml:space="preserve">CURTE JOACA DIN COVOR TARTAN TURNAT PENTRU LOCURI DE JOACA STRAT COMPLET ECHIPAT                    </t>
  </si>
  <si>
    <t>TSH41A1      82</t>
  </si>
  <si>
    <t xml:space="preserve">SPATIU VERDE GAZON NATURAL INSAMANTAT SI STRATURI SPECIFICE                                         </t>
  </si>
  <si>
    <t xml:space="preserve">SPATIU VERDE LA LOC DE JOACA DIN GAZON RULOURI SI STRATURI SPECIFICE                                </t>
  </si>
  <si>
    <r>
      <t xml:space="preserve">Categorie: 07 </t>
    </r>
    <r>
      <rPr>
        <sz val="10"/>
        <color theme="1"/>
        <rFont val="Calibri"/>
        <family val="2"/>
        <scheme val="minor"/>
      </rPr>
      <t>INSTALATII SANITARE</t>
    </r>
  </si>
  <si>
    <t>ACA10A       99</t>
  </si>
  <si>
    <t xml:space="preserve">MONT.IN PAM.A TV.DIN POLIET.DE PRES.DE IN.DENS.AS.PRIN SUDURA CAP LA CAP,  D=110-140 MM             </t>
  </si>
  <si>
    <t>SD02A1       82</t>
  </si>
  <si>
    <t xml:space="preserve">ROBINET DE SERVICIU DUBLU (CU RACORD)                                                               </t>
  </si>
  <si>
    <t>DD08A11^     82</t>
  </si>
  <si>
    <t xml:space="preserve">RIGOLA TIP 'ACO MONOBLOCK RD 150 V TIP 0.0' LXH=210X280 MM                                          </t>
  </si>
  <si>
    <t>TSD04A1      82</t>
  </si>
  <si>
    <t xml:space="preserve">COMPACTAREA CU MAI.DE MINA A UMPLUT.EXECUT.PE STRAT.CU UDAREA FIEC.STRAT DE 10CM GROS.T.NECOEZIV    </t>
  </si>
  <si>
    <t xml:space="preserve">Teava PVC-KG O160                                 </t>
  </si>
  <si>
    <t>ACB15B       99</t>
  </si>
  <si>
    <t xml:space="preserve">MONTAREA HIDRANTILOR DE GRADINA,IN PAMANT D= 3/4"                                                   </t>
  </si>
  <si>
    <r>
      <t xml:space="preserve">Categorie: 08 </t>
    </r>
    <r>
      <rPr>
        <sz val="10"/>
        <color theme="1"/>
        <rFont val="Calibri"/>
        <family val="2"/>
        <scheme val="minor"/>
      </rPr>
      <t>MONTAJ ECHIP.INST.SANITARE</t>
    </r>
  </si>
  <si>
    <t>IA30A        99</t>
  </si>
  <si>
    <t xml:space="preserve">REZERVOR CILINDRIC DEPOZIT PT.COMB.LICHID, MONT.SUPRATERAN SEMIINGROPAT /SUBTERAN -CAPACIT.=5000L   </t>
  </si>
  <si>
    <t xml:space="preserve">ASIMILAT MONTAJ SEPARATOR HIDROCARBURI            </t>
  </si>
  <si>
    <r>
      <t xml:space="preserve">Obiect: 05 </t>
    </r>
    <r>
      <rPr>
        <sz val="10"/>
        <color theme="1"/>
        <rFont val="Calibri"/>
        <family val="2"/>
        <scheme val="minor"/>
      </rPr>
      <t>DTOE</t>
    </r>
  </si>
  <si>
    <r>
      <t xml:space="preserve">Categorie: 03 </t>
    </r>
    <r>
      <rPr>
        <sz val="10"/>
        <color theme="1"/>
        <rFont val="Calibri"/>
        <family val="2"/>
        <scheme val="minor"/>
      </rPr>
      <t>INSTALATII SANITARE</t>
    </r>
  </si>
  <si>
    <t>00609I3      02</t>
  </si>
  <si>
    <t xml:space="preserve">CAMIN DE VIZITARE PE MONOSTRAT, H = 1500 MM CU BAZA INCHISA FARA PIESA SUPERIOARA REGLARE           </t>
  </si>
  <si>
    <t xml:space="preserve">Camin de apometru, D800                           </t>
  </si>
  <si>
    <t>SE53A        99</t>
  </si>
  <si>
    <t xml:space="preserve">CONTOR DE APA(APOMETRU) CU PALETE, CU RACORDURI OLANDEZE, AVIND DIAMETRUL DE 20...30 MM             </t>
  </si>
  <si>
    <t>SD06C        99</t>
  </si>
  <si>
    <t xml:space="preserve">ROBINET DE TRECERE CU MUFA SI RACORD OLANDEZ, PENTRU TEAVA DIN OTEL, D= 1"                          </t>
  </si>
  <si>
    <t>DD08A07^     82</t>
  </si>
  <si>
    <t xml:space="preserve">MONTAREA ELEMENTELOR DE RIGOLA PREFABRICATA TIP ACO                                                 </t>
  </si>
  <si>
    <t xml:space="preserve">Teava PVC-KG D160                                 </t>
  </si>
  <si>
    <t>00609J1      02</t>
  </si>
  <si>
    <t xml:space="preserve">CAMIN DE VIZIT. PE MONOSTRAT, H =750 MM CU 1 IES. D =200/160 MM FARA PIESA SUPER.REGLARE            </t>
  </si>
  <si>
    <t xml:space="preserve">Camin de racord / vizitare D800                   </t>
  </si>
  <si>
    <r>
      <t xml:space="preserve">Categorie: 04 </t>
    </r>
    <r>
      <rPr>
        <sz val="10"/>
        <color theme="1"/>
        <rFont val="Calibri"/>
        <family val="2"/>
        <scheme val="minor"/>
      </rPr>
      <t>MONTAJ ECHIPAMENTE INSTALATII SANITARE</t>
    </r>
  </si>
  <si>
    <t>IA30B        99</t>
  </si>
  <si>
    <t xml:space="preserve">REZERVOR CILINDRIC DEPOZIT PT.COMB.LICHID, MONT.SUPRATERAN SEMIINGROP /SUBTERAN -CAPACIT.=10000L    </t>
  </si>
  <si>
    <t xml:space="preserve">Separator de hidrocarburi cu decantor de namol, Q=10 l/s, Dxh=2.4x2.5 m, V=8400 l                   </t>
  </si>
  <si>
    <t xml:space="preserve">                                               OFERTANT</t>
  </si>
  <si>
    <t>Formular F4</t>
  </si>
  <si>
    <t>LISTA_x000D_
cu cantitatile de utilaje si echipamente tehnologice, inclusiv dotari</t>
  </si>
  <si>
    <t>Cod</t>
  </si>
  <si>
    <t>Denumirea</t>
  </si>
  <si>
    <t>Valoarea</t>
  </si>
  <si>
    <t>Fisa tehnica</t>
  </si>
  <si>
    <t>(exclusiv TVA)</t>
  </si>
  <si>
    <t>atasata</t>
  </si>
  <si>
    <r>
      <t xml:space="preserve">Obiect 01 </t>
    </r>
    <r>
      <rPr>
        <sz val="10"/>
        <color theme="1"/>
        <rFont val="Calibri"/>
        <family val="2"/>
        <scheme val="minor"/>
      </rPr>
      <t>SCOALA</t>
    </r>
  </si>
  <si>
    <t>a)  Utilaje, echipamente tehnologice si functionale care necesita montaj</t>
  </si>
  <si>
    <t>RE00087</t>
  </si>
  <si>
    <t xml:space="preserve">AGREG AR 7/12 °C QR=430 KW,KIT HIDRAULIC,PE&lt;210 KW, I&lt;261A  </t>
  </si>
  <si>
    <t>F.T. 1.6.6</t>
  </si>
  <si>
    <t>RE00009</t>
  </si>
  <si>
    <t xml:space="preserve">ARZATOR GAZ AUTOMAT, PROGRESIV MODULANT, PE GAZ QI=250 KW   </t>
  </si>
  <si>
    <t>F.T. 1.6.3B</t>
  </si>
  <si>
    <t>RE00086</t>
  </si>
  <si>
    <t xml:space="preserve">BOILER 1 SERP+1 REZ 2KW,V=1000L, ACM 1775 L/H (LA 60°C)     </t>
  </si>
  <si>
    <t>F.T. 1.6.5</t>
  </si>
  <si>
    <t>RE00090</t>
  </si>
  <si>
    <t xml:space="preserve">BUTELIE EGALIZARE PRESIUNE D323X9 (DN300).H=1.6M,RAC DN100  </t>
  </si>
  <si>
    <t>F.T. 1.6.9</t>
  </si>
  <si>
    <t>RE00084</t>
  </si>
  <si>
    <t xml:space="preserve">CAZAN OTEL IN CONDENSATIE,COMBUSTIBIL GAZOS,QI=250 KW       </t>
  </si>
  <si>
    <t>F.T. 1.6.3A</t>
  </si>
  <si>
    <t>RE00002</t>
  </si>
  <si>
    <t xml:space="preserve">CEAS DE FATADA                                              </t>
  </si>
  <si>
    <t>RE00081</t>
  </si>
  <si>
    <t xml:space="preserve">CENTRALA DE TRATARE AER CU MONTAJ IN EXTERIOR L=14000 M³/H  </t>
  </si>
  <si>
    <t>F.T. 1.11.2</t>
  </si>
  <si>
    <t>RE00068</t>
  </si>
  <si>
    <t xml:space="preserve">CENTRALA DE TRATARE DE AER CU MONTAJ DE TAVAN L=5500 M³/H   </t>
  </si>
  <si>
    <t>F.T. 1.11.1</t>
  </si>
  <si>
    <t>RE00127</t>
  </si>
  <si>
    <t xml:space="preserve">CENTRALA TRATARE DE AER CU MONTAJ IN EXTERIOR L=20000 M³/H  </t>
  </si>
  <si>
    <t>F.T. 1.11.3</t>
  </si>
  <si>
    <t>RE00120</t>
  </si>
  <si>
    <t xml:space="preserve">CLAPETA ANTIFOC CIRCULARA Ø100 MM RF120 MIN,SERVOMOTOR 24V  </t>
  </si>
  <si>
    <t>F.T. 1.11.11</t>
  </si>
  <si>
    <t>RE00121</t>
  </si>
  <si>
    <t xml:space="preserve">CLAPETA ANTIFOC CIRCULARA Ø125 MM RF120 MIN,SERVOMOTOR 24V  </t>
  </si>
  <si>
    <t>F.T. 1.11.12</t>
  </si>
  <si>
    <t>RE00122</t>
  </si>
  <si>
    <t xml:space="preserve">CLAPETA ANTIFOC CIRCULARA Ø250 MM RF120 MIN,SERVOMOTOR 24V  </t>
  </si>
  <si>
    <t>F.T. 1.11.13</t>
  </si>
  <si>
    <t>RE00123</t>
  </si>
  <si>
    <t xml:space="preserve">CLAPETA ANTIFOC CIRCULARA Ø315 MM RF120 MIN,SERVOMOTOR 24V  </t>
  </si>
  <si>
    <t>F.T. 1.11.14</t>
  </si>
  <si>
    <t>RE00125</t>
  </si>
  <si>
    <t xml:space="preserve">CLAPETA ANTIFOC RECTANG 1000X500MM,RF120 MIN,SERVOMOTOR 24V </t>
  </si>
  <si>
    <t>F.T. 1.11.16</t>
  </si>
  <si>
    <t>RE00126</t>
  </si>
  <si>
    <t xml:space="preserve">CLAPETA ANTIFOC RECTANG 1600X800MM,RF120 MIN,SERVOMOTOR 24V </t>
  </si>
  <si>
    <t>F.T. 1.11.17</t>
  </si>
  <si>
    <t>RE00124</t>
  </si>
  <si>
    <t xml:space="preserve">CLAPETA ANTIFOC RECTANG 400X250MM,RF120 MIN,SERVOMOTOR 24V  </t>
  </si>
  <si>
    <t>F.T. 1.11.15</t>
  </si>
  <si>
    <t>RE00085</t>
  </si>
  <si>
    <t xml:space="preserve">COS DE FUM Ø300 MM, H=5 M+CANAL RACORDARE Ø200 MM,L=1 M     </t>
  </si>
  <si>
    <t>F.T. 1.6.4.</t>
  </si>
  <si>
    <t>RE00001</t>
  </si>
  <si>
    <t xml:space="preserve">LIFT PERSOANE - 3 STATII                                    </t>
  </si>
  <si>
    <t>RE00093</t>
  </si>
  <si>
    <t xml:space="preserve">POMPA CIRC ACM,H=2,0 MCA,G=4.5 M³/H,PE=150 W,800-3400 RPM   </t>
  </si>
  <si>
    <t>F.T. 1.6.12</t>
  </si>
  <si>
    <t>RE00119</t>
  </si>
  <si>
    <t>POMPA CIRC AR VAS ACUM-DISTR,H=4, 0 MCA,G=75,0M³/H,PE=1000 W</t>
  </si>
  <si>
    <t>F.T. 1.6.21</t>
  </si>
  <si>
    <t>RE00096</t>
  </si>
  <si>
    <t xml:space="preserve">POMPA CIRC BAT INC CTA 14000M³/H,H=5MCA,G=2M³/H,PE=200W     </t>
  </si>
  <si>
    <t>F.T. 1.6.15</t>
  </si>
  <si>
    <t>RE00097</t>
  </si>
  <si>
    <t xml:space="preserve">POMPA CIRC BAT INC CTA 5500M³/H,H=5MCA,G=1M³/H,PE=200W      </t>
  </si>
  <si>
    <t>F.T. 1.6.16</t>
  </si>
  <si>
    <t>RE00098</t>
  </si>
  <si>
    <t xml:space="preserve">POMPA CIRC BAT RACIRE CTA 14000M³/H,H=4MCA,G=7M³/H,PE=500W  </t>
  </si>
  <si>
    <t>F.T. 1.6.17</t>
  </si>
  <si>
    <t>RE00099</t>
  </si>
  <si>
    <t xml:space="preserve">POMPA CIRC BAT RACIRE CTA 5500M³/H,H=4MCA,G=5M³/H,PE=500W   </t>
  </si>
  <si>
    <t>F.T. 1.6.18</t>
  </si>
  <si>
    <t>RE00091</t>
  </si>
  <si>
    <t xml:space="preserve">POMPA CIRC CAZAN,H=3,0 MCA,G=11 M³/H,PE=500 W,800-3400 RPM  </t>
  </si>
  <si>
    <t>F.T. 1.6.10</t>
  </si>
  <si>
    <t>RE00095</t>
  </si>
  <si>
    <t>POMPA CIRC INC CALOR,H=6,0 MCA,G=2.5 M³/H,PE=100W,800-3400RP</t>
  </si>
  <si>
    <t>F.T. 1.6.14</t>
  </si>
  <si>
    <t>RE00094</t>
  </si>
  <si>
    <t>POMPA CIRC INC PARD,H=10,0 MCA,G=10 M³/H,PE=500W,800-3400RPM</t>
  </si>
  <si>
    <t>F.T. 1.6.13</t>
  </si>
  <si>
    <t>RE00100</t>
  </si>
  <si>
    <t xml:space="preserve">POMPA CIRC VENTILOCONVECTOARE,H=20MCA,G=43.5M³/H,PE=500W    </t>
  </si>
  <si>
    <t>F.T. 1.6.19</t>
  </si>
  <si>
    <t>RE00092</t>
  </si>
  <si>
    <t xml:space="preserve">POMPA RECIRC CAZAN,H=3,0 MCA,G=2 M³/H,PE=500 W,800-3400 RPM </t>
  </si>
  <si>
    <t>F.T. 1.6.11</t>
  </si>
  <si>
    <t>RE00003</t>
  </si>
  <si>
    <t xml:space="preserve">SIGLA DECORATIVA 14 LITERE                                  </t>
  </si>
  <si>
    <t>RE00082</t>
  </si>
  <si>
    <t xml:space="preserve">SISTEM FOTOVOLTAIC 100-110 KW, INVERTOR TRIFAZAT ON GRID, C </t>
  </si>
  <si>
    <t xml:space="preserve">          </t>
  </si>
  <si>
    <t>F.T. 1.1</t>
  </si>
  <si>
    <t>RE00027</t>
  </si>
  <si>
    <t xml:space="preserve">STATIE DE DEDURIZARE 1,2 M³/H                               </t>
  </si>
  <si>
    <t>F.T. 1.6.2</t>
  </si>
  <si>
    <t>RE00071</t>
  </si>
  <si>
    <t xml:space="preserve">UNITATE EXTERIOARA VRF QR=106.5 KW, QI=114 KW               </t>
  </si>
  <si>
    <t>F.T. 1.11.4</t>
  </si>
  <si>
    <t>RE00105</t>
  </si>
  <si>
    <t xml:space="preserve">VAS ACUMULARE AR V=2000 LITRI,DXH 1140X2375 MM, P&lt;6BAR      </t>
  </si>
  <si>
    <t>F.T. 1.6.20</t>
  </si>
  <si>
    <t>RE00088</t>
  </si>
  <si>
    <t xml:space="preserve">VAS EXPANSIUNE INCHIS INCALZIRE CAZAN V=24 LITRI            </t>
  </si>
  <si>
    <t>F.T. 1.6.7</t>
  </si>
  <si>
    <t>RE00089</t>
  </si>
  <si>
    <t xml:space="preserve">VAS EXPANSIUNE INCHIS INCALZIRE V=200 L,P&lt;10 BAR            </t>
  </si>
  <si>
    <t>F.T. 1.6.8</t>
  </si>
  <si>
    <t>RE00016</t>
  </si>
  <si>
    <t xml:space="preserve">VAS EXPANSIUNE INCHIS SANITAR V=80 LITRI                    </t>
  </si>
  <si>
    <t>F.T. 1.6.1</t>
  </si>
  <si>
    <t>RE00072</t>
  </si>
  <si>
    <t xml:space="preserve">VENTILAT EXTRACT TUB D100 MM,L=100 M³/H,PE=50 W             </t>
  </si>
  <si>
    <t>F.T. 1.11.5</t>
  </si>
  <si>
    <t>RE00073</t>
  </si>
  <si>
    <t xml:space="preserve">VENTILAT EXTRACT TUB D125 MM,L=150 M³/H,PE=75 W             </t>
  </si>
  <si>
    <t>F.T. 1.11.6</t>
  </si>
  <si>
    <t>RE00074</t>
  </si>
  <si>
    <t xml:space="preserve">VENTILAT EXTRACT TUB D125 MM,L=200 M³/H,PE=150 W            </t>
  </si>
  <si>
    <t>F.T. 1.11.7</t>
  </si>
  <si>
    <t>RE00075</t>
  </si>
  <si>
    <t xml:space="preserve">VENTILAT EXTRACT TUB D125 MM,L=400 M³/H,PE=200 W            </t>
  </si>
  <si>
    <t>F.T. 1.11.8</t>
  </si>
  <si>
    <t>RE00076</t>
  </si>
  <si>
    <t xml:space="preserve">VENTILAT EXTRACT TUB D125 MM,L=425 M³/H,PE=200 W            </t>
  </si>
  <si>
    <t>F.T. 1.11.9</t>
  </si>
  <si>
    <t>RE00077</t>
  </si>
  <si>
    <t xml:space="preserve">VENTILAT EXTRACT TUB D125 MM,L=525 M³/H,PE=200 W            </t>
  </si>
  <si>
    <t>F.T. 1.11.10</t>
  </si>
  <si>
    <t>c)  Dotari</t>
  </si>
  <si>
    <t>RD00003</t>
  </si>
  <si>
    <t xml:space="preserve">GALEATA CU NISIP + LOPATA                                   </t>
  </si>
  <si>
    <t>RD00002</t>
  </si>
  <si>
    <t xml:space="preserve">STINGATOARE CU PULBERE                                      </t>
  </si>
  <si>
    <t>RD00001</t>
  </si>
  <si>
    <t xml:space="preserve">TRIBUNA / GRADENE 136 LOCURI                                </t>
  </si>
  <si>
    <t>Total obiect</t>
  </si>
  <si>
    <r>
      <t xml:space="preserve">Obiect 02 </t>
    </r>
    <r>
      <rPr>
        <sz val="10"/>
        <color theme="1"/>
        <rFont val="Calibri"/>
        <family val="2"/>
        <scheme val="minor"/>
      </rPr>
      <t>GRADINITA</t>
    </r>
  </si>
  <si>
    <t>RE00103</t>
  </si>
  <si>
    <t xml:space="preserve">AGREG AR 7/12 °C QR=261 KW,KIT HIDRAULIC,PE&lt;129 KW, I&lt;230A  </t>
  </si>
  <si>
    <t>F.T.2.6.6</t>
  </si>
  <si>
    <t>RE00102</t>
  </si>
  <si>
    <t xml:space="preserve">BOILER 1 SERP+1 REZ 2KW,V=800L, ACM 955 L/H (LA 60°C)       </t>
  </si>
  <si>
    <t>F.T.2.6.5</t>
  </si>
  <si>
    <t>RE00104</t>
  </si>
  <si>
    <t xml:space="preserve">BUTELIE EGALIZARE PRESIUNE D273X6.3 (DN250).H=1.4M,RAC DN80 </t>
  </si>
  <si>
    <t>F.T.2.6.7</t>
  </si>
  <si>
    <t>RE00101</t>
  </si>
  <si>
    <t xml:space="preserve">CENTRALA CONDENS GAZ,.QI=150KW,(50/30°C), QI=136KW(80/60°C) </t>
  </si>
  <si>
    <t>F.T.2.6.4</t>
  </si>
  <si>
    <t>F.T. 2.11.6</t>
  </si>
  <si>
    <t>RE00004</t>
  </si>
  <si>
    <t xml:space="preserve">LIFT PERSOANE - 2 STATII                                    </t>
  </si>
  <si>
    <t>RE00005</t>
  </si>
  <si>
    <t xml:space="preserve">MONTCHARGE - 2 STATII                                       </t>
  </si>
  <si>
    <t>RE00107</t>
  </si>
  <si>
    <t xml:space="preserve">POMPA CIRC ACM,H=2.0 MCA,G=1.6 M³/H,PE=150 W,800-3400 RPM   </t>
  </si>
  <si>
    <t>F.T.2.6.10</t>
  </si>
  <si>
    <t>RE00106</t>
  </si>
  <si>
    <t>POMPA CIRC AR VAS ACUM-DISTR,H=15,0 MCA,G=45,0 M³/H,PE=200 W</t>
  </si>
  <si>
    <t>F.T.2.6.9</t>
  </si>
  <si>
    <t>RE00110</t>
  </si>
  <si>
    <t xml:space="preserve">POMPA CIRC BAT INC CTA,H=5MCA,G=2M³/H,PE=200W,800-3400RPM   </t>
  </si>
  <si>
    <t>F.T.2.6.13</t>
  </si>
  <si>
    <t>RE00113</t>
  </si>
  <si>
    <t xml:space="preserve">POMPA CIRC BAT RACIRE CTA ,H=7,5MCA,G=9.6M³/H,PE=500W       </t>
  </si>
  <si>
    <t>F.T.2.6.16</t>
  </si>
  <si>
    <t>RE00112</t>
  </si>
  <si>
    <t xml:space="preserve">POMPA CIRC GRINZI RACIRE,H=5, 5MCA,G=13.0M³/H,PE=500W       </t>
  </si>
  <si>
    <t>F.T.2.6.15</t>
  </si>
  <si>
    <t>RE00109</t>
  </si>
  <si>
    <t>POMPA CIRC INC CALOR,H=4,5 MCA,G=1.5 M³/H,PE=100W,800-3400RP</t>
  </si>
  <si>
    <t>F.T.2.6.11</t>
  </si>
  <si>
    <t>RE00108</t>
  </si>
  <si>
    <t>POMPA CIRC INC PARD,H=7,5 MCA,G=5,0 M³/H,PE=200W,800-3400RPM</t>
  </si>
  <si>
    <t>RE00111</t>
  </si>
  <si>
    <t xml:space="preserve">POMPA CIRC VENTILOCONVECTOARE,H=11MCA,G=16.5M³/H,PE=500W    </t>
  </si>
  <si>
    <t>F.T.2.6.14</t>
  </si>
  <si>
    <t>RE00006</t>
  </si>
  <si>
    <t xml:space="preserve">SIGLA DECORATIVA 9 LITERE                                   </t>
  </si>
  <si>
    <t>RE00083</t>
  </si>
  <si>
    <t>SISTEM FOTOVOLTAIC 60-65 KW, INVERTOR TRIFAZAT ON GRID, COMP</t>
  </si>
  <si>
    <t>F.T. 2.1</t>
  </si>
  <si>
    <t>F.T.2.6.1</t>
  </si>
  <si>
    <t>F.T.2.6.8</t>
  </si>
  <si>
    <t>F.T.2.6.3</t>
  </si>
  <si>
    <t>RE00046</t>
  </si>
  <si>
    <t xml:space="preserve">VAS EXPANSIUNE INCHIS SANITAR V=50 LITRI                    </t>
  </si>
  <si>
    <t>F.T.2.6.2</t>
  </si>
  <si>
    <t>F.T. 2.11.1</t>
  </si>
  <si>
    <t>RE00078</t>
  </si>
  <si>
    <t xml:space="preserve">VENTILAT EXTRACT TUB D100 MM,L=125 M³/H,PE=75 W             </t>
  </si>
  <si>
    <t>F.T. 2.11.3</t>
  </si>
  <si>
    <t>F.T. 2.11.2</t>
  </si>
  <si>
    <t>RE00079</t>
  </si>
  <si>
    <t xml:space="preserve">VENTILAT EXTRACT TUB D125 MM,L=325 M³/H,PE=200 W            </t>
  </si>
  <si>
    <t>F.T. 2.11.4</t>
  </si>
  <si>
    <t>RE00080</t>
  </si>
  <si>
    <t xml:space="preserve">VENTILAT EXTRACT TUB D315 MM,L=1300 M³/H,PE=500 W           </t>
  </si>
  <si>
    <t>F.T. 2.11.5</t>
  </si>
  <si>
    <r>
      <t xml:space="preserve">Obiect 03 </t>
    </r>
    <r>
      <rPr>
        <sz val="10"/>
        <color theme="1"/>
        <rFont val="Calibri"/>
        <family val="2"/>
        <scheme val="minor"/>
      </rPr>
      <t>SPATII COMUNE (POMPE REZ. APA)</t>
    </r>
  </si>
  <si>
    <t>RE00063</t>
  </si>
  <si>
    <t xml:space="preserve"> ELECTROVANA 3"                                             </t>
  </si>
  <si>
    <t>F.T. 3.3.5</t>
  </si>
  <si>
    <t>RE00115</t>
  </si>
  <si>
    <t xml:space="preserve">AAR 125A                                                    </t>
  </si>
  <si>
    <t>F.T. 3.2</t>
  </si>
  <si>
    <t>RE00114</t>
  </si>
  <si>
    <t xml:space="preserve">AAR 80A                                                     </t>
  </si>
  <si>
    <t>F.T. 3.1</t>
  </si>
  <si>
    <t>RE00117</t>
  </si>
  <si>
    <t xml:space="preserve">GRUP ELECTROGEN 125 KVA (80KW)                              </t>
  </si>
  <si>
    <t>F.T. 3.4</t>
  </si>
  <si>
    <t>RE00064</t>
  </si>
  <si>
    <t xml:space="preserve">GRUP ELECTROPOMPE 2A+1R, Q=1.1 L/S; H=40MCA; N=7.5KW        </t>
  </si>
  <si>
    <t>F.T. 3.3.6</t>
  </si>
  <si>
    <t>RE00059</t>
  </si>
  <si>
    <t xml:space="preserve">GRUP POMPARE 1A+1R+1P,Q=15.0MC/H; H=70MCA; N=7.5KW          </t>
  </si>
  <si>
    <t>F.T. 3.3.1</t>
  </si>
  <si>
    <t>RE00060</t>
  </si>
  <si>
    <t xml:space="preserve">GRUP POMPARE 1A+1R+1P,Q=20 L/S; H=55MCA; N=15KW             </t>
  </si>
  <si>
    <t>F.T. 3.3.2</t>
  </si>
  <si>
    <t>RE00066</t>
  </si>
  <si>
    <t xml:space="preserve">POMPA SUBMERSIBILA,MONTATA IN BASA,Q=1.1L/S;H=10MCA;N=2KW   </t>
  </si>
  <si>
    <t>F.T. 3.3.8</t>
  </si>
  <si>
    <t>RE00062</t>
  </si>
  <si>
    <t xml:space="preserve">RECIPIENT DE HIDROFOR CU MEMBRANA SUB PRESIUNE, V=300 L     </t>
  </si>
  <si>
    <t>F.T. 3.3.4</t>
  </si>
  <si>
    <t>RE00065</t>
  </si>
  <si>
    <t xml:space="preserve">RECIPIENT DE HIDROFOR CU MEMBRANA SUB PRESIUNE, V=750 L     </t>
  </si>
  <si>
    <t>F.T. 3.3.7</t>
  </si>
  <si>
    <t>RE00116</t>
  </si>
  <si>
    <t xml:space="preserve">UPS 35KVA(24KW) 400/400V                                    </t>
  </si>
  <si>
    <t>F.T. 3.3</t>
  </si>
  <si>
    <t>RE00061</t>
  </si>
  <si>
    <t xml:space="preserve">VAS DE EXPANSIUNE CU MEMBRANA SUB PRESIUNE 200 L            </t>
  </si>
  <si>
    <t>F.T. 3.3.3</t>
  </si>
  <si>
    <r>
      <t xml:space="preserve">Obiect 04 </t>
    </r>
    <r>
      <rPr>
        <sz val="10"/>
        <color theme="1"/>
        <rFont val="Calibri"/>
        <family val="2"/>
        <scheme val="minor"/>
      </rPr>
      <t>AMENAJARI EXTERIOARE</t>
    </r>
  </si>
  <si>
    <t>RE00007</t>
  </si>
  <si>
    <t xml:space="preserve">PANOU INDICATOR CU AFISAJ LCD TEXT CLAR SI COMUNICARE BUS   </t>
  </si>
  <si>
    <t>RE00067</t>
  </si>
  <si>
    <t xml:space="preserve">SEPARATOR DE HIDROCARBURI, Q=3.5 L/S, ØXH=1200X2100 MM      </t>
  </si>
  <si>
    <t>F.T. 4.8.1</t>
  </si>
  <si>
    <t>RD00005</t>
  </si>
  <si>
    <t xml:space="preserve">BANCI INTERIOR/EXTERIOR POLIETILENA MODUL &lt;2M               </t>
  </si>
  <si>
    <t>RD00004</t>
  </si>
  <si>
    <t xml:space="preserve">SUPORT BICICLETE                                            </t>
  </si>
  <si>
    <r>
      <t xml:space="preserve">Obiect 05 </t>
    </r>
    <r>
      <rPr>
        <sz val="10"/>
        <color theme="1"/>
        <rFont val="Calibri"/>
        <family val="2"/>
        <scheme val="minor"/>
      </rPr>
      <t>DTOE</t>
    </r>
  </si>
  <si>
    <t>RE00118</t>
  </si>
  <si>
    <t>SEPARATOR HIDROCARB,DEC NAMOL,Q=10 L/S, DXH=2.4X2.5 M,V=8400</t>
  </si>
  <si>
    <t>F.T. 5.4.1</t>
  </si>
  <si>
    <t>Total :</t>
  </si>
  <si>
    <t xml:space="preserve">                                                                                    OFERTANT</t>
  </si>
  <si>
    <t>Formular F2</t>
  </si>
  <si>
    <t>CENTRALIZATORUL_x000D_
cheltuielilor pe categorii de lucrari, pt.obiectul</t>
  </si>
  <si>
    <t>Curs</t>
  </si>
  <si>
    <t>00 CAPITOLUL 2</t>
  </si>
  <si>
    <t>Zecimale</t>
  </si>
  <si>
    <t>Nr. cap./subcap</t>
  </si>
  <si>
    <t>crt.</t>
  </si>
  <si>
    <t>deviz</t>
  </si>
  <si>
    <t>Cheltuieli pe categoria de lucrari</t>
  </si>
  <si>
    <t>exclusiv TVA</t>
  </si>
  <si>
    <t>general</t>
  </si>
  <si>
    <t xml:space="preserve"> ron </t>
  </si>
  <si>
    <t>0</t>
  </si>
  <si>
    <t>1</t>
  </si>
  <si>
    <t>4.1.</t>
  </si>
  <si>
    <t>Constructii si instalatii aferente acestora</t>
  </si>
  <si>
    <t>4.1.1</t>
  </si>
  <si>
    <t>2   CHELTUIELEI PT.ASIG.UTILITATI</t>
  </si>
  <si>
    <t>TOTAL I</t>
  </si>
  <si>
    <t>TOTAL valoare (exclusiv TVA)</t>
  </si>
  <si>
    <t>Taxa pe valoarea adaugata</t>
  </si>
  <si>
    <t>Total valoare (inclusiv TVA)</t>
  </si>
  <si>
    <t>000 CAP 1.3 + CAP 6.2</t>
  </si>
  <si>
    <t>2</t>
  </si>
  <si>
    <t>4.1.2</t>
  </si>
  <si>
    <t>3</t>
  </si>
  <si>
    <t>4.1.3</t>
  </si>
  <si>
    <t>6.2   PROBE TEHNOLOGICE SI TESTE</t>
  </si>
  <si>
    <t>01 SCOALA</t>
  </si>
  <si>
    <t>4</t>
  </si>
  <si>
    <t>4.1.4</t>
  </si>
  <si>
    <t>04   INSTALATII SANITARE</t>
  </si>
  <si>
    <t>5</t>
  </si>
  <si>
    <t>4.1.5</t>
  </si>
  <si>
    <t>05   INST. INCAL-CENTRALA TERMICA</t>
  </si>
  <si>
    <t>6</t>
  </si>
  <si>
    <t>4.1.6</t>
  </si>
  <si>
    <t>06   MONTAJ ECHIPAMENTE CT</t>
  </si>
  <si>
    <t>7</t>
  </si>
  <si>
    <t>4.1.7</t>
  </si>
  <si>
    <t>07   INCALZIRE CU CORPURI STATICE (CALORIFERE SI CONVECTOARE DE PARDOSEALA)</t>
  </si>
  <si>
    <t>8</t>
  </si>
  <si>
    <t>4.1.8</t>
  </si>
  <si>
    <t>08   INCALZIRE IN PARDOSEALA</t>
  </si>
  <si>
    <t>9</t>
  </si>
  <si>
    <t>4.1.9</t>
  </si>
  <si>
    <t>09   INSTALATII DE CLIMATIZARE CU VENTILOCONVECTOARE</t>
  </si>
  <si>
    <t>10</t>
  </si>
  <si>
    <t>4.1.10</t>
  </si>
  <si>
    <t>10   INSTALATII DE VENTILARE</t>
  </si>
  <si>
    <t>11</t>
  </si>
  <si>
    <t>4.1.11</t>
  </si>
  <si>
    <t>11   MONTAJ ECHIPAMENTE VENTILATII</t>
  </si>
  <si>
    <t>12</t>
  </si>
  <si>
    <t>4.2.</t>
  </si>
  <si>
    <t>Montaj utilaje si echipamente tehnologice</t>
  </si>
  <si>
    <t>4.2.1</t>
  </si>
  <si>
    <t>TOTAL II</t>
  </si>
  <si>
    <t>14</t>
  </si>
  <si>
    <t>Procurare</t>
  </si>
  <si>
    <t>4.3</t>
  </si>
  <si>
    <t>Utilaje, echipamente tehnologice si functionale care necesita montaj</t>
  </si>
  <si>
    <t>15</t>
  </si>
  <si>
    <t>4.5</t>
  </si>
  <si>
    <t>Dotari</t>
  </si>
  <si>
    <t>TOTAL III</t>
  </si>
  <si>
    <t>02 GRADINITA</t>
  </si>
  <si>
    <t>05   INSTALATIA DE INCALZIRE - CENTRALA TERMICA</t>
  </si>
  <si>
    <t>06   MONTAJ ECHIPAMENTE C.T.</t>
  </si>
  <si>
    <t>07   INCALZIRE CU CORPURI STATICE (CALORIFERE)</t>
  </si>
  <si>
    <t>11   MONTAJ ECHIP.VENTILARE</t>
  </si>
  <si>
    <t>03 SPATII COMUNE (POMPE REZ. APA)</t>
  </si>
  <si>
    <t>02   INSTALATII SANITARE</t>
  </si>
  <si>
    <t>03   MONTAJ ECHIPAMENTE INSTALATII SANITARE</t>
  </si>
  <si>
    <t>04 AMENAJARI EXTERIOARE</t>
  </si>
  <si>
    <t>07   INSTALATII SANITARE</t>
  </si>
  <si>
    <t>08   MONTAJ ECHIP.INST.SANITARE</t>
  </si>
  <si>
    <t>05 DTOE</t>
  </si>
  <si>
    <t>03   INSTALATII SANITARE</t>
  </si>
  <si>
    <t>04   MONTAJ ECHIPAMENTE INSTALATII SANITARE</t>
  </si>
  <si>
    <t>07   UTILIAJE, ECHIP. SI DOTARI</t>
  </si>
  <si>
    <t>ANS</t>
  </si>
  <si>
    <t>CENTRALIZATORUL GENERAL</t>
  </si>
  <si>
    <t>Formular F1</t>
  </si>
  <si>
    <t>Denumire</t>
  </si>
  <si>
    <t>Obiect</t>
  </si>
  <si>
    <t xml:space="preserve">TOTAL GENERAL </t>
  </si>
  <si>
    <t xml:space="preserve">TOTAL GENERAL categorie </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</si>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</sst>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0"/>
    <numFmt numFmtId="165" formatCode="#,##0.00%;\ &quot; &quot;"/>
    <numFmt numFmtId="166" formatCode="#,##0.000"/>
    <numFmt numFmtId="167" formatCode="#,##0.000%;\ &quot; &quot;"/>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i/>
      <sz val="18"/>
      <color theme="1"/>
      <name val="Lucida Handwriting"/>
      <family val="4"/>
    </font>
    <font>
      <b/>
      <i/>
      <sz val="16"/>
      <color theme="1"/>
      <name val="Lucida Handwriting"/>
      <family val="4"/>
    </font>
    <font>
      <sz val="9"/>
      <color theme="1"/>
      <name val="Calibri"/>
      <family val="2"/>
      <scheme val="minor"/>
    </font>
    <font>
      <b/>
      <sz val="9"/>
      <color theme="1"/>
      <name val="Calibri"/>
      <family val="2"/>
      <scheme val="minor"/>
    </font>
    <font>
      <sz val="8"/>
      <color theme="1"/>
      <name val="Calibri"/>
      <family val="2"/>
      <scheme val="minor"/>
    </font>
    <font>
      <sz val="8"/>
      <color theme="1"/>
      <name val="Courier New"/>
      <family val="3"/>
    </font>
    <font>
      <b/>
      <sz val="8"/>
      <color theme="1"/>
      <name val="Calibri"/>
      <family val="2"/>
      <scheme val="minor"/>
    </font>
    <font>
      <i/>
      <sz val="8"/>
      <color theme="1"/>
      <name val="Courier New"/>
      <family val="3"/>
    </font>
    <font>
      <sz val="8"/>
      <color rgb="FFFFFFFF"/>
      <name val="Calibri"/>
      <family val="2"/>
      <scheme val="minor"/>
    </font>
    <font>
      <b/>
      <sz val="10"/>
      <color theme="1"/>
      <name val="Calibri"/>
      <family val="2"/>
      <scheme val="minor"/>
    </font>
    <font>
      <b/>
      <sz val="16"/>
      <color theme="1"/>
      <name val="Lucida Handwriting"/>
      <family val="4"/>
    </font>
    <font>
      <b/>
      <sz val="9"/>
      <color theme="1"/>
      <name val="Courier New"/>
      <family val="3"/>
    </font>
    <font>
      <sz val="11"/>
      <color theme="1"/>
      <name val="Courier New"/>
      <family val="3"/>
    </font>
    <font>
      <b/>
      <i/>
      <sz val="10"/>
      <color theme="1"/>
      <name val="Courier New"/>
      <family val="3"/>
    </font>
    <font>
      <b/>
      <sz val="8"/>
      <color theme="1"/>
      <name val="Courier New"/>
      <family val="3"/>
    </font>
    <font>
      <b/>
      <sz val="11"/>
      <color theme="1"/>
      <name val="Times New Roman"/>
      <family val="1"/>
    </font>
    <font>
      <b/>
      <sz val="10"/>
      <color theme="1"/>
      <name val="Courier New"/>
      <family val="3"/>
    </font>
  </fonts>
  <fills count="2">
    <fill>
      <patternFill patternType="none"/>
    </fill>
    <fill>
      <patternFill patternType="gray125"/>
    </fill>
  </fills>
  <borders count="11">
    <border>
      <left/>
      <right/>
      <top/>
      <bottom/>
      <diagonal/>
    </border>
    <border>
      <left/>
      <right/>
      <top style="medium">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dashed">
        <color indexed="64"/>
      </bottom>
      <diagonal/>
    </border>
    <border>
      <left/>
      <right/>
      <top style="thin">
        <color indexed="64"/>
      </top>
      <bottom style="dashed">
        <color indexed="64"/>
      </bottom>
      <diagonal/>
    </border>
    <border>
      <left/>
      <right/>
      <top style="dashed">
        <color indexed="64"/>
      </top>
      <bottom/>
      <diagonal/>
    </border>
    <border>
      <left/>
      <right/>
      <top style="dashed">
        <color indexed="64"/>
      </top>
      <bottom style="thin">
        <color indexed="64"/>
      </bottom>
      <diagonal/>
    </border>
    <border>
      <left/>
      <right/>
      <top style="medium">
        <color indexed="64"/>
      </top>
      <bottom style="medium">
        <color indexed="64"/>
      </bottom>
      <diagonal/>
    </border>
    <border>
      <left/>
      <right/>
      <top/>
      <bottom style="medium">
        <color indexed="64"/>
      </bottom>
      <diagonal/>
    </border>
  </borders>
  <cellStyleXfs count="24">
    <xf numFmtId="0" fontId="0" fillId="0" borderId="0"/>
    <xf numFmtId="43" fontId="1" fillId="0" borderId="0" applyFont="0" applyFill="0" applyBorder="0" applyAlignment="0" applyProtection="0"/>
    <xf numFmtId="49" fontId="3" fillId="0" borderId="0" applyFill="0" applyBorder="0" applyProtection="0">
      <alignment horizontal="left" vertical="center" wrapText="1"/>
    </xf>
    <xf numFmtId="49" fontId="4" fillId="0" borderId="0" applyFill="0" applyBorder="0" applyProtection="0">
      <alignment horizontal="left" vertical="center" wrapText="1"/>
    </xf>
    <xf numFmtId="49" fontId="5" fillId="0" borderId="0" applyFill="0" applyBorder="0" applyProtection="0">
      <alignment horizontal="center" vertical="center" wrapText="1"/>
    </xf>
    <xf numFmtId="0" fontId="7" fillId="0" borderId="0" applyNumberFormat="0" applyFill="0" applyBorder="0" applyProtection="0">
      <alignment horizontal="center"/>
    </xf>
    <xf numFmtId="49" fontId="7" fillId="0" borderId="0" applyFill="0" applyBorder="0" applyProtection="0">
      <alignment horizontal="center" vertical="center"/>
    </xf>
    <xf numFmtId="49" fontId="7" fillId="0" borderId="0" applyFill="0" applyBorder="0" applyProtection="0">
      <alignment horizontal="left" vertical="center" wrapText="1"/>
    </xf>
    <xf numFmtId="49" fontId="7" fillId="0" borderId="0" applyFill="0" applyBorder="0" applyProtection="0">
      <alignment horizontal="left" vertical="center" wrapText="1"/>
    </xf>
    <xf numFmtId="49" fontId="8" fillId="0" borderId="0" applyFill="0" applyBorder="0" applyProtection="0">
      <alignment horizontal="left" vertical="center"/>
    </xf>
    <xf numFmtId="4" fontId="7" fillId="0" borderId="0" applyFill="0" applyBorder="0" applyProtection="0">
      <alignment horizontal="right" vertical="center"/>
    </xf>
    <xf numFmtId="4" fontId="7" fillId="0" borderId="0" applyFill="0" applyBorder="0" applyProtection="0">
      <alignment horizontal="center" vertical="center"/>
    </xf>
    <xf numFmtId="164" fontId="7" fillId="0" borderId="0" applyFill="0" applyBorder="0" applyProtection="0">
      <alignment vertical="center"/>
    </xf>
    <xf numFmtId="165" fontId="12" fillId="0" borderId="0" applyFill="0" applyBorder="0" applyProtection="0">
      <alignment horizontal="right" vertical="center"/>
    </xf>
    <xf numFmtId="4" fontId="6" fillId="0" borderId="0" applyFill="0" applyBorder="0" applyProtection="0">
      <alignment vertical="center"/>
    </xf>
    <xf numFmtId="49" fontId="9" fillId="0" borderId="0" applyFill="0" applyBorder="0" applyProtection="0">
      <alignment horizontal="left"/>
    </xf>
    <xf numFmtId="165" fontId="10" fillId="0" borderId="0" applyFill="0" applyBorder="0" applyAlignment="0" applyProtection="0">
      <alignment vertical="center"/>
    </xf>
    <xf numFmtId="166" fontId="7" fillId="0" borderId="0" applyFill="0" applyBorder="0" applyAlignment="0" applyProtection="0"/>
    <xf numFmtId="164" fontId="6" fillId="0" borderId="0" applyFill="0" applyBorder="0" applyAlignment="0" applyProtection="0"/>
    <xf numFmtId="166" fontId="6" fillId="0" borderId="0" applyFill="0" applyBorder="0" applyAlignment="0" applyProtection="0"/>
    <xf numFmtId="4" fontId="6" fillId="0" borderId="0" applyFill="0" applyBorder="0" applyAlignment="0" applyProtection="0"/>
    <xf numFmtId="167" fontId="7" fillId="0" borderId="0" applyFill="0" applyBorder="0" applyProtection="0">
      <alignment horizontal="right"/>
    </xf>
    <xf numFmtId="49" fontId="7" fillId="0" borderId="0" applyFill="0" applyBorder="0" applyProtection="0"/>
    <xf numFmtId="165" fontId="8" fillId="0" borderId="0" applyFill="0" applyBorder="0" applyProtection="0">
      <alignment horizontal="right" vertical="center"/>
    </xf>
  </cellStyleXfs>
  <cellXfs count="118">
    <xf numFmtId="0" fontId="0" fillId="0" borderId="0" xfId="0"/>
    <xf numFmtId="49" fontId="11" fillId="0" borderId="0" xfId="0" applyNumberFormat="1" applyFont="1"/>
    <xf numFmtId="49" fontId="7" fillId="0" borderId="0" xfId="6">
      <alignment horizontal="center" vertical="center"/>
    </xf>
    <xf numFmtId="49" fontId="7" fillId="0" borderId="0" xfId="7">
      <alignment horizontal="left" vertical="center" wrapText="1"/>
    </xf>
    <xf numFmtId="4" fontId="7" fillId="0" borderId="0" xfId="10">
      <alignment horizontal="right" vertical="center"/>
    </xf>
    <xf numFmtId="49" fontId="8" fillId="0" borderId="0" xfId="9">
      <alignment horizontal="left" vertical="center"/>
    </xf>
    <xf numFmtId="49" fontId="10" fillId="0" borderId="0" xfId="9" applyFont="1">
      <alignment horizontal="left" vertical="center"/>
    </xf>
    <xf numFmtId="0" fontId="2" fillId="0" borderId="0" xfId="0" applyFont="1"/>
    <xf numFmtId="49" fontId="11" fillId="0" borderId="1" xfId="0" applyNumberFormat="1" applyFont="1" applyBorder="1"/>
    <xf numFmtId="49" fontId="7" fillId="0" borderId="1" xfId="6" applyBorder="1">
      <alignment horizontal="center" vertical="center"/>
    </xf>
    <xf numFmtId="49" fontId="7" fillId="0" borderId="1" xfId="7" applyBorder="1">
      <alignment horizontal="left" vertical="center" wrapText="1"/>
    </xf>
    <xf numFmtId="49" fontId="10" fillId="0" borderId="1" xfId="9" applyFont="1" applyBorder="1">
      <alignment horizontal="left" vertical="center"/>
    </xf>
    <xf numFmtId="0" fontId="2" fillId="0" borderId="1" xfId="0" applyFont="1" applyBorder="1"/>
    <xf numFmtId="49" fontId="8" fillId="0" borderId="1" xfId="9" applyBorder="1">
      <alignment horizontal="left" vertical="center"/>
    </xf>
    <xf numFmtId="0" fontId="0" fillId="0" borderId="1" xfId="0" applyBorder="1"/>
    <xf numFmtId="165" fontId="12" fillId="0" borderId="0" xfId="13">
      <alignment horizontal="right" vertical="center"/>
    </xf>
    <xf numFmtId="49" fontId="15" fillId="0" borderId="0" xfId="22" applyFont="1"/>
    <xf numFmtId="167" fontId="7" fillId="0" borderId="0" xfId="21">
      <alignment horizontal="right"/>
    </xf>
    <xf numFmtId="49" fontId="15" fillId="0" borderId="2" xfId="22" applyFont="1" applyBorder="1"/>
    <xf numFmtId="49" fontId="7" fillId="0" borderId="2" xfId="7" applyBorder="1">
      <alignment horizontal="left" vertical="center" wrapText="1"/>
    </xf>
    <xf numFmtId="49" fontId="8" fillId="0" borderId="2" xfId="9" applyBorder="1">
      <alignment horizontal="left" vertical="center"/>
    </xf>
    <xf numFmtId="0" fontId="0" fillId="0" borderId="2" xfId="0" applyBorder="1"/>
    <xf numFmtId="4" fontId="7" fillId="0" borderId="2" xfId="10" applyBorder="1">
      <alignment horizontal="right" vertical="center"/>
    </xf>
    <xf numFmtId="0" fontId="16" fillId="0" borderId="0" xfId="0" applyFont="1"/>
    <xf numFmtId="167" fontId="7" fillId="0" borderId="2" xfId="21" applyBorder="1">
      <alignment horizontal="right"/>
    </xf>
    <xf numFmtId="49" fontId="7" fillId="0" borderId="2" xfId="6" applyBorder="1">
      <alignment horizontal="center" vertical="center"/>
    </xf>
    <xf numFmtId="0" fontId="0" fillId="0" borderId="4" xfId="0" applyBorder="1"/>
    <xf numFmtId="49" fontId="9" fillId="0" borderId="2" xfId="15" applyBorder="1">
      <alignment horizontal="left"/>
    </xf>
    <xf numFmtId="49" fontId="17" fillId="0" borderId="0" xfId="0" applyNumberFormat="1" applyFont="1"/>
    <xf numFmtId="43" fontId="7" fillId="0" borderId="0" xfId="1" applyFont="1" applyAlignment="1">
      <alignment horizontal="right" vertical="center"/>
    </xf>
    <xf numFmtId="43" fontId="7" fillId="0" borderId="0" xfId="1" applyFont="1" applyAlignment="1">
      <alignment vertical="center"/>
    </xf>
    <xf numFmtId="43" fontId="7" fillId="0" borderId="2" xfId="1" applyFont="1" applyBorder="1" applyAlignment="1">
      <alignment vertical="center"/>
    </xf>
    <xf numFmtId="43" fontId="7" fillId="0" borderId="1" xfId="1" applyFont="1" applyBorder="1" applyAlignment="1">
      <alignment horizontal="right" vertical="center"/>
    </xf>
    <xf numFmtId="43" fontId="6" fillId="0" borderId="6" xfId="1" applyFont="1" applyBorder="1" applyAlignment="1">
      <alignment vertical="center"/>
    </xf>
    <xf numFmtId="1" fontId="7" fillId="0" borderId="9" xfId="5" applyNumberFormat="1" applyBorder="1">
      <alignment horizontal="center"/>
    </xf>
    <xf numFmtId="43" fontId="12" fillId="0" borderId="0" xfId="1" applyFont="1" applyAlignment="1">
      <alignment horizontal="right" vertical="center"/>
    </xf>
    <xf numFmtId="43" fontId="6" fillId="0" borderId="4" xfId="1" applyFont="1" applyBorder="1" applyAlignment="1">
      <alignment vertical="center"/>
    </xf>
    <xf numFmtId="43" fontId="7" fillId="0" borderId="5" xfId="1" applyFont="1" applyBorder="1" applyAlignment="1">
      <alignment horizontal="right" vertical="center"/>
    </xf>
    <xf numFmtId="43" fontId="6" fillId="0" borderId="0" xfId="1" applyFont="1" applyAlignment="1">
      <alignment vertical="center"/>
    </xf>
    <xf numFmtId="49" fontId="9" fillId="0" borderId="1" xfId="0" applyNumberFormat="1" applyFont="1" applyBorder="1" applyAlignment="1">
      <alignment horizontal="left"/>
    </xf>
    <xf numFmtId="49" fontId="7" fillId="0" borderId="1" xfId="8" applyBorder="1">
      <alignment horizontal="left" vertical="center" wrapText="1"/>
    </xf>
    <xf numFmtId="43" fontId="7" fillId="0" borderId="1" xfId="1" applyFont="1" applyBorder="1" applyAlignment="1">
      <alignment vertical="center"/>
    </xf>
    <xf numFmtId="0" fontId="8" fillId="0" borderId="0" xfId="0" applyFont="1"/>
    <xf numFmtId="49" fontId="9" fillId="0" borderId="0" xfId="0" applyNumberFormat="1" applyFont="1" applyAlignment="1">
      <alignment horizontal="left"/>
    </xf>
    <xf numFmtId="164" fontId="7" fillId="0" borderId="0" xfId="12">
      <alignment vertical="center"/>
    </xf>
    <xf numFmtId="4" fontId="6" fillId="0" borderId="0" xfId="14">
      <alignment vertical="center"/>
    </xf>
    <xf numFmtId="49" fontId="6" fillId="0" borderId="0" xfId="0" applyNumberFormat="1" applyFont="1" applyAlignment="1">
      <alignment horizontal="left"/>
    </xf>
    <xf numFmtId="49" fontId="10" fillId="0" borderId="0" xfId="0" applyNumberFormat="1" applyFont="1" applyAlignment="1">
      <alignment horizontal="left"/>
    </xf>
    <xf numFmtId="49" fontId="18" fillId="0" borderId="0" xfId="0" applyNumberFormat="1" applyFont="1" applyAlignment="1">
      <alignment horizontal="left"/>
    </xf>
    <xf numFmtId="0" fontId="10" fillId="0" borderId="0" xfId="0" applyFont="1"/>
    <xf numFmtId="4" fontId="7" fillId="0" borderId="0" xfId="14" applyFont="1">
      <alignment vertical="center"/>
    </xf>
    <xf numFmtId="49" fontId="7" fillId="0" borderId="0" xfId="0" applyNumberFormat="1" applyFont="1" applyAlignment="1">
      <alignment horizontal="left"/>
    </xf>
    <xf numFmtId="49" fontId="10" fillId="0" borderId="1" xfId="0" applyNumberFormat="1" applyFont="1" applyBorder="1" applyAlignment="1">
      <alignment horizontal="left"/>
    </xf>
    <xf numFmtId="49" fontId="18" fillId="0" borderId="1" xfId="0" applyNumberFormat="1" applyFont="1" applyBorder="1" applyAlignment="1">
      <alignment horizontal="left"/>
    </xf>
    <xf numFmtId="0" fontId="10" fillId="0" borderId="1" xfId="0" applyFont="1" applyBorder="1"/>
    <xf numFmtId="164" fontId="7" fillId="0" borderId="1" xfId="12" applyBorder="1">
      <alignment vertical="center"/>
    </xf>
    <xf numFmtId="4" fontId="7" fillId="0" borderId="1" xfId="14" applyFont="1" applyBorder="1">
      <alignment vertical="center"/>
    </xf>
    <xf numFmtId="4" fontId="7" fillId="0" borderId="1" xfId="10" applyBorder="1">
      <alignment horizontal="right" vertical="center"/>
    </xf>
    <xf numFmtId="49" fontId="7" fillId="0" borderId="1" xfId="0" applyNumberFormat="1" applyFont="1" applyBorder="1" applyAlignment="1">
      <alignment horizontal="left"/>
    </xf>
    <xf numFmtId="0" fontId="8" fillId="0" borderId="1" xfId="0" applyFont="1" applyBorder="1"/>
    <xf numFmtId="4" fontId="6" fillId="0" borderId="1" xfId="14" applyBorder="1">
      <alignment vertical="center"/>
    </xf>
    <xf numFmtId="49" fontId="6" fillId="0" borderId="1" xfId="0" applyNumberFormat="1" applyFont="1" applyBorder="1" applyAlignment="1">
      <alignment horizontal="left"/>
    </xf>
    <xf numFmtId="49" fontId="19" fillId="0" borderId="1" xfId="0" applyNumberFormat="1" applyFont="1" applyBorder="1" applyAlignment="1">
      <alignment horizontal="left"/>
    </xf>
    <xf numFmtId="49" fontId="20" fillId="0" borderId="0" xfId="0" applyNumberFormat="1" applyFont="1"/>
    <xf numFmtId="43" fontId="6" fillId="0" borderId="2" xfId="1" applyFont="1" applyBorder="1" applyAlignment="1">
      <alignment vertical="center"/>
    </xf>
    <xf numFmtId="49" fontId="7" fillId="0" borderId="1" xfId="5" applyNumberFormat="1" applyBorder="1">
      <alignment horizontal="center"/>
    </xf>
    <xf numFmtId="0" fontId="7" fillId="0" borderId="1" xfId="5" applyBorder="1">
      <alignment horizontal="center"/>
    </xf>
    <xf numFmtId="4" fontId="7" fillId="0" borderId="1" xfId="5" applyNumberFormat="1" applyBorder="1">
      <alignment horizontal="center"/>
    </xf>
    <xf numFmtId="49" fontId="7" fillId="0" borderId="0" xfId="5" applyNumberFormat="1">
      <alignment horizontal="center"/>
    </xf>
    <xf numFmtId="0" fontId="7" fillId="0" borderId="0" xfId="5">
      <alignment horizontal="center"/>
    </xf>
    <xf numFmtId="4" fontId="7" fillId="0" borderId="0" xfId="5" applyNumberFormat="1">
      <alignment horizontal="center"/>
    </xf>
    <xf numFmtId="43" fontId="6" fillId="0" borderId="1" xfId="1" applyFont="1" applyBorder="1" applyAlignment="1">
      <alignment vertical="center"/>
    </xf>
    <xf numFmtId="43" fontId="7" fillId="0" borderId="2" xfId="1" applyFont="1" applyBorder="1" applyAlignment="1">
      <alignment horizontal="right" vertical="center"/>
    </xf>
    <xf numFmtId="43" fontId="0" fillId="0" borderId="2" xfId="1" applyFont="1" applyBorder="1"/>
    <xf numFmtId="43" fontId="7" fillId="0" borderId="3" xfId="1" applyFont="1" applyBorder="1" applyAlignment="1">
      <alignment horizontal="right" vertical="center"/>
    </xf>
    <xf numFmtId="43" fontId="0" fillId="0" borderId="0" xfId="0" applyNumberFormat="1"/>
    <xf numFmtId="43" fontId="7" fillId="0" borderId="5" xfId="1" applyFont="1" applyFill="1" applyBorder="1" applyAlignment="1">
      <alignment horizontal="right" vertical="center"/>
    </xf>
    <xf numFmtId="4" fontId="0" fillId="0" borderId="0" xfId="0" applyNumberFormat="1"/>
    <xf numFmtId="43" fontId="0" fillId="0" borderId="0" xfId="1" applyFont="1"/>
    <xf numFmtId="49" fontId="11" fillId="0" borderId="3" xfId="0" applyNumberFormat="1" applyFont="1" applyBorder="1"/>
    <xf numFmtId="49" fontId="4" fillId="0" borderId="0" xfId="3" applyAlignment="1">
      <alignment vertical="center"/>
    </xf>
    <xf numFmtId="49" fontId="7" fillId="0" borderId="0" xfId="7" applyAlignment="1">
      <alignment vertical="center"/>
    </xf>
    <xf numFmtId="49" fontId="13" fillId="0" borderId="0" xfId="2" applyFont="1">
      <alignment horizontal="left" vertical="center" wrapText="1"/>
    </xf>
    <xf numFmtId="49" fontId="7" fillId="0" borderId="0" xfId="7">
      <alignment horizontal="left" vertical="center" wrapText="1"/>
    </xf>
    <xf numFmtId="49" fontId="14" fillId="0" borderId="0" xfId="4" applyFont="1">
      <alignment horizontal="center" vertical="center" wrapText="1"/>
    </xf>
    <xf numFmtId="49" fontId="7" fillId="0" borderId="2" xfId="8" applyBorder="1">
      <alignment horizontal="left" vertical="center" wrapText="1"/>
    </xf>
    <xf numFmtId="49" fontId="7" fillId="0" borderId="1" xfId="8" applyBorder="1">
      <alignment horizontal="left" vertical="center" wrapText="1"/>
    </xf>
    <xf numFmtId="0" fontId="0" fillId="0" borderId="1" xfId="0" applyBorder="1"/>
    <xf numFmtId="49" fontId="7" fillId="0" borderId="0" xfId="8">
      <alignment horizontal="left" vertical="center" wrapText="1"/>
    </xf>
    <xf numFmtId="0" fontId="0" fillId="0" borderId="0" xfId="0"/>
    <xf numFmtId="49" fontId="5" fillId="0" borderId="0" xfId="4">
      <alignment horizontal="center" vertical="center" wrapText="1"/>
    </xf>
    <xf numFmtId="1" fontId="7" fillId="0" borderId="9" xfId="5" applyNumberFormat="1" applyBorder="1">
      <alignment horizontal="center"/>
    </xf>
    <xf numFmtId="49" fontId="4" fillId="0" borderId="0" xfId="3">
      <alignment horizontal="left" vertical="center" wrapText="1"/>
    </xf>
    <xf numFmtId="49" fontId="13" fillId="0" borderId="1" xfId="2" applyFont="1" applyBorder="1">
      <alignment horizontal="left" vertical="center" wrapText="1"/>
    </xf>
    <xf numFmtId="49" fontId="9" fillId="0" borderId="1" xfId="0" applyNumberFormat="1" applyFont="1" applyBorder="1" applyAlignment="1">
      <alignment horizontal="left"/>
    </xf>
    <xf numFmtId="49" fontId="8" fillId="0" borderId="0" xfId="0" applyNumberFormat="1" applyFont="1" applyAlignment="1">
      <alignment horizontal="left"/>
    </xf>
    <xf numFmtId="49" fontId="7" fillId="0" borderId="3" xfId="8" applyBorder="1">
      <alignment horizontal="left" vertical="center" wrapText="1"/>
    </xf>
    <xf numFmtId="49" fontId="11" fillId="0" borderId="3" xfId="0" applyNumberFormat="1" applyFont="1" applyBorder="1"/>
    <xf numFmtId="49" fontId="11" fillId="0" borderId="0" xfId="0" applyNumberFormat="1" applyFont="1"/>
    <xf numFmtId="49" fontId="11" fillId="0" borderId="8" xfId="0" applyNumberFormat="1" applyFont="1" applyBorder="1"/>
    <xf numFmtId="49" fontId="7" fillId="0" borderId="5" xfId="8" applyBorder="1">
      <alignment horizontal="left" vertical="center" wrapText="1"/>
    </xf>
    <xf numFmtId="49" fontId="11" fillId="0" borderId="5" xfId="0" applyNumberFormat="1" applyFont="1" applyBorder="1"/>
    <xf numFmtId="49" fontId="11" fillId="0" borderId="7" xfId="0" applyNumberFormat="1" applyFont="1" applyBorder="1"/>
    <xf numFmtId="0" fontId="7" fillId="0" borderId="0" xfId="0" applyFont="1"/>
    <xf numFmtId="49" fontId="7" fillId="0" borderId="0" xfId="0" applyNumberFormat="1" applyFont="1"/>
    <xf numFmtId="4" fontId="7" fillId="0" borderId="0" xfId="0" applyNumberFormat="1" applyFont="1"/>
    <xf numFmtId="0" fontId="7" fillId="0" borderId="0" xfId="0" applyFont="1" applyAlignment="1">
      <alignment horizontal="center"/>
    </xf>
    <xf numFmtId="49" fontId="15" fillId="0" borderId="4" xfId="22" applyFont="1" applyBorder="1"/>
    <xf numFmtId="49" fontId="7" fillId="0" borderId="4" xfId="7" applyBorder="1">
      <alignment horizontal="left" vertical="center" wrapText="1"/>
    </xf>
    <xf numFmtId="43" fontId="7" fillId="0" borderId="4" xfId="1" applyFont="1" applyBorder="1" applyAlignment="1">
      <alignment vertical="center"/>
    </xf>
    <xf numFmtId="43" fontId="7" fillId="0" borderId="4" xfId="1" applyFont="1" applyBorder="1" applyAlignment="1">
      <alignment horizontal="right" vertical="center"/>
    </xf>
    <xf numFmtId="4" fontId="7" fillId="0" borderId="0" xfId="10" applyFill="1">
      <alignment horizontal="right" vertical="center"/>
    </xf>
    <xf numFmtId="49" fontId="7" fillId="0" borderId="3" xfId="0" applyNumberFormat="1" applyFont="1" applyBorder="1"/>
    <xf numFmtId="4" fontId="7" fillId="0" borderId="3" xfId="0" applyNumberFormat="1" applyFont="1" applyBorder="1"/>
    <xf numFmtId="49" fontId="7" fillId="0" borderId="1" xfId="8" applyBorder="1" applyAlignment="1">
      <alignment vertical="center" wrapText="1"/>
    </xf>
    <xf numFmtId="49" fontId="7" fillId="0" borderId="0" xfId="8" applyAlignment="1">
      <alignment vertical="center" wrapText="1"/>
    </xf>
    <xf numFmtId="0" fontId="7" fillId="0" borderId="10" xfId="0" applyFont="1" applyBorder="1" applyAlignment="1">
      <alignment horizontal="center"/>
    </xf>
    <xf numFmtId="49" fontId="13" fillId="0" borderId="0" xfId="2" applyFont="1" applyAlignment="1">
      <alignment horizontal="left" vertical="center" wrapText="1"/>
    </xf>
  </cellXfs>
  <cellStyles count="24">
    <cellStyle name="Antet" xfId="2" xr:uid="{67154C82-2E25-4857-837D-55228B8BE898}"/>
    <cellStyle name="Cantitate" xfId="12" xr:uid="{B1105FE3-DAC0-4431-8D66-E02072AB652C}"/>
    <cellStyle name="CapTabel" xfId="5" xr:uid="{F7DE6F3F-9A03-404E-9BAA-F23675352135}"/>
    <cellStyle name="Cod" xfId="7" xr:uid="{6B0B341B-9BD1-4A7D-9CEC-B1DA78977DFF}"/>
    <cellStyle name="Comma" xfId="1" builtinId="3"/>
    <cellStyle name="Denum" xfId="9" xr:uid="{F38D38C4-9986-448A-B73C-892F998A71D4}"/>
    <cellStyle name="Denumire" xfId="8" xr:uid="{11D688B1-6EDF-4789-B322-6F8A12F5B6C5}"/>
    <cellStyle name="DenumireRaport" xfId="3" xr:uid="{7F222D15-48EC-4D4F-87DC-31D1A16DCC69}"/>
    <cellStyle name="Greutate" xfId="17" xr:uid="{F8C529B0-6BF0-4948-929B-1E977D40A39E}"/>
    <cellStyle name="kmparcurs" xfId="19" xr:uid="{A6180AD1-D86D-4A94-B745-50C240E7F366}"/>
    <cellStyle name="Normal" xfId="0" builtinId="0"/>
    <cellStyle name="NrCrt" xfId="6" xr:uid="{9284E609-97A9-4184-8BA1-90366915433D}"/>
    <cellStyle name="orefunc" xfId="20" xr:uid="{3AABE1E4-425F-4046-BC74-8EAB9122F2B3}"/>
    <cellStyle name="Pondere" xfId="11" xr:uid="{C14DCCB5-AD93-4C78-9C51-F945CB5CF2B1}"/>
    <cellStyle name="PretUnitar" xfId="14" xr:uid="{3E4C4E63-181F-44EF-8CDF-C8E5ADAFC22A}"/>
    <cellStyle name="Procente" xfId="21" xr:uid="{22A7887C-790F-4321-B08A-8D3ED10364A7}"/>
    <cellStyle name="Recapit" xfId="15" xr:uid="{3787C82F-A3B3-4780-B4E5-C265E2E2018E}"/>
    <cellStyle name="RecCoef" xfId="16" xr:uid="{A1D4BC78-059E-486D-BE04-1E4A4DAC5358}"/>
    <cellStyle name="Sporuri" xfId="13" xr:uid="{026F266A-3895-462B-9F33-859E5E3DA1E5}"/>
    <cellStyle name="Sporuri 2" xfId="23" xr:uid="{A28AEE8C-8DB6-4217-A9BE-0206CA4EFCCE}"/>
    <cellStyle name="Text" xfId="22" xr:uid="{27569853-F5E9-4E2A-A426-75C9834B737D}"/>
    <cellStyle name="TitluRap" xfId="4" xr:uid="{2128AE2A-CC30-43FF-A0A5-687168F0A6AB}"/>
    <cellStyle name="tonaj" xfId="18" xr:uid="{C0FBF12A-51E1-4239-BB09-1AD05EAC9537}"/>
    <cellStyle name="Valoare" xfId="10" xr:uid="{933D8CAB-16EC-4131-8839-A9E376DC33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4D32-71B2-4E02-9D9C-99104E5EBC30}">
  <sheetPr>
    <tabColor rgb="FF92D050"/>
  </sheetPr>
  <dimension ref="A1:C117"/>
  <sheetViews>
    <sheetView tabSelected="1" workbookViewId="0">
      <selection activeCell="B26" sqref="B26"/>
    </sheetView>
  </sheetViews>
  <sheetFormatPr defaultRowHeight="14.4" x14ac:dyDescent="0.3"/>
  <cols>
    <col min="1" max="1" width="4.88671875" customWidth="1"/>
    <col min="2" max="2" width="61.44140625" customWidth="1"/>
    <col min="3" max="3" width="17.109375" customWidth="1"/>
  </cols>
  <sheetData>
    <row r="1" spans="1:3" ht="23.4" customHeight="1" x14ac:dyDescent="0.3">
      <c r="A1" s="80" t="s">
        <v>1551</v>
      </c>
      <c r="B1" s="81"/>
    </row>
    <row r="2" spans="1:3" ht="14.4" customHeight="1" x14ac:dyDescent="0.3">
      <c r="A2" s="117" t="s">
        <v>1</v>
      </c>
      <c r="B2" s="117"/>
      <c r="C2" s="117"/>
    </row>
    <row r="3" spans="1:3" ht="37.200000000000003" customHeight="1" x14ac:dyDescent="0.3">
      <c r="A3" s="117"/>
      <c r="B3" s="117"/>
      <c r="C3" s="117"/>
    </row>
    <row r="4" spans="1:3" ht="47.4" customHeight="1" x14ac:dyDescent="0.3">
      <c r="A4" s="84" t="s">
        <v>1550</v>
      </c>
      <c r="B4" s="84"/>
      <c r="C4" s="84"/>
    </row>
    <row r="6" spans="1:3" ht="15" thickBot="1" x14ac:dyDescent="0.35"/>
    <row r="7" spans="1:3" x14ac:dyDescent="0.3">
      <c r="A7" s="65" t="s">
        <v>7</v>
      </c>
      <c r="B7" s="65" t="s">
        <v>1552</v>
      </c>
      <c r="C7" s="67" t="s">
        <v>1211</v>
      </c>
    </row>
    <row r="8" spans="1:3" x14ac:dyDescent="0.3">
      <c r="A8" s="68" t="s">
        <v>1474</v>
      </c>
      <c r="B8" s="68" t="s">
        <v>1553</v>
      </c>
      <c r="C8" s="70" t="s">
        <v>1477</v>
      </c>
    </row>
    <row r="9" spans="1:3" ht="15" thickBot="1" x14ac:dyDescent="0.35">
      <c r="A9" s="68"/>
      <c r="B9" s="68"/>
      <c r="C9" s="70" t="s">
        <v>1479</v>
      </c>
    </row>
    <row r="10" spans="1:3" ht="15" thickBot="1" x14ac:dyDescent="0.35">
      <c r="A10" s="34" t="s">
        <v>1480</v>
      </c>
      <c r="B10" s="34" t="s">
        <v>1481</v>
      </c>
      <c r="C10" s="34">
        <v>2</v>
      </c>
    </row>
    <row r="11" spans="1:3" s="103" customFormat="1" ht="12" x14ac:dyDescent="0.25">
      <c r="A11" s="106">
        <v>1</v>
      </c>
      <c r="B11" s="104" t="str">
        <f>Centralizator!B4</f>
        <v>00 CAPITOLUL 2</v>
      </c>
      <c r="C11" s="105">
        <f>Centralizator!G11</f>
        <v>12674.709999999997</v>
      </c>
    </row>
    <row r="12" spans="1:3" s="103" customFormat="1" ht="12" x14ac:dyDescent="0.25">
      <c r="A12" s="106">
        <v>2</v>
      </c>
      <c r="B12" s="104" t="str">
        <f>Centralizator!B17</f>
        <v>000 CAP 1.3 + CAP 6.2</v>
      </c>
      <c r="C12" s="105">
        <f>Centralizator!G24</f>
        <v>1628.4099999999999</v>
      </c>
    </row>
    <row r="13" spans="1:3" s="103" customFormat="1" ht="12" x14ac:dyDescent="0.25">
      <c r="A13" s="106">
        <v>3</v>
      </c>
      <c r="B13" s="104" t="str">
        <f>Centralizator!B30</f>
        <v>01 SCOALA</v>
      </c>
      <c r="C13" s="105">
        <f>Centralizator!G49</f>
        <v>2985555.1010000003</v>
      </c>
    </row>
    <row r="14" spans="1:3" s="103" customFormat="1" ht="12" x14ac:dyDescent="0.25">
      <c r="A14" s="106">
        <v>4</v>
      </c>
      <c r="B14" s="104" t="str">
        <f>Centralizator!B54</f>
        <v>02 GRADINITA</v>
      </c>
      <c r="C14" s="105">
        <f>Centralizator!G73</f>
        <v>1553574.60595</v>
      </c>
    </row>
    <row r="15" spans="1:3" s="103" customFormat="1" ht="12" x14ac:dyDescent="0.25">
      <c r="A15" s="106">
        <v>5</v>
      </c>
      <c r="B15" s="104" t="str">
        <f>Centralizator!B78</f>
        <v>03 SPATII COMUNE (POMPE REZ. APA)</v>
      </c>
      <c r="C15" s="105">
        <f>Centralizator!G90</f>
        <v>296021.85560000001</v>
      </c>
    </row>
    <row r="16" spans="1:3" s="103" customFormat="1" ht="12" x14ac:dyDescent="0.25">
      <c r="A16" s="106">
        <v>6</v>
      </c>
      <c r="B16" s="104" t="str">
        <f>Centralizator!B95</f>
        <v>04 AMENAJARI EXTERIOARE</v>
      </c>
      <c r="C16" s="105">
        <f>Centralizator!G108</f>
        <v>190336.61660000001</v>
      </c>
    </row>
    <row r="17" spans="1:3" s="103" customFormat="1" ht="12.6" thickBot="1" x14ac:dyDescent="0.3">
      <c r="A17" s="116">
        <v>7</v>
      </c>
      <c r="B17" s="112" t="str">
        <f>Centralizator!B113</f>
        <v>05 DTOE</v>
      </c>
      <c r="C17" s="113">
        <f>Centralizator!G128</f>
        <v>22557.863800000006</v>
      </c>
    </row>
    <row r="18" spans="1:3" s="103" customFormat="1" ht="12" x14ac:dyDescent="0.25">
      <c r="A18" s="106"/>
      <c r="B18" s="114" t="s">
        <v>1487</v>
      </c>
      <c r="C18" s="57">
        <f>SUM(C11:C17)</f>
        <v>5062349.1629500017</v>
      </c>
    </row>
    <row r="19" spans="1:3" s="103" customFormat="1" ht="12" x14ac:dyDescent="0.25">
      <c r="A19" s="106"/>
      <c r="B19" s="115" t="s">
        <v>1488</v>
      </c>
      <c r="C19" s="4">
        <f>C18*0.19</f>
        <v>961846.3409605003</v>
      </c>
    </row>
    <row r="20" spans="1:3" s="103" customFormat="1" ht="12" x14ac:dyDescent="0.25">
      <c r="A20" s="106"/>
      <c r="B20" s="115" t="s">
        <v>1489</v>
      </c>
      <c r="C20" s="4">
        <f>C19+C18</f>
        <v>6024195.5039105024</v>
      </c>
    </row>
    <row r="21" spans="1:3" s="103" customFormat="1" ht="12" x14ac:dyDescent="0.25"/>
    <row r="22" spans="1:3" s="103" customFormat="1" ht="12" x14ac:dyDescent="0.25"/>
    <row r="23" spans="1:3" s="103" customFormat="1" ht="12" x14ac:dyDescent="0.25"/>
    <row r="24" spans="1:3" s="103" customFormat="1" ht="12" x14ac:dyDescent="0.25"/>
    <row r="25" spans="1:3" s="103" customFormat="1" ht="12" x14ac:dyDescent="0.25"/>
    <row r="26" spans="1:3" s="103" customFormat="1" ht="12" x14ac:dyDescent="0.25"/>
    <row r="27" spans="1:3" s="103" customFormat="1" ht="12" x14ac:dyDescent="0.25"/>
    <row r="28" spans="1:3" s="103" customFormat="1" ht="12" x14ac:dyDescent="0.25"/>
    <row r="29" spans="1:3" s="103" customFormat="1" ht="12" x14ac:dyDescent="0.25"/>
    <row r="30" spans="1:3" s="103" customFormat="1" ht="12" x14ac:dyDescent="0.25"/>
    <row r="31" spans="1:3" s="103" customFormat="1" ht="12" x14ac:dyDescent="0.25"/>
    <row r="32" spans="1:3" s="103" customFormat="1" ht="12" x14ac:dyDescent="0.25"/>
    <row r="33" s="103" customFormat="1" ht="12" x14ac:dyDescent="0.25"/>
    <row r="34" s="103" customFormat="1" ht="12" x14ac:dyDescent="0.25"/>
    <row r="35" s="103" customFormat="1" ht="12" x14ac:dyDescent="0.25"/>
    <row r="36" s="103" customFormat="1" ht="12" x14ac:dyDescent="0.25"/>
    <row r="37" s="103" customFormat="1" ht="12" x14ac:dyDescent="0.25"/>
    <row r="38" s="103" customFormat="1" ht="12" x14ac:dyDescent="0.25"/>
    <row r="39" s="103" customFormat="1" ht="12" x14ac:dyDescent="0.25"/>
    <row r="40" s="103" customFormat="1" ht="12" x14ac:dyDescent="0.25"/>
    <row r="41" s="103" customFormat="1" ht="12" x14ac:dyDescent="0.25"/>
    <row r="42" s="103" customFormat="1" ht="12" x14ac:dyDescent="0.25"/>
    <row r="43" s="103" customFormat="1" ht="12" x14ac:dyDescent="0.25"/>
    <row r="44" s="103" customFormat="1" ht="12" x14ac:dyDescent="0.25"/>
    <row r="45" s="103" customFormat="1" ht="12" x14ac:dyDescent="0.25"/>
    <row r="46" s="103" customFormat="1" ht="12" x14ac:dyDescent="0.25"/>
    <row r="47" s="103" customFormat="1" ht="12" x14ac:dyDescent="0.25"/>
    <row r="48" s="103" customFormat="1" ht="12" x14ac:dyDescent="0.25"/>
    <row r="49" s="103" customFormat="1" ht="12" x14ac:dyDescent="0.25"/>
    <row r="50" s="103" customFormat="1" ht="12" x14ac:dyDescent="0.25"/>
    <row r="51" s="103" customFormat="1" ht="12" x14ac:dyDescent="0.25"/>
    <row r="52" s="103" customFormat="1" ht="12" x14ac:dyDescent="0.25"/>
    <row r="53" s="103" customFormat="1" ht="12" x14ac:dyDescent="0.25"/>
    <row r="54" s="103" customFormat="1" ht="12" x14ac:dyDescent="0.25"/>
    <row r="55" s="103" customFormat="1" ht="12" x14ac:dyDescent="0.25"/>
    <row r="56" s="103" customFormat="1" ht="12" x14ac:dyDescent="0.25"/>
    <row r="57" s="103" customFormat="1" ht="12" x14ac:dyDescent="0.25"/>
    <row r="58" s="103" customFormat="1" ht="12" x14ac:dyDescent="0.25"/>
    <row r="59" s="103" customFormat="1" ht="12" x14ac:dyDescent="0.25"/>
    <row r="60" s="103" customFormat="1" ht="12" x14ac:dyDescent="0.25"/>
    <row r="61" s="103" customFormat="1" ht="12" x14ac:dyDescent="0.25"/>
    <row r="62" s="103" customFormat="1" ht="12" x14ac:dyDescent="0.25"/>
    <row r="63" s="103" customFormat="1" ht="12" x14ac:dyDescent="0.25"/>
    <row r="64" s="103" customFormat="1" ht="12" x14ac:dyDescent="0.25"/>
    <row r="65" s="103" customFormat="1" ht="12" x14ac:dyDescent="0.25"/>
    <row r="66" s="103" customFormat="1" ht="12" x14ac:dyDescent="0.25"/>
    <row r="67" s="103" customFormat="1" ht="12" x14ac:dyDescent="0.25"/>
    <row r="68" s="103" customFormat="1" ht="12" x14ac:dyDescent="0.25"/>
    <row r="69" s="103" customFormat="1" ht="12" x14ac:dyDescent="0.25"/>
    <row r="70" s="103" customFormat="1" ht="12" x14ac:dyDescent="0.25"/>
    <row r="71" s="103" customFormat="1" ht="12" x14ac:dyDescent="0.25"/>
    <row r="72" s="103" customFormat="1" ht="12" x14ac:dyDescent="0.25"/>
    <row r="73" s="103" customFormat="1" ht="12" x14ac:dyDescent="0.25"/>
    <row r="74" s="103" customFormat="1" ht="12" x14ac:dyDescent="0.25"/>
    <row r="75" s="103" customFormat="1" ht="12" x14ac:dyDescent="0.25"/>
    <row r="76" s="103" customFormat="1" ht="12" x14ac:dyDescent="0.25"/>
    <row r="77" s="103" customFormat="1" ht="12" x14ac:dyDescent="0.25"/>
    <row r="78" s="103" customFormat="1" ht="12" x14ac:dyDescent="0.25"/>
    <row r="79" s="103" customFormat="1" ht="12" x14ac:dyDescent="0.25"/>
    <row r="80" s="103" customFormat="1" ht="12" x14ac:dyDescent="0.25"/>
    <row r="81" s="103" customFormat="1" ht="12" x14ac:dyDescent="0.25"/>
    <row r="82" s="103" customFormat="1" ht="12" x14ac:dyDescent="0.25"/>
    <row r="83" s="103" customFormat="1" ht="12" x14ac:dyDescent="0.25"/>
    <row r="84" s="103" customFormat="1" ht="12" x14ac:dyDescent="0.25"/>
    <row r="85" s="103" customFormat="1" ht="12" x14ac:dyDescent="0.25"/>
    <row r="86" s="103" customFormat="1" ht="12" x14ac:dyDescent="0.25"/>
    <row r="87" s="103" customFormat="1" ht="12" x14ac:dyDescent="0.25"/>
    <row r="88" s="103" customFormat="1" ht="12" x14ac:dyDescent="0.25"/>
    <row r="89" s="103" customFormat="1" ht="12" x14ac:dyDescent="0.25"/>
    <row r="90" s="103" customFormat="1" ht="12" x14ac:dyDescent="0.25"/>
    <row r="91" s="103" customFormat="1" ht="12" x14ac:dyDescent="0.25"/>
    <row r="92" s="103" customFormat="1" ht="12" x14ac:dyDescent="0.25"/>
    <row r="93" s="103" customFormat="1" ht="12" x14ac:dyDescent="0.25"/>
    <row r="94" s="103" customFormat="1" ht="12" x14ac:dyDescent="0.25"/>
    <row r="95" s="103" customFormat="1" ht="12" x14ac:dyDescent="0.25"/>
    <row r="96" s="103" customFormat="1" ht="12" x14ac:dyDescent="0.25"/>
    <row r="97" s="103" customFormat="1" ht="12" x14ac:dyDescent="0.25"/>
    <row r="98" s="103" customFormat="1" ht="12" x14ac:dyDescent="0.25"/>
    <row r="99" s="103" customFormat="1" ht="12" x14ac:dyDescent="0.25"/>
    <row r="100" s="103" customFormat="1" ht="12" x14ac:dyDescent="0.25"/>
    <row r="101" s="103" customFormat="1" ht="12" x14ac:dyDescent="0.25"/>
    <row r="102" s="103" customFormat="1" ht="12" x14ac:dyDescent="0.25"/>
    <row r="103" s="103" customFormat="1" ht="12" x14ac:dyDescent="0.25"/>
    <row r="104" s="103" customFormat="1" ht="12" x14ac:dyDescent="0.25"/>
    <row r="105" s="103" customFormat="1" ht="12" x14ac:dyDescent="0.25"/>
    <row r="106" s="103" customFormat="1" ht="12" x14ac:dyDescent="0.25"/>
    <row r="107" s="103" customFormat="1" ht="12" x14ac:dyDescent="0.25"/>
    <row r="108" s="103" customFormat="1" ht="12" x14ac:dyDescent="0.25"/>
    <row r="109" s="103" customFormat="1" ht="12" x14ac:dyDescent="0.25"/>
    <row r="110" s="103" customFormat="1" ht="12" x14ac:dyDescent="0.25"/>
    <row r="111" s="103" customFormat="1" ht="12" x14ac:dyDescent="0.25"/>
    <row r="112" s="103" customFormat="1" ht="12" x14ac:dyDescent="0.25"/>
    <row r="113" s="103" customFormat="1" ht="12" x14ac:dyDescent="0.25"/>
    <row r="114" s="103" customFormat="1" ht="12" x14ac:dyDescent="0.25"/>
    <row r="115" s="103" customFormat="1" ht="12" x14ac:dyDescent="0.25"/>
    <row r="116" s="103" customFormat="1" ht="12" x14ac:dyDescent="0.25"/>
    <row r="117" s="103" customFormat="1" ht="12" x14ac:dyDescent="0.25"/>
  </sheetData>
  <mergeCells count="2">
    <mergeCell ref="A4:C4"/>
    <mergeCell ref="A2: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039F-AE5E-4182-8E90-997612E1858C}">
  <sheetPr>
    <tabColor rgb="FF92D050"/>
  </sheetPr>
  <dimension ref="A1:J130"/>
  <sheetViews>
    <sheetView workbookViewId="0">
      <selection activeCell="D14" sqref="D14:F14"/>
    </sheetView>
  </sheetViews>
  <sheetFormatPr defaultRowHeight="14.4" x14ac:dyDescent="0.3"/>
  <cols>
    <col min="2" max="2" width="8.21875" customWidth="1"/>
    <col min="3" max="3" width="48.5546875" customWidth="1"/>
    <col min="4" max="7" width="12.77734375" customWidth="1"/>
    <col min="8" max="9" width="12.5546875" bestFit="1" customWidth="1"/>
  </cols>
  <sheetData>
    <row r="1" spans="1:7" ht="23.4" customHeight="1" x14ac:dyDescent="0.3">
      <c r="B1" s="92" t="s">
        <v>1468</v>
      </c>
      <c r="C1" s="83"/>
    </row>
    <row r="2" spans="1:7" x14ac:dyDescent="0.3">
      <c r="B2" s="82" t="s">
        <v>1</v>
      </c>
      <c r="C2" s="83"/>
      <c r="D2" s="83"/>
      <c r="E2" s="83"/>
      <c r="F2" s="83"/>
      <c r="G2" s="83"/>
    </row>
    <row r="3" spans="1:7" ht="47.4" customHeight="1" x14ac:dyDescent="0.3">
      <c r="B3" s="84" t="s">
        <v>1469</v>
      </c>
      <c r="C3" s="83"/>
      <c r="D3" s="83"/>
      <c r="E3" s="83"/>
      <c r="F3" s="83"/>
      <c r="G3" s="83"/>
    </row>
    <row r="4" spans="1:7" ht="15" thickBot="1" x14ac:dyDescent="0.35">
      <c r="B4" s="90" t="s">
        <v>1471</v>
      </c>
      <c r="C4" s="83"/>
      <c r="D4" s="83"/>
      <c r="E4" s="83"/>
      <c r="F4" s="83"/>
      <c r="G4" s="83"/>
    </row>
    <row r="5" spans="1:7" x14ac:dyDescent="0.3">
      <c r="A5" s="65" t="s">
        <v>7</v>
      </c>
      <c r="B5" s="65" t="s">
        <v>1473</v>
      </c>
      <c r="C5" s="65"/>
      <c r="D5" s="66"/>
      <c r="E5" s="66"/>
      <c r="F5" s="66"/>
      <c r="G5" s="67" t="s">
        <v>1211</v>
      </c>
    </row>
    <row r="6" spans="1:7" x14ac:dyDescent="0.3">
      <c r="A6" s="68" t="s">
        <v>1474</v>
      </c>
      <c r="B6" s="68" t="s">
        <v>1475</v>
      </c>
      <c r="C6" s="68" t="s">
        <v>1476</v>
      </c>
      <c r="D6" s="69"/>
      <c r="E6" s="69"/>
      <c r="F6" s="69"/>
      <c r="G6" s="70" t="s">
        <v>1477</v>
      </c>
    </row>
    <row r="7" spans="1:7" ht="15" thickBot="1" x14ac:dyDescent="0.35">
      <c r="A7" s="68"/>
      <c r="B7" s="68" t="s">
        <v>1478</v>
      </c>
      <c r="C7" s="68"/>
      <c r="D7" s="69"/>
      <c r="E7" s="69"/>
      <c r="F7" s="69"/>
      <c r="G7" s="70" t="s">
        <v>1479</v>
      </c>
    </row>
    <row r="8" spans="1:7" ht="15" thickBot="1" x14ac:dyDescent="0.35">
      <c r="A8" s="34" t="s">
        <v>1480</v>
      </c>
      <c r="B8" s="91" t="s">
        <v>1481</v>
      </c>
      <c r="C8" s="91"/>
      <c r="D8" s="34"/>
      <c r="E8" s="34"/>
      <c r="F8" s="34"/>
      <c r="G8" s="34">
        <v>2</v>
      </c>
    </row>
    <row r="9" spans="1:7" x14ac:dyDescent="0.3">
      <c r="A9" s="9" t="s">
        <v>1481</v>
      </c>
      <c r="B9" s="10" t="s">
        <v>1482</v>
      </c>
      <c r="C9" s="40" t="s">
        <v>1483</v>
      </c>
      <c r="D9" s="14"/>
      <c r="E9" s="14"/>
      <c r="F9" s="14"/>
      <c r="G9" s="57"/>
    </row>
    <row r="10" spans="1:7" ht="15" thickBot="1" x14ac:dyDescent="0.35">
      <c r="A10" s="25" t="s">
        <v>1481</v>
      </c>
      <c r="B10" s="19" t="s">
        <v>1484</v>
      </c>
      <c r="C10" s="85" t="s">
        <v>1485</v>
      </c>
      <c r="D10" s="85"/>
      <c r="E10" s="85"/>
      <c r="F10" s="85"/>
      <c r="G10" s="22">
        <f>'O.00 D.2'!I88</f>
        <v>12674.709999999997</v>
      </c>
    </row>
    <row r="11" spans="1:7" ht="15" thickBot="1" x14ac:dyDescent="0.35">
      <c r="A11" s="9"/>
      <c r="B11" s="10"/>
      <c r="C11" s="40" t="s">
        <v>1486</v>
      </c>
      <c r="D11" s="12"/>
      <c r="E11" s="12"/>
      <c r="F11" s="12"/>
      <c r="G11" s="57">
        <f>G10</f>
        <v>12674.709999999997</v>
      </c>
    </row>
    <row r="12" spans="1:7" x14ac:dyDescent="0.3">
      <c r="A12" s="9"/>
      <c r="B12" s="10"/>
      <c r="C12" s="40"/>
      <c r="D12" s="86" t="s">
        <v>1487</v>
      </c>
      <c r="E12" s="87"/>
      <c r="F12" s="87"/>
      <c r="G12" s="57">
        <f>G11</f>
        <v>12674.709999999997</v>
      </c>
    </row>
    <row r="13" spans="1:7" x14ac:dyDescent="0.3">
      <c r="D13" s="88" t="s">
        <v>1488</v>
      </c>
      <c r="E13" s="89"/>
      <c r="F13" s="89"/>
      <c r="G13" s="4">
        <f>G12*0.19</f>
        <v>2408.1948999999995</v>
      </c>
    </row>
    <row r="14" spans="1:7" x14ac:dyDescent="0.3">
      <c r="D14" s="88" t="s">
        <v>1489</v>
      </c>
      <c r="E14" s="89"/>
      <c r="F14" s="89"/>
      <c r="G14" s="111">
        <f>G13+G12</f>
        <v>15082.904899999998</v>
      </c>
    </row>
    <row r="16" spans="1:7" ht="47.4" customHeight="1" x14ac:dyDescent="0.3">
      <c r="B16" s="84" t="s">
        <v>1469</v>
      </c>
      <c r="C16" s="83"/>
      <c r="D16" s="83"/>
      <c r="E16" s="83"/>
      <c r="F16" s="83"/>
      <c r="G16" s="83"/>
    </row>
    <row r="17" spans="1:7" ht="15" thickBot="1" x14ac:dyDescent="0.35">
      <c r="B17" s="90" t="s">
        <v>1490</v>
      </c>
      <c r="C17" s="83"/>
      <c r="D17" s="83"/>
      <c r="E17" s="83"/>
      <c r="F17" s="83"/>
      <c r="G17" s="83"/>
    </row>
    <row r="18" spans="1:7" x14ac:dyDescent="0.3">
      <c r="A18" s="65" t="s">
        <v>7</v>
      </c>
      <c r="B18" s="65" t="s">
        <v>1473</v>
      </c>
      <c r="C18" s="65"/>
      <c r="D18" s="66"/>
      <c r="E18" s="66"/>
      <c r="F18" s="66"/>
      <c r="G18" s="67" t="s">
        <v>1211</v>
      </c>
    </row>
    <row r="19" spans="1:7" x14ac:dyDescent="0.3">
      <c r="A19" s="68" t="s">
        <v>1474</v>
      </c>
      <c r="B19" s="68" t="s">
        <v>1475</v>
      </c>
      <c r="C19" s="68" t="s">
        <v>1476</v>
      </c>
      <c r="D19" s="69"/>
      <c r="E19" s="69"/>
      <c r="F19" s="69"/>
      <c r="G19" s="70" t="s">
        <v>1477</v>
      </c>
    </row>
    <row r="20" spans="1:7" ht="15" thickBot="1" x14ac:dyDescent="0.35">
      <c r="A20" s="68"/>
      <c r="B20" s="68" t="s">
        <v>1478</v>
      </c>
      <c r="C20" s="68"/>
      <c r="D20" s="69"/>
      <c r="E20" s="69"/>
      <c r="F20" s="69"/>
      <c r="G20" s="70" t="s">
        <v>1479</v>
      </c>
    </row>
    <row r="21" spans="1:7" ht="15" thickBot="1" x14ac:dyDescent="0.35">
      <c r="A21" s="34" t="s">
        <v>1480</v>
      </c>
      <c r="B21" s="91" t="s">
        <v>1481</v>
      </c>
      <c r="C21" s="91"/>
      <c r="D21" s="34"/>
      <c r="E21" s="34"/>
      <c r="F21" s="34"/>
      <c r="G21" s="34">
        <v>2</v>
      </c>
    </row>
    <row r="22" spans="1:7" x14ac:dyDescent="0.3">
      <c r="A22" s="9" t="s">
        <v>1481</v>
      </c>
      <c r="B22" s="10" t="s">
        <v>1482</v>
      </c>
      <c r="C22" s="40" t="s">
        <v>1483</v>
      </c>
      <c r="D22" s="14"/>
      <c r="E22" s="14"/>
      <c r="F22" s="14"/>
      <c r="G22" s="57"/>
    </row>
    <row r="23" spans="1:7" ht="15" thickBot="1" x14ac:dyDescent="0.35">
      <c r="A23" s="25" t="s">
        <v>1493</v>
      </c>
      <c r="B23" s="19" t="s">
        <v>1494</v>
      </c>
      <c r="C23" s="85" t="s">
        <v>1495</v>
      </c>
      <c r="D23" s="85"/>
      <c r="E23" s="85"/>
      <c r="F23" s="85"/>
      <c r="G23" s="22">
        <f>'O.000 D.6.2'!I38</f>
        <v>1628.4099999999999</v>
      </c>
    </row>
    <row r="24" spans="1:7" ht="15" thickBot="1" x14ac:dyDescent="0.35">
      <c r="A24" s="9"/>
      <c r="B24" s="10"/>
      <c r="C24" s="40" t="s">
        <v>1486</v>
      </c>
      <c r="D24" s="12"/>
      <c r="E24" s="12"/>
      <c r="F24" s="12"/>
      <c r="G24" s="57">
        <f>G23</f>
        <v>1628.4099999999999</v>
      </c>
    </row>
    <row r="25" spans="1:7" x14ac:dyDescent="0.3">
      <c r="A25" s="9"/>
      <c r="B25" s="10"/>
      <c r="C25" s="40"/>
      <c r="D25" s="86" t="s">
        <v>1487</v>
      </c>
      <c r="E25" s="87"/>
      <c r="F25" s="87"/>
      <c r="G25" s="57">
        <f>G24</f>
        <v>1628.4099999999999</v>
      </c>
    </row>
    <row r="26" spans="1:7" x14ac:dyDescent="0.3">
      <c r="D26" s="88" t="s">
        <v>1488</v>
      </c>
      <c r="E26" s="89"/>
      <c r="F26" s="89"/>
      <c r="G26" s="4">
        <f>G25*0.19</f>
        <v>309.39789999999999</v>
      </c>
    </row>
    <row r="27" spans="1:7" x14ac:dyDescent="0.3">
      <c r="D27" s="88" t="s">
        <v>1489</v>
      </c>
      <c r="E27" s="89"/>
      <c r="F27" s="89"/>
      <c r="G27" s="111">
        <f>G25+G26</f>
        <v>1937.8078999999998</v>
      </c>
    </row>
    <row r="29" spans="1:7" ht="47.4" customHeight="1" x14ac:dyDescent="0.3">
      <c r="B29" s="84" t="s">
        <v>1469</v>
      </c>
      <c r="C29" s="83"/>
      <c r="D29" s="83"/>
      <c r="E29" s="83"/>
      <c r="F29" s="83"/>
      <c r="G29" s="83"/>
    </row>
    <row r="30" spans="1:7" ht="15" thickBot="1" x14ac:dyDescent="0.35">
      <c r="B30" s="90" t="s">
        <v>1496</v>
      </c>
      <c r="C30" s="83"/>
      <c r="D30" s="83"/>
      <c r="E30" s="83"/>
      <c r="F30" s="83"/>
      <c r="G30" s="83"/>
    </row>
    <row r="31" spans="1:7" x14ac:dyDescent="0.3">
      <c r="A31" s="65" t="s">
        <v>7</v>
      </c>
      <c r="B31" s="65" t="s">
        <v>1473</v>
      </c>
      <c r="C31" s="65"/>
      <c r="D31" s="66"/>
      <c r="E31" s="66"/>
      <c r="F31" s="66"/>
      <c r="G31" s="67" t="s">
        <v>1211</v>
      </c>
    </row>
    <row r="32" spans="1:7" x14ac:dyDescent="0.3">
      <c r="A32" s="68" t="s">
        <v>1474</v>
      </c>
      <c r="B32" s="68" t="s">
        <v>1475</v>
      </c>
      <c r="C32" s="68" t="s">
        <v>1476</v>
      </c>
      <c r="D32" s="69"/>
      <c r="E32" s="69"/>
      <c r="F32" s="69"/>
      <c r="G32" s="70" t="s">
        <v>1477</v>
      </c>
    </row>
    <row r="33" spans="1:9" ht="15" thickBot="1" x14ac:dyDescent="0.35">
      <c r="A33" s="68"/>
      <c r="B33" s="68" t="s">
        <v>1478</v>
      </c>
      <c r="C33" s="68"/>
      <c r="D33" s="69"/>
      <c r="E33" s="69"/>
      <c r="F33" s="69"/>
      <c r="G33" s="70" t="s">
        <v>1479</v>
      </c>
    </row>
    <row r="34" spans="1:9" ht="15" thickBot="1" x14ac:dyDescent="0.35">
      <c r="A34" s="34" t="s">
        <v>1480</v>
      </c>
      <c r="B34" s="91" t="s">
        <v>1481</v>
      </c>
      <c r="C34" s="91"/>
      <c r="D34" s="34"/>
      <c r="E34" s="34"/>
      <c r="F34" s="34"/>
      <c r="G34" s="34">
        <v>2</v>
      </c>
    </row>
    <row r="35" spans="1:9" x14ac:dyDescent="0.3">
      <c r="A35" s="9" t="s">
        <v>1481</v>
      </c>
      <c r="B35" s="10" t="s">
        <v>1482</v>
      </c>
      <c r="C35" s="40" t="s">
        <v>1483</v>
      </c>
      <c r="D35" s="14"/>
      <c r="E35" s="14"/>
      <c r="F35" s="14"/>
      <c r="G35" s="57"/>
    </row>
    <row r="36" spans="1:9" x14ac:dyDescent="0.3">
      <c r="A36" s="25" t="s">
        <v>1497</v>
      </c>
      <c r="B36" s="19" t="s">
        <v>1498</v>
      </c>
      <c r="C36" s="85" t="s">
        <v>1499</v>
      </c>
      <c r="D36" s="85"/>
      <c r="E36" s="85"/>
      <c r="F36" s="85"/>
      <c r="G36" s="22">
        <f>'O.01 D.04'!I604</f>
        <v>295874.10000000003</v>
      </c>
    </row>
    <row r="37" spans="1:9" x14ac:dyDescent="0.3">
      <c r="A37" s="25" t="s">
        <v>1500</v>
      </c>
      <c r="B37" s="19" t="s">
        <v>1501</v>
      </c>
      <c r="C37" s="85" t="s">
        <v>1502</v>
      </c>
      <c r="D37" s="85"/>
      <c r="E37" s="85"/>
      <c r="F37" s="85"/>
      <c r="G37" s="22">
        <f>'O.01 D.05'!I467</f>
        <v>126243.75200000002</v>
      </c>
    </row>
    <row r="38" spans="1:9" x14ac:dyDescent="0.3">
      <c r="A38" s="25" t="s">
        <v>1503</v>
      </c>
      <c r="B38" s="19" t="s">
        <v>1504</v>
      </c>
      <c r="C38" s="85" t="s">
        <v>1505</v>
      </c>
      <c r="D38" s="85"/>
      <c r="E38" s="85"/>
      <c r="F38" s="85"/>
      <c r="G38" s="22">
        <f>'O.01 D.06'!I131</f>
        <v>7184.6579999999994</v>
      </c>
    </row>
    <row r="39" spans="1:9" x14ac:dyDescent="0.3">
      <c r="A39" s="25" t="s">
        <v>1506</v>
      </c>
      <c r="B39" s="19" t="s">
        <v>1507</v>
      </c>
      <c r="C39" s="85" t="s">
        <v>1508</v>
      </c>
      <c r="D39" s="85"/>
      <c r="E39" s="85"/>
      <c r="F39" s="85"/>
      <c r="G39" s="22">
        <f>'O.01 D.07'!I383</f>
        <v>163947.27499999997</v>
      </c>
    </row>
    <row r="40" spans="1:9" x14ac:dyDescent="0.3">
      <c r="A40" s="25" t="s">
        <v>1509</v>
      </c>
      <c r="B40" s="19" t="s">
        <v>1510</v>
      </c>
      <c r="C40" s="85" t="s">
        <v>1511</v>
      </c>
      <c r="D40" s="85"/>
      <c r="E40" s="85"/>
      <c r="F40" s="85"/>
      <c r="G40" s="22">
        <f>'O.01 D.08'!I281</f>
        <v>239662.92000000004</v>
      </c>
    </row>
    <row r="41" spans="1:9" x14ac:dyDescent="0.3">
      <c r="A41" s="25" t="s">
        <v>1512</v>
      </c>
      <c r="B41" s="19" t="s">
        <v>1513</v>
      </c>
      <c r="C41" s="85" t="s">
        <v>1514</v>
      </c>
      <c r="D41" s="85"/>
      <c r="E41" s="85"/>
      <c r="F41" s="85"/>
      <c r="G41" s="22">
        <f>'O.01 D.09'!I272</f>
        <v>168636.73319999999</v>
      </c>
    </row>
    <row r="42" spans="1:9" x14ac:dyDescent="0.3">
      <c r="A42" s="25" t="s">
        <v>1515</v>
      </c>
      <c r="B42" s="19" t="s">
        <v>1516</v>
      </c>
      <c r="C42" s="85" t="s">
        <v>1517</v>
      </c>
      <c r="D42" s="85"/>
      <c r="E42" s="85"/>
      <c r="F42" s="85"/>
      <c r="G42" s="22">
        <f>'O.01 D.10'!I348</f>
        <v>655307.88860000006</v>
      </c>
    </row>
    <row r="43" spans="1:9" ht="15" thickBot="1" x14ac:dyDescent="0.35">
      <c r="A43" s="25" t="s">
        <v>1518</v>
      </c>
      <c r="B43" s="19" t="s">
        <v>1519</v>
      </c>
      <c r="C43" s="85" t="s">
        <v>1520</v>
      </c>
      <c r="D43" s="85"/>
      <c r="E43" s="85"/>
      <c r="F43" s="85"/>
      <c r="G43" s="22">
        <f>'O.01 D.11'!I76</f>
        <v>5319.43</v>
      </c>
    </row>
    <row r="44" spans="1:9" ht="15" thickBot="1" x14ac:dyDescent="0.35">
      <c r="A44" s="9"/>
      <c r="B44" s="10"/>
      <c r="C44" s="40" t="s">
        <v>1486</v>
      </c>
      <c r="D44" s="12"/>
      <c r="E44" s="12"/>
      <c r="F44" s="12"/>
      <c r="G44" s="57">
        <f>SUM(G36:G43)</f>
        <v>1662176.7568000001</v>
      </c>
    </row>
    <row r="45" spans="1:9" x14ac:dyDescent="0.3">
      <c r="A45" s="9" t="s">
        <v>1526</v>
      </c>
      <c r="B45" s="10" t="s">
        <v>74</v>
      </c>
      <c r="C45" s="40" t="s">
        <v>1527</v>
      </c>
      <c r="D45" s="14"/>
      <c r="E45" s="14"/>
      <c r="F45" s="14"/>
      <c r="G45" s="57"/>
    </row>
    <row r="46" spans="1:9" x14ac:dyDescent="0.3">
      <c r="A46" s="25" t="s">
        <v>1526</v>
      </c>
      <c r="B46" s="19" t="s">
        <v>1528</v>
      </c>
      <c r="C46" s="85" t="s">
        <v>1529</v>
      </c>
      <c r="D46" s="85"/>
      <c r="E46" s="85"/>
      <c r="F46" s="85"/>
      <c r="G46" s="22">
        <f>SUM('F4'!G9:G51)</f>
        <v>1285442.2003500001</v>
      </c>
    </row>
    <row r="47" spans="1:9" ht="15" thickBot="1" x14ac:dyDescent="0.35">
      <c r="A47" s="25" t="s">
        <v>1530</v>
      </c>
      <c r="B47" s="19" t="s">
        <v>1531</v>
      </c>
      <c r="C47" s="85" t="s">
        <v>1532</v>
      </c>
      <c r="D47" s="85"/>
      <c r="E47" s="85"/>
      <c r="F47" s="85"/>
      <c r="G47" s="22">
        <f>SUM('F4'!G53:G55)</f>
        <v>37936.14385</v>
      </c>
    </row>
    <row r="48" spans="1:9" ht="15" thickBot="1" x14ac:dyDescent="0.35">
      <c r="A48" s="9"/>
      <c r="B48" s="10"/>
      <c r="C48" s="40" t="s">
        <v>1533</v>
      </c>
      <c r="D48" s="12"/>
      <c r="E48" s="12"/>
      <c r="F48" s="12"/>
      <c r="G48" s="57">
        <f>G46+G47</f>
        <v>1323378.3442000002</v>
      </c>
      <c r="I48" s="77"/>
    </row>
    <row r="49" spans="1:10" x14ac:dyDescent="0.3">
      <c r="A49" s="9"/>
      <c r="B49" s="10"/>
      <c r="C49" s="40"/>
      <c r="D49" s="86" t="s">
        <v>1487</v>
      </c>
      <c r="E49" s="87"/>
      <c r="F49" s="87"/>
      <c r="G49" s="57">
        <f>G48+G44</f>
        <v>2985555.1010000003</v>
      </c>
      <c r="H49" s="78"/>
    </row>
    <row r="50" spans="1:10" x14ac:dyDescent="0.3">
      <c r="D50" s="88" t="s">
        <v>1488</v>
      </c>
      <c r="E50" s="89"/>
      <c r="F50" s="89"/>
      <c r="G50" s="4">
        <f>G49*0.19</f>
        <v>567255.46919000009</v>
      </c>
    </row>
    <row r="51" spans="1:10" x14ac:dyDescent="0.3">
      <c r="D51" s="88" t="s">
        <v>1489</v>
      </c>
      <c r="E51" s="89"/>
      <c r="F51" s="89"/>
      <c r="G51" s="4">
        <f>G49+G50</f>
        <v>3552810.5701900003</v>
      </c>
    </row>
    <row r="53" spans="1:10" ht="47.4" customHeight="1" x14ac:dyDescent="0.3">
      <c r="B53" s="84" t="s">
        <v>1469</v>
      </c>
      <c r="C53" s="83"/>
      <c r="D53" s="83"/>
      <c r="E53" s="83"/>
      <c r="F53" s="83"/>
      <c r="G53" s="83"/>
      <c r="H53" t="s">
        <v>1470</v>
      </c>
      <c r="I53">
        <v>1</v>
      </c>
      <c r="J53">
        <v>1</v>
      </c>
    </row>
    <row r="54" spans="1:10" ht="15" thickBot="1" x14ac:dyDescent="0.35">
      <c r="B54" s="90" t="s">
        <v>1534</v>
      </c>
      <c r="C54" s="83"/>
      <c r="D54" s="83"/>
      <c r="E54" s="83"/>
      <c r="F54" s="83"/>
      <c r="G54" s="83"/>
      <c r="H54" t="s">
        <v>1472</v>
      </c>
      <c r="I54">
        <v>2</v>
      </c>
      <c r="J54">
        <v>2</v>
      </c>
    </row>
    <row r="55" spans="1:10" x14ac:dyDescent="0.3">
      <c r="A55" s="65" t="s">
        <v>7</v>
      </c>
      <c r="B55" s="65" t="s">
        <v>1473</v>
      </c>
      <c r="C55" s="65"/>
      <c r="D55" s="66"/>
      <c r="E55" s="66"/>
      <c r="F55" s="66"/>
      <c r="G55" s="67" t="s">
        <v>1211</v>
      </c>
    </row>
    <row r="56" spans="1:10" x14ac:dyDescent="0.3">
      <c r="A56" s="68" t="s">
        <v>1474</v>
      </c>
      <c r="B56" s="68" t="s">
        <v>1475</v>
      </c>
      <c r="C56" s="68" t="s">
        <v>1476</v>
      </c>
      <c r="D56" s="69"/>
      <c r="E56" s="69"/>
      <c r="F56" s="69"/>
      <c r="G56" s="70" t="s">
        <v>1477</v>
      </c>
    </row>
    <row r="57" spans="1:10" ht="15" thickBot="1" x14ac:dyDescent="0.35">
      <c r="A57" s="68"/>
      <c r="B57" s="68" t="s">
        <v>1478</v>
      </c>
      <c r="C57" s="68"/>
      <c r="D57" s="69"/>
      <c r="E57" s="69"/>
      <c r="F57" s="69"/>
      <c r="G57" s="70" t="s">
        <v>1479</v>
      </c>
    </row>
    <row r="58" spans="1:10" ht="15" thickBot="1" x14ac:dyDescent="0.35">
      <c r="A58" s="34" t="s">
        <v>1480</v>
      </c>
      <c r="B58" s="91" t="s">
        <v>1481</v>
      </c>
      <c r="C58" s="91"/>
      <c r="D58" s="34"/>
      <c r="E58" s="34"/>
      <c r="F58" s="34"/>
      <c r="G58" s="34">
        <v>2</v>
      </c>
    </row>
    <row r="59" spans="1:10" x14ac:dyDescent="0.3">
      <c r="A59" s="9" t="s">
        <v>1481</v>
      </c>
      <c r="B59" s="10" t="s">
        <v>1482</v>
      </c>
      <c r="C59" s="40" t="s">
        <v>1483</v>
      </c>
      <c r="D59" s="14"/>
      <c r="E59" s="14"/>
      <c r="F59" s="14"/>
      <c r="G59" s="57"/>
    </row>
    <row r="60" spans="1:10" x14ac:dyDescent="0.3">
      <c r="A60" s="25" t="s">
        <v>1497</v>
      </c>
      <c r="B60" s="19" t="s">
        <v>1498</v>
      </c>
      <c r="C60" s="85" t="s">
        <v>1499</v>
      </c>
      <c r="D60" s="85"/>
      <c r="E60" s="85"/>
      <c r="F60" s="85"/>
      <c r="G60" s="22">
        <f>'O.02 D.04'!I490</f>
        <v>222773.92</v>
      </c>
    </row>
    <row r="61" spans="1:10" x14ac:dyDescent="0.3">
      <c r="A61" s="25" t="s">
        <v>1500</v>
      </c>
      <c r="B61" s="19" t="s">
        <v>1501</v>
      </c>
      <c r="C61" s="85" t="s">
        <v>1535</v>
      </c>
      <c r="D61" s="85"/>
      <c r="E61" s="85"/>
      <c r="F61" s="85"/>
      <c r="G61" s="22">
        <f>'O.02 D.05'!I420</f>
        <v>74767.359999999957</v>
      </c>
    </row>
    <row r="62" spans="1:10" x14ac:dyDescent="0.3">
      <c r="A62" s="25" t="s">
        <v>1503</v>
      </c>
      <c r="B62" s="19" t="s">
        <v>1504</v>
      </c>
      <c r="C62" s="85" t="s">
        <v>1536</v>
      </c>
      <c r="D62" s="85"/>
      <c r="E62" s="85"/>
      <c r="F62" s="85"/>
      <c r="G62" s="22">
        <f>'O.02 D.06'!I105</f>
        <v>4876.49</v>
      </c>
    </row>
    <row r="63" spans="1:10" x14ac:dyDescent="0.3">
      <c r="A63" s="25" t="s">
        <v>1506</v>
      </c>
      <c r="B63" s="19" t="s">
        <v>1507</v>
      </c>
      <c r="C63" s="85" t="s">
        <v>1537</v>
      </c>
      <c r="D63" s="85"/>
      <c r="E63" s="85"/>
      <c r="F63" s="85"/>
      <c r="G63" s="22">
        <f>'O.02 D.07'!I198</f>
        <v>31930.430000000011</v>
      </c>
    </row>
    <row r="64" spans="1:10" x14ac:dyDescent="0.3">
      <c r="A64" s="25" t="s">
        <v>1509</v>
      </c>
      <c r="B64" s="19" t="s">
        <v>1510</v>
      </c>
      <c r="C64" s="85" t="s">
        <v>1511</v>
      </c>
      <c r="D64" s="85"/>
      <c r="E64" s="85"/>
      <c r="F64" s="85"/>
      <c r="G64" s="22">
        <f>'O.02 D.08'!I238</f>
        <v>181183.44999999998</v>
      </c>
    </row>
    <row r="65" spans="1:10" x14ac:dyDescent="0.3">
      <c r="A65" s="25" t="s">
        <v>1512</v>
      </c>
      <c r="B65" s="19" t="s">
        <v>1513</v>
      </c>
      <c r="C65" s="85" t="s">
        <v>1514</v>
      </c>
      <c r="D65" s="85"/>
      <c r="E65" s="85"/>
      <c r="F65" s="85"/>
      <c r="G65" s="22">
        <f>'O.02 D.09'!I246</f>
        <v>104758.12000000002</v>
      </c>
    </row>
    <row r="66" spans="1:10" x14ac:dyDescent="0.3">
      <c r="A66" s="25" t="s">
        <v>1515</v>
      </c>
      <c r="B66" s="19" t="s">
        <v>1516</v>
      </c>
      <c r="C66" s="85" t="s">
        <v>1517</v>
      </c>
      <c r="D66" s="85"/>
      <c r="E66" s="85"/>
      <c r="F66" s="85"/>
      <c r="G66" s="22">
        <f>'O.02 D.10'!I319</f>
        <v>377887.18</v>
      </c>
    </row>
    <row r="67" spans="1:10" ht="15" thickBot="1" x14ac:dyDescent="0.35">
      <c r="A67" s="25" t="s">
        <v>1518</v>
      </c>
      <c r="B67" s="19" t="s">
        <v>1519</v>
      </c>
      <c r="C67" s="85" t="s">
        <v>1538</v>
      </c>
      <c r="D67" s="85"/>
      <c r="E67" s="85"/>
      <c r="F67" s="85"/>
      <c r="G67" s="22">
        <f>'O.02 D.11'!I39</f>
        <v>6511.5</v>
      </c>
    </row>
    <row r="68" spans="1:10" ht="15" thickBot="1" x14ac:dyDescent="0.35">
      <c r="A68" s="9"/>
      <c r="B68" s="10"/>
      <c r="C68" s="40" t="s">
        <v>1486</v>
      </c>
      <c r="D68" s="12"/>
      <c r="E68" s="12"/>
      <c r="F68" s="12"/>
      <c r="G68" s="57">
        <f>SUM(G60:G67)</f>
        <v>1004688.45</v>
      </c>
    </row>
    <row r="69" spans="1:10" x14ac:dyDescent="0.3">
      <c r="A69" s="9" t="s">
        <v>1526</v>
      </c>
      <c r="B69" s="10" t="s">
        <v>74</v>
      </c>
      <c r="C69" s="40" t="s">
        <v>1527</v>
      </c>
      <c r="D69" s="14"/>
      <c r="E69" s="14"/>
      <c r="F69" s="14"/>
      <c r="G69" s="57"/>
    </row>
    <row r="70" spans="1:10" x14ac:dyDescent="0.3">
      <c r="A70" s="25" t="s">
        <v>1526</v>
      </c>
      <c r="B70" s="19" t="s">
        <v>1528</v>
      </c>
      <c r="C70" s="85" t="s">
        <v>1529</v>
      </c>
      <c r="D70" s="85"/>
      <c r="E70" s="85"/>
      <c r="F70" s="85"/>
      <c r="G70" s="22">
        <f>SUM('F4'!G59:G84)</f>
        <v>545876.14840000006</v>
      </c>
    </row>
    <row r="71" spans="1:10" ht="15" thickBot="1" x14ac:dyDescent="0.35">
      <c r="A71" s="25" t="s">
        <v>1530</v>
      </c>
      <c r="B71" s="19" t="s">
        <v>1531</v>
      </c>
      <c r="C71" s="85" t="s">
        <v>1532</v>
      </c>
      <c r="D71" s="85"/>
      <c r="E71" s="85"/>
      <c r="F71" s="85"/>
      <c r="G71" s="22">
        <f>SUM('F4'!G86:G87)</f>
        <v>3010.0075500000007</v>
      </c>
    </row>
    <row r="72" spans="1:10" ht="15" thickBot="1" x14ac:dyDescent="0.35">
      <c r="A72" s="9"/>
      <c r="B72" s="10"/>
      <c r="C72" s="40" t="s">
        <v>1533</v>
      </c>
      <c r="D72" s="12"/>
      <c r="E72" s="12"/>
      <c r="F72" s="12"/>
      <c r="G72" s="57">
        <f>G70+G71</f>
        <v>548886.15595000004</v>
      </c>
    </row>
    <row r="73" spans="1:10" x14ac:dyDescent="0.3">
      <c r="A73" s="9"/>
      <c r="B73" s="10"/>
      <c r="C73" s="40"/>
      <c r="D73" s="86" t="s">
        <v>1487</v>
      </c>
      <c r="E73" s="87"/>
      <c r="F73" s="87"/>
      <c r="G73" s="57">
        <f>G72+G68</f>
        <v>1553574.60595</v>
      </c>
      <c r="I73" s="78"/>
    </row>
    <row r="74" spans="1:10" x14ac:dyDescent="0.3">
      <c r="D74" s="88" t="s">
        <v>1488</v>
      </c>
      <c r="E74" s="89"/>
      <c r="F74" s="89"/>
      <c r="G74" s="4">
        <f>G73*0.19</f>
        <v>295179.17513049999</v>
      </c>
    </row>
    <row r="75" spans="1:10" x14ac:dyDescent="0.3">
      <c r="D75" s="88" t="s">
        <v>1489</v>
      </c>
      <c r="E75" s="89"/>
      <c r="F75" s="89"/>
      <c r="G75" s="4">
        <f>G73+G74</f>
        <v>1848753.7810805</v>
      </c>
    </row>
    <row r="77" spans="1:10" ht="47.4" customHeight="1" x14ac:dyDescent="0.3">
      <c r="B77" s="84" t="s">
        <v>1469</v>
      </c>
      <c r="C77" s="83"/>
      <c r="D77" s="83"/>
      <c r="E77" s="83"/>
      <c r="F77" s="83"/>
      <c r="G77" s="83"/>
      <c r="H77" t="s">
        <v>1470</v>
      </c>
      <c r="I77">
        <v>1</v>
      </c>
      <c r="J77">
        <v>1</v>
      </c>
    </row>
    <row r="78" spans="1:10" ht="15" thickBot="1" x14ac:dyDescent="0.35">
      <c r="B78" s="90" t="s">
        <v>1539</v>
      </c>
      <c r="C78" s="83"/>
      <c r="D78" s="83"/>
      <c r="E78" s="83"/>
      <c r="F78" s="83"/>
      <c r="G78" s="83"/>
      <c r="H78" t="s">
        <v>1472</v>
      </c>
      <c r="I78">
        <v>2</v>
      </c>
      <c r="J78">
        <v>2</v>
      </c>
    </row>
    <row r="79" spans="1:10" x14ac:dyDescent="0.3">
      <c r="A79" s="65" t="s">
        <v>7</v>
      </c>
      <c r="B79" s="65" t="s">
        <v>1473</v>
      </c>
      <c r="C79" s="65"/>
      <c r="D79" s="66"/>
      <c r="E79" s="66"/>
      <c r="F79" s="66"/>
      <c r="G79" s="67" t="s">
        <v>1211</v>
      </c>
    </row>
    <row r="80" spans="1:10" x14ac:dyDescent="0.3">
      <c r="A80" s="68" t="s">
        <v>1474</v>
      </c>
      <c r="B80" s="68" t="s">
        <v>1475</v>
      </c>
      <c r="C80" s="68" t="s">
        <v>1476</v>
      </c>
      <c r="D80" s="69"/>
      <c r="E80" s="69"/>
      <c r="F80" s="69"/>
      <c r="G80" s="70" t="s">
        <v>1477</v>
      </c>
    </row>
    <row r="81" spans="1:10" ht="15" thickBot="1" x14ac:dyDescent="0.35">
      <c r="A81" s="68"/>
      <c r="B81" s="68" t="s">
        <v>1478</v>
      </c>
      <c r="C81" s="68"/>
      <c r="D81" s="69"/>
      <c r="E81" s="69"/>
      <c r="F81" s="69"/>
      <c r="G81" s="70" t="s">
        <v>1479</v>
      </c>
    </row>
    <row r="82" spans="1:10" ht="15" thickBot="1" x14ac:dyDescent="0.35">
      <c r="A82" s="34" t="s">
        <v>1480</v>
      </c>
      <c r="B82" s="91" t="s">
        <v>1481</v>
      </c>
      <c r="C82" s="91"/>
      <c r="D82" s="34"/>
      <c r="E82" s="34"/>
      <c r="F82" s="34"/>
      <c r="G82" s="34">
        <v>2</v>
      </c>
    </row>
    <row r="83" spans="1:10" x14ac:dyDescent="0.3">
      <c r="A83" s="9" t="s">
        <v>1481</v>
      </c>
      <c r="B83" s="10" t="s">
        <v>1482</v>
      </c>
      <c r="C83" s="40" t="s">
        <v>1483</v>
      </c>
      <c r="D83" s="14"/>
      <c r="E83" s="14"/>
      <c r="F83" s="14"/>
      <c r="G83" s="57"/>
    </row>
    <row r="84" spans="1:10" x14ac:dyDescent="0.3">
      <c r="A84" s="25" t="s">
        <v>1491</v>
      </c>
      <c r="B84" s="19" t="s">
        <v>1492</v>
      </c>
      <c r="C84" s="85" t="s">
        <v>1540</v>
      </c>
      <c r="D84" s="85"/>
      <c r="E84" s="85"/>
      <c r="F84" s="85"/>
      <c r="G84" s="22">
        <f>'O.03 D.02'!I293</f>
        <v>148271.47</v>
      </c>
    </row>
    <row r="85" spans="1:10" ht="15" thickBot="1" x14ac:dyDescent="0.35">
      <c r="A85" s="25" t="s">
        <v>1493</v>
      </c>
      <c r="B85" s="19" t="s">
        <v>1494</v>
      </c>
      <c r="C85" s="85" t="s">
        <v>1541</v>
      </c>
      <c r="D85" s="85"/>
      <c r="E85" s="85"/>
      <c r="F85" s="85"/>
      <c r="G85" s="22">
        <f>'O.03 D.03'!I56</f>
        <v>1494.61</v>
      </c>
    </row>
    <row r="86" spans="1:10" ht="15" thickBot="1" x14ac:dyDescent="0.35">
      <c r="A86" s="9"/>
      <c r="B86" s="10"/>
      <c r="C86" s="40" t="s">
        <v>1486</v>
      </c>
      <c r="D86" s="12"/>
      <c r="E86" s="12"/>
      <c r="F86" s="12"/>
      <c r="G86" s="57">
        <f>SUM(G84:G85)</f>
        <v>149766.07999999999</v>
      </c>
      <c r="I86" s="77"/>
    </row>
    <row r="87" spans="1:10" x14ac:dyDescent="0.3">
      <c r="A87" s="9" t="s">
        <v>1506</v>
      </c>
      <c r="B87" s="10" t="s">
        <v>74</v>
      </c>
      <c r="C87" s="40" t="s">
        <v>1527</v>
      </c>
      <c r="D87" s="14"/>
      <c r="E87" s="14"/>
      <c r="F87" s="14"/>
      <c r="G87" s="57"/>
    </row>
    <row r="88" spans="1:10" ht="15" thickBot="1" x14ac:dyDescent="0.35">
      <c r="A88" s="25" t="s">
        <v>1506</v>
      </c>
      <c r="B88" s="19" t="s">
        <v>1528</v>
      </c>
      <c r="C88" s="85" t="s">
        <v>1529</v>
      </c>
      <c r="D88" s="85"/>
      <c r="E88" s="85"/>
      <c r="F88" s="85"/>
      <c r="G88" s="22">
        <f>SUM('F4'!G91:G101)</f>
        <v>146255.77559999999</v>
      </c>
    </row>
    <row r="89" spans="1:10" ht="15" thickBot="1" x14ac:dyDescent="0.35">
      <c r="A89" s="9"/>
      <c r="B89" s="10"/>
      <c r="C89" s="40" t="s">
        <v>1533</v>
      </c>
      <c r="D89" s="12"/>
      <c r="E89" s="12"/>
      <c r="F89" s="12"/>
      <c r="G89" s="57">
        <f>G88</f>
        <v>146255.77559999999</v>
      </c>
    </row>
    <row r="90" spans="1:10" x14ac:dyDescent="0.3">
      <c r="A90" s="9"/>
      <c r="B90" s="10"/>
      <c r="C90" s="40"/>
      <c r="D90" s="86" t="s">
        <v>1487</v>
      </c>
      <c r="E90" s="87"/>
      <c r="F90" s="87"/>
      <c r="G90" s="57">
        <f>G89+G86</f>
        <v>296021.85560000001</v>
      </c>
    </row>
    <row r="91" spans="1:10" x14ac:dyDescent="0.3">
      <c r="D91" s="88" t="s">
        <v>1488</v>
      </c>
      <c r="E91" s="89"/>
      <c r="F91" s="89"/>
      <c r="G91" s="4">
        <f>G90*0.19</f>
        <v>56244.152564000004</v>
      </c>
    </row>
    <row r="92" spans="1:10" x14ac:dyDescent="0.3">
      <c r="D92" s="88" t="s">
        <v>1489</v>
      </c>
      <c r="E92" s="89"/>
      <c r="F92" s="89"/>
      <c r="G92" s="4">
        <f>G91+G90</f>
        <v>352266.008164</v>
      </c>
    </row>
    <row r="94" spans="1:10" ht="47.4" customHeight="1" x14ac:dyDescent="0.3">
      <c r="B94" s="84" t="s">
        <v>1469</v>
      </c>
      <c r="C94" s="83"/>
      <c r="D94" s="83"/>
      <c r="E94" s="83"/>
      <c r="F94" s="83"/>
      <c r="G94" s="83"/>
      <c r="H94" t="s">
        <v>1470</v>
      </c>
      <c r="I94">
        <v>1</v>
      </c>
      <c r="J94">
        <v>1</v>
      </c>
    </row>
    <row r="95" spans="1:10" x14ac:dyDescent="0.3">
      <c r="B95" s="90" t="s">
        <v>1542</v>
      </c>
      <c r="C95" s="83"/>
      <c r="D95" s="83"/>
      <c r="E95" s="83"/>
      <c r="F95" s="83"/>
      <c r="G95" s="83"/>
      <c r="H95" t="s">
        <v>1472</v>
      </c>
      <c r="I95">
        <v>2</v>
      </c>
      <c r="J95">
        <v>2</v>
      </c>
    </row>
    <row r="96" spans="1:10" x14ac:dyDescent="0.3">
      <c r="A96" s="65" t="s">
        <v>7</v>
      </c>
      <c r="B96" s="65" t="s">
        <v>1473</v>
      </c>
      <c r="C96" s="65"/>
      <c r="D96" s="66"/>
      <c r="E96" s="66"/>
      <c r="F96" s="66"/>
      <c r="G96" s="67" t="s">
        <v>1211</v>
      </c>
    </row>
    <row r="97" spans="1:10" x14ac:dyDescent="0.3">
      <c r="A97" s="68" t="s">
        <v>1474</v>
      </c>
      <c r="B97" s="68" t="s">
        <v>1475</v>
      </c>
      <c r="C97" s="68" t="s">
        <v>1476</v>
      </c>
      <c r="D97" s="69"/>
      <c r="E97" s="69"/>
      <c r="F97" s="69"/>
      <c r="G97" s="70" t="s">
        <v>1477</v>
      </c>
    </row>
    <row r="98" spans="1:10" ht="15" thickBot="1" x14ac:dyDescent="0.35">
      <c r="A98" s="68"/>
      <c r="B98" s="68" t="s">
        <v>1478</v>
      </c>
      <c r="C98" s="68"/>
      <c r="D98" s="69"/>
      <c r="E98" s="69"/>
      <c r="F98" s="69"/>
      <c r="G98" s="70" t="s">
        <v>1479</v>
      </c>
    </row>
    <row r="99" spans="1:10" ht="15" thickBot="1" x14ac:dyDescent="0.35">
      <c r="A99" s="34" t="s">
        <v>1480</v>
      </c>
      <c r="B99" s="91" t="s">
        <v>1481</v>
      </c>
      <c r="C99" s="91"/>
      <c r="D99" s="34"/>
      <c r="E99" s="34"/>
      <c r="F99" s="34"/>
      <c r="G99" s="34">
        <v>2</v>
      </c>
    </row>
    <row r="100" spans="1:10" x14ac:dyDescent="0.3">
      <c r="A100" s="9" t="s">
        <v>1481</v>
      </c>
      <c r="B100" s="10" t="s">
        <v>1482</v>
      </c>
      <c r="C100" s="40" t="s">
        <v>1483</v>
      </c>
      <c r="D100" s="14"/>
      <c r="E100" s="14"/>
      <c r="F100" s="14"/>
      <c r="G100" s="57"/>
    </row>
    <row r="101" spans="1:10" x14ac:dyDescent="0.3">
      <c r="A101" s="25" t="s">
        <v>1506</v>
      </c>
      <c r="B101" s="19" t="s">
        <v>1507</v>
      </c>
      <c r="C101" s="85" t="s">
        <v>1543</v>
      </c>
      <c r="D101" s="85"/>
      <c r="E101" s="85"/>
      <c r="F101" s="85"/>
      <c r="G101" s="22">
        <f>'O.04 D.07'!I59</f>
        <v>28382.67</v>
      </c>
    </row>
    <row r="102" spans="1:10" ht="15" thickBot="1" x14ac:dyDescent="0.35">
      <c r="A102" s="25" t="s">
        <v>1509</v>
      </c>
      <c r="B102" s="19" t="s">
        <v>1510</v>
      </c>
      <c r="C102" s="85" t="s">
        <v>1544</v>
      </c>
      <c r="D102" s="85"/>
      <c r="E102" s="85"/>
      <c r="F102" s="85"/>
      <c r="G102" s="22">
        <f>'O.04 D.08'!I19</f>
        <v>228.2</v>
      </c>
    </row>
    <row r="103" spans="1:10" ht="15" thickBot="1" x14ac:dyDescent="0.35">
      <c r="A103" s="9"/>
      <c r="B103" s="10"/>
      <c r="C103" s="40" t="s">
        <v>1486</v>
      </c>
      <c r="D103" s="12"/>
      <c r="E103" s="12"/>
      <c r="F103" s="12"/>
      <c r="G103" s="57">
        <f>SUM(G101:G102)</f>
        <v>28610.87</v>
      </c>
    </row>
    <row r="104" spans="1:10" x14ac:dyDescent="0.3">
      <c r="A104" s="9" t="s">
        <v>1518</v>
      </c>
      <c r="B104" s="10" t="s">
        <v>74</v>
      </c>
      <c r="C104" s="40" t="s">
        <v>1527</v>
      </c>
      <c r="D104" s="14"/>
      <c r="E104" s="14"/>
      <c r="F104" s="14"/>
      <c r="G104" s="57"/>
    </row>
    <row r="105" spans="1:10" x14ac:dyDescent="0.3">
      <c r="A105" s="25" t="s">
        <v>1518</v>
      </c>
      <c r="B105" s="19" t="s">
        <v>1528</v>
      </c>
      <c r="C105" s="85" t="s">
        <v>1529</v>
      </c>
      <c r="D105" s="85"/>
      <c r="E105" s="85"/>
      <c r="F105" s="85"/>
      <c r="G105" s="22">
        <f>SUM('F4'!G106:G107)</f>
        <v>4390.9436999999998</v>
      </c>
    </row>
    <row r="106" spans="1:10" ht="15" thickBot="1" x14ac:dyDescent="0.35">
      <c r="A106" s="25" t="s">
        <v>1521</v>
      </c>
      <c r="B106" s="19" t="s">
        <v>1531</v>
      </c>
      <c r="C106" s="85" t="s">
        <v>1532</v>
      </c>
      <c r="D106" s="85"/>
      <c r="E106" s="85"/>
      <c r="F106" s="85"/>
      <c r="G106" s="22">
        <f>SUM('F4'!G109:G110)</f>
        <v>157334.80290000001</v>
      </c>
    </row>
    <row r="107" spans="1:10" ht="15" thickBot="1" x14ac:dyDescent="0.35">
      <c r="A107" s="9"/>
      <c r="B107" s="10"/>
      <c r="C107" s="40" t="s">
        <v>1533</v>
      </c>
      <c r="D107" s="12"/>
      <c r="E107" s="12"/>
      <c r="F107" s="12"/>
      <c r="G107" s="57">
        <f>G106+G105</f>
        <v>161725.74660000001</v>
      </c>
    </row>
    <row r="108" spans="1:10" x14ac:dyDescent="0.3">
      <c r="A108" s="9"/>
      <c r="B108" s="10"/>
      <c r="C108" s="40"/>
      <c r="D108" s="86" t="s">
        <v>1487</v>
      </c>
      <c r="E108" s="87"/>
      <c r="F108" s="87"/>
      <c r="G108" s="57">
        <f>G107+G103</f>
        <v>190336.61660000001</v>
      </c>
    </row>
    <row r="109" spans="1:10" x14ac:dyDescent="0.3">
      <c r="D109" s="88" t="s">
        <v>1488</v>
      </c>
      <c r="E109" s="89"/>
      <c r="F109" s="89"/>
      <c r="G109" s="4">
        <f>G108*0.19</f>
        <v>36163.957154000003</v>
      </c>
    </row>
    <row r="110" spans="1:10" x14ac:dyDescent="0.3">
      <c r="D110" s="88" t="s">
        <v>1489</v>
      </c>
      <c r="E110" s="89"/>
      <c r="F110" s="89"/>
      <c r="G110" s="4">
        <f>G109+G108</f>
        <v>226500.57375400001</v>
      </c>
    </row>
    <row r="112" spans="1:10" ht="47.4" customHeight="1" x14ac:dyDescent="0.3">
      <c r="B112" s="84" t="s">
        <v>1469</v>
      </c>
      <c r="C112" s="83"/>
      <c r="D112" s="83"/>
      <c r="E112" s="83"/>
      <c r="F112" s="83"/>
      <c r="G112" s="83"/>
      <c r="H112" t="s">
        <v>1470</v>
      </c>
      <c r="I112">
        <v>1</v>
      </c>
      <c r="J112">
        <v>1</v>
      </c>
    </row>
    <row r="113" spans="1:10" ht="15" thickBot="1" x14ac:dyDescent="0.35">
      <c r="B113" s="90" t="s">
        <v>1545</v>
      </c>
      <c r="C113" s="83"/>
      <c r="D113" s="83"/>
      <c r="E113" s="83"/>
      <c r="F113" s="83"/>
      <c r="G113" s="83"/>
      <c r="H113" t="s">
        <v>1472</v>
      </c>
      <c r="I113">
        <v>2</v>
      </c>
      <c r="J113">
        <v>2</v>
      </c>
    </row>
    <row r="114" spans="1:10" x14ac:dyDescent="0.3">
      <c r="A114" s="65" t="s">
        <v>7</v>
      </c>
      <c r="B114" s="65" t="s">
        <v>1473</v>
      </c>
      <c r="C114" s="65"/>
      <c r="D114" s="66"/>
      <c r="E114" s="66"/>
      <c r="F114" s="66"/>
      <c r="G114" s="67" t="s">
        <v>1211</v>
      </c>
    </row>
    <row r="115" spans="1:10" x14ac:dyDescent="0.3">
      <c r="A115" s="68" t="s">
        <v>1474</v>
      </c>
      <c r="B115" s="68" t="s">
        <v>1475</v>
      </c>
      <c r="C115" s="68" t="s">
        <v>1476</v>
      </c>
      <c r="D115" s="69"/>
      <c r="E115" s="69"/>
      <c r="F115" s="69"/>
      <c r="G115" s="70" t="s">
        <v>1477</v>
      </c>
    </row>
    <row r="116" spans="1:10" ht="15" thickBot="1" x14ac:dyDescent="0.35">
      <c r="A116" s="68"/>
      <c r="B116" s="68" t="s">
        <v>1478</v>
      </c>
      <c r="C116" s="68"/>
      <c r="D116" s="69"/>
      <c r="E116" s="69"/>
      <c r="F116" s="69"/>
      <c r="G116" s="70" t="s">
        <v>1479</v>
      </c>
    </row>
    <row r="117" spans="1:10" ht="15" thickBot="1" x14ac:dyDescent="0.35">
      <c r="A117" s="34" t="s">
        <v>1480</v>
      </c>
      <c r="B117" s="91" t="s">
        <v>1481</v>
      </c>
      <c r="C117" s="91"/>
      <c r="D117" s="34"/>
      <c r="E117" s="34"/>
      <c r="F117" s="34"/>
      <c r="G117" s="34">
        <v>2</v>
      </c>
    </row>
    <row r="118" spans="1:10" x14ac:dyDescent="0.3">
      <c r="A118" s="9" t="s">
        <v>1481</v>
      </c>
      <c r="B118" s="10" t="s">
        <v>1482</v>
      </c>
      <c r="C118" s="40" t="s">
        <v>1483</v>
      </c>
      <c r="D118" s="14"/>
      <c r="E118" s="14"/>
      <c r="F118" s="14"/>
      <c r="G118" s="57"/>
    </row>
    <row r="119" spans="1:10" x14ac:dyDescent="0.3">
      <c r="A119" s="25" t="s">
        <v>1493</v>
      </c>
      <c r="B119" s="19" t="s">
        <v>1494</v>
      </c>
      <c r="C119" s="85" t="s">
        <v>1546</v>
      </c>
      <c r="D119" s="85"/>
      <c r="E119" s="85"/>
      <c r="F119" s="85"/>
      <c r="G119" s="22">
        <f>'O.05 D.03'!I76</f>
        <v>11689.079300000003</v>
      </c>
    </row>
    <row r="120" spans="1:10" ht="15" thickBot="1" x14ac:dyDescent="0.35">
      <c r="A120" s="25" t="s">
        <v>1497</v>
      </c>
      <c r="B120" s="19" t="s">
        <v>1498</v>
      </c>
      <c r="C120" s="85" t="s">
        <v>1547</v>
      </c>
      <c r="D120" s="85"/>
      <c r="E120" s="85"/>
      <c r="F120" s="85"/>
      <c r="G120" s="22">
        <f>'O.05 D.04'!I19</f>
        <v>268.2</v>
      </c>
    </row>
    <row r="121" spans="1:10" ht="15" thickBot="1" x14ac:dyDescent="0.35">
      <c r="A121" s="9"/>
      <c r="B121" s="10"/>
      <c r="C121" s="40" t="s">
        <v>1486</v>
      </c>
      <c r="D121" s="12"/>
      <c r="E121" s="12"/>
      <c r="F121" s="12"/>
      <c r="G121" s="57">
        <f>SUM(G119:G120)</f>
        <v>11957.279300000004</v>
      </c>
    </row>
    <row r="122" spans="1:10" x14ac:dyDescent="0.3">
      <c r="A122" s="9" t="s">
        <v>1506</v>
      </c>
      <c r="B122" s="10" t="s">
        <v>1522</v>
      </c>
      <c r="C122" s="40" t="s">
        <v>1523</v>
      </c>
      <c r="D122" s="14"/>
      <c r="E122" s="14"/>
      <c r="F122" s="14"/>
      <c r="G122" s="57"/>
    </row>
    <row r="123" spans="1:10" ht="15" thickBot="1" x14ac:dyDescent="0.35">
      <c r="A123" s="25" t="s">
        <v>1506</v>
      </c>
      <c r="B123" s="19" t="s">
        <v>1524</v>
      </c>
      <c r="C123" s="85" t="s">
        <v>1548</v>
      </c>
      <c r="D123" s="85"/>
      <c r="E123" s="85"/>
      <c r="F123" s="85"/>
      <c r="G123" s="22">
        <v>0</v>
      </c>
    </row>
    <row r="124" spans="1:10" ht="15" thickBot="1" x14ac:dyDescent="0.35">
      <c r="A124" s="9"/>
      <c r="B124" s="10"/>
      <c r="C124" s="40" t="s">
        <v>1525</v>
      </c>
      <c r="D124" s="12"/>
      <c r="E124" s="12"/>
      <c r="F124" s="12"/>
      <c r="G124" s="57">
        <v>0</v>
      </c>
    </row>
    <row r="125" spans="1:10" x14ac:dyDescent="0.3">
      <c r="A125" s="9" t="s">
        <v>1509</v>
      </c>
      <c r="B125" s="10" t="s">
        <v>74</v>
      </c>
      <c r="C125" s="40" t="s">
        <v>1527</v>
      </c>
      <c r="D125" s="14"/>
      <c r="E125" s="14"/>
      <c r="F125" s="14"/>
      <c r="G125" s="57"/>
    </row>
    <row r="126" spans="1:10" ht="15" thickBot="1" x14ac:dyDescent="0.35">
      <c r="A126" s="25" t="s">
        <v>1509</v>
      </c>
      <c r="B126" s="19" t="s">
        <v>1528</v>
      </c>
      <c r="C126" s="85" t="s">
        <v>1529</v>
      </c>
      <c r="D126" s="85"/>
      <c r="E126" s="85"/>
      <c r="F126" s="85"/>
      <c r="G126" s="22">
        <f>SUM('F4'!G114)</f>
        <v>10600.584500000001</v>
      </c>
    </row>
    <row r="127" spans="1:10" ht="15" thickBot="1" x14ac:dyDescent="0.35">
      <c r="A127" s="9"/>
      <c r="B127" s="10"/>
      <c r="C127" s="40" t="s">
        <v>1533</v>
      </c>
      <c r="D127" s="12"/>
      <c r="E127" s="12"/>
      <c r="F127" s="12"/>
      <c r="G127" s="57">
        <f>G126</f>
        <v>10600.584500000001</v>
      </c>
    </row>
    <row r="128" spans="1:10" x14ac:dyDescent="0.3">
      <c r="A128" s="9"/>
      <c r="B128" s="10"/>
      <c r="C128" s="40"/>
      <c r="D128" s="86" t="s">
        <v>1487</v>
      </c>
      <c r="E128" s="87"/>
      <c r="F128" s="87"/>
      <c r="G128" s="57">
        <f>G121+G127</f>
        <v>22557.863800000006</v>
      </c>
    </row>
    <row r="129" spans="4:7" x14ac:dyDescent="0.3">
      <c r="D129" s="88" t="s">
        <v>1488</v>
      </c>
      <c r="E129" s="89"/>
      <c r="F129" s="89"/>
      <c r="G129" s="4">
        <f>G128*0.19</f>
        <v>4285.994122000001</v>
      </c>
    </row>
    <row r="130" spans="4:7" x14ac:dyDescent="0.3">
      <c r="D130" s="88" t="s">
        <v>1489</v>
      </c>
      <c r="E130" s="89"/>
      <c r="F130" s="89"/>
      <c r="G130" s="4">
        <f>G129+G128</f>
        <v>26843.857922000007</v>
      </c>
    </row>
  </sheetData>
  <mergeCells count="77">
    <mergeCell ref="D12:F12"/>
    <mergeCell ref="D13:F13"/>
    <mergeCell ref="D14:F14"/>
    <mergeCell ref="B1:C1"/>
    <mergeCell ref="B2:G2"/>
    <mergeCell ref="B3:G3"/>
    <mergeCell ref="B4:G4"/>
    <mergeCell ref="B8:C8"/>
    <mergeCell ref="C10:F10"/>
    <mergeCell ref="B16:G16"/>
    <mergeCell ref="B17:G17"/>
    <mergeCell ref="B21:C21"/>
    <mergeCell ref="C46:F46"/>
    <mergeCell ref="C36:F36"/>
    <mergeCell ref="C37:F37"/>
    <mergeCell ref="C38:F38"/>
    <mergeCell ref="C39:F39"/>
    <mergeCell ref="B29:G29"/>
    <mergeCell ref="B30:G30"/>
    <mergeCell ref="B34:C34"/>
    <mergeCell ref="C23:F23"/>
    <mergeCell ref="D25:F25"/>
    <mergeCell ref="D26:F26"/>
    <mergeCell ref="D27:F27"/>
    <mergeCell ref="C47:F47"/>
    <mergeCell ref="D49:F49"/>
    <mergeCell ref="D50:F50"/>
    <mergeCell ref="D51:F51"/>
    <mergeCell ref="C40:F40"/>
    <mergeCell ref="C41:F41"/>
    <mergeCell ref="C42:F42"/>
    <mergeCell ref="C43:F43"/>
    <mergeCell ref="C65:F65"/>
    <mergeCell ref="C66:F66"/>
    <mergeCell ref="C67:F67"/>
    <mergeCell ref="D90:F90"/>
    <mergeCell ref="B77:G77"/>
    <mergeCell ref="B78:G78"/>
    <mergeCell ref="B82:C82"/>
    <mergeCell ref="C84:F84"/>
    <mergeCell ref="C85:F85"/>
    <mergeCell ref="C88:F88"/>
    <mergeCell ref="C60:F60"/>
    <mergeCell ref="C61:F61"/>
    <mergeCell ref="C62:F62"/>
    <mergeCell ref="C63:F63"/>
    <mergeCell ref="C64:F64"/>
    <mergeCell ref="B53:G53"/>
    <mergeCell ref="B54:G54"/>
    <mergeCell ref="B58:C58"/>
    <mergeCell ref="D109:F109"/>
    <mergeCell ref="D91:F91"/>
    <mergeCell ref="D92:F92"/>
    <mergeCell ref="C101:F101"/>
    <mergeCell ref="B94:G94"/>
    <mergeCell ref="B95:G95"/>
    <mergeCell ref="B99:C99"/>
    <mergeCell ref="C70:F70"/>
    <mergeCell ref="C71:F71"/>
    <mergeCell ref="D73:F73"/>
    <mergeCell ref="D74:F74"/>
    <mergeCell ref="D75:F75"/>
    <mergeCell ref="B112:G112"/>
    <mergeCell ref="B113:G113"/>
    <mergeCell ref="B117:C117"/>
    <mergeCell ref="D110:F110"/>
    <mergeCell ref="C102:F102"/>
    <mergeCell ref="C105:F105"/>
    <mergeCell ref="C106:F106"/>
    <mergeCell ref="D108:F108"/>
    <mergeCell ref="C126:F126"/>
    <mergeCell ref="D128:F128"/>
    <mergeCell ref="D129:F129"/>
    <mergeCell ref="D130:F130"/>
    <mergeCell ref="C119:F119"/>
    <mergeCell ref="C120:F120"/>
    <mergeCell ref="C123:F1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518CA-E986-4E9E-A8BA-17CEEE151F99}">
  <sheetPr>
    <tabColor rgb="FF92D050"/>
  </sheetPr>
  <dimension ref="A1:H118"/>
  <sheetViews>
    <sheetView topLeftCell="A94" workbookViewId="0">
      <selection activeCell="C47" sqref="C47"/>
    </sheetView>
  </sheetViews>
  <sheetFormatPr defaultRowHeight="14.4" x14ac:dyDescent="0.3"/>
  <cols>
    <col min="1" max="1" width="6.33203125" customWidth="1"/>
    <col min="3" max="3" width="55.33203125" bestFit="1" customWidth="1"/>
    <col min="4" max="4" width="6.77734375" bestFit="1" customWidth="1"/>
    <col min="6" max="6" width="10.5546875" bestFit="1" customWidth="1"/>
    <col min="7" max="7" width="9.109375" bestFit="1" customWidth="1"/>
  </cols>
  <sheetData>
    <row r="1" spans="1:8" x14ac:dyDescent="0.3">
      <c r="A1" s="92" t="s">
        <v>1207</v>
      </c>
      <c r="B1" s="95"/>
      <c r="C1" s="95"/>
    </row>
    <row r="2" spans="1:8" x14ac:dyDescent="0.3">
      <c r="A2" s="82" t="s">
        <v>2</v>
      </c>
      <c r="B2" s="95"/>
      <c r="C2" s="95"/>
      <c r="D2" s="95"/>
      <c r="E2" s="95"/>
      <c r="F2" s="95"/>
      <c r="G2" s="95"/>
      <c r="H2" s="95"/>
    </row>
    <row r="3" spans="1:8" ht="20.399999999999999" customHeight="1" x14ac:dyDescent="0.3">
      <c r="A3" s="84" t="s">
        <v>1208</v>
      </c>
      <c r="B3" s="95"/>
      <c r="C3" s="95"/>
      <c r="D3" s="95"/>
      <c r="E3" s="95"/>
      <c r="F3" s="95"/>
      <c r="G3" s="95"/>
      <c r="H3" s="95"/>
    </row>
    <row r="4" spans="1:8" ht="15" thickBot="1" x14ac:dyDescent="0.35">
      <c r="H4" s="46" t="s">
        <v>5</v>
      </c>
    </row>
    <row r="5" spans="1:8" x14ac:dyDescent="0.3">
      <c r="A5" s="52" t="s">
        <v>7</v>
      </c>
      <c r="B5" s="53" t="s">
        <v>1209</v>
      </c>
      <c r="C5" s="53" t="s">
        <v>1210</v>
      </c>
      <c r="D5" s="54" t="s">
        <v>9</v>
      </c>
      <c r="E5" s="55" t="s">
        <v>10</v>
      </c>
      <c r="F5" s="56" t="s">
        <v>11</v>
      </c>
      <c r="G5" s="57" t="s">
        <v>1211</v>
      </c>
      <c r="H5" s="58" t="s">
        <v>1212</v>
      </c>
    </row>
    <row r="6" spans="1:8" ht="15" thickBot="1" x14ac:dyDescent="0.35">
      <c r="A6" s="47" t="s">
        <v>13</v>
      </c>
      <c r="B6" s="48"/>
      <c r="C6" s="48"/>
      <c r="D6" s="49"/>
      <c r="E6" s="44"/>
      <c r="F6" s="50" t="s">
        <v>1213</v>
      </c>
      <c r="G6" s="4"/>
      <c r="H6" s="51" t="s">
        <v>1214</v>
      </c>
    </row>
    <row r="7" spans="1:8" x14ac:dyDescent="0.3">
      <c r="A7" s="52">
        <v>20</v>
      </c>
      <c r="B7" s="93" t="s">
        <v>1215</v>
      </c>
      <c r="C7" s="94"/>
      <c r="D7" s="94"/>
      <c r="E7" s="94"/>
      <c r="F7" s="94"/>
      <c r="G7" s="94"/>
      <c r="H7" s="94"/>
    </row>
    <row r="8" spans="1:8" x14ac:dyDescent="0.3">
      <c r="B8" s="43" t="s">
        <v>1216</v>
      </c>
    </row>
    <row r="9" spans="1:8" x14ac:dyDescent="0.3">
      <c r="B9" s="43" t="s">
        <v>1217</v>
      </c>
      <c r="C9" s="43" t="s">
        <v>1218</v>
      </c>
      <c r="D9" s="42" t="s">
        <v>29</v>
      </c>
      <c r="E9" s="44">
        <v>1</v>
      </c>
      <c r="F9" s="45">
        <v>156171.71789999999</v>
      </c>
      <c r="G9" s="4">
        <f>F9*E9</f>
        <v>156171.71789999999</v>
      </c>
      <c r="H9" s="46" t="s">
        <v>1219</v>
      </c>
    </row>
    <row r="10" spans="1:8" x14ac:dyDescent="0.3">
      <c r="B10" s="43" t="s">
        <v>1220</v>
      </c>
      <c r="C10" s="43" t="s">
        <v>1221</v>
      </c>
      <c r="D10" s="42" t="s">
        <v>29</v>
      </c>
      <c r="E10" s="44">
        <v>2</v>
      </c>
      <c r="F10" s="45">
        <v>4818.7980500000003</v>
      </c>
      <c r="G10" s="4">
        <f>F10*E10</f>
        <v>9637.5961000000007</v>
      </c>
      <c r="H10" s="46" t="s">
        <v>1222</v>
      </c>
    </row>
    <row r="11" spans="1:8" x14ac:dyDescent="0.3">
      <c r="B11" s="43" t="s">
        <v>1223</v>
      </c>
      <c r="C11" s="43" t="s">
        <v>1224</v>
      </c>
      <c r="D11" s="42" t="s">
        <v>29</v>
      </c>
      <c r="E11" s="44">
        <v>1</v>
      </c>
      <c r="F11" s="45">
        <v>4049.8661499999998</v>
      </c>
      <c r="G11" s="4">
        <f>F11*E11</f>
        <v>4049.8661499999998</v>
      </c>
      <c r="H11" s="46" t="s">
        <v>1225</v>
      </c>
    </row>
    <row r="12" spans="1:8" x14ac:dyDescent="0.3">
      <c r="B12" s="43" t="s">
        <v>1226</v>
      </c>
      <c r="C12" s="43" t="s">
        <v>1227</v>
      </c>
      <c r="D12" s="42" t="s">
        <v>29</v>
      </c>
      <c r="E12" s="44">
        <v>1</v>
      </c>
      <c r="F12" s="45">
        <v>2909.1441500000001</v>
      </c>
      <c r="G12" s="4">
        <f>F12*E12</f>
        <v>2909.1441500000001</v>
      </c>
      <c r="H12" s="46" t="s">
        <v>1228</v>
      </c>
    </row>
    <row r="13" spans="1:8" x14ac:dyDescent="0.3">
      <c r="B13" s="43" t="s">
        <v>1229</v>
      </c>
      <c r="C13" s="43" t="s">
        <v>1230</v>
      </c>
      <c r="D13" s="42" t="s">
        <v>29</v>
      </c>
      <c r="E13" s="44">
        <v>2</v>
      </c>
      <c r="F13" s="45">
        <v>128323.14714999999</v>
      </c>
      <c r="G13" s="4">
        <f>F13*E13</f>
        <v>256646.29429999998</v>
      </c>
      <c r="H13" s="46" t="s">
        <v>1231</v>
      </c>
    </row>
    <row r="14" spans="1:8" x14ac:dyDescent="0.3">
      <c r="B14" s="43" t="s">
        <v>1232</v>
      </c>
      <c r="C14" s="43" t="s">
        <v>1233</v>
      </c>
      <c r="D14" s="42" t="s">
        <v>29</v>
      </c>
      <c r="E14" s="44">
        <v>1</v>
      </c>
      <c r="F14" s="45">
        <v>15845.084199999999</v>
      </c>
      <c r="G14" s="4">
        <f>F14*E14</f>
        <v>15845.084199999999</v>
      </c>
      <c r="H14" s="46" t="s">
        <v>74</v>
      </c>
    </row>
    <row r="15" spans="1:8" x14ac:dyDescent="0.3">
      <c r="B15" s="43" t="s">
        <v>1234</v>
      </c>
      <c r="C15" s="43" t="s">
        <v>1235</v>
      </c>
      <c r="D15" s="42" t="s">
        <v>29</v>
      </c>
      <c r="E15" s="44">
        <v>2</v>
      </c>
      <c r="F15" s="45">
        <v>91734.112800000003</v>
      </c>
      <c r="G15" s="4">
        <f>F15*E15</f>
        <v>183468.22560000001</v>
      </c>
      <c r="H15" s="46" t="s">
        <v>1236</v>
      </c>
    </row>
    <row r="16" spans="1:8" x14ac:dyDescent="0.3">
      <c r="B16" s="43" t="s">
        <v>1237</v>
      </c>
      <c r="C16" s="43" t="s">
        <v>1238</v>
      </c>
      <c r="D16" s="42" t="s">
        <v>29</v>
      </c>
      <c r="E16" s="44">
        <v>1</v>
      </c>
      <c r="F16" s="45">
        <v>39024.103799999997</v>
      </c>
      <c r="G16" s="4">
        <f>F16*E16</f>
        <v>39024.103799999997</v>
      </c>
      <c r="H16" s="46" t="s">
        <v>1239</v>
      </c>
    </row>
    <row r="17" spans="2:8" x14ac:dyDescent="0.3">
      <c r="B17" s="43" t="s">
        <v>1240</v>
      </c>
      <c r="C17" s="43" t="s">
        <v>1241</v>
      </c>
      <c r="D17" s="42" t="s">
        <v>29</v>
      </c>
      <c r="E17" s="44">
        <v>1</v>
      </c>
      <c r="F17" s="45">
        <v>128660.41045</v>
      </c>
      <c r="G17" s="4">
        <f>F17*E17</f>
        <v>128660.41045</v>
      </c>
      <c r="H17" s="46" t="s">
        <v>1242</v>
      </c>
    </row>
    <row r="18" spans="2:8" x14ac:dyDescent="0.3">
      <c r="B18" s="43" t="s">
        <v>1243</v>
      </c>
      <c r="C18" s="43" t="s">
        <v>1244</v>
      </c>
      <c r="D18" s="42" t="s">
        <v>29</v>
      </c>
      <c r="E18" s="44">
        <v>6</v>
      </c>
      <c r="F18" s="45">
        <v>675.47754999999995</v>
      </c>
      <c r="G18" s="4">
        <f>F18*E18</f>
        <v>4052.8652999999995</v>
      </c>
      <c r="H18" s="46" t="s">
        <v>1245</v>
      </c>
    </row>
    <row r="19" spans="2:8" x14ac:dyDescent="0.3">
      <c r="B19" s="43" t="s">
        <v>1246</v>
      </c>
      <c r="C19" s="43" t="s">
        <v>1247</v>
      </c>
      <c r="D19" s="42" t="s">
        <v>29</v>
      </c>
      <c r="E19" s="44">
        <v>20</v>
      </c>
      <c r="F19" s="45">
        <v>631.54575</v>
      </c>
      <c r="G19" s="4">
        <f>F19*E19</f>
        <v>12630.915000000001</v>
      </c>
      <c r="H19" s="46" t="s">
        <v>1248</v>
      </c>
    </row>
    <row r="20" spans="2:8" x14ac:dyDescent="0.3">
      <c r="B20" s="43" t="s">
        <v>1249</v>
      </c>
      <c r="C20" s="43" t="s">
        <v>1250</v>
      </c>
      <c r="D20" s="42" t="s">
        <v>29</v>
      </c>
      <c r="E20" s="44">
        <v>6</v>
      </c>
      <c r="F20" s="45">
        <v>737.04894999999999</v>
      </c>
      <c r="G20" s="4">
        <f>F20*E20</f>
        <v>4422.2937000000002</v>
      </c>
      <c r="H20" s="46" t="s">
        <v>1251</v>
      </c>
    </row>
    <row r="21" spans="2:8" x14ac:dyDescent="0.3">
      <c r="B21" s="43" t="s">
        <v>1252</v>
      </c>
      <c r="C21" s="43" t="s">
        <v>1253</v>
      </c>
      <c r="D21" s="42" t="s">
        <v>29</v>
      </c>
      <c r="E21" s="44">
        <v>36</v>
      </c>
      <c r="F21" s="45">
        <v>799.22645</v>
      </c>
      <c r="G21" s="4">
        <f>F21*E21</f>
        <v>28772.1522</v>
      </c>
      <c r="H21" s="46" t="s">
        <v>1254</v>
      </c>
    </row>
    <row r="22" spans="2:8" x14ac:dyDescent="0.3">
      <c r="B22" s="43" t="s">
        <v>1255</v>
      </c>
      <c r="C22" s="43" t="s">
        <v>1256</v>
      </c>
      <c r="D22" s="42" t="s">
        <v>29</v>
      </c>
      <c r="E22" s="44">
        <v>4</v>
      </c>
      <c r="F22" s="45">
        <v>1318.2361500000002</v>
      </c>
      <c r="G22" s="4">
        <f>F22*E22</f>
        <v>5272.9446000000007</v>
      </c>
      <c r="H22" s="46" t="s">
        <v>1257</v>
      </c>
    </row>
    <row r="23" spans="2:8" x14ac:dyDescent="0.3">
      <c r="B23" s="43" t="s">
        <v>1258</v>
      </c>
      <c r="C23" s="43" t="s">
        <v>1259</v>
      </c>
      <c r="D23" s="42" t="s">
        <v>29</v>
      </c>
      <c r="E23" s="44">
        <v>2</v>
      </c>
      <c r="F23" s="45">
        <v>2535.1595499999999</v>
      </c>
      <c r="G23" s="4">
        <f>F23*E23</f>
        <v>5070.3190999999997</v>
      </c>
      <c r="H23" s="46" t="s">
        <v>1260</v>
      </c>
    </row>
    <row r="24" spans="2:8" x14ac:dyDescent="0.3">
      <c r="B24" s="43" t="s">
        <v>1261</v>
      </c>
      <c r="C24" s="43" t="s">
        <v>1262</v>
      </c>
      <c r="D24" s="42" t="s">
        <v>29</v>
      </c>
      <c r="E24" s="44">
        <v>2</v>
      </c>
      <c r="F24" s="45">
        <v>845.64535000000012</v>
      </c>
      <c r="G24" s="4">
        <f>F24*E24</f>
        <v>1691.2907000000002</v>
      </c>
      <c r="H24" s="46" t="s">
        <v>1263</v>
      </c>
    </row>
    <row r="25" spans="2:8" x14ac:dyDescent="0.3">
      <c r="B25" s="43" t="s">
        <v>1264</v>
      </c>
      <c r="C25" s="43" t="s">
        <v>1265</v>
      </c>
      <c r="D25" s="42" t="s">
        <v>29</v>
      </c>
      <c r="E25" s="44">
        <v>2</v>
      </c>
      <c r="F25" s="45">
        <v>2644.5710500000005</v>
      </c>
      <c r="G25" s="4">
        <f>F25*E25</f>
        <v>5289.1421000000009</v>
      </c>
      <c r="H25" s="46" t="s">
        <v>1266</v>
      </c>
    </row>
    <row r="26" spans="2:8" x14ac:dyDescent="0.3">
      <c r="B26" s="43" t="s">
        <v>1267</v>
      </c>
      <c r="C26" s="43" t="s">
        <v>1268</v>
      </c>
      <c r="D26" s="42" t="s">
        <v>29</v>
      </c>
      <c r="E26" s="44">
        <v>1</v>
      </c>
      <c r="F26" s="45">
        <v>54359.437000000005</v>
      </c>
      <c r="G26" s="4">
        <f>F26*E26</f>
        <v>54359.437000000005</v>
      </c>
      <c r="H26" s="46" t="s">
        <v>74</v>
      </c>
    </row>
    <row r="27" spans="2:8" x14ac:dyDescent="0.3">
      <c r="B27" s="43" t="s">
        <v>1269</v>
      </c>
      <c r="C27" s="43" t="s">
        <v>1270</v>
      </c>
      <c r="D27" s="42" t="s">
        <v>29</v>
      </c>
      <c r="E27" s="44">
        <v>1</v>
      </c>
      <c r="F27" s="45">
        <v>225.16615000000002</v>
      </c>
      <c r="G27" s="4">
        <f>F27*E27</f>
        <v>225.16615000000002</v>
      </c>
      <c r="H27" s="46" t="s">
        <v>1271</v>
      </c>
    </row>
    <row r="28" spans="2:8" x14ac:dyDescent="0.3">
      <c r="B28" s="43" t="s">
        <v>1272</v>
      </c>
      <c r="C28" s="43" t="s">
        <v>1273</v>
      </c>
      <c r="D28" s="42" t="s">
        <v>29</v>
      </c>
      <c r="E28" s="44">
        <v>1</v>
      </c>
      <c r="F28" s="45">
        <v>11602.49915</v>
      </c>
      <c r="G28" s="4">
        <f>F28*E28</f>
        <v>11602.49915</v>
      </c>
      <c r="H28" s="46" t="s">
        <v>1274</v>
      </c>
    </row>
    <row r="29" spans="2:8" x14ac:dyDescent="0.3">
      <c r="B29" s="43" t="s">
        <v>1275</v>
      </c>
      <c r="C29" s="43" t="s">
        <v>1276</v>
      </c>
      <c r="D29" s="42" t="s">
        <v>29</v>
      </c>
      <c r="E29" s="44">
        <v>2</v>
      </c>
      <c r="F29" s="45">
        <v>1095.83925</v>
      </c>
      <c r="G29" s="4">
        <f>F29*E29</f>
        <v>2191.6785</v>
      </c>
      <c r="H29" s="46" t="s">
        <v>1277</v>
      </c>
    </row>
    <row r="30" spans="2:8" x14ac:dyDescent="0.3">
      <c r="B30" s="43" t="s">
        <v>1278</v>
      </c>
      <c r="C30" s="43" t="s">
        <v>1279</v>
      </c>
      <c r="D30" s="42" t="s">
        <v>29</v>
      </c>
      <c r="E30" s="44">
        <v>1</v>
      </c>
      <c r="F30" s="45">
        <v>1095.83925</v>
      </c>
      <c r="G30" s="4">
        <f>F30*E30</f>
        <v>1095.83925</v>
      </c>
      <c r="H30" s="46" t="s">
        <v>1280</v>
      </c>
    </row>
    <row r="31" spans="2:8" x14ac:dyDescent="0.3">
      <c r="B31" s="43" t="s">
        <v>1281</v>
      </c>
      <c r="C31" s="43" t="s">
        <v>1282</v>
      </c>
      <c r="D31" s="42" t="s">
        <v>29</v>
      </c>
      <c r="E31" s="44">
        <v>2</v>
      </c>
      <c r="F31" s="45">
        <v>3244.0771</v>
      </c>
      <c r="G31" s="4">
        <f>F31*E31</f>
        <v>6488.1541999999999</v>
      </c>
      <c r="H31" s="46" t="s">
        <v>1283</v>
      </c>
    </row>
    <row r="32" spans="2:8" x14ac:dyDescent="0.3">
      <c r="B32" s="43" t="s">
        <v>1284</v>
      </c>
      <c r="C32" s="43" t="s">
        <v>1285</v>
      </c>
      <c r="D32" s="42" t="s">
        <v>29</v>
      </c>
      <c r="E32" s="44">
        <v>1</v>
      </c>
      <c r="F32" s="45">
        <v>3244.0771</v>
      </c>
      <c r="G32" s="4">
        <f>F32*E32</f>
        <v>3244.0771</v>
      </c>
      <c r="H32" s="46" t="s">
        <v>1286</v>
      </c>
    </row>
    <row r="33" spans="2:8" x14ac:dyDescent="0.3">
      <c r="B33" s="43" t="s">
        <v>1287</v>
      </c>
      <c r="C33" s="43" t="s">
        <v>1288</v>
      </c>
      <c r="D33" s="42" t="s">
        <v>29</v>
      </c>
      <c r="E33" s="44">
        <v>2</v>
      </c>
      <c r="F33" s="45">
        <v>2689.6732499999998</v>
      </c>
      <c r="G33" s="4">
        <f>F33*E33</f>
        <v>5379.3464999999997</v>
      </c>
      <c r="H33" s="46" t="s">
        <v>1289</v>
      </c>
    </row>
    <row r="34" spans="2:8" x14ac:dyDescent="0.3">
      <c r="B34" s="43" t="s">
        <v>1290</v>
      </c>
      <c r="C34" s="43" t="s">
        <v>1291</v>
      </c>
      <c r="D34" s="42" t="s">
        <v>29</v>
      </c>
      <c r="E34" s="44">
        <v>1</v>
      </c>
      <c r="F34" s="45">
        <v>1186.08545</v>
      </c>
      <c r="G34" s="4">
        <f>F34*E34</f>
        <v>1186.08545</v>
      </c>
      <c r="H34" s="46" t="s">
        <v>1292</v>
      </c>
    </row>
    <row r="35" spans="2:8" x14ac:dyDescent="0.3">
      <c r="B35" s="43" t="s">
        <v>1293</v>
      </c>
      <c r="C35" s="43" t="s">
        <v>1294</v>
      </c>
      <c r="D35" s="42" t="s">
        <v>29</v>
      </c>
      <c r="E35" s="44">
        <v>1</v>
      </c>
      <c r="F35" s="45">
        <v>4183.6470499999996</v>
      </c>
      <c r="G35" s="4">
        <f>F35*E35</f>
        <v>4183.6470499999996</v>
      </c>
      <c r="H35" s="46" t="s">
        <v>1295</v>
      </c>
    </row>
    <row r="36" spans="2:8" x14ac:dyDescent="0.3">
      <c r="B36" s="43" t="s">
        <v>1296</v>
      </c>
      <c r="C36" s="43" t="s">
        <v>1297</v>
      </c>
      <c r="D36" s="42" t="s">
        <v>29</v>
      </c>
      <c r="E36" s="44">
        <v>1</v>
      </c>
      <c r="F36" s="45">
        <v>16677.332650000004</v>
      </c>
      <c r="G36" s="4">
        <f>F36*E36</f>
        <v>16677.332650000004</v>
      </c>
      <c r="H36" s="46" t="s">
        <v>1298</v>
      </c>
    </row>
    <row r="37" spans="2:8" x14ac:dyDescent="0.3">
      <c r="B37" s="43" t="s">
        <v>1299</v>
      </c>
      <c r="C37" s="43" t="s">
        <v>1300</v>
      </c>
      <c r="D37" s="42" t="s">
        <v>29</v>
      </c>
      <c r="E37" s="44">
        <v>2</v>
      </c>
      <c r="F37" s="45">
        <v>214.4967</v>
      </c>
      <c r="G37" s="4">
        <f>F37*E37</f>
        <v>428.99340000000001</v>
      </c>
      <c r="H37" s="46" t="s">
        <v>1301</v>
      </c>
    </row>
    <row r="38" spans="2:8" x14ac:dyDescent="0.3">
      <c r="B38" s="43" t="s">
        <v>1302</v>
      </c>
      <c r="C38" s="43" t="s">
        <v>1303</v>
      </c>
      <c r="D38" s="42" t="s">
        <v>29</v>
      </c>
      <c r="E38" s="44">
        <v>1</v>
      </c>
      <c r="F38" s="45">
        <v>23990.7965</v>
      </c>
      <c r="G38" s="4">
        <f>F38*E38</f>
        <v>23990.7965</v>
      </c>
      <c r="H38" s="46" t="s">
        <v>74</v>
      </c>
    </row>
    <row r="39" spans="2:8" x14ac:dyDescent="0.3">
      <c r="B39" s="43" t="s">
        <v>1304</v>
      </c>
      <c r="C39" s="43" t="s">
        <v>1305</v>
      </c>
      <c r="D39" s="42" t="s">
        <v>1549</v>
      </c>
      <c r="E39" s="44">
        <v>1</v>
      </c>
      <c r="F39" s="45">
        <v>156725.73509999999</v>
      </c>
      <c r="G39" s="4">
        <f>F39*E39</f>
        <v>156725.73509999999</v>
      </c>
      <c r="H39" s="46" t="s">
        <v>1307</v>
      </c>
    </row>
    <row r="40" spans="2:8" x14ac:dyDescent="0.3">
      <c r="B40" s="43" t="s">
        <v>1308</v>
      </c>
      <c r="C40" s="43" t="s">
        <v>1309</v>
      </c>
      <c r="D40" s="42" t="s">
        <v>29</v>
      </c>
      <c r="E40" s="44">
        <v>1</v>
      </c>
      <c r="F40" s="45">
        <v>1631.5793999999999</v>
      </c>
      <c r="G40" s="4">
        <f>F40*E40</f>
        <v>1631.5793999999999</v>
      </c>
      <c r="H40" s="46" t="s">
        <v>1310</v>
      </c>
    </row>
    <row r="41" spans="2:8" x14ac:dyDescent="0.3">
      <c r="B41" s="43" t="s">
        <v>1311</v>
      </c>
      <c r="C41" s="43" t="s">
        <v>1312</v>
      </c>
      <c r="D41" s="42" t="s">
        <v>29</v>
      </c>
      <c r="E41" s="44">
        <v>1</v>
      </c>
      <c r="F41" s="45">
        <v>58219.531150000003</v>
      </c>
      <c r="G41" s="4">
        <f>F41*E41</f>
        <v>58219.531150000003</v>
      </c>
      <c r="H41" s="46" t="s">
        <v>1313</v>
      </c>
    </row>
    <row r="42" spans="2:8" x14ac:dyDescent="0.3">
      <c r="B42" s="43" t="s">
        <v>1314</v>
      </c>
      <c r="C42" s="43" t="s">
        <v>1315</v>
      </c>
      <c r="D42" s="42" t="s">
        <v>29</v>
      </c>
      <c r="E42" s="44">
        <v>2</v>
      </c>
      <c r="F42" s="45">
        <v>5444.1469500000003</v>
      </c>
      <c r="G42" s="4">
        <f>F42*E42</f>
        <v>10888.293900000001</v>
      </c>
      <c r="H42" s="46" t="s">
        <v>1316</v>
      </c>
    </row>
    <row r="43" spans="2:8" x14ac:dyDescent="0.3">
      <c r="B43" s="43" t="s">
        <v>1317</v>
      </c>
      <c r="C43" s="43" t="s">
        <v>1318</v>
      </c>
      <c r="D43" s="42" t="s">
        <v>29</v>
      </c>
      <c r="E43" s="44">
        <v>2</v>
      </c>
      <c r="F43" s="45">
        <v>161.58835000000002</v>
      </c>
      <c r="G43" s="4">
        <f>F43*E43</f>
        <v>323.17670000000004</v>
      </c>
      <c r="H43" s="46" t="s">
        <v>1319</v>
      </c>
    </row>
    <row r="44" spans="2:8" x14ac:dyDescent="0.3">
      <c r="B44" s="43" t="s">
        <v>1320</v>
      </c>
      <c r="C44" s="43" t="s">
        <v>1321</v>
      </c>
      <c r="D44" s="42" t="s">
        <v>29</v>
      </c>
      <c r="E44" s="44">
        <v>2</v>
      </c>
      <c r="F44" s="45">
        <v>520.04424999999992</v>
      </c>
      <c r="G44" s="4">
        <f>F44*E44</f>
        <v>1040.0884999999998</v>
      </c>
      <c r="H44" s="46" t="s">
        <v>1322</v>
      </c>
    </row>
    <row r="45" spans="2:8" x14ac:dyDescent="0.3">
      <c r="B45" s="43" t="s">
        <v>1323</v>
      </c>
      <c r="C45" s="43" t="s">
        <v>1324</v>
      </c>
      <c r="D45" s="42" t="s">
        <v>29</v>
      </c>
      <c r="E45" s="44">
        <v>1</v>
      </c>
      <c r="F45" s="45">
        <v>246.92305000000002</v>
      </c>
      <c r="G45" s="4">
        <f>F45*E45</f>
        <v>246.92305000000002</v>
      </c>
      <c r="H45" s="46" t="s">
        <v>1325</v>
      </c>
    </row>
    <row r="46" spans="2:8" x14ac:dyDescent="0.3">
      <c r="B46" s="43" t="s">
        <v>1326</v>
      </c>
      <c r="C46" s="43" t="s">
        <v>1327</v>
      </c>
      <c r="D46" s="42" t="s">
        <v>29</v>
      </c>
      <c r="E46" s="44">
        <v>4</v>
      </c>
      <c r="F46" s="45">
        <v>229.36705000000001</v>
      </c>
      <c r="G46" s="4">
        <f>F46*E46</f>
        <v>917.46820000000002</v>
      </c>
      <c r="H46" s="46" t="s">
        <v>1328</v>
      </c>
    </row>
    <row r="47" spans="2:8" x14ac:dyDescent="0.3">
      <c r="B47" s="43" t="s">
        <v>1329</v>
      </c>
      <c r="C47" s="43" t="s">
        <v>1330</v>
      </c>
      <c r="D47" s="42" t="s">
        <v>29</v>
      </c>
      <c r="E47" s="44">
        <v>1</v>
      </c>
      <c r="F47" s="45">
        <v>58219.531150000003</v>
      </c>
      <c r="G47" s="4">
        <f>F47*E47</f>
        <v>58219.531150000003</v>
      </c>
      <c r="H47" s="46" t="s">
        <v>1331</v>
      </c>
    </row>
    <row r="48" spans="2:8" x14ac:dyDescent="0.3">
      <c r="B48" s="43" t="s">
        <v>1332</v>
      </c>
      <c r="C48" s="43" t="s">
        <v>1333</v>
      </c>
      <c r="D48" s="42" t="s">
        <v>29</v>
      </c>
      <c r="E48" s="44">
        <v>1</v>
      </c>
      <c r="F48" s="45">
        <v>232.7424</v>
      </c>
      <c r="G48" s="4">
        <f>F48*E48</f>
        <v>232.7424</v>
      </c>
      <c r="H48" s="46" t="s">
        <v>1334</v>
      </c>
    </row>
    <row r="49" spans="1:8" x14ac:dyDescent="0.3">
      <c r="B49" s="43" t="s">
        <v>1335</v>
      </c>
      <c r="C49" s="43" t="s">
        <v>1336</v>
      </c>
      <c r="D49" s="42" t="s">
        <v>29</v>
      </c>
      <c r="E49" s="44">
        <v>3</v>
      </c>
      <c r="F49" s="45">
        <v>298.49380000000002</v>
      </c>
      <c r="G49" s="4">
        <f>F49*E49</f>
        <v>895.48140000000012</v>
      </c>
      <c r="H49" s="46" t="s">
        <v>1337</v>
      </c>
    </row>
    <row r="50" spans="1:8" x14ac:dyDescent="0.3">
      <c r="B50" s="43" t="s">
        <v>1338</v>
      </c>
      <c r="C50" s="43" t="s">
        <v>1339</v>
      </c>
      <c r="D50" s="42" t="s">
        <v>29</v>
      </c>
      <c r="E50" s="44">
        <v>2</v>
      </c>
      <c r="F50" s="45">
        <v>378.26910000000004</v>
      </c>
      <c r="G50" s="4">
        <f>F50*E50</f>
        <v>756.53820000000007</v>
      </c>
      <c r="H50" s="46" t="s">
        <v>1340</v>
      </c>
    </row>
    <row r="51" spans="1:8" x14ac:dyDescent="0.3">
      <c r="B51" s="43" t="s">
        <v>1341</v>
      </c>
      <c r="C51" s="43" t="s">
        <v>1342</v>
      </c>
      <c r="D51" s="42" t="s">
        <v>29</v>
      </c>
      <c r="E51" s="44">
        <v>3</v>
      </c>
      <c r="F51" s="45">
        <v>225.89765</v>
      </c>
      <c r="G51" s="4">
        <f>F51*E51</f>
        <v>677.69295</v>
      </c>
      <c r="H51" s="46" t="s">
        <v>1343</v>
      </c>
    </row>
    <row r="52" spans="1:8" x14ac:dyDescent="0.3">
      <c r="B52" s="43" t="s">
        <v>1344</v>
      </c>
    </row>
    <row r="53" spans="1:8" x14ac:dyDescent="0.3">
      <c r="B53" s="43" t="s">
        <v>1345</v>
      </c>
      <c r="C53" s="43" t="s">
        <v>1346</v>
      </c>
      <c r="D53" s="42" t="s">
        <v>29</v>
      </c>
      <c r="E53" s="44">
        <v>1</v>
      </c>
      <c r="F53" s="45">
        <v>220.38005000000001</v>
      </c>
      <c r="G53" s="4">
        <f>F53*E53</f>
        <v>220.38005000000001</v>
      </c>
      <c r="H53" s="46" t="s">
        <v>74</v>
      </c>
    </row>
    <row r="54" spans="1:8" x14ac:dyDescent="0.3">
      <c r="B54" s="43" t="s">
        <v>1347</v>
      </c>
      <c r="C54" s="43" t="s">
        <v>1348</v>
      </c>
      <c r="D54" s="42" t="s">
        <v>29</v>
      </c>
      <c r="E54" s="44">
        <v>24</v>
      </c>
      <c r="F54" s="45">
        <v>278.96275000000003</v>
      </c>
      <c r="G54" s="4">
        <f>F54*E54</f>
        <v>6695.1060000000007</v>
      </c>
      <c r="H54" s="46" t="s">
        <v>74</v>
      </c>
    </row>
    <row r="55" spans="1:8" ht="15" thickBot="1" x14ac:dyDescent="0.35">
      <c r="B55" s="43" t="s">
        <v>1349</v>
      </c>
      <c r="C55" s="43" t="s">
        <v>1350</v>
      </c>
      <c r="D55" s="42" t="s">
        <v>29</v>
      </c>
      <c r="E55" s="44">
        <v>1</v>
      </c>
      <c r="F55" s="45">
        <v>31020.657800000001</v>
      </c>
      <c r="G55" s="4">
        <f>F55*E55</f>
        <v>31020.657800000001</v>
      </c>
      <c r="H55" s="46" t="s">
        <v>74</v>
      </c>
    </row>
    <row r="56" spans="1:8" ht="15" thickBot="1" x14ac:dyDescent="0.35">
      <c r="A56" s="52"/>
      <c r="B56" s="39"/>
      <c r="C56" s="39"/>
      <c r="D56" s="59"/>
      <c r="E56" s="55" t="s">
        <v>1351</v>
      </c>
      <c r="F56" s="60"/>
      <c r="G56" s="57">
        <f>SUM(G9:G55)</f>
        <v>1323378.3441999999</v>
      </c>
      <c r="H56" s="61"/>
    </row>
    <row r="57" spans="1:8" x14ac:dyDescent="0.3">
      <c r="A57" s="52">
        <v>16</v>
      </c>
      <c r="B57" s="93" t="s">
        <v>1352</v>
      </c>
      <c r="C57" s="94"/>
      <c r="D57" s="94"/>
      <c r="E57" s="94"/>
      <c r="F57" s="94"/>
      <c r="G57" s="94"/>
      <c r="H57" s="94"/>
    </row>
    <row r="58" spans="1:8" x14ac:dyDescent="0.3">
      <c r="B58" s="43" t="s">
        <v>1216</v>
      </c>
    </row>
    <row r="59" spans="1:8" x14ac:dyDescent="0.3">
      <c r="B59" s="43" t="s">
        <v>1353</v>
      </c>
      <c r="C59" s="43" t="s">
        <v>1354</v>
      </c>
      <c r="D59" s="42" t="s">
        <v>29</v>
      </c>
      <c r="E59" s="44">
        <v>1</v>
      </c>
      <c r="F59" s="45">
        <v>110287.92059999998</v>
      </c>
      <c r="G59" s="4">
        <f>F59*E59</f>
        <v>110287.92059999998</v>
      </c>
      <c r="H59" s="46" t="s">
        <v>1355</v>
      </c>
    </row>
    <row r="60" spans="1:8" x14ac:dyDescent="0.3">
      <c r="B60" s="43" t="s">
        <v>1356</v>
      </c>
      <c r="C60" s="43" t="s">
        <v>1357</v>
      </c>
      <c r="D60" s="42" t="s">
        <v>29</v>
      </c>
      <c r="E60" s="44">
        <v>1</v>
      </c>
      <c r="F60" s="45">
        <v>3315.0117</v>
      </c>
      <c r="G60" s="4">
        <f>F60*E60</f>
        <v>3315.0117</v>
      </c>
      <c r="H60" s="46" t="s">
        <v>1358</v>
      </c>
    </row>
    <row r="61" spans="1:8" x14ac:dyDescent="0.3">
      <c r="B61" s="43" t="s">
        <v>1359</v>
      </c>
      <c r="C61" s="43" t="s">
        <v>1360</v>
      </c>
      <c r="D61" s="42" t="s">
        <v>29</v>
      </c>
      <c r="E61" s="44">
        <v>1</v>
      </c>
      <c r="F61" s="45">
        <v>2113.8155499999998</v>
      </c>
      <c r="G61" s="4">
        <f>F61*E61</f>
        <v>2113.8155499999998</v>
      </c>
      <c r="H61" s="46" t="s">
        <v>1361</v>
      </c>
    </row>
    <row r="62" spans="1:8" x14ac:dyDescent="0.3">
      <c r="B62" s="43" t="s">
        <v>1362</v>
      </c>
      <c r="C62" s="43" t="s">
        <v>1363</v>
      </c>
      <c r="D62" s="42" t="s">
        <v>29</v>
      </c>
      <c r="E62" s="44">
        <v>2</v>
      </c>
      <c r="F62" s="45">
        <v>43732.016900000002</v>
      </c>
      <c r="G62" s="4">
        <f>F62*E62</f>
        <v>87464.033800000005</v>
      </c>
      <c r="H62" s="46" t="s">
        <v>1364</v>
      </c>
    </row>
    <row r="63" spans="1:8" x14ac:dyDescent="0.3">
      <c r="B63" s="43" t="s">
        <v>1234</v>
      </c>
      <c r="C63" s="43" t="s">
        <v>1235</v>
      </c>
      <c r="D63" s="42" t="s">
        <v>29</v>
      </c>
      <c r="E63" s="44">
        <v>1</v>
      </c>
      <c r="F63" s="45">
        <v>91734.112800000003</v>
      </c>
      <c r="G63" s="4">
        <f>F63*E63</f>
        <v>91734.112800000003</v>
      </c>
      <c r="H63" s="46" t="s">
        <v>1365</v>
      </c>
    </row>
    <row r="64" spans="1:8" x14ac:dyDescent="0.3">
      <c r="B64" s="43" t="s">
        <v>1366</v>
      </c>
      <c r="C64" s="43" t="s">
        <v>1367</v>
      </c>
      <c r="D64" s="42" t="s">
        <v>29</v>
      </c>
      <c r="E64" s="44">
        <v>1</v>
      </c>
      <c r="F64" s="45">
        <v>50163.866499999996</v>
      </c>
      <c r="G64" s="4">
        <f>F64*E64</f>
        <v>50163.866499999996</v>
      </c>
      <c r="H64" s="46" t="s">
        <v>74</v>
      </c>
    </row>
    <row r="65" spans="2:8" x14ac:dyDescent="0.3">
      <c r="B65" s="43" t="s">
        <v>1368</v>
      </c>
      <c r="C65" s="43" t="s">
        <v>1369</v>
      </c>
      <c r="D65" s="42" t="s">
        <v>29</v>
      </c>
      <c r="E65" s="44">
        <v>2</v>
      </c>
      <c r="F65" s="45">
        <v>22889.251550000001</v>
      </c>
      <c r="G65" s="4">
        <f>F65*E65</f>
        <v>45778.503100000002</v>
      </c>
      <c r="H65" s="46" t="s">
        <v>74</v>
      </c>
    </row>
    <row r="66" spans="2:8" x14ac:dyDescent="0.3">
      <c r="B66" s="43" t="s">
        <v>1370</v>
      </c>
      <c r="C66" s="43" t="s">
        <v>1371</v>
      </c>
      <c r="D66" s="42" t="s">
        <v>29</v>
      </c>
      <c r="E66" s="44">
        <v>1</v>
      </c>
      <c r="F66" s="45">
        <v>415.98314999999997</v>
      </c>
      <c r="G66" s="4">
        <f>F66*E66</f>
        <v>415.98314999999997</v>
      </c>
      <c r="H66" s="46" t="s">
        <v>1372</v>
      </c>
    </row>
    <row r="67" spans="2:8" x14ac:dyDescent="0.3">
      <c r="B67" s="43" t="s">
        <v>1373</v>
      </c>
      <c r="C67" s="43" t="s">
        <v>1374</v>
      </c>
      <c r="D67" s="42" t="s">
        <v>29</v>
      </c>
      <c r="E67" s="44">
        <v>1</v>
      </c>
      <c r="F67" s="45">
        <v>8487.9706999999999</v>
      </c>
      <c r="G67" s="4">
        <f>F67*E67</f>
        <v>8487.9706999999999</v>
      </c>
      <c r="H67" s="46" t="s">
        <v>1375</v>
      </c>
    </row>
    <row r="68" spans="2:8" x14ac:dyDescent="0.3">
      <c r="B68" s="43" t="s">
        <v>1376</v>
      </c>
      <c r="C68" s="43" t="s">
        <v>1377</v>
      </c>
      <c r="D68" s="42" t="s">
        <v>29</v>
      </c>
      <c r="E68" s="44">
        <v>1</v>
      </c>
      <c r="F68" s="45">
        <v>1095.83925</v>
      </c>
      <c r="G68" s="4">
        <f>F68*E68</f>
        <v>1095.83925</v>
      </c>
      <c r="H68" s="46" t="s">
        <v>1378</v>
      </c>
    </row>
    <row r="69" spans="2:8" x14ac:dyDescent="0.3">
      <c r="B69" s="43" t="s">
        <v>1379</v>
      </c>
      <c r="C69" s="43" t="s">
        <v>1380</v>
      </c>
      <c r="D69" s="42" t="s">
        <v>29</v>
      </c>
      <c r="E69" s="44">
        <v>1</v>
      </c>
      <c r="F69" s="45">
        <v>3425.5204500000004</v>
      </c>
      <c r="G69" s="4">
        <f>F69*E69</f>
        <v>3425.5204500000004</v>
      </c>
      <c r="H69" s="46" t="s">
        <v>1381</v>
      </c>
    </row>
    <row r="70" spans="2:8" x14ac:dyDescent="0.3">
      <c r="B70" s="43" t="s">
        <v>1382</v>
      </c>
      <c r="C70" s="43" t="s">
        <v>1383</v>
      </c>
      <c r="D70" s="42" t="s">
        <v>29</v>
      </c>
      <c r="E70" s="44">
        <v>1</v>
      </c>
      <c r="F70" s="45">
        <v>2498.1456500000004</v>
      </c>
      <c r="G70" s="4">
        <f>F70*E70</f>
        <v>2498.1456500000004</v>
      </c>
      <c r="H70" s="46" t="s">
        <v>1384</v>
      </c>
    </row>
    <row r="71" spans="2:8" x14ac:dyDescent="0.3">
      <c r="B71" s="43" t="s">
        <v>1385</v>
      </c>
      <c r="C71" s="43" t="s">
        <v>1386</v>
      </c>
      <c r="D71" s="42" t="s">
        <v>29</v>
      </c>
      <c r="E71" s="44">
        <v>1</v>
      </c>
      <c r="F71" s="45">
        <v>1064.3847499999999</v>
      </c>
      <c r="G71" s="4">
        <f>F71*E71</f>
        <v>1064.3847499999999</v>
      </c>
      <c r="H71" s="46" t="s">
        <v>1387</v>
      </c>
    </row>
    <row r="72" spans="2:8" x14ac:dyDescent="0.3">
      <c r="B72" s="43" t="s">
        <v>1388</v>
      </c>
      <c r="C72" s="43" t="s">
        <v>1389</v>
      </c>
      <c r="D72" s="42" t="s">
        <v>29</v>
      </c>
      <c r="E72" s="44">
        <v>1</v>
      </c>
      <c r="F72" s="45">
        <v>2498.1456500000004</v>
      </c>
      <c r="G72" s="4">
        <f>F72*E72</f>
        <v>2498.1456500000004</v>
      </c>
      <c r="H72" s="46" t="s">
        <v>1387</v>
      </c>
    </row>
    <row r="73" spans="2:8" x14ac:dyDescent="0.3">
      <c r="B73" s="43" t="s">
        <v>1390</v>
      </c>
      <c r="C73" s="43" t="s">
        <v>1391</v>
      </c>
      <c r="D73" s="42" t="s">
        <v>29</v>
      </c>
      <c r="E73" s="44">
        <v>1</v>
      </c>
      <c r="F73" s="45">
        <v>4209.1450500000001</v>
      </c>
      <c r="G73" s="4">
        <f>F73*E73</f>
        <v>4209.1450500000001</v>
      </c>
      <c r="H73" s="46" t="s">
        <v>1392</v>
      </c>
    </row>
    <row r="74" spans="2:8" x14ac:dyDescent="0.3">
      <c r="B74" s="43" t="s">
        <v>1393</v>
      </c>
      <c r="C74" s="43" t="s">
        <v>1394</v>
      </c>
      <c r="D74" s="42" t="s">
        <v>29</v>
      </c>
      <c r="E74" s="44">
        <v>1</v>
      </c>
      <c r="F74" s="45">
        <v>15621.914000000002</v>
      </c>
      <c r="G74" s="4">
        <f>F74*E74</f>
        <v>15621.914000000002</v>
      </c>
      <c r="H74" s="46" t="s">
        <v>74</v>
      </c>
    </row>
    <row r="75" spans="2:8" x14ac:dyDescent="0.3">
      <c r="B75" s="43" t="s">
        <v>1395</v>
      </c>
      <c r="C75" s="43" t="s">
        <v>1396</v>
      </c>
      <c r="D75" s="42" t="s">
        <v>1306</v>
      </c>
      <c r="E75" s="44">
        <v>1</v>
      </c>
      <c r="F75" s="45">
        <v>96803.198799999998</v>
      </c>
      <c r="G75" s="4">
        <f>F75*E75</f>
        <v>96803.198799999998</v>
      </c>
      <c r="H75" s="46" t="s">
        <v>1397</v>
      </c>
    </row>
    <row r="76" spans="2:8" x14ac:dyDescent="0.3">
      <c r="B76" s="43" t="s">
        <v>1308</v>
      </c>
      <c r="C76" s="43" t="s">
        <v>1309</v>
      </c>
      <c r="D76" s="42" t="s">
        <v>29</v>
      </c>
      <c r="E76" s="44">
        <v>1</v>
      </c>
      <c r="F76" s="45">
        <v>1631.5793999999999</v>
      </c>
      <c r="G76" s="4">
        <f>F76*E76</f>
        <v>1631.5793999999999</v>
      </c>
      <c r="H76" s="46" t="s">
        <v>1398</v>
      </c>
    </row>
    <row r="77" spans="2:8" x14ac:dyDescent="0.3">
      <c r="B77" s="43" t="s">
        <v>1314</v>
      </c>
      <c r="C77" s="43" t="s">
        <v>1315</v>
      </c>
      <c r="D77" s="42" t="s">
        <v>29</v>
      </c>
      <c r="E77" s="44">
        <v>1</v>
      </c>
      <c r="F77" s="45">
        <v>5444.1469500000003</v>
      </c>
      <c r="G77" s="4">
        <f>F77*E77</f>
        <v>5444.1469500000003</v>
      </c>
      <c r="H77" s="46" t="s">
        <v>1399</v>
      </c>
    </row>
    <row r="78" spans="2:8" x14ac:dyDescent="0.3">
      <c r="B78" s="43" t="s">
        <v>1320</v>
      </c>
      <c r="C78" s="43" t="s">
        <v>1321</v>
      </c>
      <c r="D78" s="42" t="s">
        <v>29</v>
      </c>
      <c r="E78" s="44">
        <v>1</v>
      </c>
      <c r="F78" s="45">
        <v>520.04424999999992</v>
      </c>
      <c r="G78" s="4">
        <f>F78*E78</f>
        <v>520.04424999999992</v>
      </c>
      <c r="H78" s="46" t="s">
        <v>1400</v>
      </c>
    </row>
    <row r="79" spans="2:8" x14ac:dyDescent="0.3">
      <c r="B79" s="43" t="s">
        <v>1401</v>
      </c>
      <c r="C79" s="43" t="s">
        <v>1402</v>
      </c>
      <c r="D79" s="42" t="s">
        <v>29</v>
      </c>
      <c r="E79" s="44">
        <v>2</v>
      </c>
      <c r="F79" s="45">
        <v>161.58835000000002</v>
      </c>
      <c r="G79" s="4">
        <f>F79*E79</f>
        <v>323.17670000000004</v>
      </c>
      <c r="H79" s="46" t="s">
        <v>1403</v>
      </c>
    </row>
    <row r="80" spans="2:8" x14ac:dyDescent="0.3">
      <c r="B80" s="43" t="s">
        <v>1326</v>
      </c>
      <c r="C80" s="43" t="s">
        <v>1327</v>
      </c>
      <c r="D80" s="42" t="s">
        <v>29</v>
      </c>
      <c r="E80" s="44">
        <v>10</v>
      </c>
      <c r="F80" s="45">
        <v>229.36705000000001</v>
      </c>
      <c r="G80" s="4">
        <f>F80*E80</f>
        <v>2293.6705000000002</v>
      </c>
      <c r="H80" s="46" t="s">
        <v>1404</v>
      </c>
    </row>
    <row r="81" spans="1:8" x14ac:dyDescent="0.3">
      <c r="B81" s="43" t="s">
        <v>1405</v>
      </c>
      <c r="C81" s="43" t="s">
        <v>1406</v>
      </c>
      <c r="D81" s="42" t="s">
        <v>29</v>
      </c>
      <c r="E81" s="44">
        <v>14</v>
      </c>
      <c r="F81" s="45">
        <v>229.31479999999999</v>
      </c>
      <c r="G81" s="4">
        <f>F81*E81</f>
        <v>3210.4071999999996</v>
      </c>
      <c r="H81" s="46" t="s">
        <v>1407</v>
      </c>
    </row>
    <row r="82" spans="1:8" x14ac:dyDescent="0.3">
      <c r="B82" s="43" t="s">
        <v>1332</v>
      </c>
      <c r="C82" s="43" t="s">
        <v>1333</v>
      </c>
      <c r="D82" s="42" t="s">
        <v>29</v>
      </c>
      <c r="E82" s="44">
        <v>2</v>
      </c>
      <c r="F82" s="45">
        <v>232.7424</v>
      </c>
      <c r="G82" s="4">
        <f>F82*E82</f>
        <v>465.48480000000001</v>
      </c>
      <c r="H82" s="46" t="s">
        <v>1408</v>
      </c>
    </row>
    <row r="83" spans="1:8" x14ac:dyDescent="0.3">
      <c r="B83" s="43" t="s">
        <v>1409</v>
      </c>
      <c r="C83" s="43" t="s">
        <v>1410</v>
      </c>
      <c r="D83" s="42" t="s">
        <v>29</v>
      </c>
      <c r="E83" s="44">
        <v>2</v>
      </c>
      <c r="F83" s="45">
        <v>225.89765</v>
      </c>
      <c r="G83" s="4">
        <f>F83*E83</f>
        <v>451.7953</v>
      </c>
      <c r="H83" s="46" t="s">
        <v>1411</v>
      </c>
    </row>
    <row r="84" spans="1:8" x14ac:dyDescent="0.3">
      <c r="B84" s="43" t="s">
        <v>1412</v>
      </c>
      <c r="C84" s="43" t="s">
        <v>1413</v>
      </c>
      <c r="D84" s="42" t="s">
        <v>29</v>
      </c>
      <c r="E84" s="44">
        <v>2</v>
      </c>
      <c r="F84" s="45">
        <v>2279.1659</v>
      </c>
      <c r="G84" s="4">
        <f>F84*E84</f>
        <v>4558.3317999999999</v>
      </c>
      <c r="H84" s="46" t="s">
        <v>1414</v>
      </c>
    </row>
    <row r="85" spans="1:8" x14ac:dyDescent="0.3">
      <c r="B85" s="43" t="s">
        <v>1344</v>
      </c>
    </row>
    <row r="86" spans="1:8" x14ac:dyDescent="0.3">
      <c r="B86" s="43" t="s">
        <v>1345</v>
      </c>
      <c r="C86" s="43" t="s">
        <v>1346</v>
      </c>
      <c r="D86" s="42" t="s">
        <v>29</v>
      </c>
      <c r="E86" s="44">
        <v>1</v>
      </c>
      <c r="F86" s="45">
        <v>220.38005000000001</v>
      </c>
      <c r="G86" s="4">
        <f>F86*E86</f>
        <v>220.38005000000001</v>
      </c>
      <c r="H86" s="46" t="s">
        <v>74</v>
      </c>
    </row>
    <row r="87" spans="1:8" ht="15" thickBot="1" x14ac:dyDescent="0.35">
      <c r="B87" s="43" t="s">
        <v>1347</v>
      </c>
      <c r="C87" s="43" t="s">
        <v>1348</v>
      </c>
      <c r="D87" s="42" t="s">
        <v>29</v>
      </c>
      <c r="E87" s="44">
        <v>10</v>
      </c>
      <c r="F87" s="45">
        <v>278.96275000000003</v>
      </c>
      <c r="G87" s="4">
        <f>F87*E87</f>
        <v>2789.6275000000005</v>
      </c>
      <c r="H87" s="46" t="s">
        <v>74</v>
      </c>
    </row>
    <row r="88" spans="1:8" ht="15" thickBot="1" x14ac:dyDescent="0.35">
      <c r="A88" s="52"/>
      <c r="B88" s="39"/>
      <c r="C88" s="39"/>
      <c r="D88" s="59"/>
      <c r="E88" s="55" t="s">
        <v>1351</v>
      </c>
      <c r="F88" s="60"/>
      <c r="G88" s="57">
        <f>SUM(G59:G87)</f>
        <v>548886.15595000004</v>
      </c>
      <c r="H88" s="61"/>
    </row>
    <row r="89" spans="1:8" x14ac:dyDescent="0.3">
      <c r="A89" s="52">
        <v>5</v>
      </c>
      <c r="B89" s="93" t="s">
        <v>1415</v>
      </c>
      <c r="C89" s="94"/>
      <c r="D89" s="94"/>
      <c r="E89" s="94"/>
      <c r="F89" s="94"/>
      <c r="G89" s="94"/>
      <c r="H89" s="94"/>
    </row>
    <row r="90" spans="1:8" x14ac:dyDescent="0.3">
      <c r="B90" s="43" t="s">
        <v>1216</v>
      </c>
    </row>
    <row r="91" spans="1:8" x14ac:dyDescent="0.3">
      <c r="B91" s="43" t="s">
        <v>1416</v>
      </c>
      <c r="C91" s="43" t="s">
        <v>1417</v>
      </c>
      <c r="D91" s="42" t="s">
        <v>29</v>
      </c>
      <c r="E91" s="44">
        <v>2</v>
      </c>
      <c r="F91" s="45">
        <v>1973.2003500000003</v>
      </c>
      <c r="G91" s="4">
        <f>F91*E91</f>
        <v>3946.4007000000006</v>
      </c>
      <c r="H91" s="46" t="s">
        <v>1418</v>
      </c>
    </row>
    <row r="92" spans="1:8" x14ac:dyDescent="0.3">
      <c r="B92" s="43" t="s">
        <v>1419</v>
      </c>
      <c r="C92" s="43" t="s">
        <v>1420</v>
      </c>
      <c r="D92" s="42" t="s">
        <v>29</v>
      </c>
      <c r="E92" s="44">
        <v>1</v>
      </c>
      <c r="F92" s="45">
        <v>4050.5349500000002</v>
      </c>
      <c r="G92" s="4">
        <f>F92*E92</f>
        <v>4050.5349500000002</v>
      </c>
      <c r="H92" s="46" t="s">
        <v>1421</v>
      </c>
    </row>
    <row r="93" spans="1:8" x14ac:dyDescent="0.3">
      <c r="B93" s="43" t="s">
        <v>1422</v>
      </c>
      <c r="C93" s="43" t="s">
        <v>1423</v>
      </c>
      <c r="D93" s="42" t="s">
        <v>29</v>
      </c>
      <c r="E93" s="44">
        <v>1</v>
      </c>
      <c r="F93" s="45">
        <v>3082.5410000000006</v>
      </c>
      <c r="G93" s="4">
        <f>F93*E93</f>
        <v>3082.5410000000006</v>
      </c>
      <c r="H93" s="46" t="s">
        <v>1424</v>
      </c>
    </row>
    <row r="94" spans="1:8" x14ac:dyDescent="0.3">
      <c r="B94" s="43" t="s">
        <v>1425</v>
      </c>
      <c r="C94" s="43" t="s">
        <v>1426</v>
      </c>
      <c r="D94" s="42" t="s">
        <v>29</v>
      </c>
      <c r="E94" s="44">
        <v>1</v>
      </c>
      <c r="F94" s="45">
        <v>37520.4951</v>
      </c>
      <c r="G94" s="4">
        <f>F94*E94</f>
        <v>37520.4951</v>
      </c>
      <c r="H94" s="46" t="s">
        <v>1427</v>
      </c>
    </row>
    <row r="95" spans="1:8" x14ac:dyDescent="0.3">
      <c r="B95" s="43" t="s">
        <v>1428</v>
      </c>
      <c r="C95" s="43" t="s">
        <v>1429</v>
      </c>
      <c r="D95" s="42" t="s">
        <v>29</v>
      </c>
      <c r="E95" s="44">
        <v>1</v>
      </c>
      <c r="F95" s="45">
        <v>10096.580999999998</v>
      </c>
      <c r="G95" s="4">
        <f>F95*E95</f>
        <v>10096.580999999998</v>
      </c>
      <c r="H95" s="46" t="s">
        <v>1430</v>
      </c>
    </row>
    <row r="96" spans="1:8" x14ac:dyDescent="0.3">
      <c r="B96" s="43" t="s">
        <v>1431</v>
      </c>
      <c r="C96" s="43" t="s">
        <v>1432</v>
      </c>
      <c r="D96" s="42" t="s">
        <v>29</v>
      </c>
      <c r="E96" s="44">
        <v>1</v>
      </c>
      <c r="F96" s="45">
        <v>23808.600750000001</v>
      </c>
      <c r="G96" s="4">
        <f>F96*E96</f>
        <v>23808.600750000001</v>
      </c>
      <c r="H96" s="46" t="s">
        <v>1433</v>
      </c>
    </row>
    <row r="97" spans="1:8" x14ac:dyDescent="0.3">
      <c r="B97" s="43" t="s">
        <v>1434</v>
      </c>
      <c r="C97" s="43" t="s">
        <v>1435</v>
      </c>
      <c r="D97" s="42" t="s">
        <v>29</v>
      </c>
      <c r="E97" s="44">
        <v>1</v>
      </c>
      <c r="F97" s="45">
        <v>31610.936500000003</v>
      </c>
      <c r="G97" s="4">
        <f>F97*E97</f>
        <v>31610.936500000003</v>
      </c>
      <c r="H97" s="46" t="s">
        <v>1436</v>
      </c>
    </row>
    <row r="98" spans="1:8" x14ac:dyDescent="0.3">
      <c r="B98" s="43" t="s">
        <v>1437</v>
      </c>
      <c r="C98" s="43" t="s">
        <v>1438</v>
      </c>
      <c r="D98" s="42" t="s">
        <v>29</v>
      </c>
      <c r="E98" s="44">
        <v>4</v>
      </c>
      <c r="F98" s="45">
        <v>1195.55315</v>
      </c>
      <c r="G98" s="4">
        <f>F98*E98</f>
        <v>4782.2125999999998</v>
      </c>
      <c r="H98" s="46" t="s">
        <v>1439</v>
      </c>
    </row>
    <row r="99" spans="1:8" x14ac:dyDescent="0.3">
      <c r="B99" s="43" t="s">
        <v>1440</v>
      </c>
      <c r="C99" s="43" t="s">
        <v>1441</v>
      </c>
      <c r="D99" s="42" t="s">
        <v>29</v>
      </c>
      <c r="E99" s="44">
        <v>1</v>
      </c>
      <c r="F99" s="45">
        <v>780.07159999999999</v>
      </c>
      <c r="G99" s="4">
        <f>F99*E99</f>
        <v>780.07159999999999</v>
      </c>
      <c r="H99" s="46" t="s">
        <v>1442</v>
      </c>
    </row>
    <row r="100" spans="1:8" x14ac:dyDescent="0.3">
      <c r="B100" s="43" t="s">
        <v>1443</v>
      </c>
      <c r="C100" s="43" t="s">
        <v>1444</v>
      </c>
      <c r="D100" s="42" t="s">
        <v>29</v>
      </c>
      <c r="E100" s="44">
        <v>1</v>
      </c>
      <c r="F100" s="45">
        <v>3311.90805</v>
      </c>
      <c r="G100" s="4">
        <f>F100*E100</f>
        <v>3311.90805</v>
      </c>
      <c r="H100" s="46" t="s">
        <v>1445</v>
      </c>
    </row>
    <row r="101" spans="1:8" x14ac:dyDescent="0.3">
      <c r="B101" s="43" t="s">
        <v>1446</v>
      </c>
      <c r="C101" s="43" t="s">
        <v>1447</v>
      </c>
      <c r="D101" s="42" t="s">
        <v>29</v>
      </c>
      <c r="E101" s="44">
        <v>1</v>
      </c>
      <c r="F101" s="45">
        <v>23265.493350000001</v>
      </c>
      <c r="G101" s="4">
        <f>F101*E101</f>
        <v>23265.493350000001</v>
      </c>
      <c r="H101" s="46" t="s">
        <v>1448</v>
      </c>
    </row>
    <row r="102" spans="1:8" ht="15" thickBot="1" x14ac:dyDescent="0.35">
      <c r="B102" s="43" t="s">
        <v>1449</v>
      </c>
      <c r="C102" s="43" t="s">
        <v>1450</v>
      </c>
      <c r="D102" s="42" t="s">
        <v>29</v>
      </c>
      <c r="E102" s="44">
        <v>1</v>
      </c>
      <c r="F102" s="45">
        <v>520.04424999999992</v>
      </c>
      <c r="G102" s="4">
        <f>F102*E102</f>
        <v>520.04424999999992</v>
      </c>
      <c r="H102" s="46" t="s">
        <v>1451</v>
      </c>
    </row>
    <row r="103" spans="1:8" ht="15" thickBot="1" x14ac:dyDescent="0.35">
      <c r="A103" s="52"/>
      <c r="B103" s="39"/>
      <c r="C103" s="39"/>
      <c r="D103" s="59"/>
      <c r="E103" s="55" t="s">
        <v>1351</v>
      </c>
      <c r="F103" s="60"/>
      <c r="G103" s="57">
        <f>SUM(G91:G102)</f>
        <v>146775.81985</v>
      </c>
      <c r="H103" s="61"/>
    </row>
    <row r="104" spans="1:8" x14ac:dyDescent="0.3">
      <c r="A104" s="52">
        <v>1</v>
      </c>
      <c r="B104" s="93" t="s">
        <v>1452</v>
      </c>
      <c r="C104" s="94"/>
      <c r="D104" s="94"/>
      <c r="E104" s="94"/>
      <c r="F104" s="94"/>
      <c r="G104" s="94"/>
      <c r="H104" s="94"/>
    </row>
    <row r="105" spans="1:8" x14ac:dyDescent="0.3">
      <c r="B105" s="43" t="s">
        <v>1216</v>
      </c>
    </row>
    <row r="106" spans="1:8" x14ac:dyDescent="0.3">
      <c r="B106" s="43" t="s">
        <v>1453</v>
      </c>
      <c r="C106" s="43" t="s">
        <v>1454</v>
      </c>
      <c r="D106" s="42" t="s">
        <v>29</v>
      </c>
      <c r="E106" s="44">
        <v>1</v>
      </c>
      <c r="F106" s="45">
        <v>499.41595000000001</v>
      </c>
      <c r="G106" s="4">
        <f>F106*E106</f>
        <v>499.41595000000001</v>
      </c>
      <c r="H106" s="46" t="s">
        <v>74</v>
      </c>
    </row>
    <row r="107" spans="1:8" x14ac:dyDescent="0.3">
      <c r="B107" s="43" t="s">
        <v>1455</v>
      </c>
      <c r="C107" s="43" t="s">
        <v>1456</v>
      </c>
      <c r="D107" s="42" t="s">
        <v>29</v>
      </c>
      <c r="E107" s="44">
        <v>1</v>
      </c>
      <c r="F107" s="45">
        <v>3891.5277500000002</v>
      </c>
      <c r="G107" s="4">
        <f>F107*E107</f>
        <v>3891.5277500000002</v>
      </c>
      <c r="H107" s="46" t="s">
        <v>1457</v>
      </c>
    </row>
    <row r="108" spans="1:8" x14ac:dyDescent="0.3">
      <c r="B108" s="43" t="s">
        <v>1344</v>
      </c>
    </row>
    <row r="109" spans="1:8" x14ac:dyDescent="0.3">
      <c r="B109" s="43" t="s">
        <v>1458</v>
      </c>
      <c r="C109" s="43" t="s">
        <v>1459</v>
      </c>
      <c r="D109" s="42" t="s">
        <v>29</v>
      </c>
      <c r="E109" s="44">
        <v>90</v>
      </c>
      <c r="F109" s="45">
        <v>1718.4084500000001</v>
      </c>
      <c r="G109" s="4">
        <f>F109*E109</f>
        <v>154656.7605</v>
      </c>
      <c r="H109" s="46" t="s">
        <v>74</v>
      </c>
    </row>
    <row r="110" spans="1:8" ht="15" thickBot="1" x14ac:dyDescent="0.35">
      <c r="B110" s="43" t="s">
        <v>1460</v>
      </c>
      <c r="C110" s="43" t="s">
        <v>1461</v>
      </c>
      <c r="D110" s="42" t="s">
        <v>29</v>
      </c>
      <c r="E110" s="44">
        <v>6</v>
      </c>
      <c r="F110" s="45">
        <v>446.34040000000005</v>
      </c>
      <c r="G110" s="4">
        <f>F110*E110</f>
        <v>2678.0424000000003</v>
      </c>
      <c r="H110" s="46" t="s">
        <v>74</v>
      </c>
    </row>
    <row r="111" spans="1:8" ht="15" thickBot="1" x14ac:dyDescent="0.35">
      <c r="A111" s="52"/>
      <c r="B111" s="39"/>
      <c r="C111" s="39"/>
      <c r="D111" s="59"/>
      <c r="E111" s="55" t="s">
        <v>1351</v>
      </c>
      <c r="F111" s="60"/>
      <c r="G111" s="57">
        <f>SUM(G106:G110)</f>
        <v>161725.74660000001</v>
      </c>
      <c r="H111" s="61"/>
    </row>
    <row r="112" spans="1:8" x14ac:dyDescent="0.3">
      <c r="A112" s="52">
        <v>1</v>
      </c>
      <c r="B112" s="93" t="s">
        <v>1462</v>
      </c>
      <c r="C112" s="94"/>
      <c r="D112" s="94"/>
      <c r="E112" s="94"/>
      <c r="F112" s="94"/>
      <c r="G112" s="94"/>
      <c r="H112" s="94"/>
    </row>
    <row r="113" spans="1:8" x14ac:dyDescent="0.3">
      <c r="B113" s="43" t="s">
        <v>1216</v>
      </c>
    </row>
    <row r="114" spans="1:8" ht="15" thickBot="1" x14ac:dyDescent="0.35">
      <c r="B114" s="43" t="s">
        <v>1463</v>
      </c>
      <c r="C114" s="43" t="s">
        <v>1464</v>
      </c>
      <c r="D114" s="42" t="s">
        <v>29</v>
      </c>
      <c r="E114" s="44">
        <v>1</v>
      </c>
      <c r="F114" s="45">
        <v>10600.584500000001</v>
      </c>
      <c r="G114" s="4">
        <f>F114*E114</f>
        <v>10600.584500000001</v>
      </c>
      <c r="H114" s="46" t="s">
        <v>1465</v>
      </c>
    </row>
    <row r="115" spans="1:8" ht="15" thickBot="1" x14ac:dyDescent="0.35">
      <c r="A115" s="52"/>
      <c r="B115" s="39"/>
      <c r="C115" s="39"/>
      <c r="D115" s="59"/>
      <c r="E115" s="55" t="s">
        <v>1351</v>
      </c>
      <c r="F115" s="60"/>
      <c r="G115" s="57">
        <f>SUM(G114)</f>
        <v>10600.584500000001</v>
      </c>
      <c r="H115" s="61"/>
    </row>
    <row r="116" spans="1:8" x14ac:dyDescent="0.3">
      <c r="A116" s="62" t="s">
        <v>1466</v>
      </c>
      <c r="B116" s="39"/>
      <c r="C116" s="39"/>
      <c r="D116" s="59"/>
      <c r="E116" s="55"/>
      <c r="F116" s="60"/>
      <c r="G116" s="57">
        <f>G115+G111+G103+G88+G56</f>
        <v>2191366.6510999999</v>
      </c>
      <c r="H116" s="61"/>
    </row>
    <row r="118" spans="1:8" x14ac:dyDescent="0.3">
      <c r="A118" s="63" t="s">
        <v>1467</v>
      </c>
    </row>
  </sheetData>
  <mergeCells count="8">
    <mergeCell ref="B104:H104"/>
    <mergeCell ref="B112:H112"/>
    <mergeCell ref="A1:C1"/>
    <mergeCell ref="A2:H2"/>
    <mergeCell ref="A3:H3"/>
    <mergeCell ref="B7:H7"/>
    <mergeCell ref="B57:H57"/>
    <mergeCell ref="B89:H8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ECD3-3344-4E06-B96B-53DA466FF775}">
  <sheetPr>
    <tabColor rgb="FF92D050"/>
  </sheetPr>
  <dimension ref="A1:T91"/>
  <sheetViews>
    <sheetView topLeftCell="A72" workbookViewId="0">
      <selection activeCell="E91" sqref="E91"/>
    </sheetView>
  </sheetViews>
  <sheetFormatPr defaultRowHeight="14.4" outlineLevelCol="1" x14ac:dyDescent="0.3"/>
  <cols>
    <col min="1" max="1" width="0.33203125" style="1" customWidth="1"/>
    <col min="2" max="2" width="5.77734375" style="2" customWidth="1"/>
    <col min="3" max="3" width="18" style="3" customWidth="1"/>
    <col min="4" max="4" width="7.77734375" style="5" customWidth="1"/>
    <col min="5" max="5" width="7.77734375" customWidth="1"/>
    <col min="6" max="6" width="11.6640625" customWidth="1"/>
    <col min="7" max="7" width="12.21875" style="30" customWidth="1"/>
    <col min="8" max="8" width="12.21875" style="38" customWidth="1"/>
    <col min="9" max="9" width="12.21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4</v>
      </c>
      <c r="B4" s="98"/>
      <c r="C4" s="98"/>
      <c r="D4" s="98"/>
      <c r="E4" s="98"/>
      <c r="F4" s="98"/>
      <c r="G4" s="98"/>
      <c r="H4" s="98"/>
      <c r="I4" s="98"/>
    </row>
    <row r="5" spans="1:19" ht="15" thickBot="1" x14ac:dyDescent="0.35">
      <c r="A5" s="82" t="s">
        <v>6</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24</v>
      </c>
      <c r="D12" s="13" t="s">
        <v>25</v>
      </c>
      <c r="E12" s="14"/>
      <c r="F12" s="14"/>
      <c r="G12" s="41">
        <v>30</v>
      </c>
      <c r="H12" s="71">
        <v>74.150000000000006</v>
      </c>
      <c r="I12" s="32">
        <f>G12*H12</f>
        <v>2224.5</v>
      </c>
      <c r="J12">
        <v>1</v>
      </c>
    </row>
    <row r="13" spans="1:19" x14ac:dyDescent="0.3">
      <c r="D13" s="15" t="str">
        <f>SUBSTITUTE("Sp.mat: 0.00%",".",IF(VALUE("1.2")=1.2,".",","),2)</f>
        <v>Sp.mat: 0.00%</v>
      </c>
      <c r="F13" s="15" t="str">
        <f>SUBSTITUTE("Sp.man: 0.00%",".",IF(VALUE("1.2")=1.2,".",","),2)</f>
        <v>Sp.man: 0.00%</v>
      </c>
      <c r="G13" s="35" t="str">
        <f>SUBSTITUTE("Sp.uti: 0.00%",".",IF(VALUE("1.2")=1.2,".",","),2)</f>
        <v>Sp.uti: 0.00%</v>
      </c>
      <c r="H13" s="38">
        <v>4.03</v>
      </c>
      <c r="I13" s="29">
        <f>G12*H13</f>
        <v>120.9</v>
      </c>
      <c r="J13">
        <v>2</v>
      </c>
    </row>
    <row r="14" spans="1:19" x14ac:dyDescent="0.3">
      <c r="A14" s="88" t="s">
        <v>26</v>
      </c>
      <c r="B14" s="98"/>
      <c r="C14" s="98"/>
      <c r="D14" s="98"/>
      <c r="E14" s="98"/>
      <c r="F14" s="98"/>
      <c r="G14" s="98"/>
      <c r="H14" s="38">
        <v>0</v>
      </c>
      <c r="I14" s="29">
        <f>G12*H14</f>
        <v>0</v>
      </c>
      <c r="J14">
        <v>3</v>
      </c>
      <c r="K14" s="4">
        <v>0</v>
      </c>
      <c r="L14" s="4">
        <v>0</v>
      </c>
      <c r="M14" s="4">
        <f>I14-K14-L14</f>
        <v>0</v>
      </c>
    </row>
    <row r="15" spans="1:19" x14ac:dyDescent="0.3">
      <c r="A15" s="98"/>
      <c r="B15" s="98"/>
      <c r="C15" s="98"/>
      <c r="D15" s="98"/>
      <c r="E15" s="98"/>
      <c r="F15" s="98"/>
      <c r="G15" s="98"/>
      <c r="H15" s="38">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96" t="s">
        <v>27</v>
      </c>
      <c r="B16" s="97"/>
      <c r="C16" s="97"/>
      <c r="D16" s="97"/>
      <c r="E16" s="97"/>
      <c r="F16" s="97"/>
      <c r="G16" s="97"/>
      <c r="H16" s="36">
        <f>H12+H13+H14+H15</f>
        <v>78.180000000000007</v>
      </c>
      <c r="I16" s="74">
        <f>I12+I13+I14+I15</f>
        <v>2345.4</v>
      </c>
      <c r="J16">
        <v>5</v>
      </c>
    </row>
    <row r="17" spans="1:19" x14ac:dyDescent="0.3">
      <c r="B17" s="2">
        <v>2</v>
      </c>
      <c r="C17" s="3" t="s">
        <v>28</v>
      </c>
      <c r="D17" s="5" t="s">
        <v>29</v>
      </c>
      <c r="G17" s="30">
        <v>2</v>
      </c>
      <c r="H17" s="38">
        <v>618.25</v>
      </c>
      <c r="I17" s="29">
        <f>G17*H17</f>
        <v>1236.5</v>
      </c>
      <c r="J17">
        <v>1</v>
      </c>
    </row>
    <row r="18" spans="1:19" x14ac:dyDescent="0.3">
      <c r="D18" s="15" t="str">
        <f>SUBSTITUTE("Sp.mat: 0.00%",".",IF(VALUE("1.2")=1.2,".",","),2)</f>
        <v>Sp.mat: 0.00%</v>
      </c>
      <c r="F18" s="15" t="str">
        <f>SUBSTITUTE("Sp.man: 0.00%",".",IF(VALUE("1.2")=1.2,".",","),2)</f>
        <v>Sp.man: 0.00%</v>
      </c>
      <c r="G18" s="35" t="str">
        <f>SUBSTITUTE("Sp.uti: 0.00%",".",IF(VALUE("1.2")=1.2,".",","),2)</f>
        <v>Sp.uti: 0.00%</v>
      </c>
      <c r="H18" s="38">
        <v>180.35</v>
      </c>
      <c r="I18" s="29">
        <f>G17*H18</f>
        <v>360.7</v>
      </c>
      <c r="J18">
        <v>2</v>
      </c>
    </row>
    <row r="19" spans="1:19" x14ac:dyDescent="0.3">
      <c r="A19" s="88" t="s">
        <v>30</v>
      </c>
      <c r="B19" s="98"/>
      <c r="C19" s="98"/>
      <c r="D19" s="98"/>
      <c r="E19" s="98"/>
      <c r="F19" s="98"/>
      <c r="G19" s="98"/>
      <c r="H19" s="38">
        <v>49.55</v>
      </c>
      <c r="I19" s="29">
        <f>G17*H19</f>
        <v>99.1</v>
      </c>
      <c r="J19">
        <v>3</v>
      </c>
      <c r="K19" s="4">
        <v>185.625</v>
      </c>
      <c r="L19" s="4">
        <v>0</v>
      </c>
      <c r="M19" s="4">
        <f>I19-K19-L19</f>
        <v>-86.525000000000006</v>
      </c>
    </row>
    <row r="20" spans="1:19" x14ac:dyDescent="0.3">
      <c r="A20" s="98"/>
      <c r="B20" s="98"/>
      <c r="C20" s="98"/>
      <c r="D20" s="98"/>
      <c r="E20" s="98"/>
      <c r="F20" s="98"/>
      <c r="G20" s="98"/>
      <c r="H20" s="38">
        <f>0</f>
        <v>0</v>
      </c>
      <c r="I20" s="29">
        <f>G17*H20</f>
        <v>0</v>
      </c>
      <c r="J20">
        <v>4</v>
      </c>
      <c r="N20" s="4">
        <f>IF(ISERR(SEARCH("TRA* 82",C17)),IF(Q20+R20+S20=0,0,I20*(Q20/(Q20+R20+S20))),I20)</f>
        <v>0</v>
      </c>
      <c r="O20" s="4">
        <f>IF(ISERR(SEARCH("TRA* 82",C17)),IF(Q20+R20+S20=0,0,I20*(R20/(Q20+R20+S20))),0)</f>
        <v>0</v>
      </c>
      <c r="P20" s="4">
        <f>IF(ISERR(SEARCH("TRA* 82",C17)),I20-N20-O20,0)</f>
        <v>0</v>
      </c>
      <c r="Q20" s="4">
        <v>0</v>
      </c>
      <c r="R20" s="4">
        <v>0</v>
      </c>
      <c r="S20" s="4">
        <v>0</v>
      </c>
    </row>
    <row r="21" spans="1:19" x14ac:dyDescent="0.3">
      <c r="A21" s="96" t="s">
        <v>27</v>
      </c>
      <c r="B21" s="97"/>
      <c r="C21" s="97"/>
      <c r="D21" s="97"/>
      <c r="E21" s="97"/>
      <c r="F21" s="97"/>
      <c r="G21" s="97"/>
      <c r="H21" s="36">
        <f>H17+H18+H19+H20</f>
        <v>848.15</v>
      </c>
      <c r="I21" s="74">
        <f>I17+I18+I19+I20</f>
        <v>1696.3</v>
      </c>
      <c r="J21">
        <v>5</v>
      </c>
    </row>
    <row r="22" spans="1:19" x14ac:dyDescent="0.3">
      <c r="B22" s="2">
        <v>3</v>
      </c>
      <c r="C22" s="3" t="s">
        <v>28</v>
      </c>
      <c r="D22" s="5" t="s">
        <v>29</v>
      </c>
      <c r="G22" s="30">
        <v>2</v>
      </c>
      <c r="H22" s="38">
        <v>618.25</v>
      </c>
      <c r="I22" s="29">
        <f>G22*H22</f>
        <v>1236.5</v>
      </c>
      <c r="J22">
        <v>1</v>
      </c>
    </row>
    <row r="23" spans="1:19" x14ac:dyDescent="0.3">
      <c r="D23" s="15" t="str">
        <f>SUBSTITUTE("Sp.mat: 0.00%",".",IF(VALUE("1.2")=1.2,".",","),2)</f>
        <v>Sp.mat: 0.00%</v>
      </c>
      <c r="F23" s="15" t="str">
        <f>SUBSTITUTE("Sp.man: 0.00%",".",IF(VALUE("1.2")=1.2,".",","),2)</f>
        <v>Sp.man: 0.00%</v>
      </c>
      <c r="G23" s="35" t="str">
        <f>SUBSTITUTE("Sp.uti: 0.00%",".",IF(VALUE("1.2")=1.2,".",","),2)</f>
        <v>Sp.uti: 0.00%</v>
      </c>
      <c r="H23" s="38">
        <v>180.35</v>
      </c>
      <c r="I23" s="29">
        <f>G22*H23</f>
        <v>360.7</v>
      </c>
      <c r="J23">
        <v>2</v>
      </c>
    </row>
    <row r="24" spans="1:19" x14ac:dyDescent="0.3">
      <c r="A24" s="88" t="s">
        <v>31</v>
      </c>
      <c r="B24" s="98"/>
      <c r="C24" s="98"/>
      <c r="D24" s="98"/>
      <c r="E24" s="98"/>
      <c r="F24" s="98"/>
      <c r="G24" s="98"/>
      <c r="H24" s="38">
        <v>49.55</v>
      </c>
      <c r="I24" s="29">
        <f>G22*H24</f>
        <v>99.1</v>
      </c>
      <c r="J24">
        <v>3</v>
      </c>
      <c r="K24" s="4">
        <v>185.625</v>
      </c>
      <c r="L24" s="4">
        <v>0</v>
      </c>
      <c r="M24" s="4">
        <f>I24-K24-L24</f>
        <v>-86.525000000000006</v>
      </c>
    </row>
    <row r="25" spans="1:19" x14ac:dyDescent="0.3">
      <c r="A25" s="98"/>
      <c r="B25" s="98"/>
      <c r="C25" s="98"/>
      <c r="D25" s="98"/>
      <c r="E25" s="98"/>
      <c r="F25" s="98"/>
      <c r="G25" s="98"/>
      <c r="H25" s="38">
        <v>0</v>
      </c>
      <c r="I25" s="29">
        <f>G22*H25</f>
        <v>0</v>
      </c>
      <c r="J25">
        <v>4</v>
      </c>
      <c r="N25" s="4">
        <f>IF(ISERR(SEARCH("TRA* 82",C22)),IF(Q25+R25+S25=0,0,I25*(Q25/(Q25+R25+S25))),I25)</f>
        <v>0</v>
      </c>
      <c r="O25" s="4">
        <f>IF(ISERR(SEARCH("TRA* 82",C22)),IF(Q25+R25+S25=0,0,I25*(R25/(Q25+R25+S25))),0)</f>
        <v>0</v>
      </c>
      <c r="P25" s="4">
        <f>IF(ISERR(SEARCH("TRA* 82",C22)),I25-N25-O25,0)</f>
        <v>0</v>
      </c>
      <c r="Q25" s="4">
        <v>0</v>
      </c>
      <c r="R25" s="4">
        <v>0</v>
      </c>
      <c r="S25" s="4">
        <v>0</v>
      </c>
    </row>
    <row r="26" spans="1:19" x14ac:dyDescent="0.3">
      <c r="A26" s="96" t="s">
        <v>27</v>
      </c>
      <c r="B26" s="97"/>
      <c r="C26" s="97"/>
      <c r="D26" s="97"/>
      <c r="E26" s="97"/>
      <c r="F26" s="97"/>
      <c r="G26" s="97"/>
      <c r="H26" s="36">
        <f>H22+H23+H24+H25</f>
        <v>848.15</v>
      </c>
      <c r="I26" s="74">
        <f>I22+I23+I24+I25</f>
        <v>1696.3</v>
      </c>
      <c r="J26">
        <v>5</v>
      </c>
    </row>
    <row r="27" spans="1:19" x14ac:dyDescent="0.3">
      <c r="B27" s="2">
        <v>4</v>
      </c>
      <c r="C27" s="3" t="s">
        <v>32</v>
      </c>
      <c r="D27" s="5" t="s">
        <v>25</v>
      </c>
      <c r="G27" s="30">
        <v>30</v>
      </c>
      <c r="H27" s="38">
        <v>0.27</v>
      </c>
      <c r="I27" s="29">
        <f>G27*H27</f>
        <v>8.1000000000000014</v>
      </c>
      <c r="J27">
        <v>1</v>
      </c>
    </row>
    <row r="28" spans="1:19" x14ac:dyDescent="0.3">
      <c r="D28" s="15" t="str">
        <f>SUBSTITUTE("Sp.mat: 0.00%",".",IF(VALUE("1.2")=1.2,".",","),2)</f>
        <v>Sp.mat: 0.00%</v>
      </c>
      <c r="F28" s="15" t="str">
        <f>SUBSTITUTE("Sp.man: 0.00%",".",IF(VALUE("1.2")=1.2,".",","),2)</f>
        <v>Sp.man: 0.00%</v>
      </c>
      <c r="G28" s="35" t="str">
        <f>SUBSTITUTE("Sp.uti: 0.00%",".",IF(VALUE("1.2")=1.2,".",","),2)</f>
        <v>Sp.uti: 0.00%</v>
      </c>
      <c r="H28" s="38">
        <v>3.4</v>
      </c>
      <c r="I28" s="29">
        <f>G27*H28</f>
        <v>102</v>
      </c>
      <c r="J28">
        <v>2</v>
      </c>
    </row>
    <row r="29" spans="1:19" x14ac:dyDescent="0.3">
      <c r="A29" s="88" t="s">
        <v>33</v>
      </c>
      <c r="B29" s="98"/>
      <c r="C29" s="98"/>
      <c r="D29" s="98"/>
      <c r="E29" s="98"/>
      <c r="F29" s="98"/>
      <c r="G29" s="98"/>
      <c r="H29" s="38">
        <v>0.19</v>
      </c>
      <c r="I29" s="29">
        <f>G27*H29</f>
        <v>5.7</v>
      </c>
      <c r="J29">
        <v>3</v>
      </c>
      <c r="K29" s="4">
        <v>0</v>
      </c>
      <c r="L29" s="4">
        <v>10.95345</v>
      </c>
      <c r="M29" s="4">
        <f>I29-K29-L29</f>
        <v>-5.25345</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96" t="s">
        <v>27</v>
      </c>
      <c r="B31" s="97"/>
      <c r="C31" s="97"/>
      <c r="D31" s="97"/>
      <c r="E31" s="97"/>
      <c r="F31" s="97"/>
      <c r="G31" s="97"/>
      <c r="H31" s="36">
        <f>H27+H28+H29+H30</f>
        <v>3.86</v>
      </c>
      <c r="I31" s="74">
        <f>I27+I28+I29+I30</f>
        <v>115.8</v>
      </c>
      <c r="J31">
        <v>5</v>
      </c>
    </row>
    <row r="32" spans="1:19" x14ac:dyDescent="0.3">
      <c r="B32" s="2">
        <v>5</v>
      </c>
      <c r="C32" s="3" t="s">
        <v>34</v>
      </c>
      <c r="D32" s="5" t="s">
        <v>35</v>
      </c>
      <c r="G32" s="30">
        <v>3</v>
      </c>
      <c r="H32" s="38">
        <v>41.15</v>
      </c>
      <c r="I32" s="29">
        <f>G32*H32</f>
        <v>123.44999999999999</v>
      </c>
      <c r="J32">
        <v>1</v>
      </c>
    </row>
    <row r="33" spans="1:19" x14ac:dyDescent="0.3">
      <c r="D33" s="15" t="str">
        <f>SUBSTITUTE("Sp.mat: 0.00%",".",IF(VALUE("1.2")=1.2,".",","),2)</f>
        <v>Sp.mat: 0.00%</v>
      </c>
      <c r="F33" s="15" t="str">
        <f>SUBSTITUTE("Sp.man: 0.00%",".",IF(VALUE("1.2")=1.2,".",","),2)</f>
        <v>Sp.man: 0.00%</v>
      </c>
      <c r="G33" s="35" t="str">
        <f>SUBSTITUTE("Sp.uti: 0.00%",".",IF(VALUE("1.2")=1.2,".",","),2)</f>
        <v>Sp.uti: 0.00%</v>
      </c>
      <c r="H33" s="38">
        <v>9.77</v>
      </c>
      <c r="I33" s="29">
        <f>G32*H33</f>
        <v>29.31</v>
      </c>
      <c r="J33">
        <v>2</v>
      </c>
    </row>
    <row r="34" spans="1:19" x14ac:dyDescent="0.3">
      <c r="A34" s="88" t="s">
        <v>36</v>
      </c>
      <c r="B34" s="98"/>
      <c r="C34" s="98"/>
      <c r="D34" s="98"/>
      <c r="E34" s="98"/>
      <c r="F34" s="98"/>
      <c r="G34" s="98"/>
      <c r="H34" s="38">
        <f>(1+IF(OR(ISERR(FIND(":",G33)),ISERR(FIND("%",G33))),0,MID(G33,FIND(":",G33)+2,FIND("%",G33)-FIND(":",G33)-2)/100))*0</f>
        <v>0</v>
      </c>
      <c r="I34" s="29">
        <f>G32*H34</f>
        <v>0</v>
      </c>
      <c r="J34">
        <v>3</v>
      </c>
      <c r="K34" s="4">
        <v>0</v>
      </c>
      <c r="L34" s="4">
        <v>0</v>
      </c>
      <c r="M34" s="4">
        <f>I34-K34-L34</f>
        <v>0</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96" t="s">
        <v>27</v>
      </c>
      <c r="B36" s="97"/>
      <c r="C36" s="97"/>
      <c r="D36" s="97"/>
      <c r="E36" s="97"/>
      <c r="F36" s="97"/>
      <c r="G36" s="97"/>
      <c r="H36" s="36">
        <f>H32+H33+H34+H35</f>
        <v>50.92</v>
      </c>
      <c r="I36" s="74">
        <f>I32+I33+I34+I35</f>
        <v>152.76</v>
      </c>
      <c r="J36">
        <v>5</v>
      </c>
    </row>
    <row r="37" spans="1:19" x14ac:dyDescent="0.3">
      <c r="B37" s="2">
        <v>6</v>
      </c>
      <c r="C37" s="3" t="s">
        <v>37</v>
      </c>
      <c r="D37" s="5" t="s">
        <v>35</v>
      </c>
      <c r="G37" s="30">
        <v>30</v>
      </c>
      <c r="H37" s="38">
        <f>(1+IF(OR(ISERR(FIND(":",D38)),ISERR(FIND("%",D38))),0,MID(D38,FIND(":",D38)+2,FIND("%",D38)-FIND(":",D38)-2)/100))*0</f>
        <v>0</v>
      </c>
      <c r="I37" s="29">
        <f>G37*H37</f>
        <v>0</v>
      </c>
      <c r="J37">
        <v>1</v>
      </c>
    </row>
    <row r="38" spans="1:19" x14ac:dyDescent="0.3">
      <c r="D38" s="15" t="str">
        <f>SUBSTITUTE("Sp.mat: 0.00%",".",IF(VALUE("1.2")=1.2,".",","),2)</f>
        <v>Sp.mat: 0.00%</v>
      </c>
      <c r="F38" s="15" t="str">
        <f>SUBSTITUTE("Sp.man: 0.00%",".",IF(VALUE("1.2")=1.2,".",","),2)</f>
        <v>Sp.man: 0.00%</v>
      </c>
      <c r="G38" s="35" t="str">
        <f>SUBSTITUTE("Sp.uti: 0.00%",".",IF(VALUE("1.2")=1.2,".",","),2)</f>
        <v>Sp.uti: 0.00%</v>
      </c>
      <c r="H38" s="38">
        <v>33.64</v>
      </c>
      <c r="I38" s="29">
        <f>G37*H38</f>
        <v>1009.2</v>
      </c>
      <c r="J38">
        <v>2</v>
      </c>
    </row>
    <row r="39" spans="1:19" x14ac:dyDescent="0.3">
      <c r="A39" s="88" t="s">
        <v>38</v>
      </c>
      <c r="B39" s="98"/>
      <c r="C39" s="98"/>
      <c r="D39" s="98"/>
      <c r="E39" s="98"/>
      <c r="F39" s="98"/>
      <c r="G39" s="98"/>
      <c r="H39" s="38">
        <f>(1+IF(OR(ISERR(FIND(":",G38)),ISERR(FIND("%",G38))),0,MID(G38,FIND(":",G38)+2,FIND("%",G38)-FIND(":",G38)-2)/100))*0</f>
        <v>0</v>
      </c>
      <c r="I39" s="29">
        <f>G37*H39</f>
        <v>0</v>
      </c>
      <c r="J39">
        <v>3</v>
      </c>
      <c r="K39" s="4">
        <v>0</v>
      </c>
      <c r="L39" s="4">
        <v>0</v>
      </c>
      <c r="M39" s="4">
        <f>I39-K39-L39</f>
        <v>0</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96" t="s">
        <v>27</v>
      </c>
      <c r="B41" s="97"/>
      <c r="C41" s="97"/>
      <c r="D41" s="97"/>
      <c r="E41" s="97"/>
      <c r="F41" s="97"/>
      <c r="G41" s="97"/>
      <c r="H41" s="36">
        <f>H37+H38+H39+H40</f>
        <v>33.64</v>
      </c>
      <c r="I41" s="74">
        <f>I37+I38+I39+I40</f>
        <v>1009.2</v>
      </c>
      <c r="J41">
        <v>5</v>
      </c>
    </row>
    <row r="42" spans="1:19" x14ac:dyDescent="0.3">
      <c r="B42" s="2">
        <v>7</v>
      </c>
      <c r="C42" s="3" t="s">
        <v>39</v>
      </c>
      <c r="D42" s="5" t="s">
        <v>40</v>
      </c>
      <c r="G42" s="30">
        <v>9</v>
      </c>
      <c r="H42" s="38">
        <v>4.55</v>
      </c>
      <c r="I42" s="29">
        <f>G42*H42</f>
        <v>40.949999999999996</v>
      </c>
      <c r="J42">
        <v>1</v>
      </c>
    </row>
    <row r="43" spans="1:19" x14ac:dyDescent="0.3">
      <c r="D43" s="15" t="str">
        <f>SUBSTITUTE("Sp.mat: 0.00%",".",IF(VALUE("1.2")=1.2,".",","),2)</f>
        <v>Sp.mat: 0.00%</v>
      </c>
      <c r="F43" s="15" t="str">
        <f>SUBSTITUTE("Sp.man: 0.00%",".",IF(VALUE("1.2")=1.2,".",","),2)</f>
        <v>Sp.man: 0.00%</v>
      </c>
      <c r="G43" s="35" t="str">
        <f>SUBSTITUTE("Sp.uti: 0.00%",".",IF(VALUE("1.2")=1.2,".",","),2)</f>
        <v>Sp.uti: 0.00%</v>
      </c>
      <c r="H43" s="38">
        <v>8.81</v>
      </c>
      <c r="I43" s="29">
        <f>G42*H43</f>
        <v>79.290000000000006</v>
      </c>
      <c r="J43">
        <v>2</v>
      </c>
    </row>
    <row r="44" spans="1:19" x14ac:dyDescent="0.3">
      <c r="A44" s="88" t="s">
        <v>41</v>
      </c>
      <c r="B44" s="98"/>
      <c r="C44" s="98"/>
      <c r="D44" s="98"/>
      <c r="E44" s="98"/>
      <c r="F44" s="98"/>
      <c r="G44" s="98"/>
      <c r="H44" s="38">
        <f>(1+IF(OR(ISERR(FIND(":",G43)),ISERR(FIND("%",G43))),0,MID(G43,FIND(":",G43)+2,FIND("%",G43)-FIND(":",G43)-2)/100))*0</f>
        <v>0</v>
      </c>
      <c r="I44" s="29">
        <f>G42*H44</f>
        <v>0</v>
      </c>
      <c r="J44">
        <v>3</v>
      </c>
      <c r="K44" s="4">
        <v>0</v>
      </c>
      <c r="L44" s="4">
        <v>0</v>
      </c>
      <c r="M44" s="4">
        <f>I44-K44-L44</f>
        <v>0</v>
      </c>
    </row>
    <row r="45" spans="1:19" x14ac:dyDescent="0.3">
      <c r="A45" s="98"/>
      <c r="B45" s="98"/>
      <c r="C45" s="98"/>
      <c r="D45" s="98"/>
      <c r="E45" s="98"/>
      <c r="F45" s="98"/>
      <c r="G45" s="98"/>
      <c r="H45" s="38">
        <f>0</f>
        <v>0</v>
      </c>
      <c r="I45" s="29">
        <f>G42*H45</f>
        <v>0</v>
      </c>
      <c r="J45">
        <v>4</v>
      </c>
      <c r="N45" s="4">
        <f>IF(ISERR(SEARCH("TRA* 82",C42)),IF(Q45+R45+S45=0,0,I45*(Q45/(Q45+R45+S45))),I45)</f>
        <v>0</v>
      </c>
      <c r="O45" s="4">
        <f>IF(ISERR(SEARCH("TRA* 82",C42)),IF(Q45+R45+S45=0,0,I45*(R45/(Q45+R45+S45))),0)</f>
        <v>0</v>
      </c>
      <c r="P45" s="4">
        <f>IF(ISERR(SEARCH("TRA* 82",C42)),I45-N45-O45,0)</f>
        <v>0</v>
      </c>
      <c r="Q45" s="4">
        <v>0</v>
      </c>
      <c r="R45" s="4">
        <v>0</v>
      </c>
      <c r="S45" s="4">
        <v>0</v>
      </c>
    </row>
    <row r="46" spans="1:19" x14ac:dyDescent="0.3">
      <c r="A46" s="96" t="s">
        <v>27</v>
      </c>
      <c r="B46" s="97"/>
      <c r="C46" s="97"/>
      <c r="D46" s="97"/>
      <c r="E46" s="97"/>
      <c r="F46" s="97"/>
      <c r="G46" s="97"/>
      <c r="H46" s="36">
        <f>H42+H43+H44+H45</f>
        <v>13.36</v>
      </c>
      <c r="I46" s="74">
        <f>I42+I43+I44+I45</f>
        <v>120.24000000000001</v>
      </c>
      <c r="J46">
        <v>5</v>
      </c>
    </row>
    <row r="47" spans="1:19" x14ac:dyDescent="0.3">
      <c r="B47" s="2">
        <v>8</v>
      </c>
      <c r="C47" s="3" t="s">
        <v>42</v>
      </c>
      <c r="D47" s="5" t="s">
        <v>25</v>
      </c>
      <c r="G47" s="30">
        <v>30</v>
      </c>
      <c r="H47" s="38">
        <v>17.940000000000001</v>
      </c>
      <c r="I47" s="29">
        <f>G47*H47</f>
        <v>538.20000000000005</v>
      </c>
      <c r="J47">
        <v>1</v>
      </c>
    </row>
    <row r="48" spans="1:19" x14ac:dyDescent="0.3">
      <c r="D48" s="15" t="str">
        <f>SUBSTITUTE("Sp.mat: 0.00%",".",IF(VALUE("1.2")=1.2,".",","),2)</f>
        <v>Sp.mat: 0.00%</v>
      </c>
      <c r="F48" s="15" t="str">
        <f>SUBSTITUTE("Sp.man: 0.00%",".",IF(VALUE("1.2")=1.2,".",","),2)</f>
        <v>Sp.man: 0.00%</v>
      </c>
      <c r="G48" s="35" t="str">
        <f>SUBSTITUTE("Sp.uti: 0.00%",".",IF(VALUE("1.2")=1.2,".",","),2)</f>
        <v>Sp.uti: 0.00%</v>
      </c>
      <c r="H48" s="38">
        <v>9.09</v>
      </c>
      <c r="I48" s="29">
        <f>G47*H48</f>
        <v>272.7</v>
      </c>
      <c r="J48">
        <v>2</v>
      </c>
    </row>
    <row r="49" spans="1:19" x14ac:dyDescent="0.3">
      <c r="A49" s="88" t="s">
        <v>43</v>
      </c>
      <c r="B49" s="98"/>
      <c r="C49" s="98"/>
      <c r="D49" s="98"/>
      <c r="E49" s="98"/>
      <c r="F49" s="98"/>
      <c r="G49" s="98"/>
      <c r="H49" s="38">
        <v>5.77</v>
      </c>
      <c r="I49" s="29">
        <f>G47*H49</f>
        <v>173.1</v>
      </c>
      <c r="J49">
        <v>3</v>
      </c>
      <c r="K49" s="4">
        <v>234</v>
      </c>
      <c r="L49" s="4">
        <v>90</v>
      </c>
      <c r="M49" s="4">
        <f>I49-K49-L49</f>
        <v>-150.9</v>
      </c>
    </row>
    <row r="50" spans="1:19" x14ac:dyDescent="0.3">
      <c r="A50" s="98"/>
      <c r="B50" s="98"/>
      <c r="C50" s="98"/>
      <c r="D50" s="98"/>
      <c r="E50" s="98"/>
      <c r="F50" s="98"/>
      <c r="G50" s="98"/>
      <c r="H50" s="38">
        <f>0</f>
        <v>0</v>
      </c>
      <c r="I50" s="29">
        <f>G47*H50</f>
        <v>0</v>
      </c>
      <c r="J50">
        <v>4</v>
      </c>
      <c r="N50" s="4">
        <f>IF(ISERR(SEARCH("TRA* 82",C47)),IF(Q50+R50+S50=0,0,I50*(Q50/(Q50+R50+S50))),I50)</f>
        <v>0</v>
      </c>
      <c r="O50" s="4">
        <f>IF(ISERR(SEARCH("TRA* 82",C47)),IF(Q50+R50+S50=0,0,I50*(R50/(Q50+R50+S50))),0)</f>
        <v>0</v>
      </c>
      <c r="P50" s="4">
        <f>IF(ISERR(SEARCH("TRA* 82",C47)),I50-N50-O50,0)</f>
        <v>0</v>
      </c>
      <c r="Q50" s="4">
        <v>0</v>
      </c>
      <c r="R50" s="4">
        <v>0</v>
      </c>
      <c r="S50" s="4">
        <v>0</v>
      </c>
    </row>
    <row r="51" spans="1:19" x14ac:dyDescent="0.3">
      <c r="A51" s="96" t="s">
        <v>27</v>
      </c>
      <c r="B51" s="97"/>
      <c r="C51" s="97"/>
      <c r="D51" s="97"/>
      <c r="E51" s="97"/>
      <c r="F51" s="97"/>
      <c r="G51" s="97"/>
      <c r="H51" s="36">
        <f>H47+H48+H49+H50</f>
        <v>32.799999999999997</v>
      </c>
      <c r="I51" s="74">
        <f>I47+I48+I49+I50</f>
        <v>984.00000000000011</v>
      </c>
      <c r="J51">
        <v>5</v>
      </c>
    </row>
    <row r="52" spans="1:19" x14ac:dyDescent="0.3">
      <c r="B52" s="2">
        <v>9</v>
      </c>
      <c r="C52" s="3" t="s">
        <v>44</v>
      </c>
      <c r="D52" s="5" t="s">
        <v>29</v>
      </c>
      <c r="G52" s="30">
        <v>1</v>
      </c>
      <c r="H52" s="38">
        <v>525.76</v>
      </c>
      <c r="I52" s="29">
        <f>G52*H52</f>
        <v>525.76</v>
      </c>
      <c r="J52">
        <v>1</v>
      </c>
    </row>
    <row r="53" spans="1:19" x14ac:dyDescent="0.3">
      <c r="D53" s="15" t="str">
        <f>SUBSTITUTE("Sp.mat: 0.00%",".",IF(VALUE("1.2")=1.2,".",","),2)</f>
        <v>Sp.mat: 0.00%</v>
      </c>
      <c r="F53" s="15" t="str">
        <f>SUBSTITUTE("Sp.man: 0.00%",".",IF(VALUE("1.2")=1.2,".",","),2)</f>
        <v>Sp.man: 0.00%</v>
      </c>
      <c r="G53" s="35" t="str">
        <f>SUBSTITUTE("Sp.uti: 0.00%",".",IF(VALUE("1.2")=1.2,".",","),2)</f>
        <v>Sp.uti: 0.00%</v>
      </c>
      <c r="H53" s="38">
        <v>35.14</v>
      </c>
      <c r="I53" s="29">
        <f>G52*H53</f>
        <v>35.14</v>
      </c>
      <c r="J53">
        <v>2</v>
      </c>
    </row>
    <row r="54" spans="1:19" x14ac:dyDescent="0.3">
      <c r="A54" s="88" t="s">
        <v>45</v>
      </c>
      <c r="B54" s="98"/>
      <c r="C54" s="98"/>
      <c r="D54" s="98"/>
      <c r="E54" s="98"/>
      <c r="F54" s="98"/>
      <c r="G54" s="98"/>
      <c r="H54" s="38">
        <f>(1+IF(OR(ISERR(FIND(":",G53)),ISERR(FIND("%",G53))),0,MID(G53,FIND(":",G53)+2,FIND("%",G53)-FIND(":",G53)-2)/100))*0</f>
        <v>0</v>
      </c>
      <c r="I54" s="29">
        <f>G52*H54</f>
        <v>0</v>
      </c>
      <c r="J54">
        <v>3</v>
      </c>
      <c r="K54" s="4">
        <v>0</v>
      </c>
      <c r="L54" s="4">
        <v>0</v>
      </c>
      <c r="M54" s="4">
        <f>I54-K54-L54</f>
        <v>0</v>
      </c>
    </row>
    <row r="55" spans="1:19" x14ac:dyDescent="0.3">
      <c r="A55" s="98"/>
      <c r="B55" s="98"/>
      <c r="C55" s="98"/>
      <c r="D55" s="98"/>
      <c r="E55" s="98"/>
      <c r="F55" s="98"/>
      <c r="G55" s="98"/>
      <c r="H55" s="38">
        <f>0</f>
        <v>0</v>
      </c>
      <c r="I55" s="29">
        <f>G52*H55</f>
        <v>0</v>
      </c>
      <c r="J55">
        <v>4</v>
      </c>
      <c r="N55" s="4">
        <f>IF(ISERR(SEARCH("TRA* 82",C52)),IF(Q55+R55+S55=0,0,I55*(Q55/(Q55+R55+S55))),I55)</f>
        <v>0</v>
      </c>
      <c r="O55" s="4">
        <f>IF(ISERR(SEARCH("TRA* 82",C52)),IF(Q55+R55+S55=0,0,I55*(R55/(Q55+R55+S55))),0)</f>
        <v>0</v>
      </c>
      <c r="P55" s="4">
        <f>IF(ISERR(SEARCH("TRA* 82",C52)),I55-N55-O55,0)</f>
        <v>0</v>
      </c>
      <c r="Q55" s="4">
        <v>0</v>
      </c>
      <c r="R55" s="4">
        <v>0</v>
      </c>
      <c r="S55" s="4">
        <v>0</v>
      </c>
    </row>
    <row r="56" spans="1:19" x14ac:dyDescent="0.3">
      <c r="A56" s="96" t="s">
        <v>27</v>
      </c>
      <c r="B56" s="97"/>
      <c r="C56" s="97"/>
      <c r="D56" s="97"/>
      <c r="E56" s="97"/>
      <c r="F56" s="97"/>
      <c r="G56" s="97"/>
      <c r="H56" s="36">
        <f>H52+H53+H54+H55</f>
        <v>560.9</v>
      </c>
      <c r="I56" s="74">
        <f>I52+I53+I54+I55</f>
        <v>560.9</v>
      </c>
      <c r="J56">
        <v>5</v>
      </c>
    </row>
    <row r="57" spans="1:19" x14ac:dyDescent="0.3">
      <c r="B57" s="2">
        <v>10</v>
      </c>
      <c r="C57" s="3" t="s">
        <v>46</v>
      </c>
      <c r="D57" s="5" t="s">
        <v>29</v>
      </c>
      <c r="G57" s="30">
        <v>1</v>
      </c>
      <c r="H57" s="38">
        <v>653.49</v>
      </c>
      <c r="I57" s="29">
        <f>G57*H57</f>
        <v>653.49</v>
      </c>
      <c r="J57">
        <v>1</v>
      </c>
    </row>
    <row r="58" spans="1:19" x14ac:dyDescent="0.3">
      <c r="D58" s="15" t="str">
        <f>SUBSTITUTE("Sp.mat: 0.00%",".",IF(VALUE("1.2")=1.2,".",","),2)</f>
        <v>Sp.mat: 0.00%</v>
      </c>
      <c r="F58" s="15" t="str">
        <f>SUBSTITUTE("Sp.man: 0.00%",".",IF(VALUE("1.2")=1.2,".",","),2)</f>
        <v>Sp.man: 0.00%</v>
      </c>
      <c r="G58" s="35" t="str">
        <f>SUBSTITUTE("Sp.uti: 0.00%",".",IF(VALUE("1.2")=1.2,".",","),2)</f>
        <v>Sp.uti: 0.00%</v>
      </c>
      <c r="H58" s="38">
        <v>48.05</v>
      </c>
      <c r="I58" s="29">
        <f>G57*H58</f>
        <v>48.05</v>
      </c>
      <c r="J58">
        <v>2</v>
      </c>
    </row>
    <row r="59" spans="1:19" x14ac:dyDescent="0.3">
      <c r="A59" s="88" t="s">
        <v>47</v>
      </c>
      <c r="B59" s="98"/>
      <c r="C59" s="98"/>
      <c r="D59" s="98"/>
      <c r="E59" s="98"/>
      <c r="F59" s="98"/>
      <c r="G59" s="98"/>
      <c r="H59" s="38">
        <f>(1+IF(OR(ISERR(FIND(":",G58)),ISERR(FIND("%",G58))),0,MID(G58,FIND(":",G58)+2,FIND("%",G58)-FIND(":",G58)-2)/100))*0</f>
        <v>0</v>
      </c>
      <c r="I59" s="29">
        <f>G57*H59</f>
        <v>0</v>
      </c>
      <c r="J59">
        <v>3</v>
      </c>
      <c r="K59" s="4">
        <v>0</v>
      </c>
      <c r="L59" s="4">
        <v>0</v>
      </c>
      <c r="M59" s="4">
        <f>I59-K59-L59</f>
        <v>0</v>
      </c>
    </row>
    <row r="60" spans="1:19" x14ac:dyDescent="0.3">
      <c r="A60" s="98"/>
      <c r="B60" s="98"/>
      <c r="C60" s="98"/>
      <c r="D60" s="98"/>
      <c r="E60" s="98"/>
      <c r="F60" s="98"/>
      <c r="G60" s="98"/>
      <c r="H60" s="38">
        <f>0</f>
        <v>0</v>
      </c>
      <c r="I60" s="29">
        <f>G57*H60</f>
        <v>0</v>
      </c>
      <c r="J60">
        <v>4</v>
      </c>
      <c r="N60" s="4">
        <f>IF(ISERR(SEARCH("TRA* 82",C57)),IF(Q60+R60+S60=0,0,I60*(Q60/(Q60+R60+S60))),I60)</f>
        <v>0</v>
      </c>
      <c r="O60" s="4">
        <f>IF(ISERR(SEARCH("TRA* 82",C57)),IF(Q60+R60+S60=0,0,I60*(R60/(Q60+R60+S60))),0)</f>
        <v>0</v>
      </c>
      <c r="P60" s="4">
        <f>IF(ISERR(SEARCH("TRA* 82",C57)),I60-N60-O60,0)</f>
        <v>0</v>
      </c>
      <c r="Q60" s="4">
        <v>0</v>
      </c>
      <c r="R60" s="4">
        <v>0</v>
      </c>
      <c r="S60" s="4">
        <v>0</v>
      </c>
    </row>
    <row r="61" spans="1:19" x14ac:dyDescent="0.3">
      <c r="A61" s="96" t="s">
        <v>27</v>
      </c>
      <c r="B61" s="97"/>
      <c r="C61" s="97"/>
      <c r="D61" s="97"/>
      <c r="E61" s="97"/>
      <c r="F61" s="97"/>
      <c r="G61" s="97"/>
      <c r="H61" s="36">
        <f>H57+H58+H59+H60</f>
        <v>701.54</v>
      </c>
      <c r="I61" s="74">
        <f>I57+I58+I59+I60</f>
        <v>701.54</v>
      </c>
      <c r="J61">
        <v>5</v>
      </c>
    </row>
    <row r="62" spans="1:19" x14ac:dyDescent="0.3">
      <c r="B62" s="2">
        <v>11</v>
      </c>
      <c r="C62" s="3" t="s">
        <v>48</v>
      </c>
      <c r="D62" s="5" t="s">
        <v>35</v>
      </c>
      <c r="G62" s="30">
        <v>30</v>
      </c>
      <c r="H62" s="38">
        <f>(1+IF(OR(ISERR(FIND(":",D63)),ISERR(FIND("%",D63))),0,MID(D63,FIND(":",D63)+2,FIND("%",D63)-FIND(":",D63)-2)/100))*0</f>
        <v>0</v>
      </c>
      <c r="I62" s="29">
        <f>G62*H62</f>
        <v>0</v>
      </c>
      <c r="J62">
        <v>1</v>
      </c>
    </row>
    <row r="63" spans="1:19" x14ac:dyDescent="0.3">
      <c r="D63" s="15" t="str">
        <f>SUBSTITUTE("Sp.mat: 0.00%",".",IF(VALUE("1.2")=1.2,".",","),2)</f>
        <v>Sp.mat: 0.00%</v>
      </c>
      <c r="F63" s="15" t="str">
        <f>SUBSTITUTE("Sp.man: 0.00%",".",IF(VALUE("1.2")=1.2,".",","),2)</f>
        <v>Sp.man: 0.00%</v>
      </c>
      <c r="G63" s="35" t="str">
        <f>SUBSTITUTE("Sp.uti: 0.00%",".",IF(VALUE("1.2")=1.2,".",","),2)</f>
        <v>Sp.uti: 0.00%</v>
      </c>
      <c r="H63" s="38">
        <v>33.64</v>
      </c>
      <c r="I63" s="29">
        <f>G62*H63</f>
        <v>1009.2</v>
      </c>
      <c r="J63">
        <v>2</v>
      </c>
    </row>
    <row r="64" spans="1:19" x14ac:dyDescent="0.3">
      <c r="A64" s="88" t="s">
        <v>38</v>
      </c>
      <c r="B64" s="98"/>
      <c r="C64" s="98"/>
      <c r="D64" s="98"/>
      <c r="E64" s="98"/>
      <c r="F64" s="98"/>
      <c r="G64" s="98"/>
      <c r="H64" s="38">
        <f>(1+IF(OR(ISERR(FIND(":",G63)),ISERR(FIND("%",G63))),0,MID(G63,FIND(":",G63)+2,FIND("%",G63)-FIND(":",G63)-2)/100))*0</f>
        <v>0</v>
      </c>
      <c r="I64" s="29">
        <f>G62*H64</f>
        <v>0</v>
      </c>
      <c r="J64">
        <v>3</v>
      </c>
      <c r="K64" s="4">
        <v>0</v>
      </c>
      <c r="L64" s="4">
        <v>0</v>
      </c>
      <c r="M64" s="4">
        <f>I64-K64-L64</f>
        <v>0</v>
      </c>
    </row>
    <row r="65" spans="1:19" x14ac:dyDescent="0.3">
      <c r="A65" s="98"/>
      <c r="B65" s="98"/>
      <c r="C65" s="98"/>
      <c r="D65" s="98"/>
      <c r="E65" s="98"/>
      <c r="F65" s="98"/>
      <c r="G65" s="98"/>
      <c r="H65" s="38">
        <f>0</f>
        <v>0</v>
      </c>
      <c r="I65" s="29">
        <f>G62*H65</f>
        <v>0</v>
      </c>
      <c r="J65">
        <v>4</v>
      </c>
      <c r="N65" s="4">
        <f>IF(ISERR(SEARCH("TRA* 82",C62)),IF(Q65+R65+S65=0,0,I65*(Q65/(Q65+R65+S65))),I65)</f>
        <v>0</v>
      </c>
      <c r="O65" s="4">
        <f>IF(ISERR(SEARCH("TRA* 82",C62)),IF(Q65+R65+S65=0,0,I65*(R65/(Q65+R65+S65))),0)</f>
        <v>0</v>
      </c>
      <c r="P65" s="4">
        <f>IF(ISERR(SEARCH("TRA* 82",C62)),I65-N65-O65,0)</f>
        <v>0</v>
      </c>
      <c r="Q65" s="4">
        <v>0</v>
      </c>
      <c r="R65" s="4">
        <v>0</v>
      </c>
      <c r="S65" s="4">
        <v>0</v>
      </c>
    </row>
    <row r="66" spans="1:19" x14ac:dyDescent="0.3">
      <c r="A66" s="96" t="s">
        <v>27</v>
      </c>
      <c r="B66" s="97"/>
      <c r="C66" s="97"/>
      <c r="D66" s="97"/>
      <c r="E66" s="97"/>
      <c r="F66" s="97"/>
      <c r="G66" s="97"/>
      <c r="H66" s="36">
        <f>H62+H63+H64+H65</f>
        <v>33.64</v>
      </c>
      <c r="I66" s="74">
        <f>I62+I63+I64+I65</f>
        <v>1009.2</v>
      </c>
      <c r="J66">
        <v>5</v>
      </c>
    </row>
    <row r="67" spans="1:19" x14ac:dyDescent="0.3">
      <c r="B67" s="2">
        <v>12</v>
      </c>
      <c r="C67" s="3" t="s">
        <v>39</v>
      </c>
      <c r="D67" s="5" t="s">
        <v>40</v>
      </c>
      <c r="G67" s="30">
        <v>9</v>
      </c>
      <c r="H67" s="38">
        <v>4.55</v>
      </c>
      <c r="I67" s="29">
        <f>G67*H67</f>
        <v>40.949999999999996</v>
      </c>
      <c r="J67">
        <v>1</v>
      </c>
    </row>
    <row r="68" spans="1:19" x14ac:dyDescent="0.3">
      <c r="D68" s="15" t="str">
        <f>SUBSTITUTE("Sp.mat: 0.00%",".",IF(VALUE("1.2")=1.2,".",","),2)</f>
        <v>Sp.mat: 0.00%</v>
      </c>
      <c r="F68" s="15" t="str">
        <f>SUBSTITUTE("Sp.man: 0.00%",".",IF(VALUE("1.2")=1.2,".",","),2)</f>
        <v>Sp.man: 0.00%</v>
      </c>
      <c r="G68" s="35" t="str">
        <f>SUBSTITUTE("Sp.uti: 0.00%",".",IF(VALUE("1.2")=1.2,".",","),2)</f>
        <v>Sp.uti: 0.00%</v>
      </c>
      <c r="H68" s="38">
        <v>8.81</v>
      </c>
      <c r="I68" s="29">
        <f>G67*H68</f>
        <v>79.290000000000006</v>
      </c>
      <c r="J68">
        <v>2</v>
      </c>
    </row>
    <row r="69" spans="1:19" x14ac:dyDescent="0.3">
      <c r="A69" s="88" t="s">
        <v>49</v>
      </c>
      <c r="B69" s="98"/>
      <c r="C69" s="98"/>
      <c r="D69" s="98"/>
      <c r="E69" s="98"/>
      <c r="F69" s="98"/>
      <c r="G69" s="98"/>
      <c r="H69" s="38">
        <f>(1+IF(OR(ISERR(FIND(":",G68)),ISERR(FIND("%",G68))),0,MID(G68,FIND(":",G68)+2,FIND("%",G68)-FIND(":",G68)-2)/100))*0</f>
        <v>0</v>
      </c>
      <c r="I69" s="29">
        <f>G67*H69</f>
        <v>0</v>
      </c>
      <c r="J69">
        <v>3</v>
      </c>
      <c r="K69" s="4">
        <v>0</v>
      </c>
      <c r="L69" s="4">
        <v>0</v>
      </c>
      <c r="M69" s="4">
        <f>I69-K69-L69</f>
        <v>0</v>
      </c>
    </row>
    <row r="70" spans="1:19" x14ac:dyDescent="0.3">
      <c r="A70" s="98"/>
      <c r="B70" s="98"/>
      <c r="C70" s="98"/>
      <c r="D70" s="98"/>
      <c r="E70" s="98"/>
      <c r="F70" s="98"/>
      <c r="G70" s="98"/>
      <c r="H70" s="38">
        <f>0</f>
        <v>0</v>
      </c>
      <c r="I70" s="29">
        <f>G67*H70</f>
        <v>0</v>
      </c>
      <c r="J70">
        <v>4</v>
      </c>
      <c r="N70" s="4">
        <f>IF(ISERR(SEARCH("TRA* 82",C67)),IF(Q70+R70+S70=0,0,I70*(Q70/(Q70+R70+S70))),I70)</f>
        <v>0</v>
      </c>
      <c r="O70" s="4">
        <f>IF(ISERR(SEARCH("TRA* 82",C67)),IF(Q70+R70+S70=0,0,I70*(R70/(Q70+R70+S70))),0)</f>
        <v>0</v>
      </c>
      <c r="P70" s="4">
        <f>IF(ISERR(SEARCH("TRA* 82",C67)),I70-N70-O70,0)</f>
        <v>0</v>
      </c>
      <c r="Q70" s="4">
        <v>0</v>
      </c>
      <c r="R70" s="4">
        <v>0</v>
      </c>
      <c r="S70" s="4">
        <v>0</v>
      </c>
    </row>
    <row r="71" spans="1:19" x14ac:dyDescent="0.3">
      <c r="A71" s="96" t="s">
        <v>27</v>
      </c>
      <c r="B71" s="97"/>
      <c r="C71" s="97"/>
      <c r="D71" s="97"/>
      <c r="E71" s="97"/>
      <c r="F71" s="97"/>
      <c r="G71" s="97"/>
      <c r="H71" s="36">
        <f>H67+H68+H69+H70</f>
        <v>13.36</v>
      </c>
      <c r="I71" s="74">
        <f>I67+I68+I69+I70</f>
        <v>120.24000000000001</v>
      </c>
      <c r="J71">
        <v>5</v>
      </c>
    </row>
    <row r="72" spans="1:19" x14ac:dyDescent="0.3">
      <c r="B72" s="2">
        <v>13</v>
      </c>
      <c r="C72" s="3" t="s">
        <v>50</v>
      </c>
      <c r="D72" s="5" t="s">
        <v>29</v>
      </c>
      <c r="G72" s="30">
        <v>2</v>
      </c>
      <c r="H72" s="38">
        <v>256.06</v>
      </c>
      <c r="I72" s="29">
        <f>G72*H72</f>
        <v>512.12</v>
      </c>
      <c r="J72">
        <v>1</v>
      </c>
    </row>
    <row r="73" spans="1:19" x14ac:dyDescent="0.3">
      <c r="D73" s="15" t="str">
        <f>SUBSTITUTE("Sp.mat: 0.00%",".",IF(VALUE("1.2")=1.2,".",","),2)</f>
        <v>Sp.mat: 0.00%</v>
      </c>
      <c r="F73" s="15" t="str">
        <f>SUBSTITUTE("Sp.man: 0.00%",".",IF(VALUE("1.2")=1.2,".",","),2)</f>
        <v>Sp.man: 0.00%</v>
      </c>
      <c r="G73" s="35" t="str">
        <f>SUBSTITUTE("Sp.uti: 0.00%",".",IF(VALUE("1.2")=1.2,".",","),2)</f>
        <v>Sp.uti: 0.00%</v>
      </c>
      <c r="H73" s="38">
        <v>33.64</v>
      </c>
      <c r="I73" s="29">
        <f>G72*H73</f>
        <v>67.28</v>
      </c>
      <c r="J73">
        <v>2</v>
      </c>
    </row>
    <row r="74" spans="1:19" x14ac:dyDescent="0.3">
      <c r="A74" s="88" t="s">
        <v>51</v>
      </c>
      <c r="B74" s="98"/>
      <c r="C74" s="98"/>
      <c r="D74" s="98"/>
      <c r="E74" s="98"/>
      <c r="F74" s="98"/>
      <c r="G74" s="98"/>
      <c r="H74" s="38">
        <f>(1+IF(OR(ISERR(FIND(":",G73)),ISERR(FIND("%",G73))),0,MID(G73,FIND(":",G73)+2,FIND("%",G73)-FIND(":",G73)-2)/100))*0</f>
        <v>0</v>
      </c>
      <c r="I74" s="29">
        <f>G72*H74</f>
        <v>0</v>
      </c>
      <c r="J74">
        <v>3</v>
      </c>
      <c r="K74" s="4">
        <v>0</v>
      </c>
      <c r="L74" s="4">
        <v>0</v>
      </c>
      <c r="M74" s="4">
        <f>I74-K74-L74</f>
        <v>0</v>
      </c>
    </row>
    <row r="75" spans="1:19" x14ac:dyDescent="0.3">
      <c r="A75" s="98"/>
      <c r="B75" s="98"/>
      <c r="C75" s="98"/>
      <c r="D75" s="98"/>
      <c r="E75" s="98"/>
      <c r="F75" s="98"/>
      <c r="G75" s="98"/>
      <c r="H75" s="38">
        <f>0</f>
        <v>0</v>
      </c>
      <c r="I75" s="29">
        <f>G72*H75</f>
        <v>0</v>
      </c>
      <c r="J75">
        <v>4</v>
      </c>
      <c r="N75" s="4">
        <f>IF(ISERR(SEARCH("TRA* 82",C72)),IF(Q75+R75+S75=0,0,I75*(Q75/(Q75+R75+S75))),I75)</f>
        <v>0</v>
      </c>
      <c r="O75" s="4">
        <f>IF(ISERR(SEARCH("TRA* 82",C72)),IF(Q75+R75+S75=0,0,I75*(R75/(Q75+R75+S75))),0)</f>
        <v>0</v>
      </c>
      <c r="P75" s="4">
        <f>IF(ISERR(SEARCH("TRA* 82",C72)),I75-N75-O75,0)</f>
        <v>0</v>
      </c>
      <c r="Q75" s="4">
        <v>0</v>
      </c>
      <c r="R75" s="4">
        <v>0</v>
      </c>
      <c r="S75" s="4">
        <v>0</v>
      </c>
    </row>
    <row r="76" spans="1:19" x14ac:dyDescent="0.3">
      <c r="A76" s="96" t="s">
        <v>52</v>
      </c>
      <c r="B76" s="97"/>
      <c r="C76" s="97"/>
      <c r="D76" s="97"/>
      <c r="E76" s="97"/>
      <c r="F76" s="97"/>
      <c r="G76" s="97"/>
      <c r="H76" s="36">
        <f>H72+H73+H74+H75</f>
        <v>289.7</v>
      </c>
      <c r="I76" s="74">
        <f>I72+I73+I74+I75</f>
        <v>579.4</v>
      </c>
      <c r="J76">
        <v>5</v>
      </c>
    </row>
    <row r="77" spans="1:19" x14ac:dyDescent="0.3">
      <c r="B77" s="2">
        <v>14</v>
      </c>
      <c r="C77" s="3" t="s">
        <v>53</v>
      </c>
      <c r="D77" s="5" t="s">
        <v>29</v>
      </c>
      <c r="G77" s="30">
        <v>1</v>
      </c>
      <c r="H77" s="38">
        <v>972.42</v>
      </c>
      <c r="I77" s="29">
        <f>G77*H77</f>
        <v>972.42</v>
      </c>
      <c r="J77">
        <v>1</v>
      </c>
    </row>
    <row r="78" spans="1:19" x14ac:dyDescent="0.3">
      <c r="D78" s="15" t="str">
        <f>SUBSTITUTE("Sp.mat: 0.00%",".",IF(VALUE("1.2")=1.2,".",","),2)</f>
        <v>Sp.mat: 0.00%</v>
      </c>
      <c r="F78" s="15" t="str">
        <f>SUBSTITUTE("Sp.man: 0.00%",".",IF(VALUE("1.2")=1.2,".",","),2)</f>
        <v>Sp.man: 0.00%</v>
      </c>
      <c r="G78" s="35" t="str">
        <f>SUBSTITUTE("Sp.uti: 0.00%",".",IF(VALUE("1.2")=1.2,".",","),2)</f>
        <v>Sp.uti: 0.00%</v>
      </c>
      <c r="H78" s="38">
        <v>48.05</v>
      </c>
      <c r="I78" s="29">
        <f>G77*H78</f>
        <v>48.05</v>
      </c>
      <c r="J78">
        <v>2</v>
      </c>
    </row>
    <row r="79" spans="1:19" x14ac:dyDescent="0.3">
      <c r="A79" s="88" t="s">
        <v>54</v>
      </c>
      <c r="B79" s="98"/>
      <c r="C79" s="98"/>
      <c r="D79" s="98"/>
      <c r="E79" s="98"/>
      <c r="F79" s="98"/>
      <c r="G79" s="98"/>
      <c r="H79" s="38">
        <f>(1+IF(OR(ISERR(FIND(":",G78)),ISERR(FIND("%",G78))),0,MID(G78,FIND(":",G78)+2,FIND("%",G78)-FIND(":",G78)-2)/100))*0</f>
        <v>0</v>
      </c>
      <c r="I79" s="29">
        <f>G77*H79</f>
        <v>0</v>
      </c>
      <c r="J79">
        <v>3</v>
      </c>
      <c r="K79" s="4">
        <v>0</v>
      </c>
      <c r="L79" s="4">
        <v>0</v>
      </c>
      <c r="M79" s="4">
        <f>I79-K79-L79</f>
        <v>0</v>
      </c>
    </row>
    <row r="80" spans="1:19" x14ac:dyDescent="0.3">
      <c r="A80" s="98"/>
      <c r="B80" s="98"/>
      <c r="C80" s="98"/>
      <c r="D80" s="98"/>
      <c r="E80" s="98"/>
      <c r="F80" s="98"/>
      <c r="G80" s="98"/>
      <c r="H80" s="38">
        <f>0</f>
        <v>0</v>
      </c>
      <c r="I80" s="29">
        <f>G77*H80</f>
        <v>0</v>
      </c>
      <c r="J80">
        <v>4</v>
      </c>
      <c r="N80" s="4">
        <f>IF(ISERR(SEARCH("TRA* 82",C77)),IF(Q80+R80+S80=0,0,I80*(Q80/(Q80+R80+S80))),I80)</f>
        <v>0</v>
      </c>
      <c r="O80" s="4">
        <f>IF(ISERR(SEARCH("TRA* 82",C77)),IF(Q80+R80+S80=0,0,I80*(R80/(Q80+R80+S80))),0)</f>
        <v>0</v>
      </c>
      <c r="P80" s="4">
        <f>IF(ISERR(SEARCH("TRA* 82",C77)),I80-N80-O80,0)</f>
        <v>0</v>
      </c>
      <c r="Q80" s="4">
        <v>0</v>
      </c>
      <c r="R80" s="4">
        <v>0</v>
      </c>
      <c r="S80" s="4">
        <v>0</v>
      </c>
    </row>
    <row r="81" spans="1:19" x14ac:dyDescent="0.3">
      <c r="A81" s="96" t="s">
        <v>27</v>
      </c>
      <c r="B81" s="97"/>
      <c r="C81" s="97"/>
      <c r="D81" s="97"/>
      <c r="E81" s="97"/>
      <c r="F81" s="97"/>
      <c r="G81" s="97"/>
      <c r="H81" s="36">
        <f>H77+H78+H79+H80</f>
        <v>1020.4699999999999</v>
      </c>
      <c r="I81" s="74">
        <f>I77+I78+I79+I80</f>
        <v>1020.4699999999999</v>
      </c>
      <c r="J81">
        <v>5</v>
      </c>
    </row>
    <row r="82" spans="1:19" x14ac:dyDescent="0.3">
      <c r="B82" s="2">
        <v>15</v>
      </c>
      <c r="C82" s="3" t="s">
        <v>55</v>
      </c>
      <c r="D82" s="5" t="s">
        <v>29</v>
      </c>
      <c r="G82" s="30">
        <v>1</v>
      </c>
      <c r="H82" s="38">
        <v>513.79</v>
      </c>
      <c r="I82" s="29">
        <f>G82*H82</f>
        <v>513.79</v>
      </c>
      <c r="J82">
        <v>1</v>
      </c>
    </row>
    <row r="83" spans="1:19" x14ac:dyDescent="0.3">
      <c r="D83" s="15" t="str">
        <f>SUBSTITUTE("Sp.mat: 0.00%",".",IF(VALUE("1.2")=1.2,".",","),2)</f>
        <v>Sp.mat: 0.00%</v>
      </c>
      <c r="F83" s="15" t="str">
        <f>SUBSTITUTE("Sp.man: 0.00%",".",IF(VALUE("1.2")=1.2,".",","),2)</f>
        <v>Sp.man: 0.00%</v>
      </c>
      <c r="G83" s="35" t="str">
        <f>SUBSTITUTE("Sp.uti: 0.00%",".",IF(VALUE("1.2")=1.2,".",","),2)</f>
        <v>Sp.uti: 0.00%</v>
      </c>
      <c r="H83" s="38">
        <v>49.17</v>
      </c>
      <c r="I83" s="29">
        <f>G82*H83</f>
        <v>49.17</v>
      </c>
      <c r="J83">
        <v>2</v>
      </c>
    </row>
    <row r="84" spans="1:19" x14ac:dyDescent="0.3">
      <c r="A84" s="88" t="s">
        <v>56</v>
      </c>
      <c r="B84" s="98"/>
      <c r="C84" s="98"/>
      <c r="D84" s="98"/>
      <c r="E84" s="98"/>
      <c r="F84" s="98"/>
      <c r="G84" s="98"/>
      <c r="H84" s="38">
        <f>(1+IF(OR(ISERR(FIND(":",G83)),ISERR(FIND("%",G83))),0,MID(G83,FIND(":",G83)+2,FIND("%",G83)-FIND(":",G83)-2)/100))*0</f>
        <v>0</v>
      </c>
      <c r="I84" s="29">
        <f>G82*H84</f>
        <v>0</v>
      </c>
      <c r="J84">
        <v>3</v>
      </c>
      <c r="K84" s="4">
        <v>0</v>
      </c>
      <c r="L84" s="4">
        <v>0</v>
      </c>
      <c r="M84" s="4">
        <f>I84-K84-L84</f>
        <v>0</v>
      </c>
    </row>
    <row r="85" spans="1:19" x14ac:dyDescent="0.3">
      <c r="A85" s="98"/>
      <c r="B85" s="98"/>
      <c r="C85" s="98"/>
      <c r="D85" s="98"/>
      <c r="E85" s="98"/>
      <c r="F85" s="98"/>
      <c r="G85" s="98"/>
      <c r="H85" s="38">
        <f>0</f>
        <v>0</v>
      </c>
      <c r="I85" s="29">
        <f>G82*H85</f>
        <v>0</v>
      </c>
      <c r="J85">
        <v>4</v>
      </c>
      <c r="N85" s="4">
        <f>IF(ISERR(SEARCH("TRA* 82",C82)),IF(Q85+R85+S85=0,0,I85*(Q85/(Q85+R85+S85))),I85)</f>
        <v>0</v>
      </c>
      <c r="O85" s="4">
        <f>IF(ISERR(SEARCH("TRA* 82",C82)),IF(Q85+R85+S85=0,0,I85*(R85/(Q85+R85+S85))),0)</f>
        <v>0</v>
      </c>
      <c r="P85" s="4">
        <f>IF(ISERR(SEARCH("TRA* 82",C82)),I85-N85-O85,0)</f>
        <v>0</v>
      </c>
      <c r="Q85" s="4">
        <v>0</v>
      </c>
      <c r="R85" s="4">
        <v>0</v>
      </c>
      <c r="S85" s="4">
        <v>0</v>
      </c>
    </row>
    <row r="86" spans="1:19" x14ac:dyDescent="0.3">
      <c r="A86" s="96" t="s">
        <v>57</v>
      </c>
      <c r="B86" s="97"/>
      <c r="C86" s="97"/>
      <c r="D86" s="97"/>
      <c r="E86" s="97"/>
      <c r="F86" s="97"/>
      <c r="G86" s="97"/>
      <c r="H86" s="36">
        <f>H82+H83+H84+H85</f>
        <v>562.95999999999992</v>
      </c>
      <c r="I86" s="74">
        <f>I82+I83+I84+I85</f>
        <v>562.95999999999992</v>
      </c>
      <c r="J86">
        <v>5</v>
      </c>
    </row>
    <row r="87" spans="1:19" x14ac:dyDescent="0.3">
      <c r="B87" s="16"/>
      <c r="E87" s="4">
        <f>SUMIF(J12:J86,"1",I12:I86)</f>
        <v>8626.73</v>
      </c>
      <c r="F87" s="4">
        <f>SUMIF(J12:J86,"2",I12:I86)</f>
        <v>3670.98</v>
      </c>
      <c r="G87" s="29">
        <f>SUMIF(J12:J86,"3",I12:I86)</f>
        <v>377</v>
      </c>
      <c r="H87" s="29">
        <f>SUMIF(J12:J86,"4",I12:I86)</f>
        <v>0</v>
      </c>
      <c r="I87" s="29">
        <f>SUMIF(J12:J86,"5",I12:I86)</f>
        <v>12674.709999999997</v>
      </c>
      <c r="K87" s="4">
        <f>SUMIF(J12:J86,"3",K12:K86)</f>
        <v>605.25</v>
      </c>
      <c r="L87" s="4">
        <f>SUMIF(J12:J86,"3",L12:L86)</f>
        <v>100.95345</v>
      </c>
      <c r="M87" s="4">
        <f>SUMIF(J12:J86,"3",M12:M86)</f>
        <v>-329.20344999999998</v>
      </c>
      <c r="N87" s="4">
        <f>SUMIF(J12:J86,"4",N12:N86)</f>
        <v>0</v>
      </c>
      <c r="O87" s="4">
        <f>SUMIF(J12:J86,"4",O12:O86)</f>
        <v>0</v>
      </c>
      <c r="P87" s="4">
        <f>SUMIF(J12:J86,"4",P12:P86)</f>
        <v>0</v>
      </c>
      <c r="Q87" s="4">
        <f>SUMIF(J12:J86,"4",Q12:Q86)</f>
        <v>0</v>
      </c>
      <c r="R87" s="4">
        <f>SUMIF(J12:J86,"4",R12:R86)</f>
        <v>0</v>
      </c>
      <c r="S87" s="4">
        <f>SUMIF(J12:J86,"4",S12:S86)</f>
        <v>0</v>
      </c>
    </row>
    <row r="88" spans="1:19" x14ac:dyDescent="0.3">
      <c r="B88" s="18" t="s">
        <v>1554</v>
      </c>
      <c r="C88" s="19"/>
      <c r="D88" s="26"/>
      <c r="E88" s="21"/>
      <c r="F88" s="21"/>
      <c r="G88" s="31"/>
      <c r="H88" s="64"/>
      <c r="I88" s="72">
        <f>I87</f>
        <v>12674.709999999997</v>
      </c>
    </row>
    <row r="89" spans="1:19" x14ac:dyDescent="0.3">
      <c r="B89" s="27" t="s">
        <v>74</v>
      </c>
      <c r="C89" s="19"/>
      <c r="D89" s="20"/>
      <c r="E89" s="21"/>
      <c r="F89" s="21"/>
      <c r="G89" s="31"/>
      <c r="H89" s="64"/>
      <c r="I89" s="72"/>
    </row>
    <row r="91" spans="1:19" x14ac:dyDescent="0.3">
      <c r="A91" s="28" t="s">
        <v>1206</v>
      </c>
    </row>
  </sheetData>
  <mergeCells count="35">
    <mergeCell ref="A14:G15"/>
    <mergeCell ref="A1:D1"/>
    <mergeCell ref="A2:I2"/>
    <mergeCell ref="A3:I3"/>
    <mergeCell ref="A4:I4"/>
    <mergeCell ref="A5:H5"/>
    <mergeCell ref="A44:G45"/>
    <mergeCell ref="A16:G16"/>
    <mergeCell ref="A19:G20"/>
    <mergeCell ref="A21:G21"/>
    <mergeCell ref="A24:G25"/>
    <mergeCell ref="A26:G26"/>
    <mergeCell ref="A29:G30"/>
    <mergeCell ref="A31:G31"/>
    <mergeCell ref="A34:G35"/>
    <mergeCell ref="A36:G36"/>
    <mergeCell ref="A39:G40"/>
    <mergeCell ref="A41:G41"/>
    <mergeCell ref="A74:G75"/>
    <mergeCell ref="A46:G46"/>
    <mergeCell ref="A49:G50"/>
    <mergeCell ref="A51:G51"/>
    <mergeCell ref="A54:G55"/>
    <mergeCell ref="A56:G56"/>
    <mergeCell ref="A59:G60"/>
    <mergeCell ref="A61:G61"/>
    <mergeCell ref="A64:G65"/>
    <mergeCell ref="A66:G66"/>
    <mergeCell ref="A69:G70"/>
    <mergeCell ref="A71:G71"/>
    <mergeCell ref="A76:G76"/>
    <mergeCell ref="A79:G80"/>
    <mergeCell ref="A81:G81"/>
    <mergeCell ref="A84:G85"/>
    <mergeCell ref="A86:G86"/>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2" manualBreakCount="2">
    <brk id="46" max="16383" man="1"/>
    <brk id="89"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E0C58-5E5D-41EC-BFF5-0EB2DA7C6C78}">
  <sheetPr>
    <tabColor rgb="FF92D050"/>
  </sheetPr>
  <dimension ref="A1:T39"/>
  <sheetViews>
    <sheetView topLeftCell="A25" workbookViewId="0">
      <selection activeCell="E44" sqref="E44"/>
    </sheetView>
  </sheetViews>
  <sheetFormatPr defaultRowHeight="14.4" outlineLevelCol="1" x14ac:dyDescent="0.3"/>
  <cols>
    <col min="1" max="1" width="0.33203125" style="1" customWidth="1"/>
    <col min="2" max="2" width="5.77734375" style="2" customWidth="1"/>
    <col min="3" max="3" width="25.33203125" style="3" customWidth="1"/>
    <col min="4" max="4" width="9.44140625" style="5" customWidth="1"/>
    <col min="5" max="6" width="9.44140625" customWidth="1"/>
    <col min="7" max="7" width="9.44140625" style="30" customWidth="1"/>
    <col min="8" max="8" width="9.44140625" style="38" customWidth="1"/>
    <col min="9" max="9" width="9.4414062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75</v>
      </c>
      <c r="B4" s="98"/>
      <c r="C4" s="98"/>
      <c r="D4" s="98"/>
      <c r="E4" s="98"/>
      <c r="F4" s="98"/>
      <c r="G4" s="98"/>
      <c r="H4" s="98"/>
      <c r="I4" s="98"/>
    </row>
    <row r="5" spans="1:19" ht="15" thickBot="1" x14ac:dyDescent="0.35">
      <c r="A5" s="82" t="s">
        <v>76</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77</v>
      </c>
      <c r="D12" s="13" t="s">
        <v>78</v>
      </c>
      <c r="E12" s="14"/>
      <c r="F12" s="14"/>
      <c r="G12" s="41">
        <v>500</v>
      </c>
      <c r="H12" s="71">
        <f>266.95/G12</f>
        <v>0.53389999999999993</v>
      </c>
      <c r="I12" s="32">
        <f>G12*H12</f>
        <v>266.95</v>
      </c>
      <c r="J12">
        <v>1</v>
      </c>
    </row>
    <row r="13" spans="1:19" x14ac:dyDescent="0.3">
      <c r="D13" s="15" t="str">
        <f>SUBSTITUTE("Sp.mat: 0.00%",".",IF(VALUE("1.2")=1.2,".",","),2)</f>
        <v>Sp.mat: 0.00%</v>
      </c>
      <c r="F13" s="15" t="str">
        <f>SUBSTITUTE("Sp.man: 0.00%",".",IF(VALUE("1.2")=1.2,".",","),2)</f>
        <v>Sp.man: 0.00%</v>
      </c>
      <c r="G13" s="35" t="str">
        <f>SUBSTITUTE("Sp.uti: 0.00%",".",IF(VALUE("1.2")=1.2,".",","),2)</f>
        <v>Sp.uti: 0.00%</v>
      </c>
      <c r="H13" s="38">
        <f>(1+IF(OR(ISERR(FIND(":",F13)),ISERR(FIND("%",F13))),0,MID(F13,FIND(":",F13)+2,FIND("%",F13)-FIND(":",F13)-2)/100))*0</f>
        <v>0</v>
      </c>
      <c r="I13" s="29">
        <f>G12*H13</f>
        <v>0</v>
      </c>
      <c r="J13">
        <v>2</v>
      </c>
    </row>
    <row r="14" spans="1:19" x14ac:dyDescent="0.3">
      <c r="A14" s="88" t="s">
        <v>79</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96" t="s">
        <v>27</v>
      </c>
      <c r="B16" s="97"/>
      <c r="C16" s="97"/>
      <c r="D16" s="97"/>
      <c r="E16" s="97"/>
      <c r="F16" s="97"/>
      <c r="G16" s="97"/>
      <c r="H16" s="36">
        <f>H12+H13+H14+H15</f>
        <v>0.53389999999999993</v>
      </c>
      <c r="I16" s="74">
        <f>I12+I13+I14+I15</f>
        <v>266.95</v>
      </c>
      <c r="J16">
        <v>5</v>
      </c>
    </row>
    <row r="17" spans="1:19" x14ac:dyDescent="0.3">
      <c r="B17" s="2">
        <v>2</v>
      </c>
      <c r="C17" s="3" t="s">
        <v>77</v>
      </c>
      <c r="D17" s="5" t="s">
        <v>78</v>
      </c>
      <c r="G17" s="30">
        <v>750</v>
      </c>
      <c r="H17" s="38">
        <f>400.43/G17</f>
        <v>0.53390666666666664</v>
      </c>
      <c r="I17" s="29">
        <f>G17*H17</f>
        <v>400.43</v>
      </c>
      <c r="J17">
        <v>1</v>
      </c>
    </row>
    <row r="18" spans="1:19" x14ac:dyDescent="0.3">
      <c r="D18" s="15" t="str">
        <f>SUBSTITUTE("Sp.mat: 0.00%",".",IF(VALUE("1.2")=1.2,".",","),2)</f>
        <v>Sp.mat: 0.00%</v>
      </c>
      <c r="F18" s="15" t="str">
        <f>SUBSTITUTE("Sp.man: 0.00%",".",IF(VALUE("1.2")=1.2,".",","),2)</f>
        <v>Sp.man: 0.00%</v>
      </c>
      <c r="G18" s="35" t="str">
        <f>SUBSTITUTE("Sp.uti: 0.00%",".",IF(VALUE("1.2")=1.2,".",","),2)</f>
        <v>Sp.uti: 0.00%</v>
      </c>
      <c r="H18" s="38">
        <f>(1+IF(OR(ISERR(FIND(":",F18)),ISERR(FIND("%",F18))),0,MID(F18,FIND(":",F18)+2,FIND("%",F18)-FIND(":",F18)-2)/100))*0</f>
        <v>0</v>
      </c>
      <c r="I18" s="29">
        <f>G17*H18</f>
        <v>0</v>
      </c>
      <c r="J18">
        <v>2</v>
      </c>
    </row>
    <row r="19" spans="1:19" x14ac:dyDescent="0.3">
      <c r="A19" s="88" t="s">
        <v>80</v>
      </c>
      <c r="B19" s="98"/>
      <c r="C19" s="98"/>
      <c r="D19" s="98"/>
      <c r="E19" s="98"/>
      <c r="F19" s="98"/>
      <c r="G19" s="98"/>
      <c r="H19" s="38">
        <f>(1+IF(OR(ISERR(FIND(":",G18)),ISERR(FIND("%",G18))),0,MID(G18,FIND(":",G18)+2,FIND("%",G18)-FIND(":",G18)-2)/100))*0</f>
        <v>0</v>
      </c>
      <c r="I19" s="29">
        <f>G17*H19</f>
        <v>0</v>
      </c>
      <c r="J19">
        <v>3</v>
      </c>
      <c r="K19" s="4">
        <v>0</v>
      </c>
      <c r="L19" s="4">
        <v>0</v>
      </c>
      <c r="M19" s="4">
        <f>I19-K19-L19</f>
        <v>0</v>
      </c>
    </row>
    <row r="20" spans="1:19" x14ac:dyDescent="0.3">
      <c r="A20" s="98"/>
      <c r="B20" s="98"/>
      <c r="C20" s="98"/>
      <c r="D20" s="98"/>
      <c r="E20" s="98"/>
      <c r="F20" s="98"/>
      <c r="G20" s="98"/>
      <c r="H20" s="38">
        <f>0</f>
        <v>0</v>
      </c>
      <c r="I20" s="29">
        <f>G17*H20</f>
        <v>0</v>
      </c>
      <c r="J20">
        <v>4</v>
      </c>
      <c r="N20" s="4">
        <f>IF(ISERR(SEARCH("TRA* 82",C17)),IF(Q20+R20+S20=0,0,I20*(Q20/(Q20+R20+S20))),I20)</f>
        <v>0</v>
      </c>
      <c r="O20" s="4">
        <f>IF(ISERR(SEARCH("TRA* 82",C17)),IF(Q20+R20+S20=0,0,I20*(R20/(Q20+R20+S20))),0)</f>
        <v>0</v>
      </c>
      <c r="P20" s="4">
        <f>IF(ISERR(SEARCH("TRA* 82",C17)),I20-N20-O20,0)</f>
        <v>0</v>
      </c>
      <c r="Q20" s="4">
        <v>0</v>
      </c>
      <c r="R20" s="4">
        <v>0</v>
      </c>
      <c r="S20" s="4">
        <v>0</v>
      </c>
    </row>
    <row r="21" spans="1:19" x14ac:dyDescent="0.3">
      <c r="A21" s="96" t="s">
        <v>27</v>
      </c>
      <c r="B21" s="97"/>
      <c r="C21" s="97"/>
      <c r="D21" s="97"/>
      <c r="E21" s="97"/>
      <c r="F21" s="97"/>
      <c r="G21" s="97"/>
      <c r="H21" s="36">
        <f>H17+H18+H19+H20</f>
        <v>0.53390666666666664</v>
      </c>
      <c r="I21" s="74">
        <f>I17+I18+I19+I20</f>
        <v>400.43</v>
      </c>
      <c r="J21">
        <v>5</v>
      </c>
    </row>
    <row r="22" spans="1:19" x14ac:dyDescent="0.3">
      <c r="B22" s="2">
        <v>3</v>
      </c>
      <c r="C22" s="3" t="s">
        <v>77</v>
      </c>
      <c r="D22" s="5" t="s">
        <v>78</v>
      </c>
      <c r="G22" s="30">
        <v>600</v>
      </c>
      <c r="H22" s="38">
        <f>320.34/G22</f>
        <v>0.53389999999999993</v>
      </c>
      <c r="I22" s="29">
        <f>G22*H22</f>
        <v>320.33999999999997</v>
      </c>
      <c r="J22">
        <v>1</v>
      </c>
    </row>
    <row r="23" spans="1:19" x14ac:dyDescent="0.3">
      <c r="D23" s="15" t="str">
        <f>SUBSTITUTE("Sp.mat: 0.00%",".",IF(VALUE("1.2")=1.2,".",","),2)</f>
        <v>Sp.mat: 0.00%</v>
      </c>
      <c r="F23" s="15" t="str">
        <f>SUBSTITUTE("Sp.man: 0.00%",".",IF(VALUE("1.2")=1.2,".",","),2)</f>
        <v>Sp.man: 0.00%</v>
      </c>
      <c r="G23" s="35" t="str">
        <f>SUBSTITUTE("Sp.uti: 0.00%",".",IF(VALUE("1.2")=1.2,".",","),2)</f>
        <v>Sp.uti: 0.00%</v>
      </c>
      <c r="H23" s="38">
        <f>(1+IF(OR(ISERR(FIND(":",F23)),ISERR(FIND("%",F23))),0,MID(F23,FIND(":",F23)+2,FIND("%",F23)-FIND(":",F23)-2)/100))*0</f>
        <v>0</v>
      </c>
      <c r="I23" s="29">
        <f>G22*H23</f>
        <v>0</v>
      </c>
      <c r="J23">
        <v>2</v>
      </c>
    </row>
    <row r="24" spans="1:19" x14ac:dyDescent="0.3">
      <c r="A24" s="88" t="s">
        <v>81</v>
      </c>
      <c r="B24" s="98"/>
      <c r="C24" s="98"/>
      <c r="D24" s="98"/>
      <c r="E24" s="98"/>
      <c r="F24" s="98"/>
      <c r="G24" s="98"/>
      <c r="H24" s="38">
        <f>(1+IF(OR(ISERR(FIND(":",G23)),ISERR(FIND("%",G23))),0,MID(G23,FIND(":",G23)+2,FIND("%",G23)-FIND(":",G23)-2)/100))*0</f>
        <v>0</v>
      </c>
      <c r="I24" s="29">
        <f>G22*H24</f>
        <v>0</v>
      </c>
      <c r="J24">
        <v>3</v>
      </c>
      <c r="K24" s="4">
        <v>0</v>
      </c>
      <c r="L24" s="4">
        <v>0</v>
      </c>
      <c r="M24" s="4">
        <f>I24-K24-L24</f>
        <v>0</v>
      </c>
    </row>
    <row r="25" spans="1:19" x14ac:dyDescent="0.3">
      <c r="A25" s="98"/>
      <c r="B25" s="98"/>
      <c r="C25" s="98"/>
      <c r="D25" s="98"/>
      <c r="E25" s="98"/>
      <c r="F25" s="98"/>
      <c r="G25" s="98"/>
      <c r="H25" s="38">
        <f>0</f>
        <v>0</v>
      </c>
      <c r="I25" s="29">
        <f>G22*H25</f>
        <v>0</v>
      </c>
      <c r="J25">
        <v>4</v>
      </c>
      <c r="N25" s="4">
        <f>IF(ISERR(SEARCH("TRA* 82",C22)),IF(Q25+R25+S25=0,0,I25*(Q25/(Q25+R25+S25))),I25)</f>
        <v>0</v>
      </c>
      <c r="O25" s="4">
        <f>IF(ISERR(SEARCH("TRA* 82",C22)),IF(Q25+R25+S25=0,0,I25*(R25/(Q25+R25+S25))),0)</f>
        <v>0</v>
      </c>
      <c r="P25" s="4">
        <f>IF(ISERR(SEARCH("TRA* 82",C22)),I25-N25-O25,0)</f>
        <v>0</v>
      </c>
      <c r="Q25" s="4">
        <v>0</v>
      </c>
      <c r="R25" s="4">
        <v>0</v>
      </c>
      <c r="S25" s="4">
        <v>0</v>
      </c>
    </row>
    <row r="26" spans="1:19" x14ac:dyDescent="0.3">
      <c r="A26" s="96" t="s">
        <v>27</v>
      </c>
      <c r="B26" s="97"/>
      <c r="C26" s="97"/>
      <c r="D26" s="97"/>
      <c r="E26" s="97"/>
      <c r="F26" s="97"/>
      <c r="G26" s="97"/>
      <c r="H26" s="36">
        <f>H22+H23+H24+H25</f>
        <v>0.53389999999999993</v>
      </c>
      <c r="I26" s="74">
        <f>I22+I23+I24+I25</f>
        <v>320.33999999999997</v>
      </c>
      <c r="J26">
        <v>5</v>
      </c>
    </row>
    <row r="27" spans="1:19" x14ac:dyDescent="0.3">
      <c r="B27" s="2">
        <v>4</v>
      </c>
      <c r="C27" s="3" t="s">
        <v>77</v>
      </c>
      <c r="D27" s="5" t="s">
        <v>78</v>
      </c>
      <c r="G27" s="30">
        <v>850</v>
      </c>
      <c r="H27" s="38">
        <f>453.82/G27</f>
        <v>0.53390588235294112</v>
      </c>
      <c r="I27" s="29">
        <f>G27*H27</f>
        <v>453.81999999999994</v>
      </c>
      <c r="J27">
        <v>1</v>
      </c>
    </row>
    <row r="28" spans="1:19" x14ac:dyDescent="0.3">
      <c r="D28" s="15" t="str">
        <f>SUBSTITUTE("Sp.mat: 0.00%",".",IF(VALUE("1.2")=1.2,".",","),2)</f>
        <v>Sp.mat: 0.00%</v>
      </c>
      <c r="F28" s="15" t="str">
        <f>SUBSTITUTE("Sp.man: 0.00%",".",IF(VALUE("1.2")=1.2,".",","),2)</f>
        <v>Sp.man: 0.00%</v>
      </c>
      <c r="G28" s="35" t="str">
        <f>SUBSTITUTE("Sp.uti: 0.00%",".",IF(VALUE("1.2")=1.2,".",","),2)</f>
        <v>Sp.uti: 0.00%</v>
      </c>
      <c r="H28" s="38">
        <f>(1+IF(OR(ISERR(FIND(":",F28)),ISERR(FIND("%",F28))),0,MID(F28,FIND(":",F28)+2,FIND("%",F28)-FIND(":",F28)-2)/100))*0</f>
        <v>0</v>
      </c>
      <c r="I28" s="29">
        <f>G27*H28</f>
        <v>0</v>
      </c>
      <c r="J28">
        <v>2</v>
      </c>
    </row>
    <row r="29" spans="1:19" x14ac:dyDescent="0.3">
      <c r="A29" s="88" t="s">
        <v>82</v>
      </c>
      <c r="B29" s="98"/>
      <c r="C29" s="98"/>
      <c r="D29" s="98"/>
      <c r="E29" s="98"/>
      <c r="F29" s="98"/>
      <c r="G29" s="98"/>
      <c r="H29" s="38">
        <f>(1+IF(OR(ISERR(FIND(":",G28)),ISERR(FIND("%",G28))),0,MID(G28,FIND(":",G28)+2,FIND("%",G28)-FIND(":",G28)-2)/100))*0</f>
        <v>0</v>
      </c>
      <c r="I29" s="29">
        <f>G27*H29</f>
        <v>0</v>
      </c>
      <c r="J29">
        <v>3</v>
      </c>
      <c r="K29" s="4">
        <v>0</v>
      </c>
      <c r="L29" s="4">
        <v>0</v>
      </c>
      <c r="M29" s="4">
        <f>I29-K29-L29</f>
        <v>0</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96" t="s">
        <v>27</v>
      </c>
      <c r="B31" s="97"/>
      <c r="C31" s="97"/>
      <c r="D31" s="97"/>
      <c r="E31" s="97"/>
      <c r="F31" s="97"/>
      <c r="G31" s="97"/>
      <c r="H31" s="36">
        <f>H27+H28+H29+H30</f>
        <v>0.53390588235294112</v>
      </c>
      <c r="I31" s="74">
        <f>I27+I28+I29+I30</f>
        <v>453.81999999999994</v>
      </c>
      <c r="J31">
        <v>5</v>
      </c>
    </row>
    <row r="32" spans="1:19" x14ac:dyDescent="0.3">
      <c r="B32" s="2">
        <v>5</v>
      </c>
      <c r="C32" s="3" t="s">
        <v>77</v>
      </c>
      <c r="D32" s="5" t="s">
        <v>78</v>
      </c>
      <c r="G32" s="30">
        <v>350</v>
      </c>
      <c r="H32" s="38">
        <f>186.87/G32</f>
        <v>0.53391428571428567</v>
      </c>
      <c r="I32" s="29">
        <f>G32*H32</f>
        <v>186.86999999999998</v>
      </c>
      <c r="J32">
        <v>1</v>
      </c>
    </row>
    <row r="33" spans="1:19" x14ac:dyDescent="0.3">
      <c r="D33" s="15" t="str">
        <f>SUBSTITUTE("Sp.mat: 0.00%",".",IF(VALUE("1.2")=1.2,".",","),2)</f>
        <v>Sp.mat: 0.00%</v>
      </c>
      <c r="F33" s="15" t="str">
        <f>SUBSTITUTE("Sp.man: 0.00%",".",IF(VALUE("1.2")=1.2,".",","),2)</f>
        <v>Sp.man: 0.00%</v>
      </c>
      <c r="G33" s="35" t="str">
        <f>SUBSTITUTE("Sp.uti: 0.00%",".",IF(VALUE("1.2")=1.2,".",","),2)</f>
        <v>Sp.uti: 0.00%</v>
      </c>
      <c r="H33" s="38">
        <f>(1+IF(OR(ISERR(FIND(":",F33)),ISERR(FIND("%",F33))),0,MID(F33,FIND(":",F33)+2,FIND("%",F33)-FIND(":",F33)-2)/100))*0</f>
        <v>0</v>
      </c>
      <c r="I33" s="29">
        <f>G32*H33</f>
        <v>0</v>
      </c>
      <c r="J33">
        <v>2</v>
      </c>
    </row>
    <row r="34" spans="1:19" x14ac:dyDescent="0.3">
      <c r="A34" s="88" t="s">
        <v>83</v>
      </c>
      <c r="B34" s="98"/>
      <c r="C34" s="98"/>
      <c r="D34" s="98"/>
      <c r="E34" s="98"/>
      <c r="F34" s="98"/>
      <c r="G34" s="98"/>
      <c r="H34" s="38">
        <f>(1+IF(OR(ISERR(FIND(":",G33)),ISERR(FIND("%",G33))),0,MID(G33,FIND(":",G33)+2,FIND("%",G33)-FIND(":",G33)-2)/100))*0</f>
        <v>0</v>
      </c>
      <c r="I34" s="29">
        <f>G32*H34</f>
        <v>0</v>
      </c>
      <c r="J34">
        <v>3</v>
      </c>
      <c r="K34" s="4">
        <v>0</v>
      </c>
      <c r="L34" s="4">
        <v>0</v>
      </c>
      <c r="M34" s="4">
        <f>I34-K34-L34</f>
        <v>0</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96" t="s">
        <v>27</v>
      </c>
      <c r="B36" s="97"/>
      <c r="C36" s="97"/>
      <c r="D36" s="97"/>
      <c r="E36" s="97"/>
      <c r="F36" s="97"/>
      <c r="G36" s="97"/>
      <c r="H36" s="36">
        <f>H32+H33+H34+H35</f>
        <v>0.53391428571428567</v>
      </c>
      <c r="I36" s="74">
        <f>I32+I33+I34+I35</f>
        <v>186.86999999999998</v>
      </c>
      <c r="J36">
        <v>5</v>
      </c>
    </row>
    <row r="37" spans="1:19" x14ac:dyDescent="0.3">
      <c r="B37" s="16"/>
      <c r="E37" s="4">
        <f>SUMIF(J12:J36,"1",I12:I36)</f>
        <v>1628.4099999999999</v>
      </c>
      <c r="F37" s="4">
        <f>SUMIF(J12:J36,"2",I12:I36)</f>
        <v>0</v>
      </c>
      <c r="G37" s="29">
        <f>SUMIF(J12:J36,"3",I12:I36)</f>
        <v>0</v>
      </c>
      <c r="H37" s="29">
        <f>SUMIF(J12:J36,"4",I12:I36)</f>
        <v>0</v>
      </c>
      <c r="I37" s="29">
        <f>SUMIF(J12:J36,"5",I12:I36)</f>
        <v>1628.4099999999999</v>
      </c>
      <c r="K37" s="4">
        <f>SUMIF(J12:J36,"3",K12:K36)</f>
        <v>0</v>
      </c>
      <c r="L37" s="4">
        <f>SUMIF(J12:J36,"3",L12:L36)</f>
        <v>0</v>
      </c>
      <c r="M37" s="4">
        <f>SUMIF(J12:J36,"3",M12:M36)</f>
        <v>0</v>
      </c>
      <c r="N37" s="4">
        <f>SUMIF(J12:J36,"4",N12:N36)</f>
        <v>0</v>
      </c>
      <c r="O37" s="4">
        <f>SUMIF(J12:J36,"4",O12:O36)</f>
        <v>0</v>
      </c>
      <c r="P37" s="4">
        <f>SUMIF(J12:J36,"4",P12:P36)</f>
        <v>0</v>
      </c>
      <c r="Q37" s="4">
        <f>SUMIF(J12:J36,"4",Q12:Q36)</f>
        <v>0</v>
      </c>
      <c r="R37" s="4">
        <f>SUMIF(J12:J36,"4",R12:R36)</f>
        <v>0</v>
      </c>
      <c r="S37" s="4">
        <f>SUMIF(J12:J36,"4",S12:S36)</f>
        <v>0</v>
      </c>
    </row>
    <row r="38" spans="1:19" x14ac:dyDescent="0.3">
      <c r="B38" s="107" t="s">
        <v>1554</v>
      </c>
      <c r="C38" s="108"/>
      <c r="D38" s="26"/>
      <c r="E38" s="26"/>
      <c r="F38" s="26"/>
      <c r="G38" s="109"/>
      <c r="H38" s="36"/>
      <c r="I38" s="110">
        <f>I37</f>
        <v>1628.4099999999999</v>
      </c>
    </row>
    <row r="39" spans="1:19" x14ac:dyDescent="0.3">
      <c r="D39" s="3"/>
    </row>
  </sheetData>
  <mergeCells count="15">
    <mergeCell ref="A14:G15"/>
    <mergeCell ref="A1:D1"/>
    <mergeCell ref="A2:I2"/>
    <mergeCell ref="A3:I3"/>
    <mergeCell ref="A4:I4"/>
    <mergeCell ref="A5:H5"/>
    <mergeCell ref="A31:G31"/>
    <mergeCell ref="A34:G35"/>
    <mergeCell ref="A36:G36"/>
    <mergeCell ref="A16:G16"/>
    <mergeCell ref="A19:G20"/>
    <mergeCell ref="A21:G21"/>
    <mergeCell ref="A24:G25"/>
    <mergeCell ref="A26:G26"/>
    <mergeCell ref="A29:G30"/>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2881-2B47-4AF1-8E15-693240BC3CA8}">
  <sheetPr>
    <tabColor rgb="FF92D050"/>
  </sheetPr>
  <dimension ref="A1:T604"/>
  <sheetViews>
    <sheetView topLeftCell="A586" workbookViewId="0">
      <selection activeCell="H608" sqref="H608"/>
    </sheetView>
  </sheetViews>
  <sheetFormatPr defaultRowHeight="14.4" outlineLevelCol="1" x14ac:dyDescent="0.3"/>
  <cols>
    <col min="1" max="1" width="0.33203125" style="1" customWidth="1"/>
    <col min="2" max="2" width="5.77734375" style="2" customWidth="1"/>
    <col min="3" max="3" width="25.33203125" style="3" customWidth="1"/>
    <col min="4" max="4" width="14.5546875" style="5" customWidth="1"/>
    <col min="5" max="5" width="14.5546875" customWidth="1"/>
    <col min="7" max="7" width="15.77734375" style="30" customWidth="1"/>
    <col min="8" max="8" width="14.5546875" style="38" customWidth="1"/>
    <col min="9" max="9" width="14.5546875" style="29" customWidth="1"/>
    <col min="10" max="10" width="0" hidden="1" customWidth="1" outlineLevel="1"/>
    <col min="11" max="19" width="0" style="4" hidden="1" customWidth="1" outlineLevel="1"/>
    <col min="20" max="20" width="8.88671875" collapsed="1"/>
    <col min="21" max="21" width="9.6640625" bestFit="1" customWidth="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84</v>
      </c>
      <c r="B4" s="98"/>
      <c r="C4" s="98"/>
      <c r="D4" s="98"/>
      <c r="E4" s="98"/>
      <c r="F4" s="98"/>
      <c r="G4" s="98"/>
      <c r="H4" s="98"/>
      <c r="I4" s="98"/>
    </row>
    <row r="5" spans="1:19" ht="15" thickBot="1" x14ac:dyDescent="0.35">
      <c r="A5" s="82" t="s">
        <v>88</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89</v>
      </c>
      <c r="D12" s="13" t="s">
        <v>29</v>
      </c>
      <c r="E12" s="14"/>
      <c r="F12" s="14"/>
      <c r="G12" s="41">
        <v>19</v>
      </c>
      <c r="H12" s="71">
        <v>1082.47</v>
      </c>
      <c r="I12" s="32">
        <f>G12*H12</f>
        <v>20566.93</v>
      </c>
      <c r="J12">
        <v>1</v>
      </c>
    </row>
    <row r="13" spans="1:19" x14ac:dyDescent="0.3">
      <c r="D13" s="15" t="str">
        <f>SUBSTITUTE("Sp.mat: 0.00%",".",IF(VALUE("1.2")=1.2,".",","),2)</f>
        <v>Sp.mat: 0.00%</v>
      </c>
      <c r="F13" s="15" t="str">
        <f>SUBSTITUTE("Sp.man: 0.00%",".",IF(VALUE("1.2")=1.2,".",","),2)</f>
        <v>Sp.man: 0.00%</v>
      </c>
      <c r="G13" s="35" t="str">
        <f>SUBSTITUTE("Sp.uti: 0.00%",".",IF(VALUE("1.2")=1.2,".",","),2)</f>
        <v>Sp.uti: 0.00%</v>
      </c>
      <c r="H13" s="38">
        <f>1217.29/G12</f>
        <v>64.067894736842106</v>
      </c>
      <c r="I13" s="29">
        <f>G12*H13</f>
        <v>1217.29</v>
      </c>
      <c r="J13">
        <v>2</v>
      </c>
    </row>
    <row r="14" spans="1:19" x14ac:dyDescent="0.3">
      <c r="A14" s="88" t="s">
        <v>90</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96" t="s">
        <v>27</v>
      </c>
      <c r="B16" s="97"/>
      <c r="C16" s="97"/>
      <c r="D16" s="97"/>
      <c r="E16" s="97"/>
      <c r="F16" s="97"/>
      <c r="G16" s="97"/>
      <c r="H16" s="36">
        <f>H12+H13+H14+H15</f>
        <v>1146.5378947368422</v>
      </c>
      <c r="I16" s="74">
        <f>I12+I13+I14+I15</f>
        <v>21784.22</v>
      </c>
      <c r="J16">
        <v>5</v>
      </c>
    </row>
    <row r="17" spans="1:19" x14ac:dyDescent="0.3">
      <c r="B17" s="2">
        <v>2</v>
      </c>
      <c r="C17" s="3" t="s">
        <v>91</v>
      </c>
      <c r="D17" s="5" t="s">
        <v>25</v>
      </c>
      <c r="G17" s="30">
        <v>85</v>
      </c>
      <c r="H17" s="38">
        <f>2098.23/G17</f>
        <v>24.685058823529413</v>
      </c>
      <c r="I17" s="29">
        <f>G17*H17</f>
        <v>2098.23</v>
      </c>
      <c r="J17">
        <v>1</v>
      </c>
    </row>
    <row r="18" spans="1:19" x14ac:dyDescent="0.3">
      <c r="D18" s="15" t="str">
        <f>SUBSTITUTE("Sp.mat: 0.00%",".",IF(VALUE("1.2")=1.2,".",","),2)</f>
        <v>Sp.mat: 0.00%</v>
      </c>
      <c r="F18" s="15" t="str">
        <f>SUBSTITUTE("Sp.man: 0.00%",".",IF(VALUE("1.2")=1.2,".",","),2)</f>
        <v>Sp.man: 0.00%</v>
      </c>
      <c r="G18" s="35" t="str">
        <f>SUBSTITUTE("Sp.uti: 0.00%",".",IF(VALUE("1.2")=1.2,".",","),2)</f>
        <v>Sp.uti: 0.00%</v>
      </c>
      <c r="H18" s="38">
        <f>1837.95/G17</f>
        <v>21.62294117647059</v>
      </c>
      <c r="I18" s="29">
        <f>G17*H18</f>
        <v>1837.9500000000003</v>
      </c>
      <c r="J18">
        <v>2</v>
      </c>
    </row>
    <row r="19" spans="1:19" x14ac:dyDescent="0.3">
      <c r="A19" s="88" t="s">
        <v>92</v>
      </c>
      <c r="B19" s="98"/>
      <c r="C19" s="98"/>
      <c r="D19" s="98"/>
      <c r="E19" s="98"/>
      <c r="F19" s="98"/>
      <c r="G19" s="98"/>
      <c r="H19" s="38">
        <f>(1+IF(OR(ISERR(FIND(":",G18)),ISERR(FIND("%",G18))),0,MID(G18,FIND(":",G18)+2,FIND("%",G18)-FIND(":",G18)-2)/100))*0</f>
        <v>0</v>
      </c>
      <c r="I19" s="29">
        <f>G17*H19</f>
        <v>0</v>
      </c>
      <c r="J19">
        <v>3</v>
      </c>
      <c r="K19" s="4">
        <v>0</v>
      </c>
      <c r="L19" s="4">
        <v>0</v>
      </c>
      <c r="M19" s="4">
        <f>I19-K19-L19</f>
        <v>0</v>
      </c>
    </row>
    <row r="20" spans="1:19" x14ac:dyDescent="0.3">
      <c r="A20" s="98"/>
      <c r="B20" s="98"/>
      <c r="C20" s="98"/>
      <c r="D20" s="98"/>
      <c r="E20" s="98"/>
      <c r="F20" s="98"/>
      <c r="G20" s="98"/>
      <c r="H20" s="38">
        <f>0</f>
        <v>0</v>
      </c>
      <c r="I20" s="29">
        <f>G17*H20</f>
        <v>0</v>
      </c>
      <c r="J20">
        <v>4</v>
      </c>
      <c r="N20" s="4">
        <f>IF(ISERR(SEARCH("TRA* 82",C17)),IF(Q20+R20+S20=0,0,I20*(Q20/(Q20+R20+S20))),I20)</f>
        <v>0</v>
      </c>
      <c r="O20" s="4">
        <f>IF(ISERR(SEARCH("TRA* 82",C17)),IF(Q20+R20+S20=0,0,I20*(R20/(Q20+R20+S20))),0)</f>
        <v>0</v>
      </c>
      <c r="P20" s="4">
        <f>IF(ISERR(SEARCH("TRA* 82",C17)),I20-N20-O20,0)</f>
        <v>0</v>
      </c>
      <c r="Q20" s="4">
        <v>0</v>
      </c>
      <c r="R20" s="4">
        <v>0</v>
      </c>
      <c r="S20" s="4">
        <v>0</v>
      </c>
    </row>
    <row r="21" spans="1:19" x14ac:dyDescent="0.3">
      <c r="A21" s="96" t="s">
        <v>27</v>
      </c>
      <c r="B21" s="97"/>
      <c r="C21" s="97"/>
      <c r="D21" s="97"/>
      <c r="E21" s="97"/>
      <c r="F21" s="97"/>
      <c r="G21" s="97"/>
      <c r="H21" s="36">
        <f>H17+H18+H19+H20</f>
        <v>46.308000000000007</v>
      </c>
      <c r="I21" s="74">
        <f>I17+I18+I19+I20</f>
        <v>3936.1800000000003</v>
      </c>
      <c r="J21">
        <v>5</v>
      </c>
    </row>
    <row r="22" spans="1:19" x14ac:dyDescent="0.3">
      <c r="B22" s="2">
        <v>3</v>
      </c>
      <c r="C22" s="3" t="s">
        <v>93</v>
      </c>
      <c r="D22" s="5" t="s">
        <v>25</v>
      </c>
      <c r="G22" s="30">
        <v>49</v>
      </c>
      <c r="H22" s="38">
        <f>1182.98/G22</f>
        <v>24.142448979591837</v>
      </c>
      <c r="I22" s="29">
        <f>G22*H22</f>
        <v>1182.98</v>
      </c>
      <c r="J22">
        <v>1</v>
      </c>
    </row>
    <row r="23" spans="1:19" x14ac:dyDescent="0.3">
      <c r="D23" s="15" t="str">
        <f>SUBSTITUTE("Sp.mat: 0.00%",".",IF(VALUE("1.2")=1.2,".",","),2)</f>
        <v>Sp.mat: 0.00%</v>
      </c>
      <c r="F23" s="15" t="str">
        <f>SUBSTITUTE("Sp.man: 0.00%",".",IF(VALUE("1.2")=1.2,".",","),2)</f>
        <v>Sp.man: 0.00%</v>
      </c>
      <c r="G23" s="35" t="str">
        <f>SUBSTITUTE("Sp.uti: 0.00%",".",IF(VALUE("1.2")=1.2,".",","),2)</f>
        <v>Sp.uti: 0.00%</v>
      </c>
      <c r="H23" s="38">
        <f>1334.22/G22</f>
        <v>27.228979591836737</v>
      </c>
      <c r="I23" s="29">
        <f>G22*H23</f>
        <v>1334.22</v>
      </c>
      <c r="J23">
        <v>2</v>
      </c>
    </row>
    <row r="24" spans="1:19" x14ac:dyDescent="0.3">
      <c r="A24" s="88" t="s">
        <v>94</v>
      </c>
      <c r="B24" s="98"/>
      <c r="C24" s="98"/>
      <c r="D24" s="98"/>
      <c r="E24" s="98"/>
      <c r="F24" s="98"/>
      <c r="G24" s="98"/>
      <c r="H24" s="38">
        <f>(1+IF(OR(ISERR(FIND(":",G23)),ISERR(FIND("%",G23))),0,MID(G23,FIND(":",G23)+2,FIND("%",G23)-FIND(":",G23)-2)/100))*0</f>
        <v>0</v>
      </c>
      <c r="I24" s="29">
        <f>G22*H24</f>
        <v>0</v>
      </c>
      <c r="J24">
        <v>3</v>
      </c>
      <c r="K24" s="4">
        <v>0</v>
      </c>
      <c r="L24" s="4">
        <v>0</v>
      </c>
      <c r="M24" s="4">
        <f>I24-K24-L24</f>
        <v>0</v>
      </c>
    </row>
    <row r="25" spans="1:19" x14ac:dyDescent="0.3">
      <c r="A25" s="98"/>
      <c r="B25" s="98"/>
      <c r="C25" s="98"/>
      <c r="D25" s="98"/>
      <c r="E25" s="98"/>
      <c r="F25" s="98"/>
      <c r="G25" s="98"/>
      <c r="H25" s="38">
        <f>0</f>
        <v>0</v>
      </c>
      <c r="I25" s="29">
        <f>G22*H25</f>
        <v>0</v>
      </c>
      <c r="J25">
        <v>4</v>
      </c>
      <c r="N25" s="4">
        <f>IF(ISERR(SEARCH("TRA* 82",C22)),IF(Q25+R25+S25=0,0,I25*(Q25/(Q25+R25+S25))),I25)</f>
        <v>0</v>
      </c>
      <c r="O25" s="4">
        <f>IF(ISERR(SEARCH("TRA* 82",C22)),IF(Q25+R25+S25=0,0,I25*(R25/(Q25+R25+S25))),0)</f>
        <v>0</v>
      </c>
      <c r="P25" s="4">
        <f>IF(ISERR(SEARCH("TRA* 82",C22)),I25-N25-O25,0)</f>
        <v>0</v>
      </c>
      <c r="Q25" s="4">
        <v>0</v>
      </c>
      <c r="R25" s="4">
        <v>0</v>
      </c>
      <c r="S25" s="4">
        <v>0</v>
      </c>
    </row>
    <row r="26" spans="1:19" x14ac:dyDescent="0.3">
      <c r="A26" s="96" t="s">
        <v>27</v>
      </c>
      <c r="B26" s="97"/>
      <c r="C26" s="97"/>
      <c r="D26" s="97"/>
      <c r="E26" s="97"/>
      <c r="F26" s="97"/>
      <c r="G26" s="97"/>
      <c r="H26" s="36">
        <f>H22+H23+H24+H25</f>
        <v>51.371428571428574</v>
      </c>
      <c r="I26" s="74">
        <f>I22+I23+I24+I25</f>
        <v>2517.1999999999998</v>
      </c>
      <c r="J26">
        <v>5</v>
      </c>
    </row>
    <row r="27" spans="1:19" x14ac:dyDescent="0.3">
      <c r="B27" s="2">
        <v>4</v>
      </c>
      <c r="C27" s="3" t="s">
        <v>93</v>
      </c>
      <c r="D27" s="5" t="s">
        <v>25</v>
      </c>
      <c r="G27" s="30">
        <v>75</v>
      </c>
      <c r="H27" s="38">
        <f>2842.52/G27</f>
        <v>37.900266666666667</v>
      </c>
      <c r="I27" s="29">
        <f>G27*H27</f>
        <v>2842.52</v>
      </c>
      <c r="J27">
        <v>1</v>
      </c>
    </row>
    <row r="28" spans="1:19" x14ac:dyDescent="0.3">
      <c r="D28" s="15" t="str">
        <f>SUBSTITUTE("Sp.mat: 0.00%",".",IF(VALUE("1.2")=1.2,".",","),2)</f>
        <v>Sp.mat: 0.00%</v>
      </c>
      <c r="F28" s="15" t="str">
        <f>SUBSTITUTE("Sp.man: 0.00%",".",IF(VALUE("1.2")=1.2,".",","),2)</f>
        <v>Sp.man: 0.00%</v>
      </c>
      <c r="G28" s="35" t="str">
        <f>SUBSTITUTE("Sp.uti: 0.00%",".",IF(VALUE("1.2")=1.2,".",","),2)</f>
        <v>Sp.uti: 0.00%</v>
      </c>
      <c r="H28" s="38">
        <f>2042.17/G27</f>
        <v>27.228933333333334</v>
      </c>
      <c r="I28" s="29">
        <f>G27*H28</f>
        <v>2042.17</v>
      </c>
      <c r="J28">
        <v>2</v>
      </c>
    </row>
    <row r="29" spans="1:19" x14ac:dyDescent="0.3">
      <c r="A29" s="88" t="s">
        <v>94</v>
      </c>
      <c r="B29" s="98"/>
      <c r="C29" s="98"/>
      <c r="D29" s="98"/>
      <c r="E29" s="98"/>
      <c r="F29" s="98"/>
      <c r="G29" s="98"/>
      <c r="H29" s="38">
        <f>(1+IF(OR(ISERR(FIND(":",G28)),ISERR(FIND("%",G28))),0,MID(G28,FIND(":",G28)+2,FIND("%",G28)-FIND(":",G28)-2)/100))*0</f>
        <v>0</v>
      </c>
      <c r="I29" s="29">
        <f>G27*H29</f>
        <v>0</v>
      </c>
      <c r="J29">
        <v>3</v>
      </c>
      <c r="K29" s="4">
        <v>0</v>
      </c>
      <c r="L29" s="4">
        <v>0</v>
      </c>
      <c r="M29" s="4">
        <f>I29-K29-L29</f>
        <v>0</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96" t="s">
        <v>27</v>
      </c>
      <c r="B31" s="97"/>
      <c r="C31" s="97"/>
      <c r="D31" s="97"/>
      <c r="E31" s="97"/>
      <c r="F31" s="97"/>
      <c r="G31" s="97"/>
      <c r="H31" s="36">
        <f>H27+H28+H29+H30</f>
        <v>65.129199999999997</v>
      </c>
      <c r="I31" s="74">
        <f>I27+I28+I29+I30</f>
        <v>4884.6900000000005</v>
      </c>
      <c r="J31">
        <v>5</v>
      </c>
    </row>
    <row r="32" spans="1:19" x14ac:dyDescent="0.3">
      <c r="B32" s="2">
        <v>5</v>
      </c>
      <c r="C32" s="3" t="s">
        <v>95</v>
      </c>
      <c r="D32" s="5" t="s">
        <v>25</v>
      </c>
      <c r="G32" s="30">
        <v>13</v>
      </c>
      <c r="H32" s="38">
        <f>707.69/G32</f>
        <v>54.437692307692309</v>
      </c>
      <c r="I32" s="29">
        <f>G32*H32</f>
        <v>707.69</v>
      </c>
      <c r="J32">
        <v>1</v>
      </c>
    </row>
    <row r="33" spans="1:19" x14ac:dyDescent="0.3">
      <c r="D33" s="15" t="str">
        <f>SUBSTITUTE("Sp.mat: 0.00%",".",IF(VALUE("1.2")=1.2,".",","),2)</f>
        <v>Sp.mat: 0.00%</v>
      </c>
      <c r="F33" s="15" t="str">
        <f>SUBSTITUTE("Sp.man: 0.00%",".",IF(VALUE("1.2")=1.2,".",","),2)</f>
        <v>Sp.man: 0.00%</v>
      </c>
      <c r="G33" s="35" t="str">
        <f>SUBSTITUTE("Sp.uti: 0.00%",".",IF(VALUE("1.2")=1.2,".",","),2)</f>
        <v>Sp.uti: 0.00%</v>
      </c>
      <c r="H33" s="38">
        <f>437.26/G32</f>
        <v>33.635384615384616</v>
      </c>
      <c r="I33" s="29">
        <f>G32*H33</f>
        <v>437.26</v>
      </c>
      <c r="J33">
        <v>2</v>
      </c>
    </row>
    <row r="34" spans="1:19" x14ac:dyDescent="0.3">
      <c r="A34" s="88" t="s">
        <v>96</v>
      </c>
      <c r="B34" s="98"/>
      <c r="C34" s="98"/>
      <c r="D34" s="98"/>
      <c r="E34" s="98"/>
      <c r="F34" s="98"/>
      <c r="G34" s="98"/>
      <c r="H34" s="38">
        <f>(1+IF(OR(ISERR(FIND(":",G33)),ISERR(FIND("%",G33))),0,MID(G33,FIND(":",G33)+2,FIND("%",G33)-FIND(":",G33)-2)/100))*0</f>
        <v>0</v>
      </c>
      <c r="I34" s="29">
        <f>G32*H34</f>
        <v>0</v>
      </c>
      <c r="J34">
        <v>3</v>
      </c>
      <c r="K34" s="4">
        <v>0</v>
      </c>
      <c r="L34" s="4">
        <v>0</v>
      </c>
      <c r="M34" s="4">
        <f>I34-K34-L34</f>
        <v>0</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96" t="s">
        <v>27</v>
      </c>
      <c r="B36" s="97"/>
      <c r="C36" s="97"/>
      <c r="D36" s="97"/>
      <c r="E36" s="97"/>
      <c r="F36" s="97"/>
      <c r="G36" s="97"/>
      <c r="H36" s="36">
        <f>H32+H33+H34+H35</f>
        <v>88.073076923076925</v>
      </c>
      <c r="I36" s="74">
        <f>I32+I33+I34+I35</f>
        <v>1144.95</v>
      </c>
      <c r="J36">
        <v>5</v>
      </c>
    </row>
    <row r="37" spans="1:19" x14ac:dyDescent="0.3">
      <c r="B37" s="2">
        <v>6</v>
      </c>
      <c r="C37" s="3" t="s">
        <v>97</v>
      </c>
      <c r="D37" s="5" t="s">
        <v>25</v>
      </c>
      <c r="G37" s="30">
        <v>85</v>
      </c>
      <c r="H37" s="38">
        <f>(1+IF(OR(ISERR(FIND(":",D38)),ISERR(FIND("%",D38))),0,MID(D38,FIND(":",D38)+2,FIND("%",D38)-FIND(":",D38)-2)/100))*0</f>
        <v>0</v>
      </c>
      <c r="I37" s="29">
        <f>G37*H37</f>
        <v>0</v>
      </c>
      <c r="J37">
        <v>1</v>
      </c>
    </row>
    <row r="38" spans="1:19" x14ac:dyDescent="0.3">
      <c r="D38" s="15" t="str">
        <f>SUBSTITUTE("Sp.mat: 0.00%",".",IF(VALUE("1.2")=1.2,".",","),2)</f>
        <v>Sp.mat: 0.00%</v>
      </c>
      <c r="F38" s="15" t="str">
        <f>SUBSTITUTE("Sp.man: 0.00%",".",IF(VALUE("1.2")=1.2,".",","),2)</f>
        <v>Sp.man: 0.00%</v>
      </c>
      <c r="G38" s="35" t="str">
        <f>SUBSTITUTE("Sp.uti: 0.00%",".",IF(VALUE("1.2")=1.2,".",","),2)</f>
        <v>Sp.uti: 0.00%</v>
      </c>
      <c r="H38" s="38">
        <f>81.69/G37</f>
        <v>0.96105882352941174</v>
      </c>
      <c r="I38" s="29">
        <f>G37*H38</f>
        <v>81.69</v>
      </c>
      <c r="J38">
        <v>2</v>
      </c>
    </row>
    <row r="39" spans="1:19" x14ac:dyDescent="0.3">
      <c r="A39" s="88" t="s">
        <v>98</v>
      </c>
      <c r="B39" s="98"/>
      <c r="C39" s="98"/>
      <c r="D39" s="98"/>
      <c r="E39" s="98"/>
      <c r="F39" s="98"/>
      <c r="G39" s="98"/>
      <c r="H39" s="38">
        <f>(1+IF(OR(ISERR(FIND(":",G38)),ISERR(FIND("%",G38))),0,MID(G38,FIND(":",G38)+2,FIND("%",G38)-FIND(":",G38)-2)/100))*0</f>
        <v>0</v>
      </c>
      <c r="I39" s="29">
        <f>G37*H39</f>
        <v>0</v>
      </c>
      <c r="J39">
        <v>3</v>
      </c>
      <c r="K39" s="4">
        <v>0</v>
      </c>
      <c r="L39" s="4">
        <v>0</v>
      </c>
      <c r="M39" s="4">
        <f>I39-K39-L39</f>
        <v>0</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96" t="s">
        <v>27</v>
      </c>
      <c r="B41" s="97"/>
      <c r="C41" s="97"/>
      <c r="D41" s="97"/>
      <c r="E41" s="97"/>
      <c r="F41" s="97"/>
      <c r="G41" s="97"/>
      <c r="H41" s="36">
        <f>H37+H38+H39+H40</f>
        <v>0.96105882352941174</v>
      </c>
      <c r="I41" s="74">
        <f>I37+I38+I39+I40</f>
        <v>81.69</v>
      </c>
      <c r="J41">
        <v>5</v>
      </c>
    </row>
    <row r="42" spans="1:19" x14ac:dyDescent="0.3">
      <c r="B42" s="2">
        <v>7</v>
      </c>
      <c r="C42" s="3" t="s">
        <v>99</v>
      </c>
      <c r="D42" s="5" t="s">
        <v>25</v>
      </c>
      <c r="G42" s="30">
        <v>137</v>
      </c>
      <c r="H42" s="38">
        <f>(1+IF(OR(ISERR(FIND(":",D43)),ISERR(FIND("%",D43))),0,MID(D43,FIND(":",D43)+2,FIND("%",D43)-FIND(":",D43)-2)/100))*0</f>
        <v>0</v>
      </c>
      <c r="I42" s="29">
        <f>G42*H42</f>
        <v>0</v>
      </c>
      <c r="J42">
        <v>1</v>
      </c>
    </row>
    <row r="43" spans="1:19" x14ac:dyDescent="0.3">
      <c r="D43" s="15" t="str">
        <f>SUBSTITUTE("Sp.mat: 0.00%",".",IF(VALUE("1.2")=1.2,".",","),2)</f>
        <v>Sp.mat: 0.00%</v>
      </c>
      <c r="F43" s="15" t="str">
        <f>SUBSTITUTE("Sp.man: 0.00%",".",IF(VALUE("1.2")=1.2,".",","),2)</f>
        <v>Sp.man: 0.00%</v>
      </c>
      <c r="G43" s="35" t="str">
        <f>SUBSTITUTE("Sp.uti: 0.00%",".",IF(VALUE("1.2")=1.2,".",","),2)</f>
        <v>Sp.uti: 0.00%</v>
      </c>
      <c r="H43" s="38">
        <f>175.55/G42</f>
        <v>1.2813868613138686</v>
      </c>
      <c r="I43" s="29">
        <f>G42*H43</f>
        <v>175.54999999999998</v>
      </c>
      <c r="J43">
        <v>2</v>
      </c>
    </row>
    <row r="44" spans="1:19" x14ac:dyDescent="0.3">
      <c r="A44" s="88" t="s">
        <v>100</v>
      </c>
      <c r="B44" s="98"/>
      <c r="C44" s="98"/>
      <c r="D44" s="98"/>
      <c r="E44" s="98"/>
      <c r="F44" s="98"/>
      <c r="G44" s="98"/>
      <c r="H44" s="38">
        <f>(1+IF(OR(ISERR(FIND(":",G43)),ISERR(FIND("%",G43))),0,MID(G43,FIND(":",G43)+2,FIND("%",G43)-FIND(":",G43)-2)/100))*0</f>
        <v>0</v>
      </c>
      <c r="I44" s="29">
        <f>G42*H44</f>
        <v>0</v>
      </c>
      <c r="J44">
        <v>3</v>
      </c>
      <c r="K44" s="4">
        <v>0</v>
      </c>
      <c r="L44" s="4">
        <v>0</v>
      </c>
      <c r="M44" s="4">
        <f>I44-K44-L44</f>
        <v>0</v>
      </c>
    </row>
    <row r="45" spans="1:19" x14ac:dyDescent="0.3">
      <c r="A45" s="98"/>
      <c r="B45" s="98"/>
      <c r="C45" s="98"/>
      <c r="D45" s="98"/>
      <c r="E45" s="98"/>
      <c r="F45" s="98"/>
      <c r="G45" s="98"/>
      <c r="H45" s="38">
        <f>0</f>
        <v>0</v>
      </c>
      <c r="I45" s="29">
        <f>G42*H45</f>
        <v>0</v>
      </c>
      <c r="J45">
        <v>4</v>
      </c>
      <c r="N45" s="4">
        <f>IF(ISERR(SEARCH("TRA* 82",C42)),IF(Q45+R45+S45=0,0,I45*(Q45/(Q45+R45+S45))),I45)</f>
        <v>0</v>
      </c>
      <c r="O45" s="4">
        <f>IF(ISERR(SEARCH("TRA* 82",C42)),IF(Q45+R45+S45=0,0,I45*(R45/(Q45+R45+S45))),0)</f>
        <v>0</v>
      </c>
      <c r="P45" s="4">
        <f>IF(ISERR(SEARCH("TRA* 82",C42)),I45-N45-O45,0)</f>
        <v>0</v>
      </c>
      <c r="Q45" s="4">
        <v>0</v>
      </c>
      <c r="R45" s="4">
        <v>0</v>
      </c>
      <c r="S45" s="4">
        <v>0</v>
      </c>
    </row>
    <row r="46" spans="1:19" x14ac:dyDescent="0.3">
      <c r="A46" s="96" t="s">
        <v>27</v>
      </c>
      <c r="B46" s="97"/>
      <c r="C46" s="97"/>
      <c r="D46" s="97"/>
      <c r="E46" s="97"/>
      <c r="F46" s="97"/>
      <c r="G46" s="97"/>
      <c r="H46" s="36">
        <f>H42+H43+H44+H45</f>
        <v>1.2813868613138686</v>
      </c>
      <c r="I46" s="74">
        <f>I42+I43+I44+I45</f>
        <v>175.54999999999998</v>
      </c>
      <c r="J46">
        <v>5</v>
      </c>
    </row>
    <row r="47" spans="1:19" x14ac:dyDescent="0.3">
      <c r="B47" s="2">
        <v>8</v>
      </c>
      <c r="C47" s="3" t="s">
        <v>101</v>
      </c>
      <c r="D47" s="5" t="s">
        <v>29</v>
      </c>
      <c r="G47" s="30">
        <v>1</v>
      </c>
      <c r="H47" s="38">
        <v>143.85</v>
      </c>
      <c r="I47" s="29">
        <f>G47*H47</f>
        <v>143.85</v>
      </c>
      <c r="J47">
        <v>1</v>
      </c>
    </row>
    <row r="48" spans="1:19" x14ac:dyDescent="0.3">
      <c r="D48" s="15" t="str">
        <f>SUBSTITUTE("Sp.mat: 0.00%",".",IF(VALUE("1.2")=1.2,".",","),2)</f>
        <v>Sp.mat: 0.00%</v>
      </c>
      <c r="F48" s="15" t="str">
        <f>SUBSTITUTE("Sp.man: 0.00%",".",IF(VALUE("1.2")=1.2,".",","),2)</f>
        <v>Sp.man: 0.00%</v>
      </c>
      <c r="G48" s="35" t="str">
        <f>SUBSTITUTE("Sp.uti: 0.00%",".",IF(VALUE("1.2")=1.2,".",","),2)</f>
        <v>Sp.uti: 0.00%</v>
      </c>
      <c r="H48" s="38">
        <v>54.46</v>
      </c>
      <c r="I48" s="29">
        <f>G47*H48</f>
        <v>54.46</v>
      </c>
      <c r="J48">
        <v>2</v>
      </c>
    </row>
    <row r="49" spans="1:19" x14ac:dyDescent="0.3">
      <c r="A49" s="88" t="s">
        <v>102</v>
      </c>
      <c r="B49" s="98"/>
      <c r="C49" s="98"/>
      <c r="D49" s="98"/>
      <c r="E49" s="98"/>
      <c r="F49" s="98"/>
      <c r="G49" s="98"/>
      <c r="H49" s="38">
        <f>(1+IF(OR(ISERR(FIND(":",G48)),ISERR(FIND("%",G48))),0,MID(G48,FIND(":",G48)+2,FIND("%",G48)-FIND(":",G48)-2)/100))*0</f>
        <v>0</v>
      </c>
      <c r="I49" s="29">
        <f>G47*H49</f>
        <v>0</v>
      </c>
      <c r="J49">
        <v>3</v>
      </c>
      <c r="K49" s="4">
        <v>0</v>
      </c>
      <c r="L49" s="4">
        <v>0</v>
      </c>
      <c r="M49" s="4">
        <f>I49-K49-L49</f>
        <v>0</v>
      </c>
    </row>
    <row r="50" spans="1:19" x14ac:dyDescent="0.3">
      <c r="A50" s="98"/>
      <c r="B50" s="98"/>
      <c r="C50" s="98"/>
      <c r="D50" s="98"/>
      <c r="E50" s="98"/>
      <c r="F50" s="98"/>
      <c r="G50" s="98"/>
      <c r="H50" s="38">
        <f>0</f>
        <v>0</v>
      </c>
      <c r="I50" s="29">
        <f>G47*H50</f>
        <v>0</v>
      </c>
      <c r="J50">
        <v>4</v>
      </c>
      <c r="N50" s="4">
        <f>IF(ISERR(SEARCH("TRA* 82",C47)),IF(Q50+R50+S50=0,0,I50*(Q50/(Q50+R50+S50))),I50)</f>
        <v>0</v>
      </c>
      <c r="O50" s="4">
        <f>IF(ISERR(SEARCH("TRA* 82",C47)),IF(Q50+R50+S50=0,0,I50*(R50/(Q50+R50+S50))),0)</f>
        <v>0</v>
      </c>
      <c r="P50" s="4">
        <f>IF(ISERR(SEARCH("TRA* 82",C47)),I50-N50-O50,0)</f>
        <v>0</v>
      </c>
      <c r="Q50" s="4">
        <v>0</v>
      </c>
      <c r="R50" s="4">
        <v>0</v>
      </c>
      <c r="S50" s="4">
        <v>0</v>
      </c>
    </row>
    <row r="51" spans="1:19" x14ac:dyDescent="0.3">
      <c r="A51" s="100" t="s">
        <v>87</v>
      </c>
      <c r="B51" s="101"/>
      <c r="C51" s="101"/>
      <c r="D51" s="101"/>
      <c r="E51" s="101"/>
      <c r="F51" s="101"/>
      <c r="G51" s="101"/>
      <c r="H51" s="33">
        <f>H47+H48+H49+H50</f>
        <v>198.31</v>
      </c>
      <c r="I51" s="37">
        <f>I47+I48+I49+I50</f>
        <v>198.31</v>
      </c>
      <c r="J51">
        <v>5</v>
      </c>
    </row>
    <row r="52" spans="1:19" x14ac:dyDescent="0.3">
      <c r="A52" s="102" t="s">
        <v>103</v>
      </c>
      <c r="B52" s="102"/>
      <c r="C52" s="102"/>
      <c r="D52" s="102"/>
      <c r="E52" s="102"/>
      <c r="F52" s="102"/>
      <c r="G52" s="102"/>
      <c r="H52" s="102"/>
      <c r="I52" s="102"/>
    </row>
    <row r="53" spans="1:19" x14ac:dyDescent="0.3">
      <c r="A53" s="97" t="s">
        <v>104</v>
      </c>
      <c r="B53" s="97"/>
      <c r="C53" s="97"/>
      <c r="D53" s="97"/>
      <c r="E53" s="97"/>
      <c r="F53" s="97"/>
      <c r="G53" s="97"/>
      <c r="H53" s="97"/>
      <c r="I53" s="97"/>
    </row>
    <row r="54" spans="1:19" x14ac:dyDescent="0.3">
      <c r="B54" s="2">
        <v>9</v>
      </c>
      <c r="C54" s="3" t="s">
        <v>105</v>
      </c>
      <c r="D54" s="5" t="s">
        <v>29</v>
      </c>
      <c r="G54" s="30">
        <v>1</v>
      </c>
      <c r="H54" s="38">
        <v>2117.08</v>
      </c>
      <c r="I54" s="29">
        <f>G54*H54</f>
        <v>2117.08</v>
      </c>
      <c r="J54">
        <v>1</v>
      </c>
    </row>
    <row r="55" spans="1:19" x14ac:dyDescent="0.3">
      <c r="D55" s="15" t="str">
        <f>SUBSTITUTE("Sp.mat: 0.00%",".",IF(VALUE("1.2")=1.2,".",","),2)</f>
        <v>Sp.mat: 0.00%</v>
      </c>
      <c r="F55" s="15" t="str">
        <f>SUBSTITUTE("Sp.man: 0.00%",".",IF(VALUE("1.2")=1.2,".",","),2)</f>
        <v>Sp.man: 0.00%</v>
      </c>
      <c r="G55" s="35" t="str">
        <f>SUBSTITUTE("Sp.uti: 0.00%",".",IF(VALUE("1.2")=1.2,".",","),2)</f>
        <v>Sp.uti: 0.00%</v>
      </c>
      <c r="H55" s="38">
        <v>36.840000000000003</v>
      </c>
      <c r="I55" s="29">
        <f>G54*H55</f>
        <v>36.840000000000003</v>
      </c>
      <c r="J55">
        <v>2</v>
      </c>
    </row>
    <row r="56" spans="1:19" x14ac:dyDescent="0.3">
      <c r="A56" s="88" t="s">
        <v>106</v>
      </c>
      <c r="B56" s="98"/>
      <c r="C56" s="98"/>
      <c r="D56" s="98"/>
      <c r="E56" s="98"/>
      <c r="F56" s="98"/>
      <c r="G56" s="98"/>
      <c r="H56" s="38">
        <f>(1+IF(OR(ISERR(FIND(":",G55)),ISERR(FIND("%",G55))),0,MID(G55,FIND(":",G55)+2,FIND("%",G55)-FIND(":",G55)-2)/100))*0</f>
        <v>0</v>
      </c>
      <c r="I56" s="29">
        <f>G54*H56</f>
        <v>0</v>
      </c>
      <c r="J56">
        <v>3</v>
      </c>
      <c r="K56" s="4">
        <v>0</v>
      </c>
      <c r="L56" s="4">
        <v>0</v>
      </c>
      <c r="M56" s="4">
        <f>I56-K56-L56</f>
        <v>0</v>
      </c>
    </row>
    <row r="57" spans="1:19" x14ac:dyDescent="0.3">
      <c r="A57" s="98"/>
      <c r="B57" s="98"/>
      <c r="C57" s="98"/>
      <c r="D57" s="98"/>
      <c r="E57" s="98"/>
      <c r="F57" s="98"/>
      <c r="G57" s="98"/>
      <c r="H57" s="38">
        <f>0</f>
        <v>0</v>
      </c>
      <c r="I57" s="29">
        <f>G54*H57</f>
        <v>0</v>
      </c>
      <c r="J57">
        <v>4</v>
      </c>
      <c r="N57" s="4">
        <f>IF(ISERR(SEARCH("TRA* 82",C54)),IF(Q57+R57+S57=0,0,I57*(Q57/(Q57+R57+S57))),I57)</f>
        <v>0</v>
      </c>
      <c r="O57" s="4">
        <f>IF(ISERR(SEARCH("TRA* 82",C54)),IF(Q57+R57+S57=0,0,I57*(R57/(Q57+R57+S57))),0)</f>
        <v>0</v>
      </c>
      <c r="P57" s="4">
        <f>IF(ISERR(SEARCH("TRA* 82",C54)),I57-N57-O57,0)</f>
        <v>0</v>
      </c>
      <c r="Q57" s="4">
        <v>0</v>
      </c>
      <c r="R57" s="4">
        <v>0</v>
      </c>
      <c r="S57" s="4">
        <v>0</v>
      </c>
    </row>
    <row r="58" spans="1:19" x14ac:dyDescent="0.3">
      <c r="A58" s="100" t="s">
        <v>87</v>
      </c>
      <c r="B58" s="101"/>
      <c r="C58" s="101"/>
      <c r="D58" s="101"/>
      <c r="E58" s="101"/>
      <c r="F58" s="101"/>
      <c r="G58" s="101"/>
      <c r="H58" s="33">
        <f>H54+H55+H56+H57</f>
        <v>2153.92</v>
      </c>
      <c r="I58" s="37">
        <f>I54+I55+I56+I57</f>
        <v>2153.92</v>
      </c>
      <c r="J58">
        <v>5</v>
      </c>
    </row>
    <row r="59" spans="1:19" x14ac:dyDescent="0.3">
      <c r="A59" s="99" t="s">
        <v>107</v>
      </c>
      <c r="B59" s="99"/>
      <c r="C59" s="99"/>
      <c r="D59" s="99"/>
      <c r="E59" s="99"/>
      <c r="F59" s="99"/>
      <c r="G59" s="99"/>
      <c r="H59" s="99"/>
      <c r="I59" s="99"/>
    </row>
    <row r="60" spans="1:19" x14ac:dyDescent="0.3">
      <c r="B60" s="2">
        <v>10</v>
      </c>
      <c r="C60" s="3" t="s">
        <v>108</v>
      </c>
      <c r="D60" s="5" t="s">
        <v>25</v>
      </c>
      <c r="G60" s="30">
        <v>40</v>
      </c>
      <c r="H60" s="38">
        <f>(1+IF(OR(ISERR(FIND(":",D61)),ISERR(FIND("%",D61))),0,MID(D61,FIND(":",D61)+2,FIND("%",D61)-FIND(":",D61)-2)/100))*0</f>
        <v>0</v>
      </c>
      <c r="I60" s="29">
        <f>G60*H60</f>
        <v>0</v>
      </c>
      <c r="J60">
        <v>1</v>
      </c>
    </row>
    <row r="61" spans="1:19" x14ac:dyDescent="0.3">
      <c r="D61" s="15" t="str">
        <f>SUBSTITUTE("Sp.mat: 0.00%",".",IF(VALUE("1.2")=1.2,".",","),2)</f>
        <v>Sp.mat: 0.00%</v>
      </c>
      <c r="F61" s="15" t="str">
        <f>SUBSTITUTE("Sp.man: 0.00%",".",IF(VALUE("1.2")=1.2,".",","),2)</f>
        <v>Sp.man: 0.00%</v>
      </c>
      <c r="G61" s="35" t="str">
        <f>SUBSTITUTE("Sp.uti: 0.00%",".",IF(VALUE("1.2")=1.2,".",","),2)</f>
        <v>Sp.uti: 0.00%</v>
      </c>
      <c r="H61" s="38">
        <f>640.68/G60</f>
        <v>16.016999999999999</v>
      </c>
      <c r="I61" s="29">
        <f>G60*H61</f>
        <v>640.67999999999995</v>
      </c>
      <c r="J61">
        <v>2</v>
      </c>
    </row>
    <row r="62" spans="1:19" x14ac:dyDescent="0.3">
      <c r="A62" s="88" t="s">
        <v>109</v>
      </c>
      <c r="B62" s="98"/>
      <c r="C62" s="98"/>
      <c r="D62" s="98"/>
      <c r="E62" s="98"/>
      <c r="F62" s="98"/>
      <c r="G62" s="98"/>
      <c r="H62" s="38">
        <f>(1+IF(OR(ISERR(FIND(":",G61)),ISERR(FIND("%",G61))),0,MID(G61,FIND(":",G61)+2,FIND("%",G61)-FIND(":",G61)-2)/100))*0</f>
        <v>0</v>
      </c>
      <c r="I62" s="29">
        <f>G60*H62</f>
        <v>0</v>
      </c>
      <c r="J62">
        <v>3</v>
      </c>
      <c r="K62" s="4">
        <v>0</v>
      </c>
      <c r="L62" s="4">
        <v>0</v>
      </c>
      <c r="M62" s="4">
        <f>I62-K62-L62</f>
        <v>0</v>
      </c>
    </row>
    <row r="63" spans="1:19" x14ac:dyDescent="0.3">
      <c r="A63" s="98"/>
      <c r="B63" s="98"/>
      <c r="C63" s="98"/>
      <c r="D63" s="98"/>
      <c r="E63" s="98"/>
      <c r="F63" s="98"/>
      <c r="G63" s="98"/>
      <c r="H63" s="38">
        <f>0</f>
        <v>0</v>
      </c>
      <c r="I63" s="29">
        <f>G60*H63</f>
        <v>0</v>
      </c>
      <c r="J63">
        <v>4</v>
      </c>
      <c r="N63" s="4">
        <f>IF(ISERR(SEARCH("TRA* 82",C60)),IF(Q63+R63+S63=0,0,I63*(Q63/(Q63+R63+S63))),I63)</f>
        <v>0</v>
      </c>
      <c r="O63" s="4">
        <f>IF(ISERR(SEARCH("TRA* 82",C60)),IF(Q63+R63+S63=0,0,I63*(R63/(Q63+R63+S63))),0)</f>
        <v>0</v>
      </c>
      <c r="P63" s="4">
        <f>IF(ISERR(SEARCH("TRA* 82",C60)),I63-N63-O63,0)</f>
        <v>0</v>
      </c>
      <c r="Q63" s="4">
        <v>0</v>
      </c>
      <c r="R63" s="4">
        <v>0</v>
      </c>
      <c r="S63" s="4">
        <v>0</v>
      </c>
    </row>
    <row r="64" spans="1:19" x14ac:dyDescent="0.3">
      <c r="A64" s="100" t="s">
        <v>110</v>
      </c>
      <c r="B64" s="101"/>
      <c r="C64" s="101"/>
      <c r="D64" s="101"/>
      <c r="E64" s="101"/>
      <c r="F64" s="101"/>
      <c r="G64" s="101"/>
      <c r="H64" s="33">
        <f>H60+H61+H62+H63</f>
        <v>16.016999999999999</v>
      </c>
      <c r="I64" s="37">
        <f>I60+I61+I62+I63</f>
        <v>640.67999999999995</v>
      </c>
      <c r="J64">
        <v>5</v>
      </c>
    </row>
    <row r="65" spans="1:19" x14ac:dyDescent="0.3">
      <c r="A65" s="102" t="s">
        <v>111</v>
      </c>
      <c r="B65" s="102"/>
      <c r="C65" s="102"/>
      <c r="D65" s="102"/>
      <c r="E65" s="102"/>
      <c r="F65" s="102"/>
      <c r="G65" s="102"/>
      <c r="H65" s="102"/>
      <c r="I65" s="102"/>
    </row>
    <row r="66" spans="1:19" x14ac:dyDescent="0.3">
      <c r="A66" s="97" t="s">
        <v>112</v>
      </c>
      <c r="B66" s="97"/>
      <c r="C66" s="97"/>
      <c r="D66" s="97"/>
      <c r="E66" s="97"/>
      <c r="F66" s="97"/>
      <c r="G66" s="97"/>
      <c r="H66" s="97"/>
      <c r="I66" s="97"/>
    </row>
    <row r="67" spans="1:19" x14ac:dyDescent="0.3">
      <c r="B67" s="2">
        <v>11</v>
      </c>
      <c r="C67" s="3" t="s">
        <v>113</v>
      </c>
      <c r="D67" s="5" t="s">
        <v>29</v>
      </c>
      <c r="G67" s="30">
        <v>40</v>
      </c>
      <c r="H67" s="38">
        <f>17939.04/G67</f>
        <v>448.476</v>
      </c>
      <c r="I67" s="29">
        <f>G67*H67</f>
        <v>17939.04</v>
      </c>
      <c r="J67">
        <v>1</v>
      </c>
    </row>
    <row r="68" spans="1:19" x14ac:dyDescent="0.3">
      <c r="D68" s="15" t="str">
        <f>SUBSTITUTE("Sp.mat: 0.00%",".",IF(VALUE("1.2")=1.2,".",","),2)</f>
        <v>Sp.mat: 0.00%</v>
      </c>
      <c r="F68" s="15" t="str">
        <f>SUBSTITUTE("Sp.man: 0.00%",".",IF(VALUE("1.2")=1.2,".",","),2)</f>
        <v>Sp.man: 0.00%</v>
      </c>
      <c r="G68" s="35" t="str">
        <f>SUBSTITUTE("Sp.uti: 0.00%",".",IF(VALUE("1.2")=1.2,".",","),2)</f>
        <v>Sp.uti: 0.00%</v>
      </c>
      <c r="H68" s="38">
        <f>(1+IF(OR(ISERR(FIND(":",F68)),ISERR(FIND("%",F68))),0,MID(F68,FIND(":",F68)+2,FIND("%",F68)-FIND(":",F68)-2)/100))*0</f>
        <v>0</v>
      </c>
      <c r="I68" s="29">
        <f>G67*H68</f>
        <v>0</v>
      </c>
      <c r="J68">
        <v>2</v>
      </c>
    </row>
    <row r="69" spans="1:19" x14ac:dyDescent="0.3">
      <c r="A69" s="88" t="s">
        <v>114</v>
      </c>
      <c r="B69" s="98"/>
      <c r="C69" s="98"/>
      <c r="D69" s="98"/>
      <c r="E69" s="98"/>
      <c r="F69" s="98"/>
      <c r="G69" s="98"/>
      <c r="H69" s="38">
        <f>(1+IF(OR(ISERR(FIND(":",G68)),ISERR(FIND("%",G68))),0,MID(G68,FIND(":",G68)+2,FIND("%",G68)-FIND(":",G68)-2)/100))*0</f>
        <v>0</v>
      </c>
      <c r="I69" s="29">
        <f>G67*H69</f>
        <v>0</v>
      </c>
      <c r="J69">
        <v>3</v>
      </c>
      <c r="K69" s="4">
        <v>0</v>
      </c>
      <c r="L69" s="4">
        <v>0</v>
      </c>
      <c r="M69" s="4">
        <f>I69-K69-L69</f>
        <v>0</v>
      </c>
    </row>
    <row r="70" spans="1:19" x14ac:dyDescent="0.3">
      <c r="A70" s="98"/>
      <c r="B70" s="98"/>
      <c r="C70" s="98"/>
      <c r="D70" s="98"/>
      <c r="E70" s="98"/>
      <c r="F70" s="98"/>
      <c r="G70" s="98"/>
      <c r="H70" s="38">
        <f>0</f>
        <v>0</v>
      </c>
      <c r="I70" s="29">
        <f>G67*H70</f>
        <v>0</v>
      </c>
      <c r="J70">
        <v>4</v>
      </c>
      <c r="N70" s="4">
        <f>IF(ISERR(SEARCH("TRA* 82",C67)),IF(Q70+R70+S70=0,0,I70*(Q70/(Q70+R70+S70))),I70)</f>
        <v>0</v>
      </c>
      <c r="O70" s="4">
        <f>IF(ISERR(SEARCH("TRA* 82",C67)),IF(Q70+R70+S70=0,0,I70*(R70/(Q70+R70+S70))),0)</f>
        <v>0</v>
      </c>
      <c r="P70" s="4">
        <f>IF(ISERR(SEARCH("TRA* 82",C67)),I70-N70-O70,0)</f>
        <v>0</v>
      </c>
      <c r="Q70" s="4">
        <v>0</v>
      </c>
      <c r="R70" s="4">
        <v>0</v>
      </c>
      <c r="S70" s="4">
        <v>0</v>
      </c>
    </row>
    <row r="71" spans="1:19" x14ac:dyDescent="0.3">
      <c r="A71" s="100" t="s">
        <v>27</v>
      </c>
      <c r="B71" s="101"/>
      <c r="C71" s="101"/>
      <c r="D71" s="101"/>
      <c r="E71" s="101"/>
      <c r="F71" s="101"/>
      <c r="G71" s="101"/>
      <c r="H71" s="33">
        <f>H67+H68+H69+H70</f>
        <v>448.476</v>
      </c>
      <c r="I71" s="37">
        <f>I67+I68+I69+I70</f>
        <v>17939.04</v>
      </c>
      <c r="J71">
        <v>5</v>
      </c>
    </row>
    <row r="72" spans="1:19" x14ac:dyDescent="0.3">
      <c r="A72" s="102" t="s">
        <v>111</v>
      </c>
      <c r="B72" s="102"/>
      <c r="C72" s="102"/>
      <c r="D72" s="102"/>
      <c r="E72" s="102"/>
      <c r="F72" s="102"/>
      <c r="G72" s="102"/>
      <c r="H72" s="102"/>
      <c r="I72" s="102"/>
    </row>
    <row r="73" spans="1:19" x14ac:dyDescent="0.3">
      <c r="A73" s="97" t="s">
        <v>112</v>
      </c>
      <c r="B73" s="97"/>
      <c r="C73" s="97"/>
      <c r="D73" s="97"/>
      <c r="E73" s="97"/>
      <c r="F73" s="97"/>
      <c r="G73" s="97"/>
      <c r="H73" s="97"/>
      <c r="I73" s="97"/>
    </row>
    <row r="74" spans="1:19" x14ac:dyDescent="0.3">
      <c r="B74" s="2">
        <v>12</v>
      </c>
      <c r="C74" s="3" t="s">
        <v>115</v>
      </c>
      <c r="D74" s="5" t="s">
        <v>25</v>
      </c>
      <c r="G74" s="30">
        <v>49</v>
      </c>
      <c r="H74" s="38">
        <f>320.94/G74</f>
        <v>6.5497959183673471</v>
      </c>
      <c r="I74" s="29">
        <f>G74*H74</f>
        <v>320.94</v>
      </c>
      <c r="J74">
        <v>1</v>
      </c>
    </row>
    <row r="75" spans="1:19" x14ac:dyDescent="0.3">
      <c r="D75" s="15" t="str">
        <f>SUBSTITUTE("Sp.mat: 0.00%",".",IF(VALUE("1.2")=1.2,".",","),2)</f>
        <v>Sp.mat: 0.00%</v>
      </c>
      <c r="F75" s="15" t="str">
        <f>SUBSTITUTE("Sp.man: 0.00%",".",IF(VALUE("1.2")=1.2,".",","),2)</f>
        <v>Sp.man: 0.00%</v>
      </c>
      <c r="G75" s="35" t="str">
        <f>SUBSTITUTE("Sp.uti: 0.00%",".",IF(VALUE("1.2")=1.2,".",","),2)</f>
        <v>Sp.uti: 0.00%</v>
      </c>
      <c r="H75" s="38">
        <f>133.42/G74</f>
        <v>2.7228571428571424</v>
      </c>
      <c r="I75" s="29">
        <f>G74*H75</f>
        <v>133.41999999999999</v>
      </c>
      <c r="J75">
        <v>2</v>
      </c>
    </row>
    <row r="76" spans="1:19" x14ac:dyDescent="0.3">
      <c r="A76" s="88" t="s">
        <v>116</v>
      </c>
      <c r="B76" s="98"/>
      <c r="C76" s="98"/>
      <c r="D76" s="98"/>
      <c r="E76" s="98"/>
      <c r="F76" s="98"/>
      <c r="G76" s="98"/>
      <c r="H76" s="38">
        <f>0.06/G74</f>
        <v>1.2244897959183673E-3</v>
      </c>
      <c r="I76" s="29">
        <f>G74*H76</f>
        <v>0.06</v>
      </c>
      <c r="J76">
        <v>3</v>
      </c>
      <c r="K76" s="4">
        <v>0.12495000000000001</v>
      </c>
      <c r="L76" s="4">
        <v>0</v>
      </c>
      <c r="M76" s="4">
        <f>I76-K76-L76</f>
        <v>-6.4950000000000008E-2</v>
      </c>
    </row>
    <row r="77" spans="1:19" x14ac:dyDescent="0.3">
      <c r="A77" s="98"/>
      <c r="B77" s="98"/>
      <c r="C77" s="98"/>
      <c r="D77" s="98"/>
      <c r="E77" s="98"/>
      <c r="F77" s="98"/>
      <c r="G77" s="98"/>
      <c r="H77" s="38">
        <f>0</f>
        <v>0</v>
      </c>
      <c r="I77" s="29">
        <f>G74*H77</f>
        <v>0</v>
      </c>
      <c r="J77">
        <v>4</v>
      </c>
      <c r="N77" s="4">
        <f>IF(ISERR(SEARCH("TRA* 82",C74)),IF(Q77+R77+S77=0,0,I77*(Q77/(Q77+R77+S77))),I77)</f>
        <v>0</v>
      </c>
      <c r="O77" s="4">
        <f>IF(ISERR(SEARCH("TRA* 82",C74)),IF(Q77+R77+S77=0,0,I77*(R77/(Q77+R77+S77))),0)</f>
        <v>0</v>
      </c>
      <c r="P77" s="4">
        <f>IF(ISERR(SEARCH("TRA* 82",C74)),I77-N77-O77,0)</f>
        <v>0</v>
      </c>
      <c r="Q77" s="4">
        <v>0</v>
      </c>
      <c r="R77" s="4">
        <v>0</v>
      </c>
      <c r="S77" s="4">
        <v>0</v>
      </c>
    </row>
    <row r="78" spans="1:19" x14ac:dyDescent="0.3">
      <c r="A78" s="100" t="s">
        <v>87</v>
      </c>
      <c r="B78" s="101"/>
      <c r="C78" s="101"/>
      <c r="D78" s="101"/>
      <c r="E78" s="101"/>
      <c r="F78" s="101"/>
      <c r="G78" s="101"/>
      <c r="H78" s="33">
        <f>H74+H75+H76+H77</f>
        <v>9.2738775510204068</v>
      </c>
      <c r="I78" s="37">
        <f>I74+I75+I76+I77</f>
        <v>454.42</v>
      </c>
      <c r="J78">
        <v>5</v>
      </c>
    </row>
    <row r="79" spans="1:19" x14ac:dyDescent="0.3">
      <c r="A79" s="99" t="s">
        <v>117</v>
      </c>
      <c r="B79" s="99"/>
      <c r="C79" s="99"/>
      <c r="D79" s="99"/>
      <c r="E79" s="99"/>
      <c r="F79" s="99"/>
      <c r="G79" s="99"/>
      <c r="H79" s="99"/>
      <c r="I79" s="99"/>
    </row>
    <row r="80" spans="1:19" x14ac:dyDescent="0.3">
      <c r="B80" s="2">
        <v>13</v>
      </c>
      <c r="C80" s="3" t="s">
        <v>115</v>
      </c>
      <c r="D80" s="5" t="s">
        <v>25</v>
      </c>
      <c r="G80" s="30">
        <v>41</v>
      </c>
      <c r="H80" s="38">
        <f>287.4/G80</f>
        <v>7.0097560975609747</v>
      </c>
      <c r="I80" s="29">
        <f>G80*H80</f>
        <v>287.39999999999998</v>
      </c>
      <c r="J80">
        <v>1</v>
      </c>
    </row>
    <row r="81" spans="1:19" x14ac:dyDescent="0.3">
      <c r="D81" s="15" t="str">
        <f>SUBSTITUTE("Sp.mat: 0.00%",".",IF(VALUE("1.2")=1.2,".",","),2)</f>
        <v>Sp.mat: 0.00%</v>
      </c>
      <c r="F81" s="15" t="str">
        <f>SUBSTITUTE("Sp.man: 0.00%",".",IF(VALUE("1.2")=1.2,".",","),2)</f>
        <v>Sp.man: 0.00%</v>
      </c>
      <c r="G81" s="35" t="str">
        <f>SUBSTITUTE("Sp.uti: 0.00%",".",IF(VALUE("1.2")=1.2,".",","),2)</f>
        <v>Sp.uti: 0.00%</v>
      </c>
      <c r="H81" s="38">
        <f>111.64/G80</f>
        <v>2.7229268292682929</v>
      </c>
      <c r="I81" s="29">
        <f>G80*H81</f>
        <v>111.64000000000001</v>
      </c>
      <c r="J81">
        <v>2</v>
      </c>
    </row>
    <row r="82" spans="1:19" x14ac:dyDescent="0.3">
      <c r="A82" s="88" t="s">
        <v>116</v>
      </c>
      <c r="B82" s="98"/>
      <c r="C82" s="98"/>
      <c r="D82" s="98"/>
      <c r="E82" s="98"/>
      <c r="F82" s="98"/>
      <c r="G82" s="98"/>
      <c r="H82" s="38">
        <f>0.05/G80</f>
        <v>1.2195121951219512E-3</v>
      </c>
      <c r="I82" s="29">
        <f>G80*H82</f>
        <v>0.05</v>
      </c>
      <c r="J82">
        <v>3</v>
      </c>
      <c r="K82" s="4">
        <v>0.10455</v>
      </c>
      <c r="L82" s="4">
        <v>0</v>
      </c>
      <c r="M82" s="4">
        <f>I82-K82-L82</f>
        <v>-5.4550000000000001E-2</v>
      </c>
    </row>
    <row r="83" spans="1:19" x14ac:dyDescent="0.3">
      <c r="A83" s="98"/>
      <c r="B83" s="98"/>
      <c r="C83" s="98"/>
      <c r="D83" s="98"/>
      <c r="E83" s="98"/>
      <c r="F83" s="98"/>
      <c r="G83" s="98"/>
      <c r="H83" s="38">
        <f>0</f>
        <v>0</v>
      </c>
      <c r="I83" s="29">
        <f>G80*H83</f>
        <v>0</v>
      </c>
      <c r="J83">
        <v>4</v>
      </c>
      <c r="N83" s="4">
        <f>IF(ISERR(SEARCH("TRA* 82",C80)),IF(Q83+R83+S83=0,0,I83*(Q83/(Q83+R83+S83))),I83)</f>
        <v>0</v>
      </c>
      <c r="O83" s="4">
        <f>IF(ISERR(SEARCH("TRA* 82",C80)),IF(Q83+R83+S83=0,0,I83*(R83/(Q83+R83+S83))),0)</f>
        <v>0</v>
      </c>
      <c r="P83" s="4">
        <f>IF(ISERR(SEARCH("TRA* 82",C80)),I83-N83-O83,0)</f>
        <v>0</v>
      </c>
      <c r="Q83" s="4">
        <v>0</v>
      </c>
      <c r="R83" s="4">
        <v>0</v>
      </c>
      <c r="S83" s="4">
        <v>0</v>
      </c>
    </row>
    <row r="84" spans="1:19" x14ac:dyDescent="0.3">
      <c r="A84" s="100" t="s">
        <v>87</v>
      </c>
      <c r="B84" s="101"/>
      <c r="C84" s="101"/>
      <c r="D84" s="101"/>
      <c r="E84" s="101"/>
      <c r="F84" s="101"/>
      <c r="G84" s="101"/>
      <c r="H84" s="33">
        <f>H80+H81+H82+H83</f>
        <v>9.7339024390243907</v>
      </c>
      <c r="I84" s="37">
        <f>I80+I81+I82+I83</f>
        <v>399.09</v>
      </c>
      <c r="J84">
        <v>5</v>
      </c>
    </row>
    <row r="85" spans="1:19" x14ac:dyDescent="0.3">
      <c r="A85" s="99" t="s">
        <v>118</v>
      </c>
      <c r="B85" s="99"/>
      <c r="C85" s="99"/>
      <c r="D85" s="99"/>
      <c r="E85" s="99"/>
      <c r="F85" s="99"/>
      <c r="G85" s="99"/>
      <c r="H85" s="99"/>
      <c r="I85" s="99"/>
    </row>
    <row r="86" spans="1:19" x14ac:dyDescent="0.3">
      <c r="B86" s="2">
        <v>14</v>
      </c>
      <c r="C86" s="3" t="s">
        <v>119</v>
      </c>
      <c r="D86" s="5" t="s">
        <v>25</v>
      </c>
      <c r="G86" s="30">
        <v>51</v>
      </c>
      <c r="H86" s="38">
        <f>578.62/G86</f>
        <v>11.345490196078432</v>
      </c>
      <c r="I86" s="29">
        <f>G86*H86</f>
        <v>578.62</v>
      </c>
      <c r="J86">
        <v>1</v>
      </c>
    </row>
    <row r="87" spans="1:19" x14ac:dyDescent="0.3">
      <c r="D87" s="15" t="str">
        <f>SUBSTITUTE("Sp.mat: 0.00%",".",IF(VALUE("1.2")=1.2,".",","),2)</f>
        <v>Sp.mat: 0.00%</v>
      </c>
      <c r="F87" s="15" t="str">
        <f>SUBSTITUTE("Sp.man: 0.00%",".",IF(VALUE("1.2")=1.2,".",","),2)</f>
        <v>Sp.man: 0.00%</v>
      </c>
      <c r="G87" s="35" t="str">
        <f>SUBSTITUTE("Sp.uti: 0.00%",".",IF(VALUE("1.2")=1.2,".",","),2)</f>
        <v>Sp.uti: 0.00%</v>
      </c>
      <c r="H87" s="38">
        <f>155.2/G86</f>
        <v>3.0431372549019606</v>
      </c>
      <c r="I87" s="29">
        <f>G86*H87</f>
        <v>155.19999999999999</v>
      </c>
      <c r="J87">
        <v>2</v>
      </c>
    </row>
    <row r="88" spans="1:19" x14ac:dyDescent="0.3">
      <c r="A88" s="88" t="s">
        <v>120</v>
      </c>
      <c r="B88" s="98"/>
      <c r="C88" s="98"/>
      <c r="D88" s="98"/>
      <c r="E88" s="98"/>
      <c r="F88" s="98"/>
      <c r="G88" s="98"/>
      <c r="H88" s="38">
        <f>0.07/G86</f>
        <v>1.3725490196078432E-3</v>
      </c>
      <c r="I88" s="29">
        <f>G86*H88</f>
        <v>7.0000000000000007E-2</v>
      </c>
      <c r="J88">
        <v>3</v>
      </c>
      <c r="K88" s="4">
        <v>0.13005</v>
      </c>
      <c r="L88" s="4">
        <v>0</v>
      </c>
      <c r="M88" s="4">
        <f>I88-K88-L88</f>
        <v>-6.0049999999999992E-2</v>
      </c>
    </row>
    <row r="89" spans="1:19" x14ac:dyDescent="0.3">
      <c r="A89" s="98"/>
      <c r="B89" s="98"/>
      <c r="C89" s="98"/>
      <c r="D89" s="98"/>
      <c r="E89" s="98"/>
      <c r="F89" s="98"/>
      <c r="G89" s="98"/>
      <c r="H89" s="38">
        <f>0</f>
        <v>0</v>
      </c>
      <c r="I89" s="29">
        <f>G86*H89</f>
        <v>0</v>
      </c>
      <c r="J89">
        <v>4</v>
      </c>
      <c r="N89" s="4">
        <f>IF(ISERR(SEARCH("TRA* 82",C86)),IF(Q89+R89+S89=0,0,I89*(Q89/(Q89+R89+S89))),I89)</f>
        <v>0</v>
      </c>
      <c r="O89" s="4">
        <f>IF(ISERR(SEARCH("TRA* 82",C86)),IF(Q89+R89+S89=0,0,I89*(R89/(Q89+R89+S89))),0)</f>
        <v>0</v>
      </c>
      <c r="P89" s="4">
        <f>IF(ISERR(SEARCH("TRA* 82",C86)),I89-N89-O89,0)</f>
        <v>0</v>
      </c>
      <c r="Q89" s="4">
        <v>0</v>
      </c>
      <c r="R89" s="4">
        <v>0</v>
      </c>
      <c r="S89" s="4">
        <v>0</v>
      </c>
    </row>
    <row r="90" spans="1:19" x14ac:dyDescent="0.3">
      <c r="A90" s="100" t="s">
        <v>87</v>
      </c>
      <c r="B90" s="101"/>
      <c r="C90" s="101"/>
      <c r="D90" s="101"/>
      <c r="E90" s="101"/>
      <c r="F90" s="101"/>
      <c r="G90" s="101"/>
      <c r="H90" s="33">
        <f>H86+H87+H88+H89</f>
        <v>14.39</v>
      </c>
      <c r="I90" s="37">
        <f>I86+I87+I88+I89</f>
        <v>733.89</v>
      </c>
      <c r="J90">
        <v>5</v>
      </c>
    </row>
    <row r="91" spans="1:19" x14ac:dyDescent="0.3">
      <c r="A91" s="99" t="s">
        <v>121</v>
      </c>
      <c r="B91" s="99"/>
      <c r="C91" s="99"/>
      <c r="D91" s="99"/>
      <c r="E91" s="99"/>
      <c r="F91" s="99"/>
      <c r="G91" s="99"/>
      <c r="H91" s="99"/>
      <c r="I91" s="99"/>
    </row>
    <row r="92" spans="1:19" x14ac:dyDescent="0.3">
      <c r="B92" s="2">
        <v>15</v>
      </c>
      <c r="C92" s="3" t="s">
        <v>122</v>
      </c>
      <c r="D92" s="5" t="s">
        <v>25</v>
      </c>
      <c r="G92" s="30">
        <v>72</v>
      </c>
      <c r="H92" s="38">
        <f>1555.13/G92</f>
        <v>21.599027777777778</v>
      </c>
      <c r="I92" s="29">
        <f>G92*H92</f>
        <v>1555.13</v>
      </c>
      <c r="J92">
        <v>1</v>
      </c>
    </row>
    <row r="93" spans="1:19" x14ac:dyDescent="0.3">
      <c r="D93" s="15" t="str">
        <f>SUBSTITUTE("Sp.mat: 0.00%",".",IF(VALUE("1.2")=1.2,".",","),2)</f>
        <v>Sp.mat: 0.00%</v>
      </c>
      <c r="F93" s="15" t="str">
        <f>SUBSTITUTE("Sp.man: 0.00%",".",IF(VALUE("1.2")=1.2,".",","),2)</f>
        <v>Sp.man: 0.00%</v>
      </c>
      <c r="G93" s="35" t="str">
        <f>SUBSTITUTE("Sp.uti: 0.00%",".",IF(VALUE("1.2")=1.2,".",","),2)</f>
        <v>Sp.uti: 0.00%</v>
      </c>
      <c r="H93" s="38">
        <f>253.71/G92</f>
        <v>3.5237500000000002</v>
      </c>
      <c r="I93" s="29">
        <f>G92*H93</f>
        <v>253.71</v>
      </c>
      <c r="J93">
        <v>2</v>
      </c>
    </row>
    <row r="94" spans="1:19" x14ac:dyDescent="0.3">
      <c r="A94" s="88" t="s">
        <v>123</v>
      </c>
      <c r="B94" s="98"/>
      <c r="C94" s="98"/>
      <c r="D94" s="98"/>
      <c r="E94" s="98"/>
      <c r="F94" s="98"/>
      <c r="G94" s="98"/>
      <c r="H94" s="38">
        <f>0.1/G92</f>
        <v>1.3888888888888889E-3</v>
      </c>
      <c r="I94" s="29">
        <f>G92*H94</f>
        <v>0.1</v>
      </c>
      <c r="J94">
        <v>3</v>
      </c>
      <c r="K94" s="4">
        <v>0.18360000000000001</v>
      </c>
      <c r="L94" s="4">
        <v>0</v>
      </c>
      <c r="M94" s="4">
        <f>I94-K94-L94</f>
        <v>-8.3600000000000008E-2</v>
      </c>
    </row>
    <row r="95" spans="1:19" x14ac:dyDescent="0.3">
      <c r="A95" s="98"/>
      <c r="B95" s="98"/>
      <c r="C95" s="98"/>
      <c r="D95" s="98"/>
      <c r="E95" s="98"/>
      <c r="F95" s="98"/>
      <c r="G95" s="98"/>
      <c r="H95" s="38">
        <f>0</f>
        <v>0</v>
      </c>
      <c r="I95" s="29">
        <f>G92*H95</f>
        <v>0</v>
      </c>
      <c r="J95">
        <v>4</v>
      </c>
      <c r="N95" s="4">
        <f>IF(ISERR(SEARCH("TRA* 82",C92)),IF(Q95+R95+S95=0,0,I95*(Q95/(Q95+R95+S95))),I95)</f>
        <v>0</v>
      </c>
      <c r="O95" s="4">
        <f>IF(ISERR(SEARCH("TRA* 82",C92)),IF(Q95+R95+S95=0,0,I95*(R95/(Q95+R95+S95))),0)</f>
        <v>0</v>
      </c>
      <c r="P95" s="4">
        <f>IF(ISERR(SEARCH("TRA* 82",C92)),I95-N95-O95,0)</f>
        <v>0</v>
      </c>
      <c r="Q95" s="4">
        <v>0</v>
      </c>
      <c r="R95" s="4">
        <v>0</v>
      </c>
      <c r="S95" s="4">
        <v>0</v>
      </c>
    </row>
    <row r="96" spans="1:19" x14ac:dyDescent="0.3">
      <c r="A96" s="100" t="s">
        <v>87</v>
      </c>
      <c r="B96" s="101"/>
      <c r="C96" s="101"/>
      <c r="D96" s="101"/>
      <c r="E96" s="101"/>
      <c r="F96" s="101"/>
      <c r="G96" s="101"/>
      <c r="H96" s="33">
        <f>H92+H93+H94+H95</f>
        <v>25.124166666666667</v>
      </c>
      <c r="I96" s="37">
        <f>I92+I93+I94+I95</f>
        <v>1808.94</v>
      </c>
      <c r="J96">
        <v>5</v>
      </c>
    </row>
    <row r="97" spans="1:19" x14ac:dyDescent="0.3">
      <c r="A97" s="99" t="s">
        <v>124</v>
      </c>
      <c r="B97" s="99"/>
      <c r="C97" s="99"/>
      <c r="D97" s="99"/>
      <c r="E97" s="99"/>
      <c r="F97" s="99"/>
      <c r="G97" s="99"/>
      <c r="H97" s="99"/>
      <c r="I97" s="99"/>
    </row>
    <row r="98" spans="1:19" x14ac:dyDescent="0.3">
      <c r="B98" s="2">
        <v>16</v>
      </c>
      <c r="C98" s="3" t="s">
        <v>125</v>
      </c>
      <c r="D98" s="5" t="s">
        <v>25</v>
      </c>
      <c r="G98" s="30">
        <v>15</v>
      </c>
      <c r="H98" s="38">
        <f>1051.11/G98</f>
        <v>70.073999999999998</v>
      </c>
      <c r="I98" s="29">
        <f>G98*H98</f>
        <v>1051.1099999999999</v>
      </c>
      <c r="J98">
        <v>1</v>
      </c>
    </row>
    <row r="99" spans="1:19" x14ac:dyDescent="0.3">
      <c r="D99" s="15" t="str">
        <f>SUBSTITUTE("Sp.mat: 0.00%",".",IF(VALUE("1.2")=1.2,".",","),2)</f>
        <v>Sp.mat: 0.00%</v>
      </c>
      <c r="F99" s="15" t="str">
        <f>SUBSTITUTE("Sp.man: 0.00%",".",IF(VALUE("1.2")=1.2,".",","),2)</f>
        <v>Sp.man: 0.00%</v>
      </c>
      <c r="G99" s="35" t="str">
        <f>SUBSTITUTE("Sp.uti: 0.00%",".",IF(VALUE("1.2")=1.2,".",","),2)</f>
        <v>Sp.uti: 0.00%</v>
      </c>
      <c r="H99" s="38">
        <f>57.66/G98</f>
        <v>3.8439999999999999</v>
      </c>
      <c r="I99" s="29">
        <f>G98*H99</f>
        <v>57.66</v>
      </c>
      <c r="J99">
        <v>2</v>
      </c>
    </row>
    <row r="100" spans="1:19" x14ac:dyDescent="0.3">
      <c r="A100" s="88" t="s">
        <v>126</v>
      </c>
      <c r="B100" s="98"/>
      <c r="C100" s="98"/>
      <c r="D100" s="98"/>
      <c r="E100" s="98"/>
      <c r="F100" s="98"/>
      <c r="G100" s="98"/>
      <c r="H100" s="38">
        <f>0.04/G98</f>
        <v>2.6666666666666666E-3</v>
      </c>
      <c r="I100" s="29">
        <f>G98*H100</f>
        <v>0.04</v>
      </c>
      <c r="J100">
        <v>3</v>
      </c>
      <c r="K100" s="4">
        <v>7.6499999999999999E-2</v>
      </c>
      <c r="L100" s="4">
        <v>0</v>
      </c>
      <c r="M100" s="4">
        <f>I100-K100-L100</f>
        <v>-3.6499999999999998E-2</v>
      </c>
    </row>
    <row r="101" spans="1:19" x14ac:dyDescent="0.3">
      <c r="A101" s="98"/>
      <c r="B101" s="98"/>
      <c r="C101" s="98"/>
      <c r="D101" s="98"/>
      <c r="E101" s="98"/>
      <c r="F101" s="98"/>
      <c r="G101" s="98"/>
      <c r="H101" s="38">
        <f>0</f>
        <v>0</v>
      </c>
      <c r="I101" s="29">
        <f>G98*H101</f>
        <v>0</v>
      </c>
      <c r="J101">
        <v>4</v>
      </c>
      <c r="N101" s="4">
        <f>IF(ISERR(SEARCH("TRA* 82",C98)),IF(Q101+R101+S101=0,0,I101*(Q101/(Q101+R101+S101))),I101)</f>
        <v>0</v>
      </c>
      <c r="O101" s="4">
        <f>IF(ISERR(SEARCH("TRA* 82",C98)),IF(Q101+R101+S101=0,0,I101*(R101/(Q101+R101+S101))),0)</f>
        <v>0</v>
      </c>
      <c r="P101" s="4">
        <f>IF(ISERR(SEARCH("TRA* 82",C98)),I101-N101-O101,0)</f>
        <v>0</v>
      </c>
      <c r="Q101" s="4">
        <v>0</v>
      </c>
      <c r="R101" s="4">
        <v>0</v>
      </c>
      <c r="S101" s="4">
        <v>0</v>
      </c>
    </row>
    <row r="102" spans="1:19" x14ac:dyDescent="0.3">
      <c r="A102" s="100" t="s">
        <v>87</v>
      </c>
      <c r="B102" s="101"/>
      <c r="C102" s="101"/>
      <c r="D102" s="101"/>
      <c r="E102" s="101"/>
      <c r="F102" s="101"/>
      <c r="G102" s="101"/>
      <c r="H102" s="33">
        <f>H98+H99+H100+H101</f>
        <v>73.920666666666662</v>
      </c>
      <c r="I102" s="37">
        <f>I98+I99+I100+I101</f>
        <v>1108.81</v>
      </c>
      <c r="J102">
        <v>5</v>
      </c>
    </row>
    <row r="103" spans="1:19" x14ac:dyDescent="0.3">
      <c r="A103" s="99" t="s">
        <v>127</v>
      </c>
      <c r="B103" s="99"/>
      <c r="C103" s="99"/>
      <c r="D103" s="99"/>
      <c r="E103" s="99"/>
      <c r="F103" s="99"/>
      <c r="G103" s="99"/>
      <c r="H103" s="99"/>
      <c r="I103" s="99"/>
    </row>
    <row r="104" spans="1:19" x14ac:dyDescent="0.3">
      <c r="B104" s="2">
        <v>17</v>
      </c>
      <c r="C104" s="3" t="s">
        <v>128</v>
      </c>
      <c r="D104" s="5" t="s">
        <v>29</v>
      </c>
      <c r="G104" s="30">
        <v>9</v>
      </c>
      <c r="H104" s="38">
        <f>11201.92/G104</f>
        <v>1244.6577777777777</v>
      </c>
      <c r="I104" s="29">
        <f>G104*H104</f>
        <v>11201.92</v>
      </c>
      <c r="J104">
        <v>1</v>
      </c>
    </row>
    <row r="105" spans="1:19" x14ac:dyDescent="0.3">
      <c r="D105" s="15" t="str">
        <f>SUBSTITUTE("Sp.mat: 0.00%",".",IF(VALUE("1.2")=1.2,".",","),2)</f>
        <v>Sp.mat: 0.00%</v>
      </c>
      <c r="F105" s="15" t="str">
        <f>SUBSTITUTE("Sp.man: 0.00%",".",IF(VALUE("1.2")=1.2,".",","),2)</f>
        <v>Sp.man: 0.00%</v>
      </c>
      <c r="G105" s="35" t="str">
        <f>SUBSTITUTE("Sp.uti: 0.00%",".",IF(VALUE("1.2")=1.2,".",","),2)</f>
        <v>Sp.uti: 0.00%</v>
      </c>
      <c r="H105" s="38">
        <f>2820.92/G104</f>
        <v>313.43555555555554</v>
      </c>
      <c r="I105" s="29">
        <f>G104*H105</f>
        <v>2820.92</v>
      </c>
      <c r="J105">
        <v>2</v>
      </c>
    </row>
    <row r="106" spans="1:19" x14ac:dyDescent="0.3">
      <c r="A106" s="88" t="s">
        <v>129</v>
      </c>
      <c r="B106" s="98"/>
      <c r="C106" s="98"/>
      <c r="D106" s="98"/>
      <c r="E106" s="98"/>
      <c r="F106" s="98"/>
      <c r="G106" s="98"/>
      <c r="H106" s="38">
        <f>548.37/G104</f>
        <v>60.93</v>
      </c>
      <c r="I106" s="29">
        <f>G104*H106</f>
        <v>548.37</v>
      </c>
      <c r="J106">
        <v>3</v>
      </c>
      <c r="K106" s="4">
        <v>977.41296</v>
      </c>
      <c r="L106" s="4">
        <v>0</v>
      </c>
      <c r="M106" s="4">
        <f>I106-K106-L106</f>
        <v>-429.04295999999999</v>
      </c>
    </row>
    <row r="107" spans="1:19" x14ac:dyDescent="0.3">
      <c r="A107" s="98"/>
      <c r="B107" s="98"/>
      <c r="C107" s="98"/>
      <c r="D107" s="98"/>
      <c r="E107" s="98"/>
      <c r="F107" s="98"/>
      <c r="G107" s="98"/>
      <c r="H107" s="38">
        <f>0</f>
        <v>0</v>
      </c>
      <c r="I107" s="29">
        <f>G104*H107</f>
        <v>0</v>
      </c>
      <c r="J107">
        <v>4</v>
      </c>
      <c r="N107" s="4">
        <f>IF(ISERR(SEARCH("TRA* 82",C104)),IF(Q107+R107+S107=0,0,I107*(Q107/(Q107+R107+S107))),I107)</f>
        <v>0</v>
      </c>
      <c r="O107" s="4">
        <f>IF(ISERR(SEARCH("TRA* 82",C104)),IF(Q107+R107+S107=0,0,I107*(R107/(Q107+R107+S107))),0)</f>
        <v>0</v>
      </c>
      <c r="P107" s="4">
        <f>IF(ISERR(SEARCH("TRA* 82",C104)),I107-N107-O107,0)</f>
        <v>0</v>
      </c>
      <c r="Q107" s="4">
        <v>0</v>
      </c>
      <c r="R107" s="4">
        <v>0</v>
      </c>
      <c r="S107" s="4">
        <v>0</v>
      </c>
    </row>
    <row r="108" spans="1:19" x14ac:dyDescent="0.3">
      <c r="A108" s="96" t="s">
        <v>27</v>
      </c>
      <c r="B108" s="97"/>
      <c r="C108" s="97"/>
      <c r="D108" s="97"/>
      <c r="E108" s="97"/>
      <c r="F108" s="97"/>
      <c r="G108" s="97"/>
      <c r="H108" s="36">
        <f>H104+H105+H106+H107</f>
        <v>1619.0233333333333</v>
      </c>
      <c r="I108" s="74">
        <f>I104+I105+I106+I107</f>
        <v>14571.210000000001</v>
      </c>
      <c r="J108">
        <v>5</v>
      </c>
    </row>
    <row r="109" spans="1:19" x14ac:dyDescent="0.3">
      <c r="B109" s="2">
        <v>18</v>
      </c>
      <c r="C109" s="3" t="s">
        <v>130</v>
      </c>
      <c r="D109" s="5" t="s">
        <v>29</v>
      </c>
      <c r="G109" s="30">
        <v>3</v>
      </c>
      <c r="H109" s="38">
        <f>1042.64/G109</f>
        <v>347.54666666666668</v>
      </c>
      <c r="I109" s="29">
        <f>G109*H109</f>
        <v>1042.6400000000001</v>
      </c>
      <c r="J109">
        <v>1</v>
      </c>
    </row>
    <row r="110" spans="1:19" x14ac:dyDescent="0.3">
      <c r="D110" s="15" t="str">
        <f>SUBSTITUTE("Sp.mat: 0.00%",".",IF(VALUE("1.2")=1.2,".",","),2)</f>
        <v>Sp.mat: 0.00%</v>
      </c>
      <c r="F110" s="15" t="str">
        <f>SUBSTITUTE("Sp.man: 0.00%",".",IF(VALUE("1.2")=1.2,".",","),2)</f>
        <v>Sp.man: 0.00%</v>
      </c>
      <c r="G110" s="35" t="str">
        <f>SUBSTITUTE("Sp.uti: 0.00%",".",IF(VALUE("1.2")=1.2,".",","),2)</f>
        <v>Sp.uti: 0.00%</v>
      </c>
      <c r="H110" s="38">
        <f>110.52/G109</f>
        <v>36.839999999999996</v>
      </c>
      <c r="I110" s="29">
        <f>G109*H110</f>
        <v>110.51999999999998</v>
      </c>
      <c r="J110">
        <v>2</v>
      </c>
    </row>
    <row r="111" spans="1:19" x14ac:dyDescent="0.3">
      <c r="A111" s="88" t="s">
        <v>131</v>
      </c>
      <c r="B111" s="98"/>
      <c r="C111" s="98"/>
      <c r="D111" s="98"/>
      <c r="E111" s="98"/>
      <c r="F111" s="98"/>
      <c r="G111" s="98"/>
      <c r="H111" s="38">
        <f>(1+IF(OR(ISERR(FIND(":",G110)),ISERR(FIND("%",G110))),0,MID(G110,FIND(":",G110)+2,FIND("%",G110)-FIND(":",G110)-2)/100))*0</f>
        <v>0</v>
      </c>
      <c r="I111" s="29">
        <f>G109*H111</f>
        <v>0</v>
      </c>
      <c r="J111">
        <v>3</v>
      </c>
      <c r="K111" s="4">
        <v>0</v>
      </c>
      <c r="L111" s="4">
        <v>0</v>
      </c>
      <c r="M111" s="4">
        <f>I111-K111-L111</f>
        <v>0</v>
      </c>
    </row>
    <row r="112" spans="1:19" x14ac:dyDescent="0.3">
      <c r="A112" s="98"/>
      <c r="B112" s="98"/>
      <c r="C112" s="98"/>
      <c r="D112" s="98"/>
      <c r="E112" s="98"/>
      <c r="F112" s="98"/>
      <c r="G112" s="98"/>
      <c r="H112" s="38">
        <f>0</f>
        <v>0</v>
      </c>
      <c r="I112" s="29">
        <f>G109*H112</f>
        <v>0</v>
      </c>
      <c r="J112">
        <v>4</v>
      </c>
      <c r="N112" s="4">
        <f>IF(ISERR(SEARCH("TRA* 82",C109)),IF(Q112+R112+S112=0,0,I112*(Q112/(Q112+R112+S112))),I112)</f>
        <v>0</v>
      </c>
      <c r="O112" s="4">
        <f>IF(ISERR(SEARCH("TRA* 82",C109)),IF(Q112+R112+S112=0,0,I112*(R112/(Q112+R112+S112))),0)</f>
        <v>0</v>
      </c>
      <c r="P112" s="4">
        <f>IF(ISERR(SEARCH("TRA* 82",C109)),I112-N112-O112,0)</f>
        <v>0</v>
      </c>
      <c r="Q112" s="4">
        <v>0</v>
      </c>
      <c r="R112" s="4">
        <v>0</v>
      </c>
      <c r="S112" s="4">
        <v>0</v>
      </c>
    </row>
    <row r="113" spans="1:19" x14ac:dyDescent="0.3">
      <c r="A113" s="96" t="s">
        <v>27</v>
      </c>
      <c r="B113" s="97"/>
      <c r="C113" s="97"/>
      <c r="D113" s="97"/>
      <c r="E113" s="97"/>
      <c r="F113" s="97"/>
      <c r="G113" s="97"/>
      <c r="H113" s="36">
        <f>H109+H110+H111+H112</f>
        <v>384.38666666666666</v>
      </c>
      <c r="I113" s="74">
        <f>I109+I110+I111+I112</f>
        <v>1153.1600000000001</v>
      </c>
      <c r="J113">
        <v>5</v>
      </c>
    </row>
    <row r="114" spans="1:19" x14ac:dyDescent="0.3">
      <c r="B114" s="2">
        <v>19</v>
      </c>
      <c r="C114" s="3" t="s">
        <v>130</v>
      </c>
      <c r="D114" s="5" t="s">
        <v>29</v>
      </c>
      <c r="G114" s="30">
        <v>6</v>
      </c>
      <c r="H114" s="38">
        <f>2004.2/G114</f>
        <v>334.03333333333336</v>
      </c>
      <c r="I114" s="29">
        <f>G114*H114</f>
        <v>2004.2000000000003</v>
      </c>
      <c r="J114">
        <v>1</v>
      </c>
    </row>
    <row r="115" spans="1:19" x14ac:dyDescent="0.3">
      <c r="D115" s="15" t="str">
        <f>SUBSTITUTE("Sp.mat: 0.00%",".",IF(VALUE("1.2")=1.2,".",","),2)</f>
        <v>Sp.mat: 0.00%</v>
      </c>
      <c r="F115" s="15" t="str">
        <f>SUBSTITUTE("Sp.man: 0.00%",".",IF(VALUE("1.2")=1.2,".",","),2)</f>
        <v>Sp.man: 0.00%</v>
      </c>
      <c r="G115" s="35" t="str">
        <f>SUBSTITUTE("Sp.uti: 0.00%",".",IF(VALUE("1.2")=1.2,".",","),2)</f>
        <v>Sp.uti: 0.00%</v>
      </c>
      <c r="H115" s="38">
        <v>36.840000000000003</v>
      </c>
      <c r="I115" s="29">
        <f>G114*H115</f>
        <v>221.04000000000002</v>
      </c>
      <c r="J115">
        <v>2</v>
      </c>
    </row>
    <row r="116" spans="1:19" x14ac:dyDescent="0.3">
      <c r="A116" s="88" t="s">
        <v>131</v>
      </c>
      <c r="B116" s="98"/>
      <c r="C116" s="98"/>
      <c r="D116" s="98"/>
      <c r="E116" s="98"/>
      <c r="F116" s="98"/>
      <c r="G116" s="98"/>
      <c r="H116" s="38">
        <f>(1+IF(OR(ISERR(FIND(":",G115)),ISERR(FIND("%",G115))),0,MID(G115,FIND(":",G115)+2,FIND("%",G115)-FIND(":",G115)-2)/100))*0</f>
        <v>0</v>
      </c>
      <c r="I116" s="29">
        <f>G114*H116</f>
        <v>0</v>
      </c>
      <c r="J116">
        <v>3</v>
      </c>
      <c r="K116" s="4">
        <v>0</v>
      </c>
      <c r="L116" s="4">
        <v>0</v>
      </c>
      <c r="M116" s="4">
        <f>I116-K116-L116</f>
        <v>0</v>
      </c>
    </row>
    <row r="117" spans="1:19" x14ac:dyDescent="0.3">
      <c r="A117" s="98"/>
      <c r="B117" s="98"/>
      <c r="C117" s="98"/>
      <c r="D117" s="98"/>
      <c r="E117" s="98"/>
      <c r="F117" s="98"/>
      <c r="G117" s="98"/>
      <c r="H117" s="38">
        <f>0</f>
        <v>0</v>
      </c>
      <c r="I117" s="29">
        <f>G114*H117</f>
        <v>0</v>
      </c>
      <c r="J117">
        <v>4</v>
      </c>
      <c r="N117" s="4">
        <f>IF(ISERR(SEARCH("TRA* 82",C114)),IF(Q117+R117+S117=0,0,I117*(Q117/(Q117+R117+S117))),I117)</f>
        <v>0</v>
      </c>
      <c r="O117" s="4">
        <f>IF(ISERR(SEARCH("TRA* 82",C114)),IF(Q117+R117+S117=0,0,I117*(R117/(Q117+R117+S117))),0)</f>
        <v>0</v>
      </c>
      <c r="P117" s="4">
        <f>IF(ISERR(SEARCH("TRA* 82",C114)),I117-N117-O117,0)</f>
        <v>0</v>
      </c>
      <c r="Q117" s="4">
        <v>0</v>
      </c>
      <c r="R117" s="4">
        <v>0</v>
      </c>
      <c r="S117" s="4">
        <v>0</v>
      </c>
    </row>
    <row r="118" spans="1:19" x14ac:dyDescent="0.3">
      <c r="A118" s="96" t="s">
        <v>27</v>
      </c>
      <c r="B118" s="97"/>
      <c r="C118" s="97"/>
      <c r="D118" s="97"/>
      <c r="E118" s="97"/>
      <c r="F118" s="97"/>
      <c r="G118" s="97"/>
      <c r="H118" s="36">
        <f>H114+H115+H116+H117</f>
        <v>370.87333333333333</v>
      </c>
      <c r="I118" s="74">
        <f>I114+I115+I116+I117</f>
        <v>2225.2400000000002</v>
      </c>
      <c r="J118">
        <v>5</v>
      </c>
    </row>
    <row r="119" spans="1:19" x14ac:dyDescent="0.3">
      <c r="B119" s="2">
        <v>20</v>
      </c>
      <c r="C119" s="3" t="s">
        <v>132</v>
      </c>
      <c r="D119" s="5" t="s">
        <v>133</v>
      </c>
      <c r="G119" s="30">
        <v>22.8</v>
      </c>
      <c r="H119" s="38">
        <f>(1+IF(OR(ISERR(FIND(":",D120)),ISERR(FIND("%",D120))),0,MID(D120,FIND(":",D120)+2,FIND("%",D120)-FIND(":",D120)-2)/100))*0</f>
        <v>0</v>
      </c>
      <c r="I119" s="29">
        <f>G119*H119</f>
        <v>0</v>
      </c>
      <c r="J119">
        <v>1</v>
      </c>
    </row>
    <row r="120" spans="1:19" x14ac:dyDescent="0.3">
      <c r="D120" s="15" t="str">
        <f>SUBSTITUTE("Sp.mat: 0.00%",".",IF(VALUE("1.2")=1.2,".",","),2)</f>
        <v>Sp.mat: 0.00%</v>
      </c>
      <c r="F120" s="15" t="str">
        <f>SUBSTITUTE("Sp.man: 0.00%",".",IF(VALUE("1.2")=1.2,".",","),2)</f>
        <v>Sp.man: 0.00%</v>
      </c>
      <c r="G120" s="35" t="str">
        <f>SUBSTITUTE("Sp.uti: 0.00%",".",IF(VALUE("1.2")=1.2,".",","),2)</f>
        <v>Sp.uti: 0.00%</v>
      </c>
      <c r="H120" s="38">
        <f>73.04/G119</f>
        <v>3.2035087719298247</v>
      </c>
      <c r="I120" s="29">
        <f>G119*H120</f>
        <v>73.040000000000006</v>
      </c>
      <c r="J120">
        <v>2</v>
      </c>
    </row>
    <row r="121" spans="1:19" x14ac:dyDescent="0.3">
      <c r="A121" s="88" t="s">
        <v>134</v>
      </c>
      <c r="B121" s="98"/>
      <c r="C121" s="98"/>
      <c r="D121" s="98"/>
      <c r="E121" s="98"/>
      <c r="F121" s="98"/>
      <c r="G121" s="98"/>
      <c r="H121" s="38">
        <f>(1+IF(OR(ISERR(FIND(":",G120)),ISERR(FIND("%",G120))),0,MID(G120,FIND(":",G120)+2,FIND("%",G120)-FIND(":",G120)-2)/100))*0</f>
        <v>0</v>
      </c>
      <c r="I121" s="29">
        <f>G119*H121</f>
        <v>0</v>
      </c>
      <c r="J121">
        <v>3</v>
      </c>
      <c r="K121" s="4">
        <v>0</v>
      </c>
      <c r="L121" s="4">
        <v>0</v>
      </c>
      <c r="M121" s="4">
        <f>I121-K121-L121</f>
        <v>0</v>
      </c>
    </row>
    <row r="122" spans="1:19" x14ac:dyDescent="0.3">
      <c r="A122" s="98"/>
      <c r="B122" s="98"/>
      <c r="C122" s="98"/>
      <c r="D122" s="98"/>
      <c r="E122" s="98"/>
      <c r="F122" s="98"/>
      <c r="G122" s="98"/>
      <c r="H122" s="38">
        <f>0</f>
        <v>0</v>
      </c>
      <c r="I122" s="29">
        <f>G119*H122</f>
        <v>0</v>
      </c>
      <c r="J122">
        <v>4</v>
      </c>
      <c r="N122" s="4">
        <f>IF(ISERR(SEARCH("TRA* 82",C119)),IF(Q122+R122+S122=0,0,I122*(Q122/(Q122+R122+S122))),I122)</f>
        <v>0</v>
      </c>
      <c r="O122" s="4">
        <f>IF(ISERR(SEARCH("TRA* 82",C119)),IF(Q122+R122+S122=0,0,I122*(R122/(Q122+R122+S122))),0)</f>
        <v>0</v>
      </c>
      <c r="P122" s="4">
        <f>IF(ISERR(SEARCH("TRA* 82",C119)),I122-N122-O122,0)</f>
        <v>0</v>
      </c>
      <c r="Q122" s="4">
        <v>0</v>
      </c>
      <c r="R122" s="4">
        <v>0</v>
      </c>
      <c r="S122" s="4">
        <v>0</v>
      </c>
    </row>
    <row r="123" spans="1:19" x14ac:dyDescent="0.3">
      <c r="A123" s="96" t="s">
        <v>27</v>
      </c>
      <c r="B123" s="97"/>
      <c r="C123" s="97"/>
      <c r="D123" s="97"/>
      <c r="E123" s="97"/>
      <c r="F123" s="97"/>
      <c r="G123" s="97"/>
      <c r="H123" s="36">
        <f>H119+H120+H121+H122</f>
        <v>3.2035087719298247</v>
      </c>
      <c r="I123" s="74">
        <f>I119+I120+I121+I122</f>
        <v>73.040000000000006</v>
      </c>
      <c r="J123">
        <v>5</v>
      </c>
    </row>
    <row r="124" spans="1:19" x14ac:dyDescent="0.3">
      <c r="B124" s="2">
        <v>21</v>
      </c>
      <c r="C124" s="3" t="s">
        <v>34</v>
      </c>
      <c r="D124" s="5" t="s">
        <v>35</v>
      </c>
      <c r="G124" s="30">
        <v>22</v>
      </c>
      <c r="H124" s="38">
        <f>905.37/G124</f>
        <v>41.153181818181821</v>
      </c>
      <c r="I124" s="29">
        <f>G124*H124</f>
        <v>905.37000000000012</v>
      </c>
      <c r="J124">
        <v>1</v>
      </c>
    </row>
    <row r="125" spans="1:19" x14ac:dyDescent="0.3">
      <c r="D125" s="15" t="str">
        <f>SUBSTITUTE("Sp.mat: 0.00%",".",IF(VALUE("1.2")=1.2,".",","),2)</f>
        <v>Sp.mat: 0.00%</v>
      </c>
      <c r="F125" s="15" t="str">
        <f>SUBSTITUTE("Sp.man: 0.00%",".",IF(VALUE("1.2")=1.2,".",","),2)</f>
        <v>Sp.man: 0.00%</v>
      </c>
      <c r="G125" s="35" t="str">
        <f>SUBSTITUTE("Sp.uti: 0.00%",".",IF(VALUE("1.2")=1.2,".",","),2)</f>
        <v>Sp.uti: 0.00%</v>
      </c>
      <c r="H125" s="38">
        <f>214.95/G124</f>
        <v>9.7704545454545446</v>
      </c>
      <c r="I125" s="29">
        <f>G124*H125</f>
        <v>214.95</v>
      </c>
      <c r="J125">
        <v>2</v>
      </c>
    </row>
    <row r="126" spans="1:19" x14ac:dyDescent="0.3">
      <c r="A126" s="88" t="s">
        <v>36</v>
      </c>
      <c r="B126" s="98"/>
      <c r="C126" s="98"/>
      <c r="D126" s="98"/>
      <c r="E126" s="98"/>
      <c r="F126" s="98"/>
      <c r="G126" s="98"/>
      <c r="H126" s="38">
        <f>(1+IF(OR(ISERR(FIND(":",G125)),ISERR(FIND("%",G125))),0,MID(G125,FIND(":",G125)+2,FIND("%",G125)-FIND(":",G125)-2)/100))*0</f>
        <v>0</v>
      </c>
      <c r="I126" s="29">
        <f>G124*H126</f>
        <v>0</v>
      </c>
      <c r="J126">
        <v>3</v>
      </c>
      <c r="K126" s="4">
        <v>0</v>
      </c>
      <c r="L126" s="4">
        <v>0</v>
      </c>
      <c r="M126" s="4">
        <f>I126-K126-L126</f>
        <v>0</v>
      </c>
    </row>
    <row r="127" spans="1:19" x14ac:dyDescent="0.3">
      <c r="A127" s="98"/>
      <c r="B127" s="98"/>
      <c r="C127" s="98"/>
      <c r="D127" s="98"/>
      <c r="E127" s="98"/>
      <c r="F127" s="98"/>
      <c r="G127" s="98"/>
      <c r="H127" s="38">
        <f>0</f>
        <v>0</v>
      </c>
      <c r="I127" s="29">
        <f>G124*H127</f>
        <v>0</v>
      </c>
      <c r="J127">
        <v>4</v>
      </c>
      <c r="N127" s="4">
        <f>IF(ISERR(SEARCH("TRA* 82",C124)),IF(Q127+R127+S127=0,0,I127*(Q127/(Q127+R127+S127))),I127)</f>
        <v>0</v>
      </c>
      <c r="O127" s="4">
        <f>IF(ISERR(SEARCH("TRA* 82",C124)),IF(Q127+R127+S127=0,0,I127*(R127/(Q127+R127+S127))),0)</f>
        <v>0</v>
      </c>
      <c r="P127" s="4">
        <f>IF(ISERR(SEARCH("TRA* 82",C124)),I127-N127-O127,0)</f>
        <v>0</v>
      </c>
      <c r="Q127" s="4">
        <v>0</v>
      </c>
      <c r="R127" s="4">
        <v>0</v>
      </c>
      <c r="S127" s="4">
        <v>0</v>
      </c>
    </row>
    <row r="128" spans="1:19" x14ac:dyDescent="0.3">
      <c r="A128" s="96" t="s">
        <v>27</v>
      </c>
      <c r="B128" s="97"/>
      <c r="C128" s="97"/>
      <c r="D128" s="97"/>
      <c r="E128" s="97"/>
      <c r="F128" s="97"/>
      <c r="G128" s="97"/>
      <c r="H128" s="36">
        <f>H124+H125+H126+H127</f>
        <v>50.923636363636362</v>
      </c>
      <c r="I128" s="74">
        <f>I124+I125+I126+I127</f>
        <v>1120.3200000000002</v>
      </c>
      <c r="J128">
        <v>5</v>
      </c>
    </row>
    <row r="129" spans="1:19" x14ac:dyDescent="0.3">
      <c r="B129" s="2">
        <v>22</v>
      </c>
      <c r="C129" s="3" t="s">
        <v>135</v>
      </c>
      <c r="D129" s="5" t="s">
        <v>35</v>
      </c>
      <c r="G129" s="30">
        <v>78</v>
      </c>
      <c r="H129" s="38">
        <f>(1+IF(OR(ISERR(FIND(":",D130)),ISERR(FIND("%",D130))),0,MID(D130,FIND(":",D130)+2,FIND("%",D130)-FIND(":",D130)-2)/100))*0</f>
        <v>0</v>
      </c>
      <c r="I129" s="29">
        <f>G129*H129</f>
        <v>0</v>
      </c>
      <c r="J129">
        <v>1</v>
      </c>
    </row>
    <row r="130" spans="1:19" x14ac:dyDescent="0.3">
      <c r="D130" s="15" t="str">
        <f>SUBSTITUTE("Sp.mat: 0.00%",".",IF(VALUE("1.2")=1.2,".",","),2)</f>
        <v>Sp.mat: 0.00%</v>
      </c>
      <c r="F130" s="15" t="str">
        <f>SUBSTITUTE("Sp.man: 0.00%",".",IF(VALUE("1.2")=1.2,".",","),2)</f>
        <v>Sp.man: 0.00%</v>
      </c>
      <c r="G130" s="35" t="str">
        <f>SUBSTITUTE("Sp.uti: 0.00%",".",IF(VALUE("1.2")=1.2,".",","),2)</f>
        <v>Sp.uti: 0.00%</v>
      </c>
      <c r="H130" s="38">
        <f>1861.5/G129</f>
        <v>23.865384615384617</v>
      </c>
      <c r="I130" s="29">
        <f>G129*H130</f>
        <v>1861.5</v>
      </c>
      <c r="J130">
        <v>2</v>
      </c>
    </row>
    <row r="131" spans="1:19" x14ac:dyDescent="0.3">
      <c r="A131" s="88" t="s">
        <v>136</v>
      </c>
      <c r="B131" s="98"/>
      <c r="C131" s="98"/>
      <c r="D131" s="98"/>
      <c r="E131" s="98"/>
      <c r="F131" s="98"/>
      <c r="G131" s="98"/>
      <c r="H131" s="38">
        <f>(1+IF(OR(ISERR(FIND(":",G130)),ISERR(FIND("%",G130))),0,MID(G130,FIND(":",G130)+2,FIND("%",G130)-FIND(":",G130)-2)/100))*0</f>
        <v>0</v>
      </c>
      <c r="I131" s="29">
        <f>G129*H131</f>
        <v>0</v>
      </c>
      <c r="J131">
        <v>3</v>
      </c>
      <c r="K131" s="4">
        <v>0</v>
      </c>
      <c r="L131" s="4">
        <v>0</v>
      </c>
      <c r="M131" s="4">
        <f>I131-K131-L131</f>
        <v>0</v>
      </c>
    </row>
    <row r="132" spans="1:19" x14ac:dyDescent="0.3">
      <c r="A132" s="98"/>
      <c r="B132" s="98"/>
      <c r="C132" s="98"/>
      <c r="D132" s="98"/>
      <c r="E132" s="98"/>
      <c r="F132" s="98"/>
      <c r="G132" s="98"/>
      <c r="H132" s="38">
        <f>0</f>
        <v>0</v>
      </c>
      <c r="I132" s="29">
        <f>G129*H132</f>
        <v>0</v>
      </c>
      <c r="J132">
        <v>4</v>
      </c>
      <c r="N132" s="4">
        <f>IF(ISERR(SEARCH("TRA* 82",C129)),IF(Q132+R132+S132=0,0,I132*(Q132/(Q132+R132+S132))),I132)</f>
        <v>0</v>
      </c>
      <c r="O132" s="4">
        <f>IF(ISERR(SEARCH("TRA* 82",C129)),IF(Q132+R132+S132=0,0,I132*(R132/(Q132+R132+S132))),0)</f>
        <v>0</v>
      </c>
      <c r="P132" s="4">
        <f>IF(ISERR(SEARCH("TRA* 82",C129)),I132-N132-O132,0)</f>
        <v>0</v>
      </c>
      <c r="Q132" s="4">
        <v>0</v>
      </c>
      <c r="R132" s="4">
        <v>0</v>
      </c>
      <c r="S132" s="4">
        <v>0</v>
      </c>
    </row>
    <row r="133" spans="1:19" x14ac:dyDescent="0.3">
      <c r="A133" s="96" t="s">
        <v>27</v>
      </c>
      <c r="B133" s="97"/>
      <c r="C133" s="97"/>
      <c r="D133" s="97"/>
      <c r="E133" s="97"/>
      <c r="F133" s="97"/>
      <c r="G133" s="97"/>
      <c r="H133" s="36">
        <f>H129+H130+H131+H132</f>
        <v>23.865384615384617</v>
      </c>
      <c r="I133" s="74">
        <f>I129+I130+I131+I132</f>
        <v>1861.5</v>
      </c>
      <c r="J133">
        <v>5</v>
      </c>
    </row>
    <row r="134" spans="1:19" x14ac:dyDescent="0.3">
      <c r="B134" s="2">
        <v>23</v>
      </c>
      <c r="C134" s="3" t="s">
        <v>137</v>
      </c>
      <c r="D134" s="5" t="s">
        <v>40</v>
      </c>
      <c r="G134" s="30">
        <v>9</v>
      </c>
      <c r="H134" s="38">
        <f>56.44/G134</f>
        <v>6.2711111111111109</v>
      </c>
      <c r="I134" s="29">
        <f>G134*H134</f>
        <v>56.44</v>
      </c>
      <c r="J134">
        <v>1</v>
      </c>
    </row>
    <row r="135" spans="1:19" x14ac:dyDescent="0.3">
      <c r="D135" s="15" t="str">
        <f>SUBSTITUTE("Sp.mat: 0.00%",".",IF(VALUE("1.2")=1.2,".",","),2)</f>
        <v>Sp.mat: 0.00%</v>
      </c>
      <c r="F135" s="15" t="str">
        <f>SUBSTITUTE("Sp.man: 0.00%",".",IF(VALUE("1.2")=1.2,".",","),2)</f>
        <v>Sp.man: 0.00%</v>
      </c>
      <c r="G135" s="35" t="str">
        <f>SUBSTITUTE("Sp.uti: 0.00%",".",IF(VALUE("1.2")=1.2,".",","),2)</f>
        <v>Sp.uti: 0.00%</v>
      </c>
      <c r="H135" s="38">
        <v>8.17</v>
      </c>
      <c r="I135" s="29">
        <f>G134*H135</f>
        <v>73.53</v>
      </c>
      <c r="J135">
        <v>2</v>
      </c>
    </row>
    <row r="136" spans="1:19" x14ac:dyDescent="0.3">
      <c r="A136" s="88" t="s">
        <v>138</v>
      </c>
      <c r="B136" s="98"/>
      <c r="C136" s="98"/>
      <c r="D136" s="98"/>
      <c r="E136" s="98"/>
      <c r="F136" s="98"/>
      <c r="G136" s="98"/>
      <c r="H136" s="38">
        <f>(1+IF(OR(ISERR(FIND(":",G135)),ISERR(FIND("%",G135))),0,MID(G135,FIND(":",G135)+2,FIND("%",G135)-FIND(":",G135)-2)/100))*0</f>
        <v>0</v>
      </c>
      <c r="I136" s="29">
        <f>G134*H136</f>
        <v>0</v>
      </c>
      <c r="J136">
        <v>3</v>
      </c>
      <c r="K136" s="4">
        <v>0</v>
      </c>
      <c r="L136" s="4">
        <v>0</v>
      </c>
      <c r="M136" s="4">
        <f>I136-K136-L136</f>
        <v>0</v>
      </c>
    </row>
    <row r="137" spans="1:19" x14ac:dyDescent="0.3">
      <c r="A137" s="98"/>
      <c r="B137" s="98"/>
      <c r="C137" s="98"/>
      <c r="D137" s="98"/>
      <c r="E137" s="98"/>
      <c r="F137" s="98"/>
      <c r="G137" s="98"/>
      <c r="H137" s="38">
        <f>0</f>
        <v>0</v>
      </c>
      <c r="I137" s="29">
        <f>G134*H137</f>
        <v>0</v>
      </c>
      <c r="J137">
        <v>4</v>
      </c>
      <c r="N137" s="4">
        <f>IF(ISERR(SEARCH("TRA* 82",C134)),IF(Q137+R137+S137=0,0,I137*(Q137/(Q137+R137+S137))),I137)</f>
        <v>0</v>
      </c>
      <c r="O137" s="4">
        <f>IF(ISERR(SEARCH("TRA* 82",C134)),IF(Q137+R137+S137=0,0,I137*(R137/(Q137+R137+S137))),0)</f>
        <v>0</v>
      </c>
      <c r="P137" s="4">
        <f>IF(ISERR(SEARCH("TRA* 82",C134)),I137-N137-O137,0)</f>
        <v>0</v>
      </c>
      <c r="Q137" s="4">
        <v>0</v>
      </c>
      <c r="R137" s="4">
        <v>0</v>
      </c>
      <c r="S137" s="4">
        <v>0</v>
      </c>
    </row>
    <row r="138" spans="1:19" x14ac:dyDescent="0.3">
      <c r="A138" s="96" t="s">
        <v>27</v>
      </c>
      <c r="B138" s="97"/>
      <c r="C138" s="97"/>
      <c r="D138" s="97"/>
      <c r="E138" s="97"/>
      <c r="F138" s="97"/>
      <c r="G138" s="97"/>
      <c r="H138" s="36">
        <f>H134+H135+H136+H137</f>
        <v>14.441111111111111</v>
      </c>
      <c r="I138" s="74">
        <f>I134+I135+I136+I137</f>
        <v>129.97</v>
      </c>
      <c r="J138">
        <v>5</v>
      </c>
    </row>
    <row r="139" spans="1:19" x14ac:dyDescent="0.3">
      <c r="B139" s="2">
        <v>24</v>
      </c>
      <c r="C139" s="3" t="s">
        <v>139</v>
      </c>
      <c r="D139" s="5" t="s">
        <v>25</v>
      </c>
      <c r="G139" s="30">
        <v>225</v>
      </c>
      <c r="H139" s="38">
        <f>1049.96/G139</f>
        <v>4.6664888888888889</v>
      </c>
      <c r="I139" s="29">
        <f>G139*H139</f>
        <v>1049.96</v>
      </c>
      <c r="J139">
        <v>1</v>
      </c>
    </row>
    <row r="140" spans="1:19" x14ac:dyDescent="0.3">
      <c r="D140" s="15" t="str">
        <f>SUBSTITUTE("Sp.mat: 0.00%",".",IF(VALUE("1.2")=1.2,".",","),2)</f>
        <v>Sp.mat: 0.00%</v>
      </c>
      <c r="F140" s="15" t="str">
        <f>SUBSTITUTE("Sp.man: 0.00%",".",IF(VALUE("1.2")=1.2,".",","),2)</f>
        <v>Sp.man: 0.00%</v>
      </c>
      <c r="G140" s="35" t="str">
        <f>SUBSTITUTE("Sp.uti: 0.00%",".",IF(VALUE("1.2")=1.2,".",","),2)</f>
        <v>Sp.uti: 0.00%</v>
      </c>
      <c r="H140" s="38">
        <f>1801.91/G139</f>
        <v>8.0084888888888894</v>
      </c>
      <c r="I140" s="29">
        <f>G139*H140</f>
        <v>1801.91</v>
      </c>
      <c r="J140">
        <v>2</v>
      </c>
    </row>
    <row r="141" spans="1:19" x14ac:dyDescent="0.3">
      <c r="A141" s="88" t="s">
        <v>140</v>
      </c>
      <c r="B141" s="98"/>
      <c r="C141" s="98"/>
      <c r="D141" s="98"/>
      <c r="E141" s="98"/>
      <c r="F141" s="98"/>
      <c r="G141" s="98"/>
      <c r="H141" s="38">
        <f>(1+IF(OR(ISERR(FIND(":",G140)),ISERR(FIND("%",G140))),0,MID(G140,FIND(":",G140)+2,FIND("%",G140)-FIND(":",G140)-2)/100))*0</f>
        <v>0</v>
      </c>
      <c r="I141" s="29">
        <f>G139*H141</f>
        <v>0</v>
      </c>
      <c r="J141">
        <v>3</v>
      </c>
      <c r="K141" s="4">
        <v>0</v>
      </c>
      <c r="L141" s="4">
        <v>0</v>
      </c>
      <c r="M141" s="4">
        <f>I141-K141-L141</f>
        <v>0</v>
      </c>
    </row>
    <row r="142" spans="1:19" x14ac:dyDescent="0.3">
      <c r="A142" s="98"/>
      <c r="B142" s="98"/>
      <c r="C142" s="98"/>
      <c r="D142" s="98"/>
      <c r="E142" s="98"/>
      <c r="F142" s="98"/>
      <c r="G142" s="98"/>
      <c r="H142" s="38">
        <f>0</f>
        <v>0</v>
      </c>
      <c r="I142" s="29">
        <f>G139*H142</f>
        <v>0</v>
      </c>
      <c r="J142">
        <v>4</v>
      </c>
      <c r="N142" s="4">
        <f>IF(ISERR(SEARCH("TRA* 82",C139)),IF(Q142+R142+S142=0,0,I142*(Q142/(Q142+R142+S142))),I142)</f>
        <v>0</v>
      </c>
      <c r="O142" s="4">
        <f>IF(ISERR(SEARCH("TRA* 82",C139)),IF(Q142+R142+S142=0,0,I142*(R142/(Q142+R142+S142))),0)</f>
        <v>0</v>
      </c>
      <c r="P142" s="4">
        <f>IF(ISERR(SEARCH("TRA* 82",C139)),I142-N142-O142,0)</f>
        <v>0</v>
      </c>
      <c r="Q142" s="4">
        <v>0</v>
      </c>
      <c r="R142" s="4">
        <v>0</v>
      </c>
      <c r="S142" s="4">
        <v>0</v>
      </c>
    </row>
    <row r="143" spans="1:19" x14ac:dyDescent="0.3">
      <c r="A143" s="100" t="s">
        <v>27</v>
      </c>
      <c r="B143" s="101"/>
      <c r="C143" s="101"/>
      <c r="D143" s="101"/>
      <c r="E143" s="101"/>
      <c r="F143" s="101"/>
      <c r="G143" s="101"/>
      <c r="H143" s="33">
        <f>H139+H140+H141+H142</f>
        <v>12.674977777777778</v>
      </c>
      <c r="I143" s="37">
        <f>I139+I140+I141+I142</f>
        <v>2851.87</v>
      </c>
      <c r="J143">
        <v>5</v>
      </c>
    </row>
    <row r="144" spans="1:19" x14ac:dyDescent="0.3">
      <c r="A144" s="102" t="s">
        <v>141</v>
      </c>
      <c r="B144" s="102"/>
      <c r="C144" s="102"/>
      <c r="D144" s="102"/>
      <c r="E144" s="102"/>
      <c r="F144" s="102"/>
      <c r="G144" s="102"/>
      <c r="H144" s="102"/>
      <c r="I144" s="102"/>
    </row>
    <row r="145" spans="1:19" x14ac:dyDescent="0.3">
      <c r="A145" s="97" t="s">
        <v>142</v>
      </c>
      <c r="B145" s="97"/>
      <c r="C145" s="97"/>
      <c r="D145" s="97"/>
      <c r="E145" s="97"/>
      <c r="F145" s="97"/>
      <c r="G145" s="97"/>
      <c r="H145" s="97"/>
      <c r="I145" s="97"/>
    </row>
    <row r="146" spans="1:19" x14ac:dyDescent="0.3">
      <c r="B146" s="2">
        <v>25</v>
      </c>
      <c r="C146" s="3" t="s">
        <v>139</v>
      </c>
      <c r="D146" s="5" t="s">
        <v>25</v>
      </c>
      <c r="G146" s="30">
        <v>86</v>
      </c>
      <c r="H146" s="38">
        <f>419.74/G146</f>
        <v>4.880697674418605</v>
      </c>
      <c r="I146" s="29">
        <f>G146*H146</f>
        <v>419.74</v>
      </c>
      <c r="J146">
        <v>1</v>
      </c>
    </row>
    <row r="147" spans="1:19" x14ac:dyDescent="0.3">
      <c r="D147" s="15" t="str">
        <f>SUBSTITUTE("Sp.mat: 0.00%",".",IF(VALUE("1.2")=1.2,".",","),2)</f>
        <v>Sp.mat: 0.00%</v>
      </c>
      <c r="F147" s="15" t="str">
        <f>SUBSTITUTE("Sp.man: 0.00%",".",IF(VALUE("1.2")=1.2,".",","),2)</f>
        <v>Sp.man: 0.00%</v>
      </c>
      <c r="G147" s="35" t="str">
        <f>SUBSTITUTE("Sp.uti: 0.00%",".",IF(VALUE("1.2")=1.2,".",","),2)</f>
        <v>Sp.uti: 0.00%</v>
      </c>
      <c r="H147" s="38">
        <f>688.73/G146</f>
        <v>8.0084883720930229</v>
      </c>
      <c r="I147" s="29">
        <f>G146*H147</f>
        <v>688.73</v>
      </c>
      <c r="J147">
        <v>2</v>
      </c>
    </row>
    <row r="148" spans="1:19" x14ac:dyDescent="0.3">
      <c r="A148" s="88" t="s">
        <v>140</v>
      </c>
      <c r="B148" s="98"/>
      <c r="C148" s="98"/>
      <c r="D148" s="98"/>
      <c r="E148" s="98"/>
      <c r="F148" s="98"/>
      <c r="G148" s="98"/>
      <c r="H148" s="38">
        <f>(1+IF(OR(ISERR(FIND(":",G147)),ISERR(FIND("%",G147))),0,MID(G147,FIND(":",G147)+2,FIND("%",G147)-FIND(":",G147)-2)/100))*0</f>
        <v>0</v>
      </c>
      <c r="I148" s="29">
        <f>G146*H148</f>
        <v>0</v>
      </c>
      <c r="J148">
        <v>3</v>
      </c>
      <c r="K148" s="4">
        <v>0</v>
      </c>
      <c r="L148" s="4">
        <v>0</v>
      </c>
      <c r="M148" s="4">
        <f>I148-K148-L148</f>
        <v>0</v>
      </c>
    </row>
    <row r="149" spans="1:19" x14ac:dyDescent="0.3">
      <c r="A149" s="98"/>
      <c r="B149" s="98"/>
      <c r="C149" s="98"/>
      <c r="D149" s="98"/>
      <c r="E149" s="98"/>
      <c r="F149" s="98"/>
      <c r="G149" s="98"/>
      <c r="H149" s="38">
        <f>0</f>
        <v>0</v>
      </c>
      <c r="I149" s="29">
        <f>G146*H149</f>
        <v>0</v>
      </c>
      <c r="J149">
        <v>4</v>
      </c>
      <c r="N149" s="4">
        <f>IF(ISERR(SEARCH("TRA* 82",C146)),IF(Q149+R149+S149=0,0,I149*(Q149/(Q149+R149+S149))),I149)</f>
        <v>0</v>
      </c>
      <c r="O149" s="4">
        <f>IF(ISERR(SEARCH("TRA* 82",C146)),IF(Q149+R149+S149=0,0,I149*(R149/(Q149+R149+S149))),0)</f>
        <v>0</v>
      </c>
      <c r="P149" s="4">
        <f>IF(ISERR(SEARCH("TRA* 82",C146)),I149-N149-O149,0)</f>
        <v>0</v>
      </c>
      <c r="Q149" s="4">
        <v>0</v>
      </c>
      <c r="R149" s="4">
        <v>0</v>
      </c>
      <c r="S149" s="4">
        <v>0</v>
      </c>
    </row>
    <row r="150" spans="1:19" x14ac:dyDescent="0.3">
      <c r="A150" s="100" t="s">
        <v>27</v>
      </c>
      <c r="B150" s="101"/>
      <c r="C150" s="101"/>
      <c r="D150" s="101"/>
      <c r="E150" s="101"/>
      <c r="F150" s="101"/>
      <c r="G150" s="101"/>
      <c r="H150" s="33">
        <f>H146+H147+H148+H149</f>
        <v>12.889186046511629</v>
      </c>
      <c r="I150" s="37">
        <f>I146+I147+I148+I149</f>
        <v>1108.47</v>
      </c>
      <c r="J150">
        <v>5</v>
      </c>
    </row>
    <row r="151" spans="1:19" x14ac:dyDescent="0.3">
      <c r="A151" s="102" t="s">
        <v>143</v>
      </c>
      <c r="B151" s="102"/>
      <c r="C151" s="102"/>
      <c r="D151" s="102"/>
      <c r="E151" s="102"/>
      <c r="F151" s="102"/>
      <c r="G151" s="102"/>
      <c r="H151" s="102"/>
      <c r="I151" s="102"/>
    </row>
    <row r="152" spans="1:19" x14ac:dyDescent="0.3">
      <c r="A152" s="97" t="s">
        <v>142</v>
      </c>
      <c r="B152" s="97"/>
      <c r="C152" s="97"/>
      <c r="D152" s="97"/>
      <c r="E152" s="97"/>
      <c r="F152" s="97"/>
      <c r="G152" s="97"/>
      <c r="H152" s="97"/>
      <c r="I152" s="97"/>
    </row>
    <row r="153" spans="1:19" x14ac:dyDescent="0.3">
      <c r="B153" s="2">
        <v>26</v>
      </c>
      <c r="C153" s="3" t="s">
        <v>139</v>
      </c>
      <c r="D153" s="5" t="s">
        <v>25</v>
      </c>
      <c r="G153" s="30">
        <v>108</v>
      </c>
      <c r="H153" s="38">
        <f>642.76/G153</f>
        <v>5.9514814814814816</v>
      </c>
      <c r="I153" s="29">
        <f>G153*H153</f>
        <v>642.76</v>
      </c>
      <c r="J153">
        <v>1</v>
      </c>
    </row>
    <row r="154" spans="1:19" x14ac:dyDescent="0.3">
      <c r="D154" s="15" t="str">
        <f>SUBSTITUTE("Sp.mat: 0.00%",".",IF(VALUE("1.2")=1.2,".",","),2)</f>
        <v>Sp.mat: 0.00%</v>
      </c>
      <c r="F154" s="15" t="str">
        <f>SUBSTITUTE("Sp.man: 0.00%",".",IF(VALUE("1.2")=1.2,".",","),2)</f>
        <v>Sp.man: 0.00%</v>
      </c>
      <c r="G154" s="35" t="str">
        <f>SUBSTITUTE("Sp.uti: 0.00%",".",IF(VALUE("1.2")=1.2,".",","),2)</f>
        <v>Sp.uti: 0.00%</v>
      </c>
      <c r="H154" s="38">
        <f>864.92/G153</f>
        <v>8.0085185185185175</v>
      </c>
      <c r="I154" s="29">
        <f>G153*H154</f>
        <v>864.91999999999985</v>
      </c>
      <c r="J154">
        <v>2</v>
      </c>
    </row>
    <row r="155" spans="1:19" x14ac:dyDescent="0.3">
      <c r="A155" s="88" t="s">
        <v>140</v>
      </c>
      <c r="B155" s="98"/>
      <c r="C155" s="98"/>
      <c r="D155" s="98"/>
      <c r="E155" s="98"/>
      <c r="F155" s="98"/>
      <c r="G155" s="98"/>
      <c r="H155" s="38">
        <f>(1+IF(OR(ISERR(FIND(":",G154)),ISERR(FIND("%",G154))),0,MID(G154,FIND(":",G154)+2,FIND("%",G154)-FIND(":",G154)-2)/100))*0</f>
        <v>0</v>
      </c>
      <c r="I155" s="29">
        <f>G153*H155</f>
        <v>0</v>
      </c>
      <c r="J155">
        <v>3</v>
      </c>
      <c r="K155" s="4">
        <v>0</v>
      </c>
      <c r="L155" s="4">
        <v>0</v>
      </c>
      <c r="M155" s="4">
        <f>I155-K155-L155</f>
        <v>0</v>
      </c>
    </row>
    <row r="156" spans="1:19" x14ac:dyDescent="0.3">
      <c r="A156" s="98"/>
      <c r="B156" s="98"/>
      <c r="C156" s="98"/>
      <c r="D156" s="98"/>
      <c r="E156" s="98"/>
      <c r="F156" s="98"/>
      <c r="G156" s="98"/>
      <c r="H156" s="38">
        <f>0</f>
        <v>0</v>
      </c>
      <c r="I156" s="29">
        <f>G153*H156</f>
        <v>0</v>
      </c>
      <c r="J156">
        <v>4</v>
      </c>
      <c r="N156" s="4">
        <f>IF(ISERR(SEARCH("TRA* 82",C153)),IF(Q156+R156+S156=0,0,I156*(Q156/(Q156+R156+S156))),I156)</f>
        <v>0</v>
      </c>
      <c r="O156" s="4">
        <f>IF(ISERR(SEARCH("TRA* 82",C153)),IF(Q156+R156+S156=0,0,I156*(R156/(Q156+R156+S156))),0)</f>
        <v>0</v>
      </c>
      <c r="P156" s="4">
        <f>IF(ISERR(SEARCH("TRA* 82",C153)),I156-N156-O156,0)</f>
        <v>0</v>
      </c>
      <c r="Q156" s="4">
        <v>0</v>
      </c>
      <c r="R156" s="4">
        <v>0</v>
      </c>
      <c r="S156" s="4">
        <v>0</v>
      </c>
    </row>
    <row r="157" spans="1:19" x14ac:dyDescent="0.3">
      <c r="A157" s="100" t="s">
        <v>27</v>
      </c>
      <c r="B157" s="101"/>
      <c r="C157" s="101"/>
      <c r="D157" s="101"/>
      <c r="E157" s="101"/>
      <c r="F157" s="101"/>
      <c r="G157" s="101"/>
      <c r="H157" s="33">
        <f>H153+H154+H155+H156</f>
        <v>13.959999999999999</v>
      </c>
      <c r="I157" s="37">
        <f>I153+I154+I155+I156</f>
        <v>1507.6799999999998</v>
      </c>
      <c r="J157">
        <v>5</v>
      </c>
    </row>
    <row r="158" spans="1:19" x14ac:dyDescent="0.3">
      <c r="A158" s="102" t="s">
        <v>144</v>
      </c>
      <c r="B158" s="102"/>
      <c r="C158" s="102"/>
      <c r="D158" s="102"/>
      <c r="E158" s="102"/>
      <c r="F158" s="102"/>
      <c r="G158" s="102"/>
      <c r="H158" s="102"/>
      <c r="I158" s="102"/>
    </row>
    <row r="159" spans="1:19" x14ac:dyDescent="0.3">
      <c r="A159" s="97" t="s">
        <v>142</v>
      </c>
      <c r="B159" s="97"/>
      <c r="C159" s="97"/>
      <c r="D159" s="97"/>
      <c r="E159" s="97"/>
      <c r="F159" s="97"/>
      <c r="G159" s="97"/>
      <c r="H159" s="97"/>
      <c r="I159" s="97"/>
    </row>
    <row r="160" spans="1:19" x14ac:dyDescent="0.3">
      <c r="B160" s="2">
        <v>27</v>
      </c>
      <c r="C160" s="3" t="s">
        <v>145</v>
      </c>
      <c r="D160" s="5" t="s">
        <v>25</v>
      </c>
      <c r="G160" s="30">
        <v>51</v>
      </c>
      <c r="H160" s="38">
        <f>238.34/G160</f>
        <v>4.6733333333333338</v>
      </c>
      <c r="I160" s="29">
        <f>G160*H160</f>
        <v>238.34000000000003</v>
      </c>
      <c r="J160">
        <v>1</v>
      </c>
    </row>
    <row r="161" spans="1:19" x14ac:dyDescent="0.3">
      <c r="D161" s="15" t="str">
        <f>SUBSTITUTE("Sp.mat: 0.00%",".",IF(VALUE("1.2")=1.2,".",","),2)</f>
        <v>Sp.mat: 0.00%</v>
      </c>
      <c r="F161" s="15" t="str">
        <f>SUBSTITUTE("Sp.man: 0.00%",".",IF(VALUE("1.2")=1.2,".",","),2)</f>
        <v>Sp.man: 0.00%</v>
      </c>
      <c r="G161" s="35" t="str">
        <f>SUBSTITUTE("Sp.uti: 0.00%",".",IF(VALUE("1.2")=1.2,".",","),2)</f>
        <v>Sp.uti: 0.00%</v>
      </c>
      <c r="H161" s="38">
        <f>980.24/G160</f>
        <v>19.220392156862744</v>
      </c>
      <c r="I161" s="29">
        <f>G160*H161</f>
        <v>980.2399999999999</v>
      </c>
      <c r="J161">
        <v>2</v>
      </c>
    </row>
    <row r="162" spans="1:19" x14ac:dyDescent="0.3">
      <c r="A162" s="88" t="s">
        <v>146</v>
      </c>
      <c r="B162" s="98"/>
      <c r="C162" s="98"/>
      <c r="D162" s="98"/>
      <c r="E162" s="98"/>
      <c r="F162" s="98"/>
      <c r="G162" s="98"/>
      <c r="H162" s="38">
        <f>(1+IF(OR(ISERR(FIND(":",G161)),ISERR(FIND("%",G161))),0,MID(G161,FIND(":",G161)+2,FIND("%",G161)-FIND(":",G161)-2)/100))*0</f>
        <v>0</v>
      </c>
      <c r="I162" s="29">
        <f>G160*H162</f>
        <v>0</v>
      </c>
      <c r="J162">
        <v>3</v>
      </c>
      <c r="K162" s="4">
        <v>0</v>
      </c>
      <c r="L162" s="4">
        <v>0</v>
      </c>
      <c r="M162" s="4">
        <f>I162-K162-L162</f>
        <v>0</v>
      </c>
    </row>
    <row r="163" spans="1:19" x14ac:dyDescent="0.3">
      <c r="A163" s="98"/>
      <c r="B163" s="98"/>
      <c r="C163" s="98"/>
      <c r="D163" s="98"/>
      <c r="E163" s="98"/>
      <c r="F163" s="98"/>
      <c r="G163" s="98"/>
      <c r="H163" s="38">
        <f>0</f>
        <v>0</v>
      </c>
      <c r="I163" s="29">
        <f>G160*H163</f>
        <v>0</v>
      </c>
      <c r="J163">
        <v>4</v>
      </c>
      <c r="N163" s="4">
        <f>IF(ISERR(SEARCH("TRA* 82",C160)),IF(Q163+R163+S163=0,0,I163*(Q163/(Q163+R163+S163))),I163)</f>
        <v>0</v>
      </c>
      <c r="O163" s="4">
        <f>IF(ISERR(SEARCH("TRA* 82",C160)),IF(Q163+R163+S163=0,0,I163*(R163/(Q163+R163+S163))),0)</f>
        <v>0</v>
      </c>
      <c r="P163" s="4">
        <f>IF(ISERR(SEARCH("TRA* 82",C160)),I163-N163-O163,0)</f>
        <v>0</v>
      </c>
      <c r="Q163" s="4">
        <v>0</v>
      </c>
      <c r="R163" s="4">
        <v>0</v>
      </c>
      <c r="S163" s="4">
        <v>0</v>
      </c>
    </row>
    <row r="164" spans="1:19" x14ac:dyDescent="0.3">
      <c r="A164" s="100" t="s">
        <v>27</v>
      </c>
      <c r="B164" s="101"/>
      <c r="C164" s="101"/>
      <c r="D164" s="101"/>
      <c r="E164" s="101"/>
      <c r="F164" s="101"/>
      <c r="G164" s="101"/>
      <c r="H164" s="33">
        <f>H160+H161+H162+H163</f>
        <v>23.893725490196076</v>
      </c>
      <c r="I164" s="37">
        <f>I160+I161+I162+I163</f>
        <v>1218.58</v>
      </c>
      <c r="J164">
        <v>5</v>
      </c>
    </row>
    <row r="165" spans="1:19" x14ac:dyDescent="0.3">
      <c r="A165" s="102" t="s">
        <v>147</v>
      </c>
      <c r="B165" s="102"/>
      <c r="C165" s="102"/>
      <c r="D165" s="102"/>
      <c r="E165" s="102"/>
      <c r="F165" s="102"/>
      <c r="G165" s="102"/>
      <c r="H165" s="102"/>
      <c r="I165" s="102"/>
    </row>
    <row r="166" spans="1:19" x14ac:dyDescent="0.3">
      <c r="A166" s="97" t="s">
        <v>142</v>
      </c>
      <c r="B166" s="97"/>
      <c r="C166" s="97"/>
      <c r="D166" s="97"/>
      <c r="E166" s="97"/>
      <c r="F166" s="97"/>
      <c r="G166" s="97"/>
      <c r="H166" s="97"/>
      <c r="I166" s="97"/>
    </row>
    <row r="167" spans="1:19" x14ac:dyDescent="0.3">
      <c r="B167" s="2">
        <v>28</v>
      </c>
      <c r="C167" s="3" t="s">
        <v>148</v>
      </c>
      <c r="D167" s="5" t="s">
        <v>25</v>
      </c>
      <c r="G167" s="30">
        <v>173</v>
      </c>
      <c r="H167" s="38">
        <f>2836.73/G167</f>
        <v>16.39728323699422</v>
      </c>
      <c r="I167" s="29">
        <f>G167*H167</f>
        <v>2836.73</v>
      </c>
      <c r="J167">
        <v>1</v>
      </c>
    </row>
    <row r="168" spans="1:19" x14ac:dyDescent="0.3">
      <c r="D168" s="15" t="str">
        <f>SUBSTITUTE("Sp.mat: 0.00%",".",IF(VALUE("1.2")=1.2,".",","),2)</f>
        <v>Sp.mat: 0.00%</v>
      </c>
      <c r="F168" s="15" t="str">
        <f>SUBSTITUTE("Sp.man: 0.00%",".",IF(VALUE("1.2")=1.2,".",","),2)</f>
        <v>Sp.man: 0.00%</v>
      </c>
      <c r="G168" s="35" t="str">
        <f>SUBSTITUTE("Sp.uti: 0.00%",".",IF(VALUE("1.2")=1.2,".",","),2)</f>
        <v>Sp.uti: 0.00%</v>
      </c>
      <c r="H168" s="38">
        <f>3879.32/G167</f>
        <v>22.423815028901736</v>
      </c>
      <c r="I168" s="29">
        <f>G167*H168</f>
        <v>3879.32</v>
      </c>
      <c r="J168">
        <v>2</v>
      </c>
    </row>
    <row r="169" spans="1:19" x14ac:dyDescent="0.3">
      <c r="A169" s="88" t="s">
        <v>149</v>
      </c>
      <c r="B169" s="98"/>
      <c r="C169" s="98"/>
      <c r="D169" s="98"/>
      <c r="E169" s="98"/>
      <c r="F169" s="98"/>
      <c r="G169" s="98"/>
      <c r="H169" s="38">
        <f>(1+IF(OR(ISERR(FIND(":",G168)),ISERR(FIND("%",G168))),0,MID(G168,FIND(":",G168)+2,FIND("%",G168)-FIND(":",G168)-2)/100))*0</f>
        <v>0</v>
      </c>
      <c r="I169" s="29">
        <f>G167*H169</f>
        <v>0</v>
      </c>
      <c r="J169">
        <v>3</v>
      </c>
      <c r="K169" s="4">
        <v>0</v>
      </c>
      <c r="L169" s="4">
        <v>0</v>
      </c>
      <c r="M169" s="4">
        <f>I169-K169-L169</f>
        <v>0</v>
      </c>
    </row>
    <row r="170" spans="1:19" x14ac:dyDescent="0.3">
      <c r="A170" s="98"/>
      <c r="B170" s="98"/>
      <c r="C170" s="98"/>
      <c r="D170" s="98"/>
      <c r="E170" s="98"/>
      <c r="F170" s="98"/>
      <c r="G170" s="98"/>
      <c r="H170" s="38">
        <f>0</f>
        <v>0</v>
      </c>
      <c r="I170" s="29">
        <f>G167*H170</f>
        <v>0</v>
      </c>
      <c r="J170">
        <v>4</v>
      </c>
      <c r="N170" s="4">
        <f>IF(ISERR(SEARCH("TRA* 82",C167)),IF(Q170+R170+S170=0,0,I170*(Q170/(Q170+R170+S170))),I170)</f>
        <v>0</v>
      </c>
      <c r="O170" s="4">
        <f>IF(ISERR(SEARCH("TRA* 82",C167)),IF(Q170+R170+S170=0,0,I170*(R170/(Q170+R170+S170))),0)</f>
        <v>0</v>
      </c>
      <c r="P170" s="4">
        <f>IF(ISERR(SEARCH("TRA* 82",C167)),I170-N170-O170,0)</f>
        <v>0</v>
      </c>
      <c r="Q170" s="4">
        <v>0</v>
      </c>
      <c r="R170" s="4">
        <v>0</v>
      </c>
      <c r="S170" s="4">
        <v>0</v>
      </c>
    </row>
    <row r="171" spans="1:19" x14ac:dyDescent="0.3">
      <c r="A171" s="100" t="s">
        <v>27</v>
      </c>
      <c r="B171" s="101"/>
      <c r="C171" s="101"/>
      <c r="D171" s="101"/>
      <c r="E171" s="101"/>
      <c r="F171" s="101"/>
      <c r="G171" s="101"/>
      <c r="H171" s="33">
        <f>H167+H168+H169+H170</f>
        <v>38.821098265895955</v>
      </c>
      <c r="I171" s="37">
        <f>I167+I168+I169+I170</f>
        <v>6716.05</v>
      </c>
      <c r="J171">
        <v>5</v>
      </c>
    </row>
    <row r="172" spans="1:19" x14ac:dyDescent="0.3">
      <c r="A172" s="102" t="s">
        <v>150</v>
      </c>
      <c r="B172" s="102"/>
      <c r="C172" s="102"/>
      <c r="D172" s="102"/>
      <c r="E172" s="102"/>
      <c r="F172" s="102"/>
      <c r="G172" s="102"/>
      <c r="H172" s="102"/>
      <c r="I172" s="102"/>
    </row>
    <row r="173" spans="1:19" x14ac:dyDescent="0.3">
      <c r="A173" s="97" t="s">
        <v>151</v>
      </c>
      <c r="B173" s="97"/>
      <c r="C173" s="97"/>
      <c r="D173" s="97"/>
      <c r="E173" s="97"/>
      <c r="F173" s="97"/>
      <c r="G173" s="97"/>
      <c r="H173" s="97"/>
      <c r="I173" s="97"/>
    </row>
    <row r="174" spans="1:19" x14ac:dyDescent="0.3">
      <c r="B174" s="2">
        <v>29</v>
      </c>
      <c r="C174" s="3" t="s">
        <v>152</v>
      </c>
      <c r="D174" s="5" t="s">
        <v>29</v>
      </c>
      <c r="G174" s="30">
        <v>7</v>
      </c>
      <c r="H174" s="38">
        <v>29.29</v>
      </c>
      <c r="I174" s="29">
        <f>G174*H174</f>
        <v>205.03</v>
      </c>
      <c r="J174">
        <v>1</v>
      </c>
    </row>
    <row r="175" spans="1:19" x14ac:dyDescent="0.3">
      <c r="D175" s="15" t="str">
        <f>SUBSTITUTE("Sp.mat: 0.00%",".",IF(VALUE("1.2")=1.2,".",","),2)</f>
        <v>Sp.mat: 0.00%</v>
      </c>
      <c r="F175" s="15" t="str">
        <f>SUBSTITUTE("Sp.man: 0.00%",".",IF(VALUE("1.2")=1.2,".",","),2)</f>
        <v>Sp.man: 0.00%</v>
      </c>
      <c r="G175" s="35" t="str">
        <f>SUBSTITUTE("Sp.uti: 0.00%",".",IF(VALUE("1.2")=1.2,".",","),2)</f>
        <v>Sp.uti: 0.00%</v>
      </c>
      <c r="H175" s="38">
        <v>8.9700000000000006</v>
      </c>
      <c r="I175" s="29">
        <f>G174*H175</f>
        <v>62.790000000000006</v>
      </c>
      <c r="J175">
        <v>2</v>
      </c>
    </row>
    <row r="176" spans="1:19" x14ac:dyDescent="0.3">
      <c r="A176" s="88" t="s">
        <v>153</v>
      </c>
      <c r="B176" s="98"/>
      <c r="C176" s="98"/>
      <c r="D176" s="98"/>
      <c r="E176" s="98"/>
      <c r="F176" s="98"/>
      <c r="G176" s="98"/>
      <c r="H176" s="38">
        <f>(1+IF(OR(ISERR(FIND(":",G175)),ISERR(FIND("%",G175))),0,MID(G175,FIND(":",G175)+2,FIND("%",G175)-FIND(":",G175)-2)/100))*0</f>
        <v>0</v>
      </c>
      <c r="I176" s="29">
        <f>G174*H176</f>
        <v>0</v>
      </c>
      <c r="J176">
        <v>3</v>
      </c>
      <c r="K176" s="4">
        <v>0</v>
      </c>
      <c r="L176" s="4">
        <v>0</v>
      </c>
      <c r="M176" s="4">
        <f>I176-K176-L176</f>
        <v>0</v>
      </c>
    </row>
    <row r="177" spans="1:19" x14ac:dyDescent="0.3">
      <c r="A177" s="98"/>
      <c r="B177" s="98"/>
      <c r="C177" s="98"/>
      <c r="D177" s="98"/>
      <c r="E177" s="98"/>
      <c r="F177" s="98"/>
      <c r="G177" s="98"/>
      <c r="H177" s="38">
        <f>0</f>
        <v>0</v>
      </c>
      <c r="I177" s="29">
        <f>G174*H177</f>
        <v>0</v>
      </c>
      <c r="J177">
        <v>4</v>
      </c>
      <c r="N177" s="4">
        <f>IF(ISERR(SEARCH("TRA* 82",C174)),IF(Q177+R177+S177=0,0,I177*(Q177/(Q177+R177+S177))),I177)</f>
        <v>0</v>
      </c>
      <c r="O177" s="4">
        <f>IF(ISERR(SEARCH("TRA* 82",C174)),IF(Q177+R177+S177=0,0,I177*(R177/(Q177+R177+S177))),0)</f>
        <v>0</v>
      </c>
      <c r="P177" s="4">
        <f>IF(ISERR(SEARCH("TRA* 82",C174)),I177-N177-O177,0)</f>
        <v>0</v>
      </c>
      <c r="Q177" s="4">
        <v>0</v>
      </c>
      <c r="R177" s="4">
        <v>0</v>
      </c>
      <c r="S177" s="4">
        <v>0</v>
      </c>
    </row>
    <row r="178" spans="1:19" x14ac:dyDescent="0.3">
      <c r="A178" s="96" t="s">
        <v>27</v>
      </c>
      <c r="B178" s="97"/>
      <c r="C178" s="97"/>
      <c r="D178" s="97"/>
      <c r="E178" s="97"/>
      <c r="F178" s="97"/>
      <c r="G178" s="97"/>
      <c r="H178" s="36">
        <f>H174+H175+H176+H177</f>
        <v>38.26</v>
      </c>
      <c r="I178" s="74">
        <f>I174+I175+I176+I177</f>
        <v>267.82</v>
      </c>
      <c r="J178">
        <v>5</v>
      </c>
    </row>
    <row r="179" spans="1:19" x14ac:dyDescent="0.3">
      <c r="B179" s="2">
        <v>30</v>
      </c>
      <c r="C179" s="3" t="s">
        <v>154</v>
      </c>
      <c r="D179" s="5" t="s">
        <v>29</v>
      </c>
      <c r="G179" s="30">
        <v>10</v>
      </c>
      <c r="H179" s="38">
        <v>129.74</v>
      </c>
      <c r="I179" s="29">
        <f>G179*H179</f>
        <v>1297.4000000000001</v>
      </c>
      <c r="J179">
        <v>1</v>
      </c>
    </row>
    <row r="180" spans="1:19" x14ac:dyDescent="0.3">
      <c r="D180" s="15" t="str">
        <f>SUBSTITUTE("Sp.mat: 0.00%",".",IF(VALUE("1.2")=1.2,".",","),2)</f>
        <v>Sp.mat: 0.00%</v>
      </c>
      <c r="F180" s="15" t="str">
        <f>SUBSTITUTE("Sp.man: 0.00%",".",IF(VALUE("1.2")=1.2,".",","),2)</f>
        <v>Sp.man: 0.00%</v>
      </c>
      <c r="G180" s="35" t="str">
        <f>SUBSTITUTE("Sp.uti: 0.00%",".",IF(VALUE("1.2")=1.2,".",","),2)</f>
        <v>Sp.uti: 0.00%</v>
      </c>
      <c r="H180" s="38">
        <f>132.94/G179</f>
        <v>13.294</v>
      </c>
      <c r="I180" s="29">
        <f>G179*H180</f>
        <v>132.94</v>
      </c>
      <c r="J180">
        <v>2</v>
      </c>
    </row>
    <row r="181" spans="1:19" x14ac:dyDescent="0.3">
      <c r="A181" s="88" t="s">
        <v>155</v>
      </c>
      <c r="B181" s="98"/>
      <c r="C181" s="98"/>
      <c r="D181" s="98"/>
      <c r="E181" s="98"/>
      <c r="F181" s="98"/>
      <c r="G181" s="98"/>
      <c r="H181" s="38">
        <f>(1+IF(OR(ISERR(FIND(":",G180)),ISERR(FIND("%",G180))),0,MID(G180,FIND(":",G180)+2,FIND("%",G180)-FIND(":",G180)-2)/100))*0</f>
        <v>0</v>
      </c>
      <c r="I181" s="29">
        <f>G179*H181</f>
        <v>0</v>
      </c>
      <c r="J181">
        <v>3</v>
      </c>
      <c r="K181" s="4">
        <v>0</v>
      </c>
      <c r="L181" s="4">
        <v>0</v>
      </c>
      <c r="M181" s="4">
        <f>I181-K181-L181</f>
        <v>0</v>
      </c>
    </row>
    <row r="182" spans="1:19" x14ac:dyDescent="0.3">
      <c r="A182" s="98"/>
      <c r="B182" s="98"/>
      <c r="C182" s="98"/>
      <c r="D182" s="98"/>
      <c r="E182" s="98"/>
      <c r="F182" s="98"/>
      <c r="G182" s="98"/>
      <c r="H182" s="38">
        <f>0</f>
        <v>0</v>
      </c>
      <c r="I182" s="29">
        <f>G179*H182</f>
        <v>0</v>
      </c>
      <c r="J182">
        <v>4</v>
      </c>
      <c r="N182" s="4">
        <f>IF(ISERR(SEARCH("TRA* 82",C179)),IF(Q182+R182+S182=0,0,I182*(Q182/(Q182+R182+S182))),I182)</f>
        <v>0</v>
      </c>
      <c r="O182" s="4">
        <f>IF(ISERR(SEARCH("TRA* 82",C179)),IF(Q182+R182+S182=0,0,I182*(R182/(Q182+R182+S182))),0)</f>
        <v>0</v>
      </c>
      <c r="P182" s="4">
        <f>IF(ISERR(SEARCH("TRA* 82",C179)),I182-N182-O182,0)</f>
        <v>0</v>
      </c>
      <c r="Q182" s="4">
        <v>0</v>
      </c>
      <c r="R182" s="4">
        <v>0</v>
      </c>
      <c r="S182" s="4">
        <v>0</v>
      </c>
    </row>
    <row r="183" spans="1:19" x14ac:dyDescent="0.3">
      <c r="A183" s="100" t="s">
        <v>87</v>
      </c>
      <c r="B183" s="101"/>
      <c r="C183" s="101"/>
      <c r="D183" s="101"/>
      <c r="E183" s="101"/>
      <c r="F183" s="101"/>
      <c r="G183" s="101"/>
      <c r="H183" s="33">
        <f>H179+H180+H181+H182</f>
        <v>143.03400000000002</v>
      </c>
      <c r="I183" s="37">
        <f>I179+I180+I181+I182</f>
        <v>1430.3400000000001</v>
      </c>
      <c r="J183">
        <v>5</v>
      </c>
    </row>
    <row r="184" spans="1:19" x14ac:dyDescent="0.3">
      <c r="A184" s="102" t="s">
        <v>156</v>
      </c>
      <c r="B184" s="102"/>
      <c r="C184" s="102"/>
      <c r="D184" s="102"/>
      <c r="E184" s="102"/>
      <c r="F184" s="102"/>
      <c r="G184" s="102"/>
      <c r="H184" s="102"/>
      <c r="I184" s="102"/>
    </row>
    <row r="185" spans="1:19" x14ac:dyDescent="0.3">
      <c r="A185" s="97" t="s">
        <v>157</v>
      </c>
      <c r="B185" s="97"/>
      <c r="C185" s="97"/>
      <c r="D185" s="97"/>
      <c r="E185" s="97"/>
      <c r="F185" s="97"/>
      <c r="G185" s="97"/>
      <c r="H185" s="97"/>
      <c r="I185" s="97"/>
    </row>
    <row r="186" spans="1:19" x14ac:dyDescent="0.3">
      <c r="B186" s="2">
        <v>31</v>
      </c>
      <c r="C186" s="3" t="s">
        <v>158</v>
      </c>
      <c r="D186" s="5" t="s">
        <v>29</v>
      </c>
      <c r="G186" s="30">
        <v>3</v>
      </c>
      <c r="H186" s="38">
        <v>57.53</v>
      </c>
      <c r="I186" s="29">
        <f>G186*H186</f>
        <v>172.59</v>
      </c>
      <c r="J186">
        <v>1</v>
      </c>
    </row>
    <row r="187" spans="1:19" x14ac:dyDescent="0.3">
      <c r="D187" s="15" t="str">
        <f>SUBSTITUTE("Sp.mat: 0.00%",".",IF(VALUE("1.2")=1.2,".",","),2)</f>
        <v>Sp.mat: 0.00%</v>
      </c>
      <c r="F187" s="15" t="str">
        <f>SUBSTITUTE("Sp.man: 0.00%",".",IF(VALUE("1.2")=1.2,".",","),2)</f>
        <v>Sp.man: 0.00%</v>
      </c>
      <c r="G187" s="35" t="str">
        <f>SUBSTITUTE("Sp.uti: 0.00%",".",IF(VALUE("1.2")=1.2,".",","),2)</f>
        <v>Sp.uti: 0.00%</v>
      </c>
      <c r="H187" s="38">
        <v>15.7</v>
      </c>
      <c r="I187" s="29">
        <f>G186*H187</f>
        <v>47.099999999999994</v>
      </c>
      <c r="J187">
        <v>2</v>
      </c>
    </row>
    <row r="188" spans="1:19" x14ac:dyDescent="0.3">
      <c r="A188" s="88" t="s">
        <v>159</v>
      </c>
      <c r="B188" s="98"/>
      <c r="C188" s="98"/>
      <c r="D188" s="98"/>
      <c r="E188" s="98"/>
      <c r="F188" s="98"/>
      <c r="G188" s="98"/>
      <c r="H188" s="38">
        <f>(1+IF(OR(ISERR(FIND(":",G187)),ISERR(FIND("%",G187))),0,MID(G187,FIND(":",G187)+2,FIND("%",G187)-FIND(":",G187)-2)/100))*0</f>
        <v>0</v>
      </c>
      <c r="I188" s="29">
        <f>G186*H188</f>
        <v>0</v>
      </c>
      <c r="J188">
        <v>3</v>
      </c>
      <c r="K188" s="4">
        <v>0</v>
      </c>
      <c r="L188" s="4">
        <v>0</v>
      </c>
      <c r="M188" s="4">
        <f>I188-K188-L188</f>
        <v>0</v>
      </c>
    </row>
    <row r="189" spans="1:19" x14ac:dyDescent="0.3">
      <c r="A189" s="98"/>
      <c r="B189" s="98"/>
      <c r="C189" s="98"/>
      <c r="D189" s="98"/>
      <c r="E189" s="98"/>
      <c r="F189" s="98"/>
      <c r="G189" s="98"/>
      <c r="H189" s="38">
        <f>0</f>
        <v>0</v>
      </c>
      <c r="I189" s="29">
        <f>G186*H189</f>
        <v>0</v>
      </c>
      <c r="J189">
        <v>4</v>
      </c>
      <c r="N189" s="4">
        <f>IF(ISERR(SEARCH("TRA* 82",C186)),IF(Q189+R189+S189=0,0,I189*(Q189/(Q189+R189+S189))),I189)</f>
        <v>0</v>
      </c>
      <c r="O189" s="4">
        <f>IF(ISERR(SEARCH("TRA* 82",C186)),IF(Q189+R189+S189=0,0,I189*(R189/(Q189+R189+S189))),0)</f>
        <v>0</v>
      </c>
      <c r="P189" s="4">
        <f>IF(ISERR(SEARCH("TRA* 82",C186)),I189-N189-O189,0)</f>
        <v>0</v>
      </c>
      <c r="Q189" s="4">
        <v>0</v>
      </c>
      <c r="R189" s="4">
        <v>0</v>
      </c>
      <c r="S189" s="4">
        <v>0</v>
      </c>
    </row>
    <row r="190" spans="1:19" x14ac:dyDescent="0.3">
      <c r="A190" s="100" t="s">
        <v>87</v>
      </c>
      <c r="B190" s="101"/>
      <c r="C190" s="101"/>
      <c r="D190" s="101"/>
      <c r="E190" s="101"/>
      <c r="F190" s="101"/>
      <c r="G190" s="101"/>
      <c r="H190" s="33">
        <f>H186+H187+H188+H189</f>
        <v>73.23</v>
      </c>
      <c r="I190" s="37">
        <f>I186+I187+I188+I189</f>
        <v>219.69</v>
      </c>
      <c r="J190">
        <v>5</v>
      </c>
    </row>
    <row r="191" spans="1:19" x14ac:dyDescent="0.3">
      <c r="A191" s="99" t="s">
        <v>160</v>
      </c>
      <c r="B191" s="99"/>
      <c r="C191" s="99"/>
      <c r="D191" s="99"/>
      <c r="E191" s="99"/>
      <c r="F191" s="99"/>
      <c r="G191" s="99"/>
      <c r="H191" s="99"/>
      <c r="I191" s="99"/>
    </row>
    <row r="192" spans="1:19" x14ac:dyDescent="0.3">
      <c r="B192" s="2">
        <v>32</v>
      </c>
      <c r="C192" s="3" t="s">
        <v>161</v>
      </c>
      <c r="D192" s="5" t="s">
        <v>29</v>
      </c>
      <c r="G192" s="30">
        <v>1</v>
      </c>
      <c r="H192" s="38">
        <v>19.829999999999998</v>
      </c>
      <c r="I192" s="29">
        <f>G192*H192</f>
        <v>19.829999999999998</v>
      </c>
      <c r="J192">
        <v>1</v>
      </c>
    </row>
    <row r="193" spans="1:19" x14ac:dyDescent="0.3">
      <c r="D193" s="15" t="str">
        <f>SUBSTITUTE("Sp.mat: 0.00%",".",IF(VALUE("1.2")=1.2,".",","),2)</f>
        <v>Sp.mat: 0.00%</v>
      </c>
      <c r="F193" s="15" t="str">
        <f>SUBSTITUTE("Sp.man: 0.00%",".",IF(VALUE("1.2")=1.2,".",","),2)</f>
        <v>Sp.man: 0.00%</v>
      </c>
      <c r="G193" s="35" t="str">
        <f>SUBSTITUTE("Sp.uti: 0.00%",".",IF(VALUE("1.2")=1.2,".",","),2)</f>
        <v>Sp.uti: 0.00%</v>
      </c>
      <c r="H193" s="38">
        <v>14.58</v>
      </c>
      <c r="I193" s="29">
        <f>G192*H193</f>
        <v>14.58</v>
      </c>
      <c r="J193">
        <v>2</v>
      </c>
    </row>
    <row r="194" spans="1:19" x14ac:dyDescent="0.3">
      <c r="A194" s="88" t="s">
        <v>162</v>
      </c>
      <c r="B194" s="98"/>
      <c r="C194" s="98"/>
      <c r="D194" s="98"/>
      <c r="E194" s="98"/>
      <c r="F194" s="98"/>
      <c r="G194" s="98"/>
      <c r="H194" s="38">
        <f>(1+IF(OR(ISERR(FIND(":",G193)),ISERR(FIND("%",G193))),0,MID(G193,FIND(":",G193)+2,FIND("%",G193)-FIND(":",G193)-2)/100))*0</f>
        <v>0</v>
      </c>
      <c r="I194" s="29">
        <f>G192*H194</f>
        <v>0</v>
      </c>
      <c r="J194">
        <v>3</v>
      </c>
      <c r="K194" s="4">
        <v>0</v>
      </c>
      <c r="L194" s="4">
        <v>0</v>
      </c>
      <c r="M194" s="4">
        <f>I194-K194-L194</f>
        <v>0</v>
      </c>
    </row>
    <row r="195" spans="1:19" x14ac:dyDescent="0.3">
      <c r="A195" s="98"/>
      <c r="B195" s="98"/>
      <c r="C195" s="98"/>
      <c r="D195" s="98"/>
      <c r="E195" s="98"/>
      <c r="F195" s="98"/>
      <c r="G195" s="98"/>
      <c r="H195" s="38">
        <f>0</f>
        <v>0</v>
      </c>
      <c r="I195" s="29">
        <f>G192*H195</f>
        <v>0</v>
      </c>
      <c r="J195">
        <v>4</v>
      </c>
      <c r="N195" s="4">
        <f>IF(ISERR(SEARCH("TRA* 82",C192)),IF(Q195+R195+S195=0,0,I195*(Q195/(Q195+R195+S195))),I195)</f>
        <v>0</v>
      </c>
      <c r="O195" s="4">
        <f>IF(ISERR(SEARCH("TRA* 82",C192)),IF(Q195+R195+S195=0,0,I195*(R195/(Q195+R195+S195))),0)</f>
        <v>0</v>
      </c>
      <c r="P195" s="4">
        <f>IF(ISERR(SEARCH("TRA* 82",C192)),I195-N195-O195,0)</f>
        <v>0</v>
      </c>
      <c r="Q195" s="4">
        <v>0</v>
      </c>
      <c r="R195" s="4">
        <v>0</v>
      </c>
      <c r="S195" s="4">
        <v>0</v>
      </c>
    </row>
    <row r="196" spans="1:19" x14ac:dyDescent="0.3">
      <c r="A196" s="100" t="s">
        <v>27</v>
      </c>
      <c r="B196" s="101"/>
      <c r="C196" s="101"/>
      <c r="D196" s="101"/>
      <c r="E196" s="101"/>
      <c r="F196" s="101"/>
      <c r="G196" s="101"/>
      <c r="H196" s="33">
        <f>H192+H193+H194+H195</f>
        <v>34.409999999999997</v>
      </c>
      <c r="I196" s="37">
        <f>I192+I193+I194+I195</f>
        <v>34.409999999999997</v>
      </c>
      <c r="J196">
        <v>5</v>
      </c>
    </row>
    <row r="197" spans="1:19" x14ac:dyDescent="0.3">
      <c r="A197" s="99" t="s">
        <v>163</v>
      </c>
      <c r="B197" s="99"/>
      <c r="C197" s="99"/>
      <c r="D197" s="99"/>
      <c r="E197" s="99"/>
      <c r="F197" s="99"/>
      <c r="G197" s="99"/>
      <c r="H197" s="99"/>
      <c r="I197" s="99"/>
    </row>
    <row r="198" spans="1:19" x14ac:dyDescent="0.3">
      <c r="B198" s="2">
        <v>33</v>
      </c>
      <c r="C198" s="3" t="s">
        <v>164</v>
      </c>
      <c r="D198" s="5" t="s">
        <v>29</v>
      </c>
      <c r="G198" s="30">
        <v>37</v>
      </c>
      <c r="H198" s="38">
        <f>4995.23/G198</f>
        <v>135.00621621621622</v>
      </c>
      <c r="I198" s="29">
        <f>G198*H198</f>
        <v>4995.2299999999996</v>
      </c>
      <c r="J198">
        <v>1</v>
      </c>
    </row>
    <row r="199" spans="1:19" x14ac:dyDescent="0.3">
      <c r="D199" s="15" t="str">
        <f>SUBSTITUTE("Sp.mat: 0.00%",".",IF(VALUE("1.2")=1.2,".",","),2)</f>
        <v>Sp.mat: 0.00%</v>
      </c>
      <c r="F199" s="15" t="str">
        <f>SUBSTITUTE("Sp.man: 0.00%",".",IF(VALUE("1.2")=1.2,".",","),2)</f>
        <v>Sp.man: 0.00%</v>
      </c>
      <c r="G199" s="35" t="str">
        <f>SUBSTITUTE("Sp.uti: 0.00%",".",IF(VALUE("1.2")=1.2,".",","),2)</f>
        <v>Sp.uti: 0.00%</v>
      </c>
      <c r="H199" s="38">
        <f>1096.36/G198</f>
        <v>29.631351351351348</v>
      </c>
      <c r="I199" s="29">
        <f>G198*H199</f>
        <v>1096.3599999999999</v>
      </c>
      <c r="J199">
        <v>2</v>
      </c>
    </row>
    <row r="200" spans="1:19" x14ac:dyDescent="0.3">
      <c r="A200" s="88" t="s">
        <v>165</v>
      </c>
      <c r="B200" s="98"/>
      <c r="C200" s="98"/>
      <c r="D200" s="98"/>
      <c r="E200" s="98"/>
      <c r="F200" s="98"/>
      <c r="G200" s="98"/>
      <c r="H200" s="38">
        <f>(1+IF(OR(ISERR(FIND(":",G199)),ISERR(FIND("%",G199))),0,MID(G199,FIND(":",G199)+2,FIND("%",G199)-FIND(":",G199)-2)/100))*0</f>
        <v>0</v>
      </c>
      <c r="I200" s="29">
        <f>G198*H200</f>
        <v>0</v>
      </c>
      <c r="J200">
        <v>3</v>
      </c>
      <c r="K200" s="4">
        <v>0</v>
      </c>
      <c r="L200" s="4">
        <v>0</v>
      </c>
      <c r="M200" s="4">
        <f>I200-K200-L200</f>
        <v>0</v>
      </c>
    </row>
    <row r="201" spans="1:19" x14ac:dyDescent="0.3">
      <c r="A201" s="98"/>
      <c r="B201" s="98"/>
      <c r="C201" s="98"/>
      <c r="D201" s="98"/>
      <c r="E201" s="98"/>
      <c r="F201" s="98"/>
      <c r="G201" s="98"/>
      <c r="H201" s="38">
        <f>0</f>
        <v>0</v>
      </c>
      <c r="I201" s="29">
        <f>G198*H201</f>
        <v>0</v>
      </c>
      <c r="J201">
        <v>4</v>
      </c>
      <c r="N201" s="4">
        <f>IF(ISERR(SEARCH("TRA* 82",C198)),IF(Q201+R201+S201=0,0,I201*(Q201/(Q201+R201+S201))),I201)</f>
        <v>0</v>
      </c>
      <c r="O201" s="4">
        <f>IF(ISERR(SEARCH("TRA* 82",C198)),IF(Q201+R201+S201=0,0,I201*(R201/(Q201+R201+S201))),0)</f>
        <v>0</v>
      </c>
      <c r="P201" s="4">
        <f>IF(ISERR(SEARCH("TRA* 82",C198)),I201-N201-O201,0)</f>
        <v>0</v>
      </c>
      <c r="Q201" s="4">
        <v>0</v>
      </c>
      <c r="R201" s="4">
        <v>0</v>
      </c>
      <c r="S201" s="4">
        <v>0</v>
      </c>
    </row>
    <row r="202" spans="1:19" x14ac:dyDescent="0.3">
      <c r="A202" s="96" t="s">
        <v>27</v>
      </c>
      <c r="B202" s="97"/>
      <c r="C202" s="97"/>
      <c r="D202" s="97"/>
      <c r="E202" s="97"/>
      <c r="F202" s="97"/>
      <c r="G202" s="97"/>
      <c r="H202" s="36">
        <f>H198+H199+H200+H201</f>
        <v>164.63756756756757</v>
      </c>
      <c r="I202" s="74">
        <f>I198+I199+I200+I201</f>
        <v>6091.5899999999992</v>
      </c>
      <c r="J202">
        <v>5</v>
      </c>
    </row>
    <row r="203" spans="1:19" x14ac:dyDescent="0.3">
      <c r="B203" s="2">
        <v>34</v>
      </c>
      <c r="C203" s="3" t="s">
        <v>166</v>
      </c>
      <c r="D203" s="5" t="s">
        <v>29</v>
      </c>
      <c r="G203" s="30">
        <v>37</v>
      </c>
      <c r="H203" s="38">
        <f>2288.32/G203</f>
        <v>61.846486486486491</v>
      </c>
      <c r="I203" s="29">
        <f>G203*H203</f>
        <v>2288.3200000000002</v>
      </c>
      <c r="J203">
        <v>1</v>
      </c>
    </row>
    <row r="204" spans="1:19" x14ac:dyDescent="0.3">
      <c r="D204" s="15" t="str">
        <f>SUBSTITUTE("Sp.mat: 0.00%",".",IF(VALUE("1.2")=1.2,".",","),2)</f>
        <v>Sp.mat: 0.00%</v>
      </c>
      <c r="F204" s="15" t="str">
        <f>SUBSTITUTE("Sp.man: 0.00%",".",IF(VALUE("1.2")=1.2,".",","),2)</f>
        <v>Sp.man: 0.00%</v>
      </c>
      <c r="G204" s="35" t="str">
        <f>SUBSTITUTE("Sp.uti: 0.00%",".",IF(VALUE("1.2")=1.2,".",","),2)</f>
        <v>Sp.uti: 0.00%</v>
      </c>
      <c r="H204" s="38">
        <f>960.06/G203</f>
        <v>25.947567567567567</v>
      </c>
      <c r="I204" s="29">
        <f>G203*H204</f>
        <v>960.06</v>
      </c>
      <c r="J204">
        <v>2</v>
      </c>
    </row>
    <row r="205" spans="1:19" x14ac:dyDescent="0.3">
      <c r="A205" s="88" t="s">
        <v>167</v>
      </c>
      <c r="B205" s="98"/>
      <c r="C205" s="98"/>
      <c r="D205" s="98"/>
      <c r="E205" s="98"/>
      <c r="F205" s="98"/>
      <c r="G205" s="98"/>
      <c r="H205" s="38">
        <f>(1+IF(OR(ISERR(FIND(":",G204)),ISERR(FIND("%",G204))),0,MID(G204,FIND(":",G204)+2,FIND("%",G204)-FIND(":",G204)-2)/100))*0</f>
        <v>0</v>
      </c>
      <c r="I205" s="29">
        <f>G203*H205</f>
        <v>0</v>
      </c>
      <c r="J205">
        <v>3</v>
      </c>
      <c r="K205" s="4">
        <v>0</v>
      </c>
      <c r="L205" s="4">
        <v>0</v>
      </c>
      <c r="M205" s="4">
        <f>I205-K205-L205</f>
        <v>0</v>
      </c>
    </row>
    <row r="206" spans="1:19" x14ac:dyDescent="0.3">
      <c r="A206" s="98"/>
      <c r="B206" s="98"/>
      <c r="C206" s="98"/>
      <c r="D206" s="98"/>
      <c r="E206" s="98"/>
      <c r="F206" s="98"/>
      <c r="G206" s="98"/>
      <c r="H206" s="38">
        <f>0</f>
        <v>0</v>
      </c>
      <c r="I206" s="29">
        <f>G203*H206</f>
        <v>0</v>
      </c>
      <c r="J206">
        <v>4</v>
      </c>
      <c r="N206" s="4">
        <f>IF(ISERR(SEARCH("TRA* 82",C203)),IF(Q206+R206+S206=0,0,I206*(Q206/(Q206+R206+S206))),I206)</f>
        <v>0</v>
      </c>
      <c r="O206" s="4">
        <f>IF(ISERR(SEARCH("TRA* 82",C203)),IF(Q206+R206+S206=0,0,I206*(R206/(Q206+R206+S206))),0)</f>
        <v>0</v>
      </c>
      <c r="P206" s="4">
        <f>IF(ISERR(SEARCH("TRA* 82",C203)),I206-N206-O206,0)</f>
        <v>0</v>
      </c>
      <c r="Q206" s="4">
        <v>0</v>
      </c>
      <c r="R206" s="4">
        <v>0</v>
      </c>
      <c r="S206" s="4">
        <v>0</v>
      </c>
    </row>
    <row r="207" spans="1:19" x14ac:dyDescent="0.3">
      <c r="A207" s="100" t="s">
        <v>87</v>
      </c>
      <c r="B207" s="101"/>
      <c r="C207" s="101"/>
      <c r="D207" s="101"/>
      <c r="E207" s="101"/>
      <c r="F207" s="101"/>
      <c r="G207" s="101"/>
      <c r="H207" s="33">
        <f>H203+H204+H205+H206</f>
        <v>87.794054054054058</v>
      </c>
      <c r="I207" s="37">
        <f>I203+I204+I205+I206</f>
        <v>3248.38</v>
      </c>
      <c r="J207">
        <v>5</v>
      </c>
    </row>
    <row r="208" spans="1:19" x14ac:dyDescent="0.3">
      <c r="A208" s="99" t="s">
        <v>168</v>
      </c>
      <c r="B208" s="99"/>
      <c r="C208" s="99"/>
      <c r="D208" s="99"/>
      <c r="E208" s="99"/>
      <c r="F208" s="99"/>
      <c r="G208" s="99"/>
      <c r="H208" s="99"/>
      <c r="I208" s="99"/>
    </row>
    <row r="209" spans="1:19" x14ac:dyDescent="0.3">
      <c r="B209" s="2">
        <v>35</v>
      </c>
      <c r="C209" s="3" t="s">
        <v>169</v>
      </c>
      <c r="D209" s="5" t="s">
        <v>29</v>
      </c>
      <c r="G209" s="30">
        <v>37</v>
      </c>
      <c r="H209" s="38">
        <f>2270.15/G209</f>
        <v>61.355405405405406</v>
      </c>
      <c r="I209" s="29">
        <f>G209*H209</f>
        <v>2270.15</v>
      </c>
      <c r="J209">
        <v>1</v>
      </c>
    </row>
    <row r="210" spans="1:19" x14ac:dyDescent="0.3">
      <c r="D210" s="15" t="str">
        <f>SUBSTITUTE("Sp.mat: 0.00%",".",IF(VALUE("1.2")=1.2,".",","),2)</f>
        <v>Sp.mat: 0.00%</v>
      </c>
      <c r="F210" s="15" t="str">
        <f>SUBSTITUTE("Sp.man: 0.00%",".",IF(VALUE("1.2")=1.2,".",","),2)</f>
        <v>Sp.man: 0.00%</v>
      </c>
      <c r="G210" s="35" t="str">
        <f>SUBSTITUTE("Sp.uti: 0.00%",".",IF(VALUE("1.2")=1.2,".",","),2)</f>
        <v>Sp.uti: 0.00%</v>
      </c>
      <c r="H210" s="38">
        <f>468.18/G209</f>
        <v>12.653513513513513</v>
      </c>
      <c r="I210" s="29">
        <f>G209*H210</f>
        <v>468.17999999999995</v>
      </c>
      <c r="J210">
        <v>2</v>
      </c>
    </row>
    <row r="211" spans="1:19" x14ac:dyDescent="0.3">
      <c r="A211" s="88" t="s">
        <v>170</v>
      </c>
      <c r="B211" s="98"/>
      <c r="C211" s="98"/>
      <c r="D211" s="98"/>
      <c r="E211" s="98"/>
      <c r="F211" s="98"/>
      <c r="G211" s="98"/>
      <c r="H211" s="38">
        <f>(1+IF(OR(ISERR(FIND(":",G210)),ISERR(FIND("%",G210))),0,MID(G210,FIND(":",G210)+2,FIND("%",G210)-FIND(":",G210)-2)/100))*0</f>
        <v>0</v>
      </c>
      <c r="I211" s="29">
        <f>G209*H211</f>
        <v>0</v>
      </c>
      <c r="J211">
        <v>3</v>
      </c>
      <c r="K211" s="4">
        <v>0</v>
      </c>
      <c r="L211" s="4">
        <v>0</v>
      </c>
      <c r="M211" s="4">
        <f>I211-K211-L211</f>
        <v>0</v>
      </c>
    </row>
    <row r="212" spans="1:19" x14ac:dyDescent="0.3">
      <c r="A212" s="98"/>
      <c r="B212" s="98"/>
      <c r="C212" s="98"/>
      <c r="D212" s="98"/>
      <c r="E212" s="98"/>
      <c r="F212" s="98"/>
      <c r="G212" s="98"/>
      <c r="H212" s="38">
        <f>0</f>
        <v>0</v>
      </c>
      <c r="I212" s="29">
        <f>G209*H212</f>
        <v>0</v>
      </c>
      <c r="J212">
        <v>4</v>
      </c>
      <c r="N212" s="4">
        <f>IF(ISERR(SEARCH("TRA* 82",C209)),IF(Q212+R212+S212=0,0,I212*(Q212/(Q212+R212+S212))),I212)</f>
        <v>0</v>
      </c>
      <c r="O212" s="4">
        <f>IF(ISERR(SEARCH("TRA* 82",C209)),IF(Q212+R212+S212=0,0,I212*(R212/(Q212+R212+S212))),0)</f>
        <v>0</v>
      </c>
      <c r="P212" s="4">
        <f>IF(ISERR(SEARCH("TRA* 82",C209)),I212-N212-O212,0)</f>
        <v>0</v>
      </c>
      <c r="Q212" s="4">
        <v>0</v>
      </c>
      <c r="R212" s="4">
        <v>0</v>
      </c>
      <c r="S212" s="4">
        <v>0</v>
      </c>
    </row>
    <row r="213" spans="1:19" x14ac:dyDescent="0.3">
      <c r="A213" s="96" t="s">
        <v>27</v>
      </c>
      <c r="B213" s="97"/>
      <c r="C213" s="97"/>
      <c r="D213" s="97"/>
      <c r="E213" s="97"/>
      <c r="F213" s="97"/>
      <c r="G213" s="97"/>
      <c r="H213" s="36">
        <f>H209+H210+H211+H212</f>
        <v>74.008918918918923</v>
      </c>
      <c r="I213" s="74">
        <f>I209+I210+I211+I212</f>
        <v>2738.33</v>
      </c>
      <c r="J213">
        <v>5</v>
      </c>
    </row>
    <row r="214" spans="1:19" x14ac:dyDescent="0.3">
      <c r="B214" s="2">
        <v>36</v>
      </c>
      <c r="C214" s="3" t="s">
        <v>171</v>
      </c>
      <c r="D214" s="5" t="s">
        <v>29</v>
      </c>
      <c r="G214" s="30">
        <v>74</v>
      </c>
      <c r="H214" s="38">
        <f>670.5/G214</f>
        <v>9.0608108108108105</v>
      </c>
      <c r="I214" s="29">
        <f>G214*H214</f>
        <v>670.5</v>
      </c>
      <c r="J214">
        <v>1</v>
      </c>
    </row>
    <row r="215" spans="1:19" x14ac:dyDescent="0.3">
      <c r="D215" s="15" t="str">
        <f>SUBSTITUTE("Sp.mat: 0.00%",".",IF(VALUE("1.2")=1.2,".",","),2)</f>
        <v>Sp.mat: 0.00%</v>
      </c>
      <c r="F215" s="15" t="str">
        <f>SUBSTITUTE("Sp.man: 0.00%",".",IF(VALUE("1.2")=1.2,".",","),2)</f>
        <v>Sp.man: 0.00%</v>
      </c>
      <c r="G215" s="35" t="str">
        <f>SUBSTITUTE("Sp.uti: 0.00%",".",IF(VALUE("1.2")=1.2,".",","),2)</f>
        <v>Sp.uti: 0.00%</v>
      </c>
      <c r="H215" s="38">
        <f>343.72/G214</f>
        <v>4.6448648648648652</v>
      </c>
      <c r="I215" s="29">
        <f>G214*H215</f>
        <v>343.72</v>
      </c>
      <c r="J215">
        <v>2</v>
      </c>
    </row>
    <row r="216" spans="1:19" x14ac:dyDescent="0.3">
      <c r="A216" s="88" t="s">
        <v>172</v>
      </c>
      <c r="B216" s="98"/>
      <c r="C216" s="98"/>
      <c r="D216" s="98"/>
      <c r="E216" s="98"/>
      <c r="F216" s="98"/>
      <c r="G216" s="98"/>
      <c r="H216" s="38">
        <f>(1+IF(OR(ISERR(FIND(":",G215)),ISERR(FIND("%",G215))),0,MID(G215,FIND(":",G215)+2,FIND("%",G215)-FIND(":",G215)-2)/100))*0</f>
        <v>0</v>
      </c>
      <c r="I216" s="29">
        <f>G214*H216</f>
        <v>0</v>
      </c>
      <c r="J216">
        <v>3</v>
      </c>
      <c r="K216" s="4">
        <v>0</v>
      </c>
      <c r="L216" s="4">
        <v>0</v>
      </c>
      <c r="M216" s="4">
        <f>I216-K216-L216</f>
        <v>0</v>
      </c>
    </row>
    <row r="217" spans="1:19" x14ac:dyDescent="0.3">
      <c r="A217" s="98"/>
      <c r="B217" s="98"/>
      <c r="C217" s="98"/>
      <c r="D217" s="98"/>
      <c r="E217" s="98"/>
      <c r="F217" s="98"/>
      <c r="G217" s="98"/>
      <c r="H217" s="38">
        <f>0</f>
        <v>0</v>
      </c>
      <c r="I217" s="29">
        <f>G214*H217</f>
        <v>0</v>
      </c>
      <c r="J217">
        <v>4</v>
      </c>
      <c r="N217" s="4">
        <f>IF(ISERR(SEARCH("TRA* 82",C214)),IF(Q217+R217+S217=0,0,I217*(Q217/(Q217+R217+S217))),I217)</f>
        <v>0</v>
      </c>
      <c r="O217" s="4">
        <f>IF(ISERR(SEARCH("TRA* 82",C214)),IF(Q217+R217+S217=0,0,I217*(R217/(Q217+R217+S217))),0)</f>
        <v>0</v>
      </c>
      <c r="P217" s="4">
        <f>IF(ISERR(SEARCH("TRA* 82",C214)),I217-N217-O217,0)</f>
        <v>0</v>
      </c>
      <c r="Q217" s="4">
        <v>0</v>
      </c>
      <c r="R217" s="4">
        <v>0</v>
      </c>
      <c r="S217" s="4">
        <v>0</v>
      </c>
    </row>
    <row r="218" spans="1:19" x14ac:dyDescent="0.3">
      <c r="A218" s="100" t="s">
        <v>87</v>
      </c>
      <c r="B218" s="101"/>
      <c r="C218" s="101"/>
      <c r="D218" s="101"/>
      <c r="E218" s="101"/>
      <c r="F218" s="101"/>
      <c r="G218" s="101"/>
      <c r="H218" s="33">
        <f>H214+H215+H216+H217</f>
        <v>13.705675675675675</v>
      </c>
      <c r="I218" s="37">
        <f>I214+I215+I216+I217</f>
        <v>1014.22</v>
      </c>
      <c r="J218">
        <v>5</v>
      </c>
    </row>
    <row r="219" spans="1:19" x14ac:dyDescent="0.3">
      <c r="A219" s="99" t="s">
        <v>173</v>
      </c>
      <c r="B219" s="99"/>
      <c r="C219" s="99"/>
      <c r="D219" s="99"/>
      <c r="E219" s="99"/>
      <c r="F219" s="99"/>
      <c r="G219" s="99"/>
      <c r="H219" s="99"/>
      <c r="I219" s="99"/>
    </row>
    <row r="220" spans="1:19" x14ac:dyDescent="0.3">
      <c r="B220" s="2">
        <v>37</v>
      </c>
      <c r="C220" s="3" t="s">
        <v>174</v>
      </c>
      <c r="D220" s="5" t="s">
        <v>29</v>
      </c>
      <c r="G220" s="30">
        <v>74</v>
      </c>
      <c r="H220" s="38">
        <f>545.65/G220</f>
        <v>7.3736486486486488</v>
      </c>
      <c r="I220" s="29">
        <f>G220*H220</f>
        <v>545.65</v>
      </c>
      <c r="J220">
        <v>1</v>
      </c>
    </row>
    <row r="221" spans="1:19" x14ac:dyDescent="0.3">
      <c r="D221" s="15" t="str">
        <f>SUBSTITUTE("Sp.mat: 0.00%",".",IF(VALUE("1.2")=1.2,".",","),2)</f>
        <v>Sp.mat: 0.00%</v>
      </c>
      <c r="F221" s="15" t="str">
        <f>SUBSTITUTE("Sp.man: 0.00%",".",IF(VALUE("1.2")=1.2,".",","),2)</f>
        <v>Sp.man: 0.00%</v>
      </c>
      <c r="G221" s="35" t="str">
        <f>SUBSTITUTE("Sp.uti: 0.00%",".",IF(VALUE("1.2")=1.2,".",","),2)</f>
        <v>Sp.uti: 0.00%</v>
      </c>
      <c r="H221" s="38">
        <f>189.64/G220</f>
        <v>2.5627027027027025</v>
      </c>
      <c r="I221" s="29">
        <f>G220*H221</f>
        <v>189.64</v>
      </c>
      <c r="J221">
        <v>2</v>
      </c>
    </row>
    <row r="222" spans="1:19" x14ac:dyDescent="0.3">
      <c r="A222" s="88" t="s">
        <v>175</v>
      </c>
      <c r="B222" s="98"/>
      <c r="C222" s="98"/>
      <c r="D222" s="98"/>
      <c r="E222" s="98"/>
      <c r="F222" s="98"/>
      <c r="G222" s="98"/>
      <c r="H222" s="38">
        <f>(1+IF(OR(ISERR(FIND(":",G221)),ISERR(FIND("%",G221))),0,MID(G221,FIND(":",G221)+2,FIND("%",G221)-FIND(":",G221)-2)/100))*0</f>
        <v>0</v>
      </c>
      <c r="I222" s="29">
        <f>G220*H222</f>
        <v>0</v>
      </c>
      <c r="J222">
        <v>3</v>
      </c>
      <c r="K222" s="4">
        <v>0</v>
      </c>
      <c r="L222" s="4">
        <v>0</v>
      </c>
      <c r="M222" s="4">
        <f>I222-K222-L222</f>
        <v>0</v>
      </c>
    </row>
    <row r="223" spans="1:19" x14ac:dyDescent="0.3">
      <c r="A223" s="98"/>
      <c r="B223" s="98"/>
      <c r="C223" s="98"/>
      <c r="D223" s="98"/>
      <c r="E223" s="98"/>
      <c r="F223" s="98"/>
      <c r="G223" s="98"/>
      <c r="H223" s="38">
        <f>0</f>
        <v>0</v>
      </c>
      <c r="I223" s="29">
        <f>G220*H223</f>
        <v>0</v>
      </c>
      <c r="J223">
        <v>4</v>
      </c>
      <c r="N223" s="4">
        <f>IF(ISERR(SEARCH("TRA* 82",C220)),IF(Q223+R223+S223=0,0,I223*(Q223/(Q223+R223+S223))),I223)</f>
        <v>0</v>
      </c>
      <c r="O223" s="4">
        <f>IF(ISERR(SEARCH("TRA* 82",C220)),IF(Q223+R223+S223=0,0,I223*(R223/(Q223+R223+S223))),0)</f>
        <v>0</v>
      </c>
      <c r="P223" s="4">
        <f>IF(ISERR(SEARCH("TRA* 82",C220)),I223-N223-O223,0)</f>
        <v>0</v>
      </c>
      <c r="Q223" s="4">
        <v>0</v>
      </c>
      <c r="R223" s="4">
        <v>0</v>
      </c>
      <c r="S223" s="4">
        <v>0</v>
      </c>
    </row>
    <row r="224" spans="1:19" x14ac:dyDescent="0.3">
      <c r="A224" s="100" t="s">
        <v>87</v>
      </c>
      <c r="B224" s="101"/>
      <c r="C224" s="101"/>
      <c r="D224" s="101"/>
      <c r="E224" s="101"/>
      <c r="F224" s="101"/>
      <c r="G224" s="101"/>
      <c r="H224" s="33">
        <f>H220+H221+H222+H223</f>
        <v>9.9363513513513517</v>
      </c>
      <c r="I224" s="37">
        <f>I220+I221+I222+I223</f>
        <v>735.29</v>
      </c>
      <c r="J224">
        <v>5</v>
      </c>
    </row>
    <row r="225" spans="1:19" x14ac:dyDescent="0.3">
      <c r="A225" s="99" t="s">
        <v>176</v>
      </c>
      <c r="B225" s="99"/>
      <c r="C225" s="99"/>
      <c r="D225" s="99"/>
      <c r="E225" s="99"/>
      <c r="F225" s="99"/>
      <c r="G225" s="99"/>
      <c r="H225" s="99"/>
      <c r="I225" s="99"/>
    </row>
    <row r="226" spans="1:19" x14ac:dyDescent="0.3">
      <c r="B226" s="2">
        <v>38</v>
      </c>
      <c r="C226" s="3" t="s">
        <v>164</v>
      </c>
      <c r="D226" s="5" t="s">
        <v>29</v>
      </c>
      <c r="G226" s="30">
        <v>1</v>
      </c>
      <c r="H226" s="38">
        <v>247.52</v>
      </c>
      <c r="I226" s="29">
        <f>G226*H226</f>
        <v>247.52</v>
      </c>
      <c r="J226">
        <v>1</v>
      </c>
    </row>
    <row r="227" spans="1:19" x14ac:dyDescent="0.3">
      <c r="D227" s="15" t="str">
        <f>SUBSTITUTE("Sp.mat: 0.00%",".",IF(VALUE("1.2")=1.2,".",","),2)</f>
        <v>Sp.mat: 0.00%</v>
      </c>
      <c r="F227" s="15" t="str">
        <f>SUBSTITUTE("Sp.man: 0.00%",".",IF(VALUE("1.2")=1.2,".",","),2)</f>
        <v>Sp.man: 0.00%</v>
      </c>
      <c r="G227" s="35" t="str">
        <f>SUBSTITUTE("Sp.uti: 0.00%",".",IF(VALUE("1.2")=1.2,".",","),2)</f>
        <v>Sp.uti: 0.00%</v>
      </c>
      <c r="H227" s="38">
        <v>29.63</v>
      </c>
      <c r="I227" s="29">
        <f>G226*H227</f>
        <v>29.63</v>
      </c>
      <c r="J227">
        <v>2</v>
      </c>
    </row>
    <row r="228" spans="1:19" x14ac:dyDescent="0.3">
      <c r="A228" s="88" t="s">
        <v>165</v>
      </c>
      <c r="B228" s="98"/>
      <c r="C228" s="98"/>
      <c r="D228" s="98"/>
      <c r="E228" s="98"/>
      <c r="F228" s="98"/>
      <c r="G228" s="98"/>
      <c r="H228" s="38">
        <f>(1+IF(OR(ISERR(FIND(":",G227)),ISERR(FIND("%",G227))),0,MID(G227,FIND(":",G227)+2,FIND("%",G227)-FIND(":",G227)-2)/100))*0</f>
        <v>0</v>
      </c>
      <c r="I228" s="29">
        <f>G226*H228</f>
        <v>0</v>
      </c>
      <c r="J228">
        <v>3</v>
      </c>
      <c r="K228" s="4">
        <v>0</v>
      </c>
      <c r="L228" s="4">
        <v>0</v>
      </c>
      <c r="M228" s="4">
        <f>I228-K228-L228</f>
        <v>0</v>
      </c>
    </row>
    <row r="229" spans="1:19" x14ac:dyDescent="0.3">
      <c r="A229" s="98"/>
      <c r="B229" s="98"/>
      <c r="C229" s="98"/>
      <c r="D229" s="98"/>
      <c r="E229" s="98"/>
      <c r="F229" s="98"/>
      <c r="G229" s="98"/>
      <c r="H229" s="38">
        <f>0</f>
        <v>0</v>
      </c>
      <c r="I229" s="29">
        <f>G226*H229</f>
        <v>0</v>
      </c>
      <c r="J229">
        <v>4</v>
      </c>
      <c r="N229" s="4">
        <f>IF(ISERR(SEARCH("TRA* 82",C226)),IF(Q229+R229+S229=0,0,I229*(Q229/(Q229+R229+S229))),I229)</f>
        <v>0</v>
      </c>
      <c r="O229" s="4">
        <f>IF(ISERR(SEARCH("TRA* 82",C226)),IF(Q229+R229+S229=0,0,I229*(R229/(Q229+R229+S229))),0)</f>
        <v>0</v>
      </c>
      <c r="P229" s="4">
        <f>IF(ISERR(SEARCH("TRA* 82",C226)),I229-N229-O229,0)</f>
        <v>0</v>
      </c>
      <c r="Q229" s="4">
        <v>0</v>
      </c>
      <c r="R229" s="4">
        <v>0</v>
      </c>
      <c r="S229" s="4">
        <v>0</v>
      </c>
    </row>
    <row r="230" spans="1:19" x14ac:dyDescent="0.3">
      <c r="A230" s="100" t="s">
        <v>87</v>
      </c>
      <c r="B230" s="101"/>
      <c r="C230" s="101"/>
      <c r="D230" s="101"/>
      <c r="E230" s="101"/>
      <c r="F230" s="101"/>
      <c r="G230" s="101"/>
      <c r="H230" s="33">
        <f>H226+H227+H228+H229</f>
        <v>277.15000000000003</v>
      </c>
      <c r="I230" s="37">
        <f>I226+I227+I228+I229</f>
        <v>277.15000000000003</v>
      </c>
      <c r="J230">
        <v>5</v>
      </c>
    </row>
    <row r="231" spans="1:19" x14ac:dyDescent="0.3">
      <c r="A231" s="99" t="s">
        <v>177</v>
      </c>
      <c r="B231" s="99"/>
      <c r="C231" s="99"/>
      <c r="D231" s="99"/>
      <c r="E231" s="99"/>
      <c r="F231" s="99"/>
      <c r="G231" s="99"/>
      <c r="H231" s="99"/>
      <c r="I231" s="99"/>
    </row>
    <row r="232" spans="1:19" x14ac:dyDescent="0.3">
      <c r="B232" s="2">
        <v>39</v>
      </c>
      <c r="C232" s="3" t="s">
        <v>178</v>
      </c>
      <c r="D232" s="5" t="s">
        <v>29</v>
      </c>
      <c r="G232" s="30">
        <v>1</v>
      </c>
      <c r="H232" s="38">
        <v>54.6</v>
      </c>
      <c r="I232" s="29">
        <f>G232*H232</f>
        <v>54.6</v>
      </c>
      <c r="J232">
        <v>1</v>
      </c>
    </row>
    <row r="233" spans="1:19" x14ac:dyDescent="0.3">
      <c r="D233" s="15" t="str">
        <f>SUBSTITUTE("Sp.mat: 0.00%",".",IF(VALUE("1.2")=1.2,".",","),2)</f>
        <v>Sp.mat: 0.00%</v>
      </c>
      <c r="F233" s="15" t="str">
        <f>SUBSTITUTE("Sp.man: 0.00%",".",IF(VALUE("1.2")=1.2,".",","),2)</f>
        <v>Sp.man: 0.00%</v>
      </c>
      <c r="G233" s="35" t="str">
        <f>SUBSTITUTE("Sp.uti: 0.00%",".",IF(VALUE("1.2")=1.2,".",","),2)</f>
        <v>Sp.uti: 0.00%</v>
      </c>
      <c r="H233" s="38">
        <v>5.61</v>
      </c>
      <c r="I233" s="29">
        <f>G232*H233</f>
        <v>5.61</v>
      </c>
      <c r="J233">
        <v>2</v>
      </c>
    </row>
    <row r="234" spans="1:19" x14ac:dyDescent="0.3">
      <c r="A234" s="88" t="s">
        <v>179</v>
      </c>
      <c r="B234" s="98"/>
      <c r="C234" s="98"/>
      <c r="D234" s="98"/>
      <c r="E234" s="98"/>
      <c r="F234" s="98"/>
      <c r="G234" s="98"/>
      <c r="H234" s="38">
        <f>(1+IF(OR(ISERR(FIND(":",G233)),ISERR(FIND("%",G233))),0,MID(G233,FIND(":",G233)+2,FIND("%",G233)-FIND(":",G233)-2)/100))*0</f>
        <v>0</v>
      </c>
      <c r="I234" s="29">
        <f>G232*H234</f>
        <v>0</v>
      </c>
      <c r="J234">
        <v>3</v>
      </c>
      <c r="K234" s="4">
        <v>0</v>
      </c>
      <c r="L234" s="4">
        <v>0</v>
      </c>
      <c r="M234" s="4">
        <f>I234-K234-L234</f>
        <v>0</v>
      </c>
    </row>
    <row r="235" spans="1:19" x14ac:dyDescent="0.3">
      <c r="A235" s="98"/>
      <c r="B235" s="98"/>
      <c r="C235" s="98"/>
      <c r="D235" s="98"/>
      <c r="E235" s="98"/>
      <c r="F235" s="98"/>
      <c r="G235" s="98"/>
      <c r="H235" s="38">
        <f>0</f>
        <v>0</v>
      </c>
      <c r="I235" s="29">
        <f>G232*H235</f>
        <v>0</v>
      </c>
      <c r="J235">
        <v>4</v>
      </c>
      <c r="N235" s="4">
        <f>IF(ISERR(SEARCH("TRA* 82",C232)),IF(Q235+R235+S235=0,0,I235*(Q235/(Q235+R235+S235))),I235)</f>
        <v>0</v>
      </c>
      <c r="O235" s="4">
        <f>IF(ISERR(SEARCH("TRA* 82",C232)),IF(Q235+R235+S235=0,0,I235*(R235/(Q235+R235+S235))),0)</f>
        <v>0</v>
      </c>
      <c r="P235" s="4">
        <f>IF(ISERR(SEARCH("TRA* 82",C232)),I235-N235-O235,0)</f>
        <v>0</v>
      </c>
      <c r="Q235" s="4">
        <v>0</v>
      </c>
      <c r="R235" s="4">
        <v>0</v>
      </c>
      <c r="S235" s="4">
        <v>0</v>
      </c>
    </row>
    <row r="236" spans="1:19" x14ac:dyDescent="0.3">
      <c r="A236" s="96" t="s">
        <v>27</v>
      </c>
      <c r="B236" s="97"/>
      <c r="C236" s="97"/>
      <c r="D236" s="97"/>
      <c r="E236" s="97"/>
      <c r="F236" s="97"/>
      <c r="G236" s="97"/>
      <c r="H236" s="36">
        <f>H232+H233+H234+H235</f>
        <v>60.21</v>
      </c>
      <c r="I236" s="74">
        <f>I232+I233+I234+I235</f>
        <v>60.21</v>
      </c>
      <c r="J236">
        <v>5</v>
      </c>
    </row>
    <row r="237" spans="1:19" x14ac:dyDescent="0.3">
      <c r="B237" s="2">
        <v>40</v>
      </c>
      <c r="C237" s="3" t="s">
        <v>166</v>
      </c>
      <c r="D237" s="5" t="s">
        <v>29</v>
      </c>
      <c r="G237" s="30">
        <v>1</v>
      </c>
      <c r="H237" s="38">
        <v>61.85</v>
      </c>
      <c r="I237" s="29">
        <f>G237*H237</f>
        <v>61.85</v>
      </c>
      <c r="J237">
        <v>1</v>
      </c>
    </row>
    <row r="238" spans="1:19" x14ac:dyDescent="0.3">
      <c r="D238" s="15" t="str">
        <f>SUBSTITUTE("Sp.mat: 0.00%",".",IF(VALUE("1.2")=1.2,".",","),2)</f>
        <v>Sp.mat: 0.00%</v>
      </c>
      <c r="F238" s="15" t="str">
        <f>SUBSTITUTE("Sp.man: 0.00%",".",IF(VALUE("1.2")=1.2,".",","),2)</f>
        <v>Sp.man: 0.00%</v>
      </c>
      <c r="G238" s="35" t="str">
        <f>SUBSTITUTE("Sp.uti: 0.00%",".",IF(VALUE("1.2")=1.2,".",","),2)</f>
        <v>Sp.uti: 0.00%</v>
      </c>
      <c r="H238" s="38">
        <v>25.95</v>
      </c>
      <c r="I238" s="29">
        <f>G237*H238</f>
        <v>25.95</v>
      </c>
      <c r="J238">
        <v>2</v>
      </c>
    </row>
    <row r="239" spans="1:19" x14ac:dyDescent="0.3">
      <c r="A239" s="88" t="s">
        <v>167</v>
      </c>
      <c r="B239" s="98"/>
      <c r="C239" s="98"/>
      <c r="D239" s="98"/>
      <c r="E239" s="98"/>
      <c r="F239" s="98"/>
      <c r="G239" s="98"/>
      <c r="H239" s="38">
        <f>(1+IF(OR(ISERR(FIND(":",G238)),ISERR(FIND("%",G238))),0,MID(G238,FIND(":",G238)+2,FIND("%",G238)-FIND(":",G238)-2)/100))*0</f>
        <v>0</v>
      </c>
      <c r="I239" s="29">
        <f>G237*H239</f>
        <v>0</v>
      </c>
      <c r="J239">
        <v>3</v>
      </c>
      <c r="K239" s="4">
        <v>0</v>
      </c>
      <c r="L239" s="4">
        <v>0</v>
      </c>
      <c r="M239" s="4">
        <f>I239-K239-L239</f>
        <v>0</v>
      </c>
    </row>
    <row r="240" spans="1:19" x14ac:dyDescent="0.3">
      <c r="A240" s="98"/>
      <c r="B240" s="98"/>
      <c r="C240" s="98"/>
      <c r="D240" s="98"/>
      <c r="E240" s="98"/>
      <c r="F240" s="98"/>
      <c r="G240" s="98"/>
      <c r="H240" s="38">
        <f>0</f>
        <v>0</v>
      </c>
      <c r="I240" s="29">
        <f>G237*H240</f>
        <v>0</v>
      </c>
      <c r="J240">
        <v>4</v>
      </c>
      <c r="N240" s="4">
        <f>IF(ISERR(SEARCH("TRA* 82",C237)),IF(Q240+R240+S240=0,0,I240*(Q240/(Q240+R240+S240))),I240)</f>
        <v>0</v>
      </c>
      <c r="O240" s="4">
        <f>IF(ISERR(SEARCH("TRA* 82",C237)),IF(Q240+R240+S240=0,0,I240*(R240/(Q240+R240+S240))),0)</f>
        <v>0</v>
      </c>
      <c r="P240" s="4">
        <f>IF(ISERR(SEARCH("TRA* 82",C237)),I240-N240-O240,0)</f>
        <v>0</v>
      </c>
      <c r="Q240" s="4">
        <v>0</v>
      </c>
      <c r="R240" s="4">
        <v>0</v>
      </c>
      <c r="S240" s="4">
        <v>0</v>
      </c>
    </row>
    <row r="241" spans="1:19" x14ac:dyDescent="0.3">
      <c r="A241" s="100" t="s">
        <v>87</v>
      </c>
      <c r="B241" s="101"/>
      <c r="C241" s="101"/>
      <c r="D241" s="101"/>
      <c r="E241" s="101"/>
      <c r="F241" s="101"/>
      <c r="G241" s="101"/>
      <c r="H241" s="33">
        <f>H237+H238+H239+H240</f>
        <v>87.8</v>
      </c>
      <c r="I241" s="37">
        <f>I237+I238+I239+I240</f>
        <v>87.8</v>
      </c>
      <c r="J241">
        <v>5</v>
      </c>
    </row>
    <row r="242" spans="1:19" x14ac:dyDescent="0.3">
      <c r="A242" s="99" t="s">
        <v>168</v>
      </c>
      <c r="B242" s="99"/>
      <c r="C242" s="99"/>
      <c r="D242" s="99"/>
      <c r="E242" s="99"/>
      <c r="F242" s="99"/>
      <c r="G242" s="99"/>
      <c r="H242" s="99"/>
      <c r="I242" s="99"/>
    </row>
    <row r="243" spans="1:19" x14ac:dyDescent="0.3">
      <c r="B243" s="2">
        <v>41</v>
      </c>
      <c r="C243" s="3" t="s">
        <v>169</v>
      </c>
      <c r="D243" s="5" t="s">
        <v>29</v>
      </c>
      <c r="G243" s="30">
        <v>1</v>
      </c>
      <c r="H243" s="38">
        <v>61.36</v>
      </c>
      <c r="I243" s="29">
        <f>G243*H243</f>
        <v>61.36</v>
      </c>
      <c r="J243">
        <v>1</v>
      </c>
    </row>
    <row r="244" spans="1:19" x14ac:dyDescent="0.3">
      <c r="D244" s="15" t="str">
        <f>SUBSTITUTE("Sp.mat: 0.00%",".",IF(VALUE("1.2")=1.2,".",","),2)</f>
        <v>Sp.mat: 0.00%</v>
      </c>
      <c r="F244" s="15" t="str">
        <f>SUBSTITUTE("Sp.man: 0.00%",".",IF(VALUE("1.2")=1.2,".",","),2)</f>
        <v>Sp.man: 0.00%</v>
      </c>
      <c r="G244" s="35" t="str">
        <f>SUBSTITUTE("Sp.uti: 0.00%",".",IF(VALUE("1.2")=1.2,".",","),2)</f>
        <v>Sp.uti: 0.00%</v>
      </c>
      <c r="H244" s="38">
        <v>12.65</v>
      </c>
      <c r="I244" s="29">
        <f>G243*H244</f>
        <v>12.65</v>
      </c>
      <c r="J244">
        <v>2</v>
      </c>
    </row>
    <row r="245" spans="1:19" x14ac:dyDescent="0.3">
      <c r="A245" s="88" t="s">
        <v>170</v>
      </c>
      <c r="B245" s="98"/>
      <c r="C245" s="98"/>
      <c r="D245" s="98"/>
      <c r="E245" s="98"/>
      <c r="F245" s="98"/>
      <c r="G245" s="98"/>
      <c r="H245" s="38">
        <f>(1+IF(OR(ISERR(FIND(":",G244)),ISERR(FIND("%",G244))),0,MID(G244,FIND(":",G244)+2,FIND("%",G244)-FIND(":",G244)-2)/100))*0</f>
        <v>0</v>
      </c>
      <c r="I245" s="29">
        <f>G243*H245</f>
        <v>0</v>
      </c>
      <c r="J245">
        <v>3</v>
      </c>
      <c r="K245" s="4">
        <v>0</v>
      </c>
      <c r="L245" s="4">
        <v>0</v>
      </c>
      <c r="M245" s="4">
        <f>I245-K245-L245</f>
        <v>0</v>
      </c>
    </row>
    <row r="246" spans="1:19" x14ac:dyDescent="0.3">
      <c r="A246" s="98"/>
      <c r="B246" s="98"/>
      <c r="C246" s="98"/>
      <c r="D246" s="98"/>
      <c r="E246" s="98"/>
      <c r="F246" s="98"/>
      <c r="G246" s="98"/>
      <c r="H246" s="38">
        <f>0</f>
        <v>0</v>
      </c>
      <c r="I246" s="29">
        <f>G243*H246</f>
        <v>0</v>
      </c>
      <c r="J246">
        <v>4</v>
      </c>
      <c r="N246" s="4">
        <f>IF(ISERR(SEARCH("TRA* 82",C243)),IF(Q246+R246+S246=0,0,I246*(Q246/(Q246+R246+S246))),I246)</f>
        <v>0</v>
      </c>
      <c r="O246" s="4">
        <f>IF(ISERR(SEARCH("TRA* 82",C243)),IF(Q246+R246+S246=0,0,I246*(R246/(Q246+R246+S246))),0)</f>
        <v>0</v>
      </c>
      <c r="P246" s="4">
        <f>IF(ISERR(SEARCH("TRA* 82",C243)),I246-N246-O246,0)</f>
        <v>0</v>
      </c>
      <c r="Q246" s="4">
        <v>0</v>
      </c>
      <c r="R246" s="4">
        <v>0</v>
      </c>
      <c r="S246" s="4">
        <v>0</v>
      </c>
    </row>
    <row r="247" spans="1:19" x14ac:dyDescent="0.3">
      <c r="A247" s="96" t="s">
        <v>27</v>
      </c>
      <c r="B247" s="97"/>
      <c r="C247" s="97"/>
      <c r="D247" s="97"/>
      <c r="E247" s="97"/>
      <c r="F247" s="97"/>
      <c r="G247" s="97"/>
      <c r="H247" s="36">
        <f>H243+H244+H245+H246</f>
        <v>74.010000000000005</v>
      </c>
      <c r="I247" s="74">
        <f>I243+I244+I245+I246</f>
        <v>74.010000000000005</v>
      </c>
      <c r="J247">
        <v>5</v>
      </c>
    </row>
    <row r="248" spans="1:19" x14ac:dyDescent="0.3">
      <c r="B248" s="2">
        <v>42</v>
      </c>
      <c r="C248" s="3" t="s">
        <v>171</v>
      </c>
      <c r="D248" s="5" t="s">
        <v>29</v>
      </c>
      <c r="G248" s="30">
        <v>2</v>
      </c>
      <c r="H248" s="38">
        <v>9.06</v>
      </c>
      <c r="I248" s="29">
        <f>G248*H248</f>
        <v>18.12</v>
      </c>
      <c r="J248">
        <v>1</v>
      </c>
    </row>
    <row r="249" spans="1:19" x14ac:dyDescent="0.3">
      <c r="D249" s="15" t="str">
        <f>SUBSTITUTE("Sp.mat: 0.00%",".",IF(VALUE("1.2")=1.2,".",","),2)</f>
        <v>Sp.mat: 0.00%</v>
      </c>
      <c r="F249" s="15" t="str">
        <f>SUBSTITUTE("Sp.man: 0.00%",".",IF(VALUE("1.2")=1.2,".",","),2)</f>
        <v>Sp.man: 0.00%</v>
      </c>
      <c r="G249" s="35" t="str">
        <f>SUBSTITUTE("Sp.uti: 0.00%",".",IF(VALUE("1.2")=1.2,".",","),2)</f>
        <v>Sp.uti: 0.00%</v>
      </c>
      <c r="H249" s="38">
        <f>9.29/G248</f>
        <v>4.6449999999999996</v>
      </c>
      <c r="I249" s="29">
        <f>G248*H249</f>
        <v>9.2899999999999991</v>
      </c>
      <c r="J249">
        <v>2</v>
      </c>
    </row>
    <row r="250" spans="1:19" x14ac:dyDescent="0.3">
      <c r="A250" s="88" t="s">
        <v>172</v>
      </c>
      <c r="B250" s="98"/>
      <c r="C250" s="98"/>
      <c r="D250" s="98"/>
      <c r="E250" s="98"/>
      <c r="F250" s="98"/>
      <c r="G250" s="98"/>
      <c r="H250" s="38">
        <f>(1+IF(OR(ISERR(FIND(":",G249)),ISERR(FIND("%",G249))),0,MID(G249,FIND(":",G249)+2,FIND("%",G249)-FIND(":",G249)-2)/100))*0</f>
        <v>0</v>
      </c>
      <c r="I250" s="29">
        <f>G248*H250</f>
        <v>0</v>
      </c>
      <c r="J250">
        <v>3</v>
      </c>
      <c r="K250" s="4">
        <v>0</v>
      </c>
      <c r="L250" s="4">
        <v>0</v>
      </c>
      <c r="M250" s="4">
        <f>I250-K250-L250</f>
        <v>0</v>
      </c>
    </row>
    <row r="251" spans="1:19" x14ac:dyDescent="0.3">
      <c r="A251" s="98"/>
      <c r="B251" s="98"/>
      <c r="C251" s="98"/>
      <c r="D251" s="98"/>
      <c r="E251" s="98"/>
      <c r="F251" s="98"/>
      <c r="G251" s="98"/>
      <c r="H251" s="38">
        <f>0</f>
        <v>0</v>
      </c>
      <c r="I251" s="29">
        <f>G248*H251</f>
        <v>0</v>
      </c>
      <c r="J251">
        <v>4</v>
      </c>
      <c r="N251" s="4">
        <f>IF(ISERR(SEARCH("TRA* 82",C248)),IF(Q251+R251+S251=0,0,I251*(Q251/(Q251+R251+S251))),I251)</f>
        <v>0</v>
      </c>
      <c r="O251" s="4">
        <f>IF(ISERR(SEARCH("TRA* 82",C248)),IF(Q251+R251+S251=0,0,I251*(R251/(Q251+R251+S251))),0)</f>
        <v>0</v>
      </c>
      <c r="P251" s="4">
        <f>IF(ISERR(SEARCH("TRA* 82",C248)),I251-N251-O251,0)</f>
        <v>0</v>
      </c>
      <c r="Q251" s="4">
        <v>0</v>
      </c>
      <c r="R251" s="4">
        <v>0</v>
      </c>
      <c r="S251" s="4">
        <v>0</v>
      </c>
    </row>
    <row r="252" spans="1:19" x14ac:dyDescent="0.3">
      <c r="A252" s="100" t="s">
        <v>87</v>
      </c>
      <c r="B252" s="101"/>
      <c r="C252" s="101"/>
      <c r="D252" s="101"/>
      <c r="E252" s="101"/>
      <c r="F252" s="101"/>
      <c r="G252" s="101"/>
      <c r="H252" s="33">
        <f>H248+H249+H250+H251</f>
        <v>13.705</v>
      </c>
      <c r="I252" s="37">
        <f>I248+I249+I250+I251</f>
        <v>27.41</v>
      </c>
      <c r="J252">
        <v>5</v>
      </c>
    </row>
    <row r="253" spans="1:19" x14ac:dyDescent="0.3">
      <c r="A253" s="99" t="s">
        <v>173</v>
      </c>
      <c r="B253" s="99"/>
      <c r="C253" s="99"/>
      <c r="D253" s="99"/>
      <c r="E253" s="99"/>
      <c r="F253" s="99"/>
      <c r="G253" s="99"/>
      <c r="H253" s="99"/>
      <c r="I253" s="99"/>
    </row>
    <row r="254" spans="1:19" x14ac:dyDescent="0.3">
      <c r="B254" s="2">
        <v>43</v>
      </c>
      <c r="C254" s="3" t="s">
        <v>174</v>
      </c>
      <c r="D254" s="5" t="s">
        <v>29</v>
      </c>
      <c r="G254" s="30">
        <v>2</v>
      </c>
      <c r="H254" s="38">
        <f>14.75/G254</f>
        <v>7.375</v>
      </c>
      <c r="I254" s="29">
        <f>G254*H254</f>
        <v>14.75</v>
      </c>
      <c r="J254">
        <v>1</v>
      </c>
    </row>
    <row r="255" spans="1:19" x14ac:dyDescent="0.3">
      <c r="D255" s="15" t="str">
        <f>SUBSTITUTE("Sp.mat: 0.00%",".",IF(VALUE("1.2")=1.2,".",","),2)</f>
        <v>Sp.mat: 0.00%</v>
      </c>
      <c r="F255" s="15" t="str">
        <f>SUBSTITUTE("Sp.man: 0.00%",".",IF(VALUE("1.2")=1.2,".",","),2)</f>
        <v>Sp.man: 0.00%</v>
      </c>
      <c r="G255" s="35" t="str">
        <f>SUBSTITUTE("Sp.uti: 0.00%",".",IF(VALUE("1.2")=1.2,".",","),2)</f>
        <v>Sp.uti: 0.00%</v>
      </c>
      <c r="H255" s="38">
        <f>5.13/G254</f>
        <v>2.5649999999999999</v>
      </c>
      <c r="I255" s="29">
        <f>G254*H255</f>
        <v>5.13</v>
      </c>
      <c r="J255">
        <v>2</v>
      </c>
    </row>
    <row r="256" spans="1:19" x14ac:dyDescent="0.3">
      <c r="A256" s="88" t="s">
        <v>180</v>
      </c>
      <c r="B256" s="98"/>
      <c r="C256" s="98"/>
      <c r="D256" s="98"/>
      <c r="E256" s="98"/>
      <c r="F256" s="98"/>
      <c r="G256" s="98"/>
      <c r="H256" s="38">
        <f>(1+IF(OR(ISERR(FIND(":",G255)),ISERR(FIND("%",G255))),0,MID(G255,FIND(":",G255)+2,FIND("%",G255)-FIND(":",G255)-2)/100))*0</f>
        <v>0</v>
      </c>
      <c r="I256" s="29">
        <f>G254*H256</f>
        <v>0</v>
      </c>
      <c r="J256">
        <v>3</v>
      </c>
      <c r="K256" s="4">
        <v>0</v>
      </c>
      <c r="L256" s="4">
        <v>0</v>
      </c>
      <c r="M256" s="4">
        <f>I256-K256-L256</f>
        <v>0</v>
      </c>
    </row>
    <row r="257" spans="1:19" x14ac:dyDescent="0.3">
      <c r="A257" s="98"/>
      <c r="B257" s="98"/>
      <c r="C257" s="98"/>
      <c r="D257" s="98"/>
      <c r="E257" s="98"/>
      <c r="F257" s="98"/>
      <c r="G257" s="98"/>
      <c r="H257" s="38">
        <f>0</f>
        <v>0</v>
      </c>
      <c r="I257" s="29">
        <f>G254*H257</f>
        <v>0</v>
      </c>
      <c r="J257">
        <v>4</v>
      </c>
      <c r="N257" s="4">
        <f>IF(ISERR(SEARCH("TRA* 82",C254)),IF(Q257+R257+S257=0,0,I257*(Q257/(Q257+R257+S257))),I257)</f>
        <v>0</v>
      </c>
      <c r="O257" s="4">
        <f>IF(ISERR(SEARCH("TRA* 82",C254)),IF(Q257+R257+S257=0,0,I257*(R257/(Q257+R257+S257))),0)</f>
        <v>0</v>
      </c>
      <c r="P257" s="4">
        <f>IF(ISERR(SEARCH("TRA* 82",C254)),I257-N257-O257,0)</f>
        <v>0</v>
      </c>
      <c r="Q257" s="4">
        <v>0</v>
      </c>
      <c r="R257" s="4">
        <v>0</v>
      </c>
      <c r="S257" s="4">
        <v>0</v>
      </c>
    </row>
    <row r="258" spans="1:19" x14ac:dyDescent="0.3">
      <c r="A258" s="100" t="s">
        <v>87</v>
      </c>
      <c r="B258" s="101"/>
      <c r="C258" s="101"/>
      <c r="D258" s="101"/>
      <c r="E258" s="101"/>
      <c r="F258" s="101"/>
      <c r="G258" s="101"/>
      <c r="H258" s="33">
        <f>H254+H255+H256+H257</f>
        <v>9.94</v>
      </c>
      <c r="I258" s="37">
        <f>I254+I255+I256+I257</f>
        <v>19.88</v>
      </c>
      <c r="J258">
        <v>5</v>
      </c>
    </row>
    <row r="259" spans="1:19" x14ac:dyDescent="0.3">
      <c r="A259" s="99" t="s">
        <v>181</v>
      </c>
      <c r="B259" s="99"/>
      <c r="C259" s="99"/>
      <c r="D259" s="99"/>
      <c r="E259" s="99"/>
      <c r="F259" s="99"/>
      <c r="G259" s="99"/>
      <c r="H259" s="99"/>
      <c r="I259" s="99"/>
    </row>
    <row r="260" spans="1:19" x14ac:dyDescent="0.3">
      <c r="B260" s="2">
        <v>44</v>
      </c>
      <c r="C260" s="3" t="s">
        <v>182</v>
      </c>
      <c r="D260" s="5" t="s">
        <v>29</v>
      </c>
      <c r="G260" s="30">
        <v>29</v>
      </c>
      <c r="H260" s="38">
        <f>11071.75/G260</f>
        <v>381.7844827586207</v>
      </c>
      <c r="I260" s="29">
        <f>G260*H260</f>
        <v>11071.75</v>
      </c>
      <c r="J260">
        <v>1</v>
      </c>
    </row>
    <row r="261" spans="1:19" x14ac:dyDescent="0.3">
      <c r="D261" s="15" t="str">
        <f>SUBSTITUTE("Sp.mat: 0.00%",".",IF(VALUE("1.2")=1.2,".",","),2)</f>
        <v>Sp.mat: 0.00%</v>
      </c>
      <c r="F261" s="15" t="str">
        <f>SUBSTITUTE("Sp.man: 0.00%",".",IF(VALUE("1.2")=1.2,".",","),2)</f>
        <v>Sp.man: 0.00%</v>
      </c>
      <c r="G261" s="35" t="str">
        <f>SUBSTITUTE("Sp.uti: 0.00%",".",IF(VALUE("1.2")=1.2,".",","),2)</f>
        <v>Sp.uti: 0.00%</v>
      </c>
      <c r="H261" s="38">
        <f>2090.22/G260</f>
        <v>72.076551724137929</v>
      </c>
      <c r="I261" s="29">
        <f>G260*H261</f>
        <v>2090.2199999999998</v>
      </c>
      <c r="J261">
        <v>2</v>
      </c>
    </row>
    <row r="262" spans="1:19" x14ac:dyDescent="0.3">
      <c r="A262" s="88" t="s">
        <v>183</v>
      </c>
      <c r="B262" s="98"/>
      <c r="C262" s="98"/>
      <c r="D262" s="98"/>
      <c r="E262" s="98"/>
      <c r="F262" s="98"/>
      <c r="G262" s="98"/>
      <c r="H262" s="38">
        <f>(1+IF(OR(ISERR(FIND(":",G261)),ISERR(FIND("%",G261))),0,MID(G261,FIND(":",G261)+2,FIND("%",G261)-FIND(":",G261)-2)/100))*0</f>
        <v>0</v>
      </c>
      <c r="I262" s="29">
        <f>G260*H262</f>
        <v>0</v>
      </c>
      <c r="J262">
        <v>3</v>
      </c>
      <c r="K262" s="4">
        <v>0</v>
      </c>
      <c r="L262" s="4">
        <v>0</v>
      </c>
      <c r="M262" s="4">
        <f>I262-K262-L262</f>
        <v>0</v>
      </c>
    </row>
    <row r="263" spans="1:19" x14ac:dyDescent="0.3">
      <c r="A263" s="98"/>
      <c r="B263" s="98"/>
      <c r="C263" s="98"/>
      <c r="D263" s="98"/>
      <c r="E263" s="98"/>
      <c r="F263" s="98"/>
      <c r="G263" s="98"/>
      <c r="H263" s="38">
        <f>0</f>
        <v>0</v>
      </c>
      <c r="I263" s="29">
        <f>G260*H263</f>
        <v>0</v>
      </c>
      <c r="J263">
        <v>4</v>
      </c>
      <c r="N263" s="4">
        <f>IF(ISERR(SEARCH("TRA* 82",C260)),IF(Q263+R263+S263=0,0,I263*(Q263/(Q263+R263+S263))),I263)</f>
        <v>0</v>
      </c>
      <c r="O263" s="4">
        <f>IF(ISERR(SEARCH("TRA* 82",C260)),IF(Q263+R263+S263=0,0,I263*(R263/(Q263+R263+S263))),0)</f>
        <v>0</v>
      </c>
      <c r="P263" s="4">
        <f>IF(ISERR(SEARCH("TRA* 82",C260)),I263-N263-O263,0)</f>
        <v>0</v>
      </c>
      <c r="Q263" s="4">
        <v>0</v>
      </c>
      <c r="R263" s="4">
        <v>0</v>
      </c>
      <c r="S263" s="4">
        <v>0</v>
      </c>
    </row>
    <row r="264" spans="1:19" x14ac:dyDescent="0.3">
      <c r="A264" s="100" t="s">
        <v>87</v>
      </c>
      <c r="B264" s="101"/>
      <c r="C264" s="101"/>
      <c r="D264" s="101"/>
      <c r="E264" s="101"/>
      <c r="F264" s="101"/>
      <c r="G264" s="101"/>
      <c r="H264" s="33">
        <f>H260+H261+H262+H263</f>
        <v>453.86103448275861</v>
      </c>
      <c r="I264" s="37">
        <f>I260+I261+I262+I263</f>
        <v>13161.97</v>
      </c>
      <c r="J264">
        <v>5</v>
      </c>
    </row>
    <row r="265" spans="1:19" x14ac:dyDescent="0.3">
      <c r="A265" s="102" t="s">
        <v>184</v>
      </c>
      <c r="B265" s="102"/>
      <c r="C265" s="102"/>
      <c r="D265" s="102"/>
      <c r="E265" s="102"/>
      <c r="F265" s="102"/>
      <c r="G265" s="102"/>
      <c r="H265" s="102"/>
      <c r="I265" s="102"/>
    </row>
    <row r="266" spans="1:19" x14ac:dyDescent="0.3">
      <c r="A266" s="98" t="s">
        <v>185</v>
      </c>
      <c r="B266" s="98"/>
      <c r="C266" s="98"/>
      <c r="D266" s="98"/>
      <c r="E266" s="98"/>
      <c r="F266" s="98"/>
      <c r="G266" s="98"/>
      <c r="H266" s="98"/>
      <c r="I266" s="98"/>
    </row>
    <row r="267" spans="1:19" x14ac:dyDescent="0.3">
      <c r="A267" s="98" t="s">
        <v>186</v>
      </c>
      <c r="B267" s="98"/>
      <c r="C267" s="98"/>
      <c r="D267" s="98"/>
      <c r="E267" s="98"/>
      <c r="F267" s="98"/>
      <c r="G267" s="98"/>
      <c r="H267" s="98"/>
      <c r="I267" s="98"/>
    </row>
    <row r="268" spans="1:19" x14ac:dyDescent="0.3">
      <c r="A268" s="98" t="s">
        <v>187</v>
      </c>
      <c r="B268" s="98"/>
      <c r="C268" s="98"/>
      <c r="D268" s="98"/>
      <c r="E268" s="98"/>
      <c r="F268" s="98"/>
      <c r="G268" s="98"/>
      <c r="H268" s="98"/>
      <c r="I268" s="98"/>
    </row>
    <row r="269" spans="1:19" x14ac:dyDescent="0.3">
      <c r="A269" s="98" t="s">
        <v>188</v>
      </c>
      <c r="B269" s="98"/>
      <c r="C269" s="98"/>
      <c r="D269" s="98"/>
      <c r="E269" s="98"/>
      <c r="F269" s="98"/>
      <c r="G269" s="98"/>
      <c r="H269" s="98"/>
      <c r="I269" s="98"/>
    </row>
    <row r="270" spans="1:19" x14ac:dyDescent="0.3">
      <c r="A270" s="97" t="s">
        <v>189</v>
      </c>
      <c r="B270" s="97"/>
      <c r="C270" s="97"/>
      <c r="D270" s="97"/>
      <c r="E270" s="97"/>
      <c r="F270" s="97"/>
      <c r="G270" s="97"/>
      <c r="H270" s="97"/>
      <c r="I270" s="97"/>
    </row>
    <row r="271" spans="1:19" x14ac:dyDescent="0.3">
      <c r="B271" s="2">
        <v>45</v>
      </c>
      <c r="C271" s="3" t="s">
        <v>182</v>
      </c>
      <c r="D271" s="5" t="s">
        <v>29</v>
      </c>
      <c r="G271" s="30">
        <v>1</v>
      </c>
      <c r="H271" s="38">
        <v>971.88</v>
      </c>
      <c r="I271" s="29">
        <f>G271*H271</f>
        <v>971.88</v>
      </c>
      <c r="J271">
        <v>1</v>
      </c>
    </row>
    <row r="272" spans="1:19" x14ac:dyDescent="0.3">
      <c r="D272" s="15" t="str">
        <f>SUBSTITUTE("Sp.mat: 0.00%",".",IF(VALUE("1.2")=1.2,".",","),2)</f>
        <v>Sp.mat: 0.00%</v>
      </c>
      <c r="F272" s="15" t="str">
        <f>SUBSTITUTE("Sp.man: 0.00%",".",IF(VALUE("1.2")=1.2,".",","),2)</f>
        <v>Sp.man: 0.00%</v>
      </c>
      <c r="G272" s="35" t="str">
        <f>SUBSTITUTE("Sp.uti: 0.00%",".",IF(VALUE("1.2")=1.2,".",","),2)</f>
        <v>Sp.uti: 0.00%</v>
      </c>
      <c r="H272" s="38">
        <v>72.08</v>
      </c>
      <c r="I272" s="29">
        <f>G271*H272</f>
        <v>72.08</v>
      </c>
      <c r="J272">
        <v>2</v>
      </c>
    </row>
    <row r="273" spans="1:19" x14ac:dyDescent="0.3">
      <c r="A273" s="88" t="s">
        <v>183</v>
      </c>
      <c r="B273" s="98"/>
      <c r="C273" s="98"/>
      <c r="D273" s="98"/>
      <c r="E273" s="98"/>
      <c r="F273" s="98"/>
      <c r="G273" s="98"/>
      <c r="H273" s="38">
        <f>(1+IF(OR(ISERR(FIND(":",G272)),ISERR(FIND("%",G272))),0,MID(G272,FIND(":",G272)+2,FIND("%",G272)-FIND(":",G272)-2)/100))*0</f>
        <v>0</v>
      </c>
      <c r="I273" s="29">
        <f>G271*H273</f>
        <v>0</v>
      </c>
      <c r="J273">
        <v>3</v>
      </c>
      <c r="K273" s="4">
        <v>0</v>
      </c>
      <c r="L273" s="4">
        <v>0</v>
      </c>
      <c r="M273" s="4">
        <f>I273-K273-L273</f>
        <v>0</v>
      </c>
    </row>
    <row r="274" spans="1:19" x14ac:dyDescent="0.3">
      <c r="A274" s="98"/>
      <c r="B274" s="98"/>
      <c r="C274" s="98"/>
      <c r="D274" s="98"/>
      <c r="E274" s="98"/>
      <c r="F274" s="98"/>
      <c r="G274" s="98"/>
      <c r="H274" s="38">
        <f>0</f>
        <v>0</v>
      </c>
      <c r="I274" s="29">
        <f>G271*H274</f>
        <v>0</v>
      </c>
      <c r="J274">
        <v>4</v>
      </c>
      <c r="N274" s="4">
        <f>IF(ISERR(SEARCH("TRA* 82",C271)),IF(Q274+R274+S274=0,0,I274*(Q274/(Q274+R274+S274))),I274)</f>
        <v>0</v>
      </c>
      <c r="O274" s="4">
        <f>IF(ISERR(SEARCH("TRA* 82",C271)),IF(Q274+R274+S274=0,0,I274*(R274/(Q274+R274+S274))),0)</f>
        <v>0</v>
      </c>
      <c r="P274" s="4">
        <f>IF(ISERR(SEARCH("TRA* 82",C271)),I274-N274-O274,0)</f>
        <v>0</v>
      </c>
      <c r="Q274" s="4">
        <v>0</v>
      </c>
      <c r="R274" s="4">
        <v>0</v>
      </c>
      <c r="S274" s="4">
        <v>0</v>
      </c>
    </row>
    <row r="275" spans="1:19" x14ac:dyDescent="0.3">
      <c r="A275" s="100" t="s">
        <v>87</v>
      </c>
      <c r="B275" s="101"/>
      <c r="C275" s="101"/>
      <c r="D275" s="101"/>
      <c r="E275" s="101"/>
      <c r="F275" s="101"/>
      <c r="G275" s="101"/>
      <c r="H275" s="33">
        <f>H271+H272+H273+H274</f>
        <v>1043.96</v>
      </c>
      <c r="I275" s="37">
        <f>I271+I272+I273+I274</f>
        <v>1043.96</v>
      </c>
      <c r="J275">
        <v>5</v>
      </c>
    </row>
    <row r="276" spans="1:19" x14ac:dyDescent="0.3">
      <c r="A276" s="102" t="s">
        <v>190</v>
      </c>
      <c r="B276" s="102"/>
      <c r="C276" s="102"/>
      <c r="D276" s="102"/>
      <c r="E276" s="102"/>
      <c r="F276" s="102"/>
      <c r="G276" s="102"/>
      <c r="H276" s="102"/>
      <c r="I276" s="102"/>
    </row>
    <row r="277" spans="1:19" x14ac:dyDescent="0.3">
      <c r="A277" s="98" t="s">
        <v>191</v>
      </c>
      <c r="B277" s="98"/>
      <c r="C277" s="98"/>
      <c r="D277" s="98"/>
      <c r="E277" s="98"/>
      <c r="F277" s="98"/>
      <c r="G277" s="98"/>
      <c r="H277" s="98"/>
      <c r="I277" s="98"/>
    </row>
    <row r="278" spans="1:19" x14ac:dyDescent="0.3">
      <c r="A278" s="98" t="s">
        <v>192</v>
      </c>
      <c r="B278" s="98"/>
      <c r="C278" s="98"/>
      <c r="D278" s="98"/>
      <c r="E278" s="98"/>
      <c r="F278" s="98"/>
      <c r="G278" s="98"/>
      <c r="H278" s="98"/>
      <c r="I278" s="98"/>
    </row>
    <row r="279" spans="1:19" x14ac:dyDescent="0.3">
      <c r="A279" s="98" t="s">
        <v>193</v>
      </c>
      <c r="B279" s="98"/>
      <c r="C279" s="98"/>
      <c r="D279" s="98"/>
      <c r="E279" s="98"/>
      <c r="F279" s="98"/>
      <c r="G279" s="98"/>
      <c r="H279" s="98"/>
      <c r="I279" s="98"/>
    </row>
    <row r="280" spans="1:19" x14ac:dyDescent="0.3">
      <c r="A280" s="98" t="s">
        <v>194</v>
      </c>
      <c r="B280" s="98"/>
      <c r="C280" s="98"/>
      <c r="D280" s="98"/>
      <c r="E280" s="98"/>
      <c r="F280" s="98"/>
      <c r="G280" s="98"/>
      <c r="H280" s="98"/>
      <c r="I280" s="98"/>
    </row>
    <row r="281" spans="1:19" x14ac:dyDescent="0.3">
      <c r="A281" s="97" t="s">
        <v>195</v>
      </c>
      <c r="B281" s="97"/>
      <c r="C281" s="97"/>
      <c r="D281" s="97"/>
      <c r="E281" s="97"/>
      <c r="F281" s="97"/>
      <c r="G281" s="97"/>
      <c r="H281" s="97"/>
      <c r="I281" s="97"/>
    </row>
    <row r="282" spans="1:19" x14ac:dyDescent="0.3">
      <c r="B282" s="2">
        <v>46</v>
      </c>
      <c r="C282" s="3" t="s">
        <v>196</v>
      </c>
      <c r="D282" s="5" t="s">
        <v>29</v>
      </c>
      <c r="G282" s="30">
        <v>13</v>
      </c>
      <c r="H282" s="38">
        <f>3490.48/G282</f>
        <v>268.49846153846153</v>
      </c>
      <c r="I282" s="29">
        <f>G282*H282</f>
        <v>3490.48</v>
      </c>
      <c r="J282">
        <v>1</v>
      </c>
    </row>
    <row r="283" spans="1:19" x14ac:dyDescent="0.3">
      <c r="D283" s="15" t="str">
        <f>SUBSTITUTE("Sp.mat: 0.00%",".",IF(VALUE("1.2")=1.2,".",","),2)</f>
        <v>Sp.mat: 0.00%</v>
      </c>
      <c r="F283" s="15" t="str">
        <f>SUBSTITUTE("Sp.man: 0.00%",".",IF(VALUE("1.2")=1.2,".",","),2)</f>
        <v>Sp.man: 0.00%</v>
      </c>
      <c r="G283" s="35" t="str">
        <f>SUBSTITUTE("Sp.uti: 0.00%",".",IF(VALUE("1.2")=1.2,".",","),2)</f>
        <v>Sp.uti: 0.00%</v>
      </c>
      <c r="H283" s="38">
        <f>524.72/G282</f>
        <v>40.363076923076925</v>
      </c>
      <c r="I283" s="29">
        <f>G282*H283</f>
        <v>524.72</v>
      </c>
      <c r="J283">
        <v>2</v>
      </c>
    </row>
    <row r="284" spans="1:19" x14ac:dyDescent="0.3">
      <c r="A284" s="88" t="s">
        <v>197</v>
      </c>
      <c r="B284" s="98"/>
      <c r="C284" s="98"/>
      <c r="D284" s="98"/>
      <c r="E284" s="98"/>
      <c r="F284" s="98"/>
      <c r="G284" s="98"/>
      <c r="H284" s="38">
        <f>(1+IF(OR(ISERR(FIND(":",G283)),ISERR(FIND("%",G283))),0,MID(G283,FIND(":",G283)+2,FIND("%",G283)-FIND(":",G283)-2)/100))*0</f>
        <v>0</v>
      </c>
      <c r="I284" s="29">
        <f>G282*H284</f>
        <v>0</v>
      </c>
      <c r="J284">
        <v>3</v>
      </c>
      <c r="K284" s="4">
        <v>0</v>
      </c>
      <c r="L284" s="4">
        <v>0</v>
      </c>
      <c r="M284" s="4">
        <f>I284-K284-L284</f>
        <v>0</v>
      </c>
    </row>
    <row r="285" spans="1:19" x14ac:dyDescent="0.3">
      <c r="A285" s="98"/>
      <c r="B285" s="98"/>
      <c r="C285" s="98"/>
      <c r="D285" s="98"/>
      <c r="E285" s="98"/>
      <c r="F285" s="98"/>
      <c r="G285" s="98"/>
      <c r="H285" s="38">
        <f>0</f>
        <v>0</v>
      </c>
      <c r="I285" s="29">
        <f>G282*H285</f>
        <v>0</v>
      </c>
      <c r="J285">
        <v>4</v>
      </c>
      <c r="N285" s="4">
        <f>IF(ISERR(SEARCH("TRA* 82",C282)),IF(Q285+R285+S285=0,0,I285*(Q285/(Q285+R285+S285))),I285)</f>
        <v>0</v>
      </c>
      <c r="O285" s="4">
        <f>IF(ISERR(SEARCH("TRA* 82",C282)),IF(Q285+R285+S285=0,0,I285*(R285/(Q285+R285+S285))),0)</f>
        <v>0</v>
      </c>
      <c r="P285" s="4">
        <f>IF(ISERR(SEARCH("TRA* 82",C282)),I285-N285-O285,0)</f>
        <v>0</v>
      </c>
      <c r="Q285" s="4">
        <v>0</v>
      </c>
      <c r="R285" s="4">
        <v>0</v>
      </c>
      <c r="S285" s="4">
        <v>0</v>
      </c>
    </row>
    <row r="286" spans="1:19" x14ac:dyDescent="0.3">
      <c r="A286" s="100" t="s">
        <v>87</v>
      </c>
      <c r="B286" s="101"/>
      <c r="C286" s="101"/>
      <c r="D286" s="101"/>
      <c r="E286" s="101"/>
      <c r="F286" s="101"/>
      <c r="G286" s="101"/>
      <c r="H286" s="33">
        <f>H282+H283+H284+H285</f>
        <v>308.86153846153843</v>
      </c>
      <c r="I286" s="37">
        <f>I282+I283+I284+I285</f>
        <v>4015.2</v>
      </c>
      <c r="J286">
        <v>5</v>
      </c>
    </row>
    <row r="287" spans="1:19" x14ac:dyDescent="0.3">
      <c r="A287" s="102" t="s">
        <v>198</v>
      </c>
      <c r="B287" s="102"/>
      <c r="C287" s="102"/>
      <c r="D287" s="102"/>
      <c r="E287" s="102"/>
      <c r="F287" s="102"/>
      <c r="G287" s="102"/>
      <c r="H287" s="102"/>
      <c r="I287" s="102"/>
    </row>
    <row r="288" spans="1:19" x14ac:dyDescent="0.3">
      <c r="A288" s="97" t="s">
        <v>199</v>
      </c>
      <c r="B288" s="97"/>
      <c r="C288" s="97"/>
      <c r="D288" s="97"/>
      <c r="E288" s="97"/>
      <c r="F288" s="97"/>
      <c r="G288" s="97"/>
      <c r="H288" s="97"/>
      <c r="I288" s="97"/>
    </row>
    <row r="289" spans="1:19" x14ac:dyDescent="0.3">
      <c r="B289" s="2">
        <v>47</v>
      </c>
      <c r="C289" s="3" t="s">
        <v>200</v>
      </c>
      <c r="D289" s="5" t="s">
        <v>29</v>
      </c>
      <c r="G289" s="30">
        <v>4</v>
      </c>
      <c r="H289" s="38">
        <f>694.15/G289</f>
        <v>173.53749999999999</v>
      </c>
      <c r="I289" s="29">
        <f>G289*H289</f>
        <v>694.15</v>
      </c>
      <c r="J289">
        <v>1</v>
      </c>
    </row>
    <row r="290" spans="1:19" x14ac:dyDescent="0.3">
      <c r="D290" s="15" t="str">
        <f>SUBSTITUTE("Sp.mat: 0.00%",".",IF(VALUE("1.2")=1.2,".",","),2)</f>
        <v>Sp.mat: 0.00%</v>
      </c>
      <c r="F290" s="15" t="str">
        <f>SUBSTITUTE("Sp.man: 0.00%",".",IF(VALUE("1.2")=1.2,".",","),2)</f>
        <v>Sp.man: 0.00%</v>
      </c>
      <c r="G290" s="35" t="str">
        <f>SUBSTITUTE("Sp.uti: 0.00%",".",IF(VALUE("1.2")=1.2,".",","),2)</f>
        <v>Sp.uti: 0.00%</v>
      </c>
      <c r="H290" s="38">
        <f>106.99/G289</f>
        <v>26.747499999999999</v>
      </c>
      <c r="I290" s="29">
        <f>G289*H290</f>
        <v>106.99</v>
      </c>
      <c r="J290">
        <v>2</v>
      </c>
    </row>
    <row r="291" spans="1:19" x14ac:dyDescent="0.3">
      <c r="A291" s="88" t="s">
        <v>201</v>
      </c>
      <c r="B291" s="98"/>
      <c r="C291" s="98"/>
      <c r="D291" s="98"/>
      <c r="E291" s="98"/>
      <c r="F291" s="98"/>
      <c r="G291" s="98"/>
      <c r="H291" s="38">
        <f>(1+IF(OR(ISERR(FIND(":",G290)),ISERR(FIND("%",G290))),0,MID(G290,FIND(":",G290)+2,FIND("%",G290)-FIND(":",G290)-2)/100))*0</f>
        <v>0</v>
      </c>
      <c r="I291" s="29">
        <f>G289*H291</f>
        <v>0</v>
      </c>
      <c r="J291">
        <v>3</v>
      </c>
      <c r="K291" s="4">
        <v>0</v>
      </c>
      <c r="L291" s="4">
        <v>0</v>
      </c>
      <c r="M291" s="4">
        <f>I291-K291-L291</f>
        <v>0</v>
      </c>
    </row>
    <row r="292" spans="1:19" x14ac:dyDescent="0.3">
      <c r="A292" s="98"/>
      <c r="B292" s="98"/>
      <c r="C292" s="98"/>
      <c r="D292" s="98"/>
      <c r="E292" s="98"/>
      <c r="F292" s="98"/>
      <c r="G292" s="98"/>
      <c r="H292" s="38">
        <f>0</f>
        <v>0</v>
      </c>
      <c r="I292" s="29">
        <f>G289*H292</f>
        <v>0</v>
      </c>
      <c r="J292">
        <v>4</v>
      </c>
      <c r="N292" s="4">
        <f>IF(ISERR(SEARCH("TRA* 82",C289)),IF(Q292+R292+S292=0,0,I292*(Q292/(Q292+R292+S292))),I292)</f>
        <v>0</v>
      </c>
      <c r="O292" s="4">
        <f>IF(ISERR(SEARCH("TRA* 82",C289)),IF(Q292+R292+S292=0,0,I292*(R292/(Q292+R292+S292))),0)</f>
        <v>0</v>
      </c>
      <c r="P292" s="4">
        <f>IF(ISERR(SEARCH("TRA* 82",C289)),I292-N292-O292,0)</f>
        <v>0</v>
      </c>
      <c r="Q292" s="4">
        <v>0</v>
      </c>
      <c r="R292" s="4">
        <v>0</v>
      </c>
      <c r="S292" s="4">
        <v>0</v>
      </c>
    </row>
    <row r="293" spans="1:19" x14ac:dyDescent="0.3">
      <c r="A293" s="96" t="s">
        <v>27</v>
      </c>
      <c r="B293" s="97"/>
      <c r="C293" s="97"/>
      <c r="D293" s="97"/>
      <c r="E293" s="97"/>
      <c r="F293" s="97"/>
      <c r="G293" s="97"/>
      <c r="H293" s="36">
        <f>H289+H290+H291+H292</f>
        <v>200.285</v>
      </c>
      <c r="I293" s="74">
        <f>I289+I290+I291+I292</f>
        <v>801.14</v>
      </c>
      <c r="J293">
        <v>5</v>
      </c>
    </row>
    <row r="294" spans="1:19" x14ac:dyDescent="0.3">
      <c r="B294" s="2">
        <v>48</v>
      </c>
      <c r="C294" s="3" t="s">
        <v>202</v>
      </c>
      <c r="D294" s="5" t="s">
        <v>29</v>
      </c>
      <c r="G294" s="30">
        <v>4</v>
      </c>
      <c r="H294" s="38">
        <f>229.2/G294</f>
        <v>57.3</v>
      </c>
      <c r="I294" s="29">
        <f>G294*H294</f>
        <v>229.2</v>
      </c>
      <c r="J294">
        <v>1</v>
      </c>
    </row>
    <row r="295" spans="1:19" x14ac:dyDescent="0.3">
      <c r="D295" s="15" t="str">
        <f>SUBSTITUTE("Sp.mat: 0.00%",".",IF(VALUE("1.2")=1.2,".",","),2)</f>
        <v>Sp.mat: 0.00%</v>
      </c>
      <c r="F295" s="15" t="str">
        <f>SUBSTITUTE("Sp.man: 0.00%",".",IF(VALUE("1.2")=1.2,".",","),2)</f>
        <v>Sp.man: 0.00%</v>
      </c>
      <c r="G295" s="35" t="str">
        <f>SUBSTITUTE("Sp.uti: 0.00%",".",IF(VALUE("1.2")=1.2,".",","),2)</f>
        <v>Sp.uti: 0.00%</v>
      </c>
      <c r="H295" s="38">
        <f>25.63/G294</f>
        <v>6.4074999999999998</v>
      </c>
      <c r="I295" s="29">
        <f>G294*H295</f>
        <v>25.63</v>
      </c>
      <c r="J295">
        <v>2</v>
      </c>
    </row>
    <row r="296" spans="1:19" x14ac:dyDescent="0.3">
      <c r="A296" s="88" t="s">
        <v>203</v>
      </c>
      <c r="B296" s="98"/>
      <c r="C296" s="98"/>
      <c r="D296" s="98"/>
      <c r="E296" s="98"/>
      <c r="F296" s="98"/>
      <c r="G296" s="98"/>
      <c r="H296" s="38">
        <f>(1+IF(OR(ISERR(FIND(":",G295)),ISERR(FIND("%",G295))),0,MID(G295,FIND(":",G295)+2,FIND("%",G295)-FIND(":",G295)-2)/100))*0</f>
        <v>0</v>
      </c>
      <c r="I296" s="29">
        <f>G294*H296</f>
        <v>0</v>
      </c>
      <c r="J296">
        <v>3</v>
      </c>
      <c r="K296" s="4">
        <v>0</v>
      </c>
      <c r="L296" s="4">
        <v>0</v>
      </c>
      <c r="M296" s="4">
        <f>I296-K296-L296</f>
        <v>0</v>
      </c>
    </row>
    <row r="297" spans="1:19" x14ac:dyDescent="0.3">
      <c r="A297" s="98"/>
      <c r="B297" s="98"/>
      <c r="C297" s="98"/>
      <c r="D297" s="98"/>
      <c r="E297" s="98"/>
      <c r="F297" s="98"/>
      <c r="G297" s="98"/>
      <c r="H297" s="38">
        <f>0</f>
        <v>0</v>
      </c>
      <c r="I297" s="29">
        <f>G294*H297</f>
        <v>0</v>
      </c>
      <c r="J297">
        <v>4</v>
      </c>
      <c r="N297" s="4">
        <f>IF(ISERR(SEARCH("TRA* 82",C294)),IF(Q297+R297+S297=0,0,I297*(Q297/(Q297+R297+S297))),I297)</f>
        <v>0</v>
      </c>
      <c r="O297" s="4">
        <f>IF(ISERR(SEARCH("TRA* 82",C294)),IF(Q297+R297+S297=0,0,I297*(R297/(Q297+R297+S297))),0)</f>
        <v>0</v>
      </c>
      <c r="P297" s="4">
        <f>IF(ISERR(SEARCH("TRA* 82",C294)),I297-N297-O297,0)</f>
        <v>0</v>
      </c>
      <c r="Q297" s="4">
        <v>0</v>
      </c>
      <c r="R297" s="4">
        <v>0</v>
      </c>
      <c r="S297" s="4">
        <v>0</v>
      </c>
    </row>
    <row r="298" spans="1:19" x14ac:dyDescent="0.3">
      <c r="A298" s="100" t="s">
        <v>87</v>
      </c>
      <c r="B298" s="101"/>
      <c r="C298" s="101"/>
      <c r="D298" s="101"/>
      <c r="E298" s="101"/>
      <c r="F298" s="101"/>
      <c r="G298" s="101"/>
      <c r="H298" s="33">
        <f>H294+H295+H296+H297</f>
        <v>63.707499999999996</v>
      </c>
      <c r="I298" s="37">
        <f>I294+I295+I296+I297</f>
        <v>254.82999999999998</v>
      </c>
      <c r="J298">
        <v>5</v>
      </c>
    </row>
    <row r="299" spans="1:19" x14ac:dyDescent="0.3">
      <c r="A299" s="99" t="s">
        <v>204</v>
      </c>
      <c r="B299" s="99"/>
      <c r="C299" s="99"/>
      <c r="D299" s="99"/>
      <c r="E299" s="99"/>
      <c r="F299" s="99"/>
      <c r="G299" s="99"/>
      <c r="H299" s="99"/>
      <c r="I299" s="99"/>
    </row>
    <row r="300" spans="1:19" x14ac:dyDescent="0.3">
      <c r="B300" s="2">
        <v>49</v>
      </c>
      <c r="C300" s="3" t="s">
        <v>205</v>
      </c>
      <c r="D300" s="5" t="s">
        <v>29</v>
      </c>
      <c r="G300" s="30">
        <v>4</v>
      </c>
      <c r="H300" s="38">
        <f>142.09/G300</f>
        <v>35.522500000000001</v>
      </c>
      <c r="I300" s="29">
        <f>G300*H300</f>
        <v>142.09</v>
      </c>
      <c r="J300">
        <v>1</v>
      </c>
    </row>
    <row r="301" spans="1:19" x14ac:dyDescent="0.3">
      <c r="D301" s="15" t="str">
        <f>SUBSTITUTE("Sp.mat: 0.00%",".",IF(VALUE("1.2")=1.2,".",","),2)</f>
        <v>Sp.mat: 0.00%</v>
      </c>
      <c r="F301" s="15" t="str">
        <f>SUBSTITUTE("Sp.man: 0.00%",".",IF(VALUE("1.2")=1.2,".",","),2)</f>
        <v>Sp.man: 0.00%</v>
      </c>
      <c r="G301" s="35" t="str">
        <f>SUBSTITUTE("Sp.uti: 0.00%",".",IF(VALUE("1.2")=1.2,".",","),2)</f>
        <v>Sp.uti: 0.00%</v>
      </c>
      <c r="H301" s="38">
        <f>73.04/G300</f>
        <v>18.260000000000002</v>
      </c>
      <c r="I301" s="29">
        <f>G300*H301</f>
        <v>73.040000000000006</v>
      </c>
      <c r="J301">
        <v>2</v>
      </c>
    </row>
    <row r="302" spans="1:19" x14ac:dyDescent="0.3">
      <c r="A302" s="88" t="s">
        <v>206</v>
      </c>
      <c r="B302" s="98"/>
      <c r="C302" s="98"/>
      <c r="D302" s="98"/>
      <c r="E302" s="98"/>
      <c r="F302" s="98"/>
      <c r="G302" s="98"/>
      <c r="H302" s="38">
        <f>(1+IF(OR(ISERR(FIND(":",G301)),ISERR(FIND("%",G301))),0,MID(G301,FIND(":",G301)+2,FIND("%",G301)-FIND(":",G301)-2)/100))*0</f>
        <v>0</v>
      </c>
      <c r="I302" s="29">
        <f>G300*H302</f>
        <v>0</v>
      </c>
      <c r="J302">
        <v>3</v>
      </c>
      <c r="K302" s="4">
        <v>0</v>
      </c>
      <c r="L302" s="4">
        <v>0</v>
      </c>
      <c r="M302" s="4">
        <f>I302-K302-L302</f>
        <v>0</v>
      </c>
    </row>
    <row r="303" spans="1:19" x14ac:dyDescent="0.3">
      <c r="A303" s="98"/>
      <c r="B303" s="98"/>
      <c r="C303" s="98"/>
      <c r="D303" s="98"/>
      <c r="E303" s="98"/>
      <c r="F303" s="98"/>
      <c r="G303" s="98"/>
      <c r="H303" s="38">
        <f>0</f>
        <v>0</v>
      </c>
      <c r="I303" s="29">
        <f>G300*H303</f>
        <v>0</v>
      </c>
      <c r="J303">
        <v>4</v>
      </c>
      <c r="N303" s="4">
        <f>IF(ISERR(SEARCH("TRA* 82",C300)),IF(Q303+R303+S303=0,0,I303*(Q303/(Q303+R303+S303))),I303)</f>
        <v>0</v>
      </c>
      <c r="O303" s="4">
        <f>IF(ISERR(SEARCH("TRA* 82",C300)),IF(Q303+R303+S303=0,0,I303*(R303/(Q303+R303+S303))),0)</f>
        <v>0</v>
      </c>
      <c r="P303" s="4">
        <f>IF(ISERR(SEARCH("TRA* 82",C300)),I303-N303-O303,0)</f>
        <v>0</v>
      </c>
      <c r="Q303" s="4">
        <v>0</v>
      </c>
      <c r="R303" s="4">
        <v>0</v>
      </c>
      <c r="S303" s="4">
        <v>0</v>
      </c>
    </row>
    <row r="304" spans="1:19" x14ac:dyDescent="0.3">
      <c r="A304" s="100" t="s">
        <v>87</v>
      </c>
      <c r="B304" s="101"/>
      <c r="C304" s="101"/>
      <c r="D304" s="101"/>
      <c r="E304" s="101"/>
      <c r="F304" s="101"/>
      <c r="G304" s="101"/>
      <c r="H304" s="33">
        <f>H300+H301+H302+H303</f>
        <v>53.782499999999999</v>
      </c>
      <c r="I304" s="37">
        <f>I300+I301+I302+I303</f>
        <v>215.13</v>
      </c>
      <c r="J304">
        <v>5</v>
      </c>
    </row>
    <row r="305" spans="1:19" x14ac:dyDescent="0.3">
      <c r="A305" s="102" t="s">
        <v>207</v>
      </c>
      <c r="B305" s="102"/>
      <c r="C305" s="102"/>
      <c r="D305" s="102"/>
      <c r="E305" s="102"/>
      <c r="F305" s="102"/>
      <c r="G305" s="102"/>
      <c r="H305" s="102"/>
      <c r="I305" s="102"/>
    </row>
    <row r="306" spans="1:19" x14ac:dyDescent="0.3">
      <c r="A306" s="97" t="s">
        <v>208</v>
      </c>
      <c r="B306" s="97"/>
      <c r="C306" s="97"/>
      <c r="D306" s="97"/>
      <c r="E306" s="97"/>
      <c r="F306" s="97"/>
      <c r="G306" s="97"/>
      <c r="H306" s="97"/>
      <c r="I306" s="97"/>
    </row>
    <row r="307" spans="1:19" x14ac:dyDescent="0.3">
      <c r="B307" s="2">
        <v>50</v>
      </c>
      <c r="C307" s="3" t="s">
        <v>209</v>
      </c>
      <c r="D307" s="5" t="s">
        <v>29</v>
      </c>
      <c r="G307" s="30">
        <v>11</v>
      </c>
      <c r="H307" s="38">
        <v>6771.43</v>
      </c>
      <c r="I307" s="29">
        <f>G307*H307</f>
        <v>74485.73000000001</v>
      </c>
      <c r="J307">
        <v>1</v>
      </c>
    </row>
    <row r="308" spans="1:19" x14ac:dyDescent="0.3">
      <c r="D308" s="15" t="str">
        <f>SUBSTITUTE("Sp.mat: 0.00%",".",IF(VALUE("1.2")=1.2,".",","),2)</f>
        <v>Sp.mat: 0.00%</v>
      </c>
      <c r="F308" s="15" t="str">
        <f>SUBSTITUTE("Sp.man: 0.00%",".",IF(VALUE("1.2")=1.2,".",","),2)</f>
        <v>Sp.man: 0.00%</v>
      </c>
      <c r="G308" s="35" t="str">
        <f>SUBSTITUTE("Sp.uti: 0.00%",".",IF(VALUE("1.2")=1.2,".",","),2)</f>
        <v>Sp.uti: 0.00%</v>
      </c>
      <c r="H308" s="38">
        <f>295.99/G307</f>
        <v>26.90818181818182</v>
      </c>
      <c r="I308" s="29">
        <f>G307*H308</f>
        <v>295.99</v>
      </c>
      <c r="J308">
        <v>2</v>
      </c>
    </row>
    <row r="309" spans="1:19" x14ac:dyDescent="0.3">
      <c r="A309" s="88" t="s">
        <v>210</v>
      </c>
      <c r="B309" s="98"/>
      <c r="C309" s="98"/>
      <c r="D309" s="98"/>
      <c r="E309" s="98"/>
      <c r="F309" s="98"/>
      <c r="G309" s="98"/>
      <c r="H309" s="38">
        <f>(1+IF(OR(ISERR(FIND(":",G308)),ISERR(FIND("%",G308))),0,MID(G308,FIND(":",G308)+2,FIND("%",G308)-FIND(":",G308)-2)/100))*0</f>
        <v>0</v>
      </c>
      <c r="I309" s="29">
        <f>G307*H309</f>
        <v>0</v>
      </c>
      <c r="J309">
        <v>3</v>
      </c>
      <c r="K309" s="4">
        <v>0</v>
      </c>
      <c r="L309" s="4">
        <v>0</v>
      </c>
      <c r="M309" s="4">
        <f>I309-K309-L309</f>
        <v>0</v>
      </c>
    </row>
    <row r="310" spans="1:19" x14ac:dyDescent="0.3">
      <c r="A310" s="98"/>
      <c r="B310" s="98"/>
      <c r="C310" s="98"/>
      <c r="D310" s="98"/>
      <c r="E310" s="98"/>
      <c r="F310" s="98"/>
      <c r="G310" s="98"/>
      <c r="H310" s="38">
        <f>0</f>
        <v>0</v>
      </c>
      <c r="I310" s="29">
        <f>G307*H310</f>
        <v>0</v>
      </c>
      <c r="J310">
        <v>4</v>
      </c>
      <c r="N310" s="4">
        <f>IF(ISERR(SEARCH("TRA* 82",C307)),IF(Q310+R310+S310=0,0,I310*(Q310/(Q310+R310+S310))),I310)</f>
        <v>0</v>
      </c>
      <c r="O310" s="4">
        <f>IF(ISERR(SEARCH("TRA* 82",C307)),IF(Q310+R310+S310=0,0,I310*(R310/(Q310+R310+S310))),0)</f>
        <v>0</v>
      </c>
      <c r="P310" s="4">
        <f>IF(ISERR(SEARCH("TRA* 82",C307)),I310-N310-O310,0)</f>
        <v>0</v>
      </c>
      <c r="Q310" s="4">
        <v>0</v>
      </c>
      <c r="R310" s="4">
        <v>0</v>
      </c>
      <c r="S310" s="4">
        <v>0</v>
      </c>
    </row>
    <row r="311" spans="1:19" x14ac:dyDescent="0.3">
      <c r="A311" s="100" t="s">
        <v>87</v>
      </c>
      <c r="B311" s="101"/>
      <c r="C311" s="101"/>
      <c r="D311" s="101"/>
      <c r="E311" s="101"/>
      <c r="F311" s="101"/>
      <c r="G311" s="101"/>
      <c r="H311" s="33">
        <f>H307+H308+H309+H310</f>
        <v>6798.3381818181824</v>
      </c>
      <c r="I311" s="37">
        <f>I307+I308+I309+I310</f>
        <v>74781.720000000016</v>
      </c>
      <c r="J311">
        <v>5</v>
      </c>
    </row>
    <row r="312" spans="1:19" x14ac:dyDescent="0.3">
      <c r="A312" s="99" t="s">
        <v>211</v>
      </c>
      <c r="B312" s="99"/>
      <c r="C312" s="99"/>
      <c r="D312" s="99"/>
      <c r="E312" s="99"/>
      <c r="F312" s="99"/>
      <c r="G312" s="99"/>
      <c r="H312" s="99"/>
      <c r="I312" s="99"/>
    </row>
    <row r="313" spans="1:19" x14ac:dyDescent="0.3">
      <c r="B313" s="2">
        <v>51</v>
      </c>
      <c r="C313" s="3" t="s">
        <v>166</v>
      </c>
      <c r="D313" s="5" t="s">
        <v>29</v>
      </c>
      <c r="G313" s="30">
        <v>11</v>
      </c>
      <c r="H313" s="38">
        <f xml:space="preserve"> 653.77/G313</f>
        <v>59.43363636363636</v>
      </c>
      <c r="I313" s="29">
        <f>G313*H313</f>
        <v>653.77</v>
      </c>
      <c r="J313">
        <v>1</v>
      </c>
    </row>
    <row r="314" spans="1:19" x14ac:dyDescent="0.3">
      <c r="D314" s="15" t="str">
        <f>SUBSTITUTE("Sp.mat: 0.00%",".",IF(VALUE("1.2")=1.2,".",","),2)</f>
        <v>Sp.mat: 0.00%</v>
      </c>
      <c r="F314" s="15" t="str">
        <f>SUBSTITUTE("Sp.man: 0.00%",".",IF(VALUE("1.2")=1.2,".",","),2)</f>
        <v>Sp.man: 0.00%</v>
      </c>
      <c r="G314" s="35" t="str">
        <f>SUBSTITUTE("Sp.uti: 0.00%",".",IF(VALUE("1.2")=1.2,".",","),2)</f>
        <v>Sp.uti: 0.00%</v>
      </c>
      <c r="H314" s="38">
        <f>285.42/G313</f>
        <v>25.947272727272729</v>
      </c>
      <c r="I314" s="29">
        <f>G313*H314</f>
        <v>285.42</v>
      </c>
      <c r="J314">
        <v>2</v>
      </c>
    </row>
    <row r="315" spans="1:19" x14ac:dyDescent="0.3">
      <c r="A315" s="88" t="s">
        <v>167</v>
      </c>
      <c r="B315" s="98"/>
      <c r="C315" s="98"/>
      <c r="D315" s="98"/>
      <c r="E315" s="98"/>
      <c r="F315" s="98"/>
      <c r="G315" s="98"/>
      <c r="H315" s="38">
        <f>(1+IF(OR(ISERR(FIND(":",G314)),ISERR(FIND("%",G314))),0,MID(G314,FIND(":",G314)+2,FIND("%",G314)-FIND(":",G314)-2)/100))*0</f>
        <v>0</v>
      </c>
      <c r="I315" s="29">
        <f>G313*H315</f>
        <v>0</v>
      </c>
      <c r="J315">
        <v>3</v>
      </c>
      <c r="K315" s="4">
        <v>0</v>
      </c>
      <c r="L315" s="4">
        <v>0</v>
      </c>
      <c r="M315" s="4">
        <f>I315-K315-L315</f>
        <v>0</v>
      </c>
    </row>
    <row r="316" spans="1:19" x14ac:dyDescent="0.3">
      <c r="A316" s="98"/>
      <c r="B316" s="98"/>
      <c r="C316" s="98"/>
      <c r="D316" s="98"/>
      <c r="E316" s="98"/>
      <c r="F316" s="98"/>
      <c r="G316" s="98"/>
      <c r="H316" s="38">
        <f>0</f>
        <v>0</v>
      </c>
      <c r="I316" s="29">
        <f>G313*H316</f>
        <v>0</v>
      </c>
      <c r="J316">
        <v>4</v>
      </c>
      <c r="N316" s="4">
        <f>IF(ISERR(SEARCH("TRA* 82",C313)),IF(Q316+R316+S316=0,0,I316*(Q316/(Q316+R316+S316))),I316)</f>
        <v>0</v>
      </c>
      <c r="O316" s="4">
        <f>IF(ISERR(SEARCH("TRA* 82",C313)),IF(Q316+R316+S316=0,0,I316*(R316/(Q316+R316+S316))),0)</f>
        <v>0</v>
      </c>
      <c r="P316" s="4">
        <f>IF(ISERR(SEARCH("TRA* 82",C313)),I316-N316-O316,0)</f>
        <v>0</v>
      </c>
      <c r="Q316" s="4">
        <v>0</v>
      </c>
      <c r="R316" s="4">
        <v>0</v>
      </c>
      <c r="S316" s="4">
        <v>0</v>
      </c>
    </row>
    <row r="317" spans="1:19" x14ac:dyDescent="0.3">
      <c r="A317" s="96" t="s">
        <v>87</v>
      </c>
      <c r="B317" s="97"/>
      <c r="C317" s="97"/>
      <c r="D317" s="97"/>
      <c r="E317" s="97"/>
      <c r="F317" s="97"/>
      <c r="G317" s="97"/>
      <c r="H317" s="36">
        <f>H313+H314+H315+H316</f>
        <v>85.380909090909086</v>
      </c>
      <c r="I317" s="74">
        <f>I313+I314+I315+I316</f>
        <v>939.19</v>
      </c>
      <c r="J317">
        <v>5</v>
      </c>
    </row>
    <row r="318" spans="1:19" x14ac:dyDescent="0.3">
      <c r="B318" s="2">
        <v>52</v>
      </c>
      <c r="C318" s="3" t="s">
        <v>171</v>
      </c>
      <c r="D318" s="5" t="s">
        <v>29</v>
      </c>
      <c r="G318" s="30">
        <v>22</v>
      </c>
      <c r="H318" s="38">
        <f>199.34/G318</f>
        <v>9.0609090909090906</v>
      </c>
      <c r="I318" s="29">
        <f>G318*H318</f>
        <v>199.34</v>
      </c>
      <c r="J318">
        <v>1</v>
      </c>
    </row>
    <row r="319" spans="1:19" x14ac:dyDescent="0.3">
      <c r="D319" s="15" t="str">
        <f>SUBSTITUTE("Sp.mat: 0.00%",".",IF(VALUE("1.2")=1.2,".",","),2)</f>
        <v>Sp.mat: 0.00%</v>
      </c>
      <c r="F319" s="15" t="str">
        <f>SUBSTITUTE("Sp.man: 0.00%",".",IF(VALUE("1.2")=1.2,".",","),2)</f>
        <v>Sp.man: 0.00%</v>
      </c>
      <c r="G319" s="35" t="str">
        <f>SUBSTITUTE("Sp.uti: 0.00%",".",IF(VALUE("1.2")=1.2,".",","),2)</f>
        <v>Sp.uti: 0.00%</v>
      </c>
      <c r="H319" s="38">
        <f>102.19/G318</f>
        <v>4.6449999999999996</v>
      </c>
      <c r="I319" s="29">
        <f>G318*H319</f>
        <v>102.19</v>
      </c>
      <c r="J319">
        <v>2</v>
      </c>
    </row>
    <row r="320" spans="1:19" x14ac:dyDescent="0.3">
      <c r="A320" s="88" t="s">
        <v>172</v>
      </c>
      <c r="B320" s="98"/>
      <c r="C320" s="98"/>
      <c r="D320" s="98"/>
      <c r="E320" s="98"/>
      <c r="F320" s="98"/>
      <c r="G320" s="98"/>
      <c r="H320" s="38">
        <f>(1+IF(OR(ISERR(FIND(":",G319)),ISERR(FIND("%",G319))),0,MID(G319,FIND(":",G319)+2,FIND("%",G319)-FIND(":",G319)-2)/100))*0</f>
        <v>0</v>
      </c>
      <c r="I320" s="29">
        <f>G318*H320</f>
        <v>0</v>
      </c>
      <c r="J320">
        <v>3</v>
      </c>
      <c r="K320" s="4">
        <v>0</v>
      </c>
      <c r="L320" s="4">
        <v>0</v>
      </c>
      <c r="M320" s="4">
        <f>I320-K320-L320</f>
        <v>0</v>
      </c>
    </row>
    <row r="321" spans="1:19" x14ac:dyDescent="0.3">
      <c r="A321" s="98"/>
      <c r="B321" s="98"/>
      <c r="C321" s="98"/>
      <c r="D321" s="98"/>
      <c r="E321" s="98"/>
      <c r="F321" s="98"/>
      <c r="G321" s="98"/>
      <c r="H321" s="38">
        <f>0</f>
        <v>0</v>
      </c>
      <c r="I321" s="29">
        <f>G318*H321</f>
        <v>0</v>
      </c>
      <c r="J321">
        <v>4</v>
      </c>
      <c r="N321" s="4">
        <f>IF(ISERR(SEARCH("TRA* 82",C318)),IF(Q321+R321+S321=0,0,I321*(Q321/(Q321+R321+S321))),I321)</f>
        <v>0</v>
      </c>
      <c r="O321" s="4">
        <f>IF(ISERR(SEARCH("TRA* 82",C318)),IF(Q321+R321+S321=0,0,I321*(R321/(Q321+R321+S321))),0)</f>
        <v>0</v>
      </c>
      <c r="P321" s="4">
        <f>IF(ISERR(SEARCH("TRA* 82",C318)),I321-N321-O321,0)</f>
        <v>0</v>
      </c>
      <c r="Q321" s="4">
        <v>0</v>
      </c>
      <c r="R321" s="4">
        <v>0</v>
      </c>
      <c r="S321" s="4">
        <v>0</v>
      </c>
    </row>
    <row r="322" spans="1:19" x14ac:dyDescent="0.3">
      <c r="A322" s="100" t="s">
        <v>87</v>
      </c>
      <c r="B322" s="101"/>
      <c r="C322" s="101"/>
      <c r="D322" s="101"/>
      <c r="E322" s="101"/>
      <c r="F322" s="101"/>
      <c r="G322" s="101"/>
      <c r="H322" s="33">
        <f>H318+H319+H320+H321</f>
        <v>13.70590909090909</v>
      </c>
      <c r="I322" s="37">
        <f>I318+I319+I320+I321</f>
        <v>301.52999999999997</v>
      </c>
      <c r="J322">
        <v>5</v>
      </c>
    </row>
    <row r="323" spans="1:19" x14ac:dyDescent="0.3">
      <c r="A323" s="99" t="s">
        <v>173</v>
      </c>
      <c r="B323" s="99"/>
      <c r="C323" s="99"/>
      <c r="D323" s="99"/>
      <c r="E323" s="99"/>
      <c r="F323" s="99"/>
      <c r="G323" s="99"/>
      <c r="H323" s="99"/>
      <c r="I323" s="99"/>
    </row>
    <row r="324" spans="1:19" x14ac:dyDescent="0.3">
      <c r="B324" s="2">
        <v>53</v>
      </c>
      <c r="C324" s="3" t="s">
        <v>174</v>
      </c>
      <c r="D324" s="5" t="s">
        <v>29</v>
      </c>
      <c r="G324" s="30">
        <v>22</v>
      </c>
      <c r="H324" s="38">
        <f>162.22/G324</f>
        <v>7.373636363636364</v>
      </c>
      <c r="I324" s="29">
        <f>G324*H324</f>
        <v>162.22</v>
      </c>
      <c r="J324">
        <v>1</v>
      </c>
    </row>
    <row r="325" spans="1:19" x14ac:dyDescent="0.3">
      <c r="D325" s="15" t="str">
        <f>SUBSTITUTE("Sp.mat: 0.00%",".",IF(VALUE("1.2")=1.2,".",","),2)</f>
        <v>Sp.mat: 0.00%</v>
      </c>
      <c r="F325" s="15" t="str">
        <f>SUBSTITUTE("Sp.man: 0.00%",".",IF(VALUE("1.2")=1.2,".",","),2)</f>
        <v>Sp.man: 0.00%</v>
      </c>
      <c r="G325" s="35" t="str">
        <f>SUBSTITUTE("Sp.uti: 0.00%",".",IF(VALUE("1.2")=1.2,".",","),2)</f>
        <v>Sp.uti: 0.00%</v>
      </c>
      <c r="H325" s="38">
        <f>56.38/G324</f>
        <v>2.562727272727273</v>
      </c>
      <c r="I325" s="29">
        <f>G324*H325</f>
        <v>56.38</v>
      </c>
      <c r="J325">
        <v>2</v>
      </c>
    </row>
    <row r="326" spans="1:19" x14ac:dyDescent="0.3">
      <c r="A326" s="88" t="s">
        <v>175</v>
      </c>
      <c r="B326" s="98"/>
      <c r="C326" s="98"/>
      <c r="D326" s="98"/>
      <c r="E326" s="98"/>
      <c r="F326" s="98"/>
      <c r="G326" s="98"/>
      <c r="H326" s="38">
        <f>(1+IF(OR(ISERR(FIND(":",G325)),ISERR(FIND("%",G325))),0,MID(G325,FIND(":",G325)+2,FIND("%",G325)-FIND(":",G325)-2)/100))*0</f>
        <v>0</v>
      </c>
      <c r="I326" s="29">
        <f>G324*H326</f>
        <v>0</v>
      </c>
      <c r="J326">
        <v>3</v>
      </c>
      <c r="K326" s="4">
        <v>0</v>
      </c>
      <c r="L326" s="4">
        <v>0</v>
      </c>
      <c r="M326" s="4">
        <f>I326-K326-L326</f>
        <v>0</v>
      </c>
    </row>
    <row r="327" spans="1:19" x14ac:dyDescent="0.3">
      <c r="A327" s="98"/>
      <c r="B327" s="98"/>
      <c r="C327" s="98"/>
      <c r="D327" s="98"/>
      <c r="E327" s="98"/>
      <c r="F327" s="98"/>
      <c r="G327" s="98"/>
      <c r="H327" s="38">
        <f>0</f>
        <v>0</v>
      </c>
      <c r="I327" s="29">
        <f>G324*H327</f>
        <v>0</v>
      </c>
      <c r="J327">
        <v>4</v>
      </c>
      <c r="N327" s="4">
        <f>IF(ISERR(SEARCH("TRA* 82",C324)),IF(Q327+R327+S327=0,0,I327*(Q327/(Q327+R327+S327))),I327)</f>
        <v>0</v>
      </c>
      <c r="O327" s="4">
        <f>IF(ISERR(SEARCH("TRA* 82",C324)),IF(Q327+R327+S327=0,0,I327*(R327/(Q327+R327+S327))),0)</f>
        <v>0</v>
      </c>
      <c r="P327" s="4">
        <f>IF(ISERR(SEARCH("TRA* 82",C324)),I327-N327-O327,0)</f>
        <v>0</v>
      </c>
      <c r="Q327" s="4">
        <v>0</v>
      </c>
      <c r="R327" s="4">
        <v>0</v>
      </c>
      <c r="S327" s="4">
        <v>0</v>
      </c>
    </row>
    <row r="328" spans="1:19" x14ac:dyDescent="0.3">
      <c r="A328" s="100" t="s">
        <v>87</v>
      </c>
      <c r="B328" s="101"/>
      <c r="C328" s="101"/>
      <c r="D328" s="101"/>
      <c r="E328" s="101"/>
      <c r="F328" s="101"/>
      <c r="G328" s="101"/>
      <c r="H328" s="33">
        <f>H324+H325+H326+H327</f>
        <v>9.9363636363636374</v>
      </c>
      <c r="I328" s="37">
        <f>I324+I325+I326+I327</f>
        <v>218.6</v>
      </c>
      <c r="J328">
        <v>5</v>
      </c>
    </row>
    <row r="329" spans="1:19" x14ac:dyDescent="0.3">
      <c r="A329" s="99" t="s">
        <v>212</v>
      </c>
      <c r="B329" s="99"/>
      <c r="C329" s="99"/>
      <c r="D329" s="99"/>
      <c r="E329" s="99"/>
      <c r="F329" s="99"/>
      <c r="G329" s="99"/>
      <c r="H329" s="99"/>
      <c r="I329" s="99"/>
    </row>
    <row r="330" spans="1:19" x14ac:dyDescent="0.3">
      <c r="B330" s="2">
        <v>54</v>
      </c>
      <c r="C330" s="3" t="s">
        <v>213</v>
      </c>
      <c r="D330" s="5" t="s">
        <v>29</v>
      </c>
      <c r="G330" s="30">
        <v>2</v>
      </c>
      <c r="H330" s="38">
        <f>1517.79/G330</f>
        <v>758.89499999999998</v>
      </c>
      <c r="I330" s="29">
        <f>G330*H330</f>
        <v>1517.79</v>
      </c>
      <c r="J330">
        <v>1</v>
      </c>
    </row>
    <row r="331" spans="1:19" x14ac:dyDescent="0.3">
      <c r="D331" s="15" t="str">
        <f>SUBSTITUTE("Sp.mat: 0.00%",".",IF(VALUE("1.2")=1.2,".",","),2)</f>
        <v>Sp.mat: 0.00%</v>
      </c>
      <c r="F331" s="15" t="str">
        <f>SUBSTITUTE("Sp.man: 0.00%",".",IF(VALUE("1.2")=1.2,".",","),2)</f>
        <v>Sp.man: 0.00%</v>
      </c>
      <c r="G331" s="35" t="str">
        <f>SUBSTITUTE("Sp.uti: 0.00%",".",IF(VALUE("1.2")=1.2,".",","),2)</f>
        <v>Sp.uti: 0.00%</v>
      </c>
      <c r="H331" s="38">
        <v>27.07</v>
      </c>
      <c r="I331" s="29">
        <f>G330*H331</f>
        <v>54.14</v>
      </c>
      <c r="J331">
        <v>2</v>
      </c>
    </row>
    <row r="332" spans="1:19" x14ac:dyDescent="0.3">
      <c r="A332" s="88" t="s">
        <v>214</v>
      </c>
      <c r="B332" s="98"/>
      <c r="C332" s="98"/>
      <c r="D332" s="98"/>
      <c r="E332" s="98"/>
      <c r="F332" s="98"/>
      <c r="G332" s="98"/>
      <c r="H332" s="38">
        <f>(1+IF(OR(ISERR(FIND(":",G331)),ISERR(FIND("%",G331))),0,MID(G331,FIND(":",G331)+2,FIND("%",G331)-FIND(":",G331)-2)/100))*0</f>
        <v>0</v>
      </c>
      <c r="I332" s="29">
        <f>G330*H332</f>
        <v>0</v>
      </c>
      <c r="J332">
        <v>3</v>
      </c>
      <c r="K332" s="4">
        <v>0</v>
      </c>
      <c r="L332" s="4">
        <v>0</v>
      </c>
      <c r="M332" s="4">
        <f>I332-K332-L332</f>
        <v>0</v>
      </c>
    </row>
    <row r="333" spans="1:19" x14ac:dyDescent="0.3">
      <c r="A333" s="98"/>
      <c r="B333" s="98"/>
      <c r="C333" s="98"/>
      <c r="D333" s="98"/>
      <c r="E333" s="98"/>
      <c r="F333" s="98"/>
      <c r="G333" s="98"/>
      <c r="H333" s="38">
        <f>0</f>
        <v>0</v>
      </c>
      <c r="I333" s="29">
        <f>G330*H333</f>
        <v>0</v>
      </c>
      <c r="J333">
        <v>4</v>
      </c>
      <c r="N333" s="4">
        <f>IF(ISERR(SEARCH("TRA* 82",C330)),IF(Q333+R333+S333=0,0,I333*(Q333/(Q333+R333+S333))),I333)</f>
        <v>0</v>
      </c>
      <c r="O333" s="4">
        <f>IF(ISERR(SEARCH("TRA* 82",C330)),IF(Q333+R333+S333=0,0,I333*(R333/(Q333+R333+S333))),0)</f>
        <v>0</v>
      </c>
      <c r="P333" s="4">
        <f>IF(ISERR(SEARCH("TRA* 82",C330)),I333-N333-O333,0)</f>
        <v>0</v>
      </c>
      <c r="Q333" s="4">
        <v>0</v>
      </c>
      <c r="R333" s="4">
        <v>0</v>
      </c>
      <c r="S333" s="4">
        <v>0</v>
      </c>
    </row>
    <row r="334" spans="1:19" x14ac:dyDescent="0.3">
      <c r="A334" s="100" t="s">
        <v>87</v>
      </c>
      <c r="B334" s="101"/>
      <c r="C334" s="101"/>
      <c r="D334" s="101"/>
      <c r="E334" s="101"/>
      <c r="F334" s="101"/>
      <c r="G334" s="101"/>
      <c r="H334" s="33">
        <f>H330+H331+H332+H333</f>
        <v>785.96500000000003</v>
      </c>
      <c r="I334" s="37">
        <f>I330+I331+I332+I333</f>
        <v>1571.93</v>
      </c>
      <c r="J334">
        <v>5</v>
      </c>
    </row>
    <row r="335" spans="1:19" x14ac:dyDescent="0.3">
      <c r="A335" s="99" t="s">
        <v>215</v>
      </c>
      <c r="B335" s="99"/>
      <c r="C335" s="99"/>
      <c r="D335" s="99"/>
      <c r="E335" s="99"/>
      <c r="F335" s="99"/>
      <c r="G335" s="99"/>
      <c r="H335" s="99"/>
      <c r="I335" s="99"/>
    </row>
    <row r="336" spans="1:19" x14ac:dyDescent="0.3">
      <c r="B336" s="2">
        <v>55</v>
      </c>
      <c r="C336" s="3" t="s">
        <v>216</v>
      </c>
      <c r="D336" s="5" t="s">
        <v>29</v>
      </c>
      <c r="G336" s="30">
        <v>2</v>
      </c>
      <c r="H336" s="38">
        <v>78.11</v>
      </c>
      <c r="I336" s="29">
        <f>G336*H336</f>
        <v>156.22</v>
      </c>
      <c r="J336">
        <v>1</v>
      </c>
    </row>
    <row r="337" spans="1:19" x14ac:dyDescent="0.3">
      <c r="D337" s="15" t="str">
        <f>SUBSTITUTE("Sp.mat: 0.00%",".",IF(VALUE("1.2")=1.2,".",","),2)</f>
        <v>Sp.mat: 0.00%</v>
      </c>
      <c r="F337" s="15" t="str">
        <f>SUBSTITUTE("Sp.man: 0.00%",".",IF(VALUE("1.2")=1.2,".",","),2)</f>
        <v>Sp.man: 0.00%</v>
      </c>
      <c r="G337" s="35" t="str">
        <f>SUBSTITUTE("Sp.uti: 0.00%",".",IF(VALUE("1.2")=1.2,".",","),2)</f>
        <v>Sp.uti: 0.00%</v>
      </c>
      <c r="H337" s="38">
        <v>8.01</v>
      </c>
      <c r="I337" s="29">
        <f>G336*H337</f>
        <v>16.02</v>
      </c>
      <c r="J337">
        <v>2</v>
      </c>
    </row>
    <row r="338" spans="1:19" x14ac:dyDescent="0.3">
      <c r="A338" s="88" t="s">
        <v>217</v>
      </c>
      <c r="B338" s="98"/>
      <c r="C338" s="98"/>
      <c r="D338" s="98"/>
      <c r="E338" s="98"/>
      <c r="F338" s="98"/>
      <c r="G338" s="98"/>
      <c r="H338" s="38">
        <f>(1+IF(OR(ISERR(FIND(":",G337)),ISERR(FIND("%",G337))),0,MID(G337,FIND(":",G337)+2,FIND("%",G337)-FIND(":",G337)-2)/100))*0</f>
        <v>0</v>
      </c>
      <c r="I338" s="29">
        <f>G336*H338</f>
        <v>0</v>
      </c>
      <c r="J338">
        <v>3</v>
      </c>
      <c r="K338" s="4">
        <v>0</v>
      </c>
      <c r="L338" s="4">
        <v>0</v>
      </c>
      <c r="M338" s="4">
        <f>I338-K338-L338</f>
        <v>0</v>
      </c>
    </row>
    <row r="339" spans="1:19" x14ac:dyDescent="0.3">
      <c r="A339" s="98"/>
      <c r="B339" s="98"/>
      <c r="C339" s="98"/>
      <c r="D339" s="98"/>
      <c r="E339" s="98"/>
      <c r="F339" s="98"/>
      <c r="G339" s="98"/>
      <c r="H339" s="38">
        <f>0</f>
        <v>0</v>
      </c>
      <c r="I339" s="29">
        <f>G336*H339</f>
        <v>0</v>
      </c>
      <c r="J339">
        <v>4</v>
      </c>
      <c r="N339" s="4">
        <f>IF(ISERR(SEARCH("TRA* 82",C336)),IF(Q339+R339+S339=0,0,I339*(Q339/(Q339+R339+S339))),I339)</f>
        <v>0</v>
      </c>
      <c r="O339" s="4">
        <f>IF(ISERR(SEARCH("TRA* 82",C336)),IF(Q339+R339+S339=0,0,I339*(R339/(Q339+R339+S339))),0)</f>
        <v>0</v>
      </c>
      <c r="P339" s="4">
        <f>IF(ISERR(SEARCH("TRA* 82",C336)),I339-N339-O339,0)</f>
        <v>0</v>
      </c>
      <c r="Q339" s="4">
        <v>0</v>
      </c>
      <c r="R339" s="4">
        <v>0</v>
      </c>
      <c r="S339" s="4">
        <v>0</v>
      </c>
    </row>
    <row r="340" spans="1:19" x14ac:dyDescent="0.3">
      <c r="A340" s="100" t="s">
        <v>87</v>
      </c>
      <c r="B340" s="101"/>
      <c r="C340" s="101"/>
      <c r="D340" s="101"/>
      <c r="E340" s="101"/>
      <c r="F340" s="101"/>
      <c r="G340" s="101"/>
      <c r="H340" s="33">
        <f>H336+H337+H338+H339</f>
        <v>86.12</v>
      </c>
      <c r="I340" s="37">
        <f>I336+I337+I338+I339</f>
        <v>172.24</v>
      </c>
      <c r="J340">
        <v>5</v>
      </c>
    </row>
    <row r="341" spans="1:19" x14ac:dyDescent="0.3">
      <c r="A341" s="99" t="s">
        <v>218</v>
      </c>
      <c r="B341" s="99"/>
      <c r="C341" s="99"/>
      <c r="D341" s="99"/>
      <c r="E341" s="99"/>
      <c r="F341" s="99"/>
      <c r="G341" s="99"/>
      <c r="H341" s="99"/>
      <c r="I341" s="99"/>
    </row>
    <row r="342" spans="1:19" x14ac:dyDescent="0.3">
      <c r="B342" s="2">
        <v>56</v>
      </c>
      <c r="C342" s="3" t="s">
        <v>169</v>
      </c>
      <c r="D342" s="5" t="s">
        <v>29</v>
      </c>
      <c r="G342" s="30">
        <v>2</v>
      </c>
      <c r="H342" s="38">
        <v>19.36</v>
      </c>
      <c r="I342" s="29">
        <f>G342*H342</f>
        <v>38.72</v>
      </c>
      <c r="J342">
        <v>1</v>
      </c>
    </row>
    <row r="343" spans="1:19" x14ac:dyDescent="0.3">
      <c r="D343" s="15" t="str">
        <f>SUBSTITUTE("Sp.mat: 0.00%",".",IF(VALUE("1.2")=1.2,".",","),2)</f>
        <v>Sp.mat: 0.00%</v>
      </c>
      <c r="F343" s="15" t="str">
        <f>SUBSTITUTE("Sp.man: 0.00%",".",IF(VALUE("1.2")=1.2,".",","),2)</f>
        <v>Sp.man: 0.00%</v>
      </c>
      <c r="G343" s="35" t="str">
        <f>SUBSTITUTE("Sp.uti: 0.00%",".",IF(VALUE("1.2")=1.2,".",","),2)</f>
        <v>Sp.uti: 0.00%</v>
      </c>
      <c r="H343" s="38">
        <f>25.31/G342</f>
        <v>12.654999999999999</v>
      </c>
      <c r="I343" s="29">
        <f>G342*H343</f>
        <v>25.31</v>
      </c>
      <c r="J343">
        <v>2</v>
      </c>
    </row>
    <row r="344" spans="1:19" x14ac:dyDescent="0.3">
      <c r="A344" s="88" t="s">
        <v>170</v>
      </c>
      <c r="B344" s="98"/>
      <c r="C344" s="98"/>
      <c r="D344" s="98"/>
      <c r="E344" s="98"/>
      <c r="F344" s="98"/>
      <c r="G344" s="98"/>
      <c r="H344" s="38">
        <f>(1+IF(OR(ISERR(FIND(":",G343)),ISERR(FIND("%",G343))),0,MID(G343,FIND(":",G343)+2,FIND("%",G343)-FIND(":",G343)-2)/100))*0</f>
        <v>0</v>
      </c>
      <c r="I344" s="29">
        <f>G342*H344</f>
        <v>0</v>
      </c>
      <c r="J344">
        <v>3</v>
      </c>
      <c r="K344" s="4">
        <v>0</v>
      </c>
      <c r="L344" s="4">
        <v>0</v>
      </c>
      <c r="M344" s="4">
        <f>I344-K344-L344</f>
        <v>0</v>
      </c>
    </row>
    <row r="345" spans="1:19" x14ac:dyDescent="0.3">
      <c r="A345" s="98"/>
      <c r="B345" s="98"/>
      <c r="C345" s="98"/>
      <c r="D345" s="98"/>
      <c r="E345" s="98"/>
      <c r="F345" s="98"/>
      <c r="G345" s="98"/>
      <c r="H345" s="38">
        <f>0</f>
        <v>0</v>
      </c>
      <c r="I345" s="29">
        <f>G342*H345</f>
        <v>0</v>
      </c>
      <c r="J345">
        <v>4</v>
      </c>
      <c r="N345" s="4">
        <f>IF(ISERR(SEARCH("TRA* 82",C342)),IF(Q345+R345+S345=0,0,I345*(Q345/(Q345+R345+S345))),I345)</f>
        <v>0</v>
      </c>
      <c r="O345" s="4">
        <f>IF(ISERR(SEARCH("TRA* 82",C342)),IF(Q345+R345+S345=0,0,I345*(R345/(Q345+R345+S345))),0)</f>
        <v>0</v>
      </c>
      <c r="P345" s="4">
        <f>IF(ISERR(SEARCH("TRA* 82",C342)),I345-N345-O345,0)</f>
        <v>0</v>
      </c>
      <c r="Q345" s="4">
        <v>0</v>
      </c>
      <c r="R345" s="4">
        <v>0</v>
      </c>
      <c r="S345" s="4">
        <v>0</v>
      </c>
    </row>
    <row r="346" spans="1:19" x14ac:dyDescent="0.3">
      <c r="A346" s="100" t="s">
        <v>87</v>
      </c>
      <c r="B346" s="101"/>
      <c r="C346" s="101"/>
      <c r="D346" s="101"/>
      <c r="E346" s="101"/>
      <c r="F346" s="101"/>
      <c r="G346" s="101"/>
      <c r="H346" s="33">
        <f>H342+H343+H344+H345</f>
        <v>32.015000000000001</v>
      </c>
      <c r="I346" s="37">
        <f>I342+I343+I344+I345</f>
        <v>64.03</v>
      </c>
      <c r="J346">
        <v>5</v>
      </c>
    </row>
    <row r="347" spans="1:19" x14ac:dyDescent="0.3">
      <c r="A347" s="99" t="s">
        <v>219</v>
      </c>
      <c r="B347" s="99"/>
      <c r="C347" s="99"/>
      <c r="D347" s="99"/>
      <c r="E347" s="99"/>
      <c r="F347" s="99"/>
      <c r="G347" s="99"/>
      <c r="H347" s="99"/>
      <c r="I347" s="99"/>
    </row>
    <row r="348" spans="1:19" x14ac:dyDescent="0.3">
      <c r="B348" s="2">
        <v>57</v>
      </c>
      <c r="C348" s="3" t="s">
        <v>171</v>
      </c>
      <c r="D348" s="5" t="s">
        <v>29</v>
      </c>
      <c r="G348" s="30">
        <v>4</v>
      </c>
      <c r="H348" s="38">
        <v>9.06</v>
      </c>
      <c r="I348" s="29">
        <f>G348*H348</f>
        <v>36.24</v>
      </c>
      <c r="J348">
        <v>1</v>
      </c>
    </row>
    <row r="349" spans="1:19" x14ac:dyDescent="0.3">
      <c r="D349" s="15" t="str">
        <f>SUBSTITUTE("Sp.mat: 0.00%",".",IF(VALUE("1.2")=1.2,".",","),2)</f>
        <v>Sp.mat: 0.00%</v>
      </c>
      <c r="F349" s="15" t="str">
        <f>SUBSTITUTE("Sp.man: 0.00%",".",IF(VALUE("1.2")=1.2,".",","),2)</f>
        <v>Sp.man: 0.00%</v>
      </c>
      <c r="G349" s="35" t="str">
        <f>SUBSTITUTE("Sp.uti: 0.00%",".",IF(VALUE("1.2")=1.2,".",","),2)</f>
        <v>Sp.uti: 0.00%</v>
      </c>
      <c r="H349" s="38">
        <f>18.58/G348</f>
        <v>4.6449999999999996</v>
      </c>
      <c r="I349" s="29">
        <f>G348*H349</f>
        <v>18.579999999999998</v>
      </c>
      <c r="J349">
        <v>2</v>
      </c>
    </row>
    <row r="350" spans="1:19" x14ac:dyDescent="0.3">
      <c r="A350" s="88" t="s">
        <v>172</v>
      </c>
      <c r="B350" s="98"/>
      <c r="C350" s="98"/>
      <c r="D350" s="98"/>
      <c r="E350" s="98"/>
      <c r="F350" s="98"/>
      <c r="G350" s="98"/>
      <c r="H350" s="38">
        <f>(1+IF(OR(ISERR(FIND(":",G349)),ISERR(FIND("%",G349))),0,MID(G349,FIND(":",G349)+2,FIND("%",G349)-FIND(":",G349)-2)/100))*0</f>
        <v>0</v>
      </c>
      <c r="I350" s="29">
        <f>G348*H350</f>
        <v>0</v>
      </c>
      <c r="J350">
        <v>3</v>
      </c>
      <c r="K350" s="4">
        <v>0</v>
      </c>
      <c r="L350" s="4">
        <v>0</v>
      </c>
      <c r="M350" s="4">
        <f>I350-K350-L350</f>
        <v>0</v>
      </c>
    </row>
    <row r="351" spans="1:19" x14ac:dyDescent="0.3">
      <c r="A351" s="98"/>
      <c r="B351" s="98"/>
      <c r="C351" s="98"/>
      <c r="D351" s="98"/>
      <c r="E351" s="98"/>
      <c r="F351" s="98"/>
      <c r="G351" s="98"/>
      <c r="H351" s="38">
        <f>0</f>
        <v>0</v>
      </c>
      <c r="I351" s="29">
        <f>G348*H351</f>
        <v>0</v>
      </c>
      <c r="J351">
        <v>4</v>
      </c>
      <c r="N351" s="4">
        <f>IF(ISERR(SEARCH("TRA* 82",C348)),IF(Q351+R351+S351=0,0,I351*(Q351/(Q351+R351+S351))),I351)</f>
        <v>0</v>
      </c>
      <c r="O351" s="4">
        <f>IF(ISERR(SEARCH("TRA* 82",C348)),IF(Q351+R351+S351=0,0,I351*(R351/(Q351+R351+S351))),0)</f>
        <v>0</v>
      </c>
      <c r="P351" s="4">
        <f>IF(ISERR(SEARCH("TRA* 82",C348)),I351-N351-O351,0)</f>
        <v>0</v>
      </c>
      <c r="Q351" s="4">
        <v>0</v>
      </c>
      <c r="R351" s="4">
        <v>0</v>
      </c>
      <c r="S351" s="4">
        <v>0</v>
      </c>
    </row>
    <row r="352" spans="1:19" x14ac:dyDescent="0.3">
      <c r="A352" s="100" t="s">
        <v>87</v>
      </c>
      <c r="B352" s="101"/>
      <c r="C352" s="101"/>
      <c r="D352" s="101"/>
      <c r="E352" s="101"/>
      <c r="F352" s="101"/>
      <c r="G352" s="101"/>
      <c r="H352" s="33">
        <f>H348+H349+H350+H351</f>
        <v>13.705</v>
      </c>
      <c r="I352" s="37">
        <f>I348+I349+I350+I351</f>
        <v>54.82</v>
      </c>
      <c r="J352">
        <v>5</v>
      </c>
    </row>
    <row r="353" spans="1:19" x14ac:dyDescent="0.3">
      <c r="A353" s="99" t="s">
        <v>220</v>
      </c>
      <c r="B353" s="99"/>
      <c r="C353" s="99"/>
      <c r="D353" s="99"/>
      <c r="E353" s="99"/>
      <c r="F353" s="99"/>
      <c r="G353" s="99"/>
      <c r="H353" s="99"/>
      <c r="I353" s="99"/>
    </row>
    <row r="354" spans="1:19" x14ac:dyDescent="0.3">
      <c r="B354" s="2">
        <v>58</v>
      </c>
      <c r="C354" s="3" t="s">
        <v>174</v>
      </c>
      <c r="D354" s="5" t="s">
        <v>29</v>
      </c>
      <c r="G354" s="30">
        <v>4</v>
      </c>
      <c r="H354" s="38">
        <f>29.49/G354</f>
        <v>7.3724999999999996</v>
      </c>
      <c r="I354" s="29">
        <f>G354*H354</f>
        <v>29.49</v>
      </c>
      <c r="J354">
        <v>1</v>
      </c>
    </row>
    <row r="355" spans="1:19" x14ac:dyDescent="0.3">
      <c r="D355" s="15" t="str">
        <f>SUBSTITUTE("Sp.mat: 0.00%",".",IF(VALUE("1.2")=1.2,".",","),2)</f>
        <v>Sp.mat: 0.00%</v>
      </c>
      <c r="F355" s="15" t="str">
        <f>SUBSTITUTE("Sp.man: 0.00%",".",IF(VALUE("1.2")=1.2,".",","),2)</f>
        <v>Sp.man: 0.00%</v>
      </c>
      <c r="G355" s="35" t="str">
        <f>SUBSTITUTE("Sp.uti: 0.00%",".",IF(VALUE("1.2")=1.2,".",","),2)</f>
        <v>Sp.uti: 0.00%</v>
      </c>
      <c r="H355" s="38">
        <f>10.25/G354</f>
        <v>2.5625</v>
      </c>
      <c r="I355" s="29">
        <f>G354*H355</f>
        <v>10.25</v>
      </c>
      <c r="J355">
        <v>2</v>
      </c>
    </row>
    <row r="356" spans="1:19" x14ac:dyDescent="0.3">
      <c r="A356" s="88" t="s">
        <v>175</v>
      </c>
      <c r="B356" s="98"/>
      <c r="C356" s="98"/>
      <c r="D356" s="98"/>
      <c r="E356" s="98"/>
      <c r="F356" s="98"/>
      <c r="G356" s="98"/>
      <c r="H356" s="38">
        <f>(1+IF(OR(ISERR(FIND(":",G355)),ISERR(FIND("%",G355))),0,MID(G355,FIND(":",G355)+2,FIND("%",G355)-FIND(":",G355)-2)/100))*0</f>
        <v>0</v>
      </c>
      <c r="I356" s="29">
        <f>G354*H356</f>
        <v>0</v>
      </c>
      <c r="J356">
        <v>3</v>
      </c>
      <c r="K356" s="4">
        <v>0</v>
      </c>
      <c r="L356" s="4">
        <v>0</v>
      </c>
      <c r="M356" s="4">
        <f>I356-K356-L356</f>
        <v>0</v>
      </c>
    </row>
    <row r="357" spans="1:19" x14ac:dyDescent="0.3">
      <c r="A357" s="98"/>
      <c r="B357" s="98"/>
      <c r="C357" s="98"/>
      <c r="D357" s="98"/>
      <c r="E357" s="98"/>
      <c r="F357" s="98"/>
      <c r="G357" s="98"/>
      <c r="H357" s="38">
        <f>0</f>
        <v>0</v>
      </c>
      <c r="I357" s="29">
        <f>G354*H357</f>
        <v>0</v>
      </c>
      <c r="J357">
        <v>4</v>
      </c>
      <c r="N357" s="4">
        <f>IF(ISERR(SEARCH("TRA* 82",C354)),IF(Q357+R357+S357=0,0,I357*(Q357/(Q357+R357+S357))),I357)</f>
        <v>0</v>
      </c>
      <c r="O357" s="4">
        <f>IF(ISERR(SEARCH("TRA* 82",C354)),IF(Q357+R357+S357=0,0,I357*(R357/(Q357+R357+S357))),0)</f>
        <v>0</v>
      </c>
      <c r="P357" s="4">
        <f>IF(ISERR(SEARCH("TRA* 82",C354)),I357-N357-O357,0)</f>
        <v>0</v>
      </c>
      <c r="Q357" s="4">
        <v>0</v>
      </c>
      <c r="R357" s="4">
        <v>0</v>
      </c>
      <c r="S357" s="4">
        <v>0</v>
      </c>
    </row>
    <row r="358" spans="1:19" x14ac:dyDescent="0.3">
      <c r="A358" s="100" t="s">
        <v>87</v>
      </c>
      <c r="B358" s="101"/>
      <c r="C358" s="101"/>
      <c r="D358" s="101"/>
      <c r="E358" s="101"/>
      <c r="F358" s="101"/>
      <c r="G358" s="101"/>
      <c r="H358" s="33">
        <f>H354+H355+H356+H357</f>
        <v>9.9349999999999987</v>
      </c>
      <c r="I358" s="37">
        <f>I354+I355+I356+I357</f>
        <v>39.739999999999995</v>
      </c>
      <c r="J358">
        <v>5</v>
      </c>
    </row>
    <row r="359" spans="1:19" x14ac:dyDescent="0.3">
      <c r="A359" s="99" t="s">
        <v>221</v>
      </c>
      <c r="B359" s="99"/>
      <c r="C359" s="99"/>
      <c r="D359" s="99"/>
      <c r="E359" s="99"/>
      <c r="F359" s="99"/>
      <c r="G359" s="99"/>
      <c r="H359" s="99"/>
      <c r="I359" s="99"/>
    </row>
    <row r="360" spans="1:19" x14ac:dyDescent="0.3">
      <c r="B360" s="2">
        <v>59</v>
      </c>
      <c r="C360" s="3" t="s">
        <v>222</v>
      </c>
      <c r="D360" s="5" t="s">
        <v>25</v>
      </c>
      <c r="G360" s="30">
        <v>96</v>
      </c>
      <c r="H360" s="38">
        <f>214.61/G360</f>
        <v>2.2355208333333336</v>
      </c>
      <c r="I360" s="29">
        <f>G360*H360</f>
        <v>214.61</v>
      </c>
      <c r="J360">
        <v>1</v>
      </c>
    </row>
    <row r="361" spans="1:19" x14ac:dyDescent="0.3">
      <c r="D361" s="15" t="str">
        <f>SUBSTITUTE("Sp.mat: 0.00%",".",IF(VALUE("1.2")=1.2,".",","),2)</f>
        <v>Sp.mat: 0.00%</v>
      </c>
      <c r="F361" s="15" t="str">
        <f>SUBSTITUTE("Sp.man: 0.00%",".",IF(VALUE("1.2")=1.2,".",","),2)</f>
        <v>Sp.man: 0.00%</v>
      </c>
      <c r="G361" s="35" t="str">
        <f>SUBSTITUTE("Sp.uti: 0.00%",".",IF(VALUE("1.2")=1.2,".",","),2)</f>
        <v>Sp.uti: 0.00%</v>
      </c>
      <c r="H361" s="38">
        <f>922.58/G360</f>
        <v>9.6102083333333344</v>
      </c>
      <c r="I361" s="29">
        <f>G360*H361</f>
        <v>922.58000000000015</v>
      </c>
      <c r="J361">
        <v>2</v>
      </c>
    </row>
    <row r="362" spans="1:19" x14ac:dyDescent="0.3">
      <c r="A362" s="88" t="s">
        <v>223</v>
      </c>
      <c r="B362" s="98"/>
      <c r="C362" s="98"/>
      <c r="D362" s="98"/>
      <c r="E362" s="98"/>
      <c r="F362" s="98"/>
      <c r="G362" s="98"/>
      <c r="H362" s="38">
        <f>6.15/G360</f>
        <v>6.4062500000000008E-2</v>
      </c>
      <c r="I362" s="29">
        <f>G360*H362</f>
        <v>6.15</v>
      </c>
      <c r="J362">
        <v>3</v>
      </c>
      <c r="K362" s="4">
        <v>0</v>
      </c>
      <c r="L362" s="4">
        <v>11.52</v>
      </c>
      <c r="M362" s="4">
        <f>I362-K362-L362</f>
        <v>-5.3699999999999992</v>
      </c>
    </row>
    <row r="363" spans="1:19" x14ac:dyDescent="0.3">
      <c r="A363" s="98"/>
      <c r="B363" s="98"/>
      <c r="C363" s="98"/>
      <c r="D363" s="98"/>
      <c r="E363" s="98"/>
      <c r="F363" s="98"/>
      <c r="G363" s="98"/>
      <c r="H363" s="38">
        <f>0</f>
        <v>0</v>
      </c>
      <c r="I363" s="29">
        <f>G360*H363</f>
        <v>0</v>
      </c>
      <c r="J363">
        <v>4</v>
      </c>
      <c r="N363" s="4">
        <f>IF(ISERR(SEARCH("TRA* 82",C360)),IF(Q363+R363+S363=0,0,I363*(Q363/(Q363+R363+S363))),I363)</f>
        <v>0</v>
      </c>
      <c r="O363" s="4">
        <f>IF(ISERR(SEARCH("TRA* 82",C360)),IF(Q363+R363+S363=0,0,I363*(R363/(Q363+R363+S363))),0)</f>
        <v>0</v>
      </c>
      <c r="P363" s="4">
        <f>IF(ISERR(SEARCH("TRA* 82",C360)),I363-N363-O363,0)</f>
        <v>0</v>
      </c>
      <c r="Q363" s="4">
        <v>0</v>
      </c>
      <c r="R363" s="4">
        <v>0</v>
      </c>
      <c r="S363" s="4">
        <v>0</v>
      </c>
    </row>
    <row r="364" spans="1:19" x14ac:dyDescent="0.3">
      <c r="A364" s="96" t="s">
        <v>27</v>
      </c>
      <c r="B364" s="97"/>
      <c r="C364" s="97"/>
      <c r="D364" s="97"/>
      <c r="E364" s="97"/>
      <c r="F364" s="97"/>
      <c r="G364" s="97"/>
      <c r="H364" s="36">
        <f>H360+H361+H362+H363</f>
        <v>11.909791666666669</v>
      </c>
      <c r="I364" s="74">
        <f>I360+I361+I362+I363</f>
        <v>1143.3400000000001</v>
      </c>
      <c r="J364">
        <v>5</v>
      </c>
    </row>
    <row r="365" spans="1:19" x14ac:dyDescent="0.3">
      <c r="B365" s="2">
        <v>60</v>
      </c>
      <c r="C365" s="3" t="s">
        <v>224</v>
      </c>
      <c r="D365" s="5" t="s">
        <v>25</v>
      </c>
      <c r="G365" s="30">
        <v>38</v>
      </c>
      <c r="H365" s="38">
        <f>167.47/G365</f>
        <v>4.4071052631578951</v>
      </c>
      <c r="I365" s="29">
        <f>G365*H365</f>
        <v>167.47000000000003</v>
      </c>
      <c r="J365">
        <v>1</v>
      </c>
    </row>
    <row r="366" spans="1:19" x14ac:dyDescent="0.3">
      <c r="D366" s="15" t="str">
        <f>SUBSTITUTE("Sp.mat: 0.00%",".",IF(VALUE("1.2")=1.2,".",","),2)</f>
        <v>Sp.mat: 0.00%</v>
      </c>
      <c r="F366" s="15" t="str">
        <f>SUBSTITUTE("Sp.man: 0.00%",".",IF(VALUE("1.2")=1.2,".",","),2)</f>
        <v>Sp.man: 0.00%</v>
      </c>
      <c r="G366" s="35" t="str">
        <f>SUBSTITUTE("Sp.uti: 0.00%",".",IF(VALUE("1.2")=1.2,".",","),2)</f>
        <v>Sp.uti: 0.00%</v>
      </c>
      <c r="H366" s="38">
        <f>383.45/G365</f>
        <v>10.090789473684211</v>
      </c>
      <c r="I366" s="29">
        <f>G365*H366</f>
        <v>383.45000000000005</v>
      </c>
      <c r="J366">
        <v>2</v>
      </c>
    </row>
    <row r="367" spans="1:19" x14ac:dyDescent="0.3">
      <c r="A367" s="88" t="s">
        <v>225</v>
      </c>
      <c r="B367" s="98"/>
      <c r="C367" s="98"/>
      <c r="D367" s="98"/>
      <c r="E367" s="98"/>
      <c r="F367" s="98"/>
      <c r="G367" s="98"/>
      <c r="H367" s="38">
        <f>25.5/G365</f>
        <v>0.67105263157894735</v>
      </c>
      <c r="I367" s="29">
        <f>G365*H367</f>
        <v>25.5</v>
      </c>
      <c r="J367">
        <v>3</v>
      </c>
      <c r="K367" s="4">
        <v>0</v>
      </c>
      <c r="L367" s="4">
        <v>47.765999999999998</v>
      </c>
      <c r="M367" s="4">
        <f>I367-K367-L367</f>
        <v>-22.265999999999998</v>
      </c>
    </row>
    <row r="368" spans="1:19" x14ac:dyDescent="0.3">
      <c r="A368" s="98"/>
      <c r="B368" s="98"/>
      <c r="C368" s="98"/>
      <c r="D368" s="98"/>
      <c r="E368" s="98"/>
      <c r="F368" s="98"/>
      <c r="G368" s="98"/>
      <c r="H368" s="38">
        <f>0</f>
        <v>0</v>
      </c>
      <c r="I368" s="29">
        <f>G365*H368</f>
        <v>0</v>
      </c>
      <c r="J368">
        <v>4</v>
      </c>
      <c r="N368" s="4">
        <f>IF(ISERR(SEARCH("TRA* 82",C365)),IF(Q368+R368+S368=0,0,I368*(Q368/(Q368+R368+S368))),I368)</f>
        <v>0</v>
      </c>
      <c r="O368" s="4">
        <f>IF(ISERR(SEARCH("TRA* 82",C365)),IF(Q368+R368+S368=0,0,I368*(R368/(Q368+R368+S368))),0)</f>
        <v>0</v>
      </c>
      <c r="P368" s="4">
        <f>IF(ISERR(SEARCH("TRA* 82",C365)),I368-N368-O368,0)</f>
        <v>0</v>
      </c>
      <c r="Q368" s="4">
        <v>0</v>
      </c>
      <c r="R368" s="4">
        <v>0</v>
      </c>
      <c r="S368" s="4">
        <v>0</v>
      </c>
    </row>
    <row r="369" spans="1:19" x14ac:dyDescent="0.3">
      <c r="A369" s="96" t="s">
        <v>27</v>
      </c>
      <c r="B369" s="97"/>
      <c r="C369" s="97"/>
      <c r="D369" s="97"/>
      <c r="E369" s="97"/>
      <c r="F369" s="97"/>
      <c r="G369" s="97"/>
      <c r="H369" s="36">
        <f>H365+H366+H367+H368</f>
        <v>15.168947368421053</v>
      </c>
      <c r="I369" s="74">
        <f>I365+I366+I367+I368</f>
        <v>576.42000000000007</v>
      </c>
      <c r="J369">
        <v>5</v>
      </c>
    </row>
    <row r="370" spans="1:19" x14ac:dyDescent="0.3">
      <c r="B370" s="2">
        <v>61</v>
      </c>
      <c r="C370" s="3" t="s">
        <v>226</v>
      </c>
      <c r="D370" s="5" t="s">
        <v>25</v>
      </c>
      <c r="G370" s="30">
        <v>145</v>
      </c>
      <c r="H370" s="38">
        <f>461.26/G370</f>
        <v>3.181103448275862</v>
      </c>
      <c r="I370" s="29">
        <f>G370*H370</f>
        <v>461.26</v>
      </c>
      <c r="J370">
        <v>1</v>
      </c>
    </row>
    <row r="371" spans="1:19" x14ac:dyDescent="0.3">
      <c r="D371" s="15" t="str">
        <f>SUBSTITUTE("Sp.mat: 0.00%",".",IF(VALUE("1.2")=1.2,".",","),2)</f>
        <v>Sp.mat: 0.00%</v>
      </c>
      <c r="F371" s="15" t="str">
        <f>SUBSTITUTE("Sp.man: 0.00%",".",IF(VALUE("1.2")=1.2,".",","),2)</f>
        <v>Sp.man: 0.00%</v>
      </c>
      <c r="G371" s="35" t="str">
        <f>SUBSTITUTE("Sp.uti: 0.00%",".",IF(VALUE("1.2")=1.2,".",","),2)</f>
        <v>Sp.uti: 0.00%</v>
      </c>
      <c r="H371" s="38">
        <f>812.86/G370</f>
        <v>5.6059310344827589</v>
      </c>
      <c r="I371" s="29">
        <f>G370*H371</f>
        <v>812.86</v>
      </c>
      <c r="J371">
        <v>2</v>
      </c>
    </row>
    <row r="372" spans="1:19" x14ac:dyDescent="0.3">
      <c r="A372" s="88" t="s">
        <v>227</v>
      </c>
      <c r="B372" s="98"/>
      <c r="C372" s="98"/>
      <c r="D372" s="98"/>
      <c r="E372" s="98"/>
      <c r="F372" s="98"/>
      <c r="G372" s="98"/>
      <c r="H372" s="38">
        <f>54.12/G370</f>
        <v>0.37324137931034479</v>
      </c>
      <c r="I372" s="29">
        <f>G370*H372</f>
        <v>54.12</v>
      </c>
      <c r="J372">
        <v>3</v>
      </c>
      <c r="K372" s="4">
        <v>0</v>
      </c>
      <c r="L372" s="4">
        <v>101.355</v>
      </c>
      <c r="M372" s="4">
        <f>I372-K372-L372</f>
        <v>-47.235000000000007</v>
      </c>
    </row>
    <row r="373" spans="1:19" x14ac:dyDescent="0.3">
      <c r="A373" s="98"/>
      <c r="B373" s="98"/>
      <c r="C373" s="98"/>
      <c r="D373" s="98"/>
      <c r="E373" s="98"/>
      <c r="F373" s="98"/>
      <c r="G373" s="98"/>
      <c r="H373" s="38">
        <f>0</f>
        <v>0</v>
      </c>
      <c r="I373" s="29">
        <f>G370*H373</f>
        <v>0</v>
      </c>
      <c r="J373">
        <v>4</v>
      </c>
      <c r="N373" s="4">
        <f>IF(ISERR(SEARCH("TRA* 82",C370)),IF(Q373+R373+S373=0,0,I373*(Q373/(Q373+R373+S373))),I373)</f>
        <v>0</v>
      </c>
      <c r="O373" s="4">
        <f>IF(ISERR(SEARCH("TRA* 82",C370)),IF(Q373+R373+S373=0,0,I373*(R373/(Q373+R373+S373))),0)</f>
        <v>0</v>
      </c>
      <c r="P373" s="4">
        <f>IF(ISERR(SEARCH("TRA* 82",C370)),I373-N373-O373,0)</f>
        <v>0</v>
      </c>
      <c r="Q373" s="4">
        <v>0</v>
      </c>
      <c r="R373" s="4">
        <v>0</v>
      </c>
      <c r="S373" s="4">
        <v>0</v>
      </c>
    </row>
    <row r="374" spans="1:19" x14ac:dyDescent="0.3">
      <c r="A374" s="96" t="s">
        <v>27</v>
      </c>
      <c r="B374" s="97"/>
      <c r="C374" s="97"/>
      <c r="D374" s="97"/>
      <c r="E374" s="97"/>
      <c r="F374" s="97"/>
      <c r="G374" s="97"/>
      <c r="H374" s="36">
        <f>H370+H371+H372+H373</f>
        <v>9.1602758620689659</v>
      </c>
      <c r="I374" s="74">
        <f>I370+I371+I372+I373</f>
        <v>1328.2399999999998</v>
      </c>
      <c r="J374">
        <v>5</v>
      </c>
    </row>
    <row r="375" spans="1:19" x14ac:dyDescent="0.3">
      <c r="B375" s="2">
        <v>62</v>
      </c>
      <c r="C375" s="3" t="s">
        <v>228</v>
      </c>
      <c r="D375" s="5" t="s">
        <v>25</v>
      </c>
      <c r="G375" s="30">
        <v>123</v>
      </c>
      <c r="H375" s="38">
        <f>637.62/G375</f>
        <v>5.18390243902439</v>
      </c>
      <c r="I375" s="29">
        <f>G375*H375</f>
        <v>637.62</v>
      </c>
      <c r="J375">
        <v>1</v>
      </c>
    </row>
    <row r="376" spans="1:19" x14ac:dyDescent="0.3">
      <c r="D376" s="15" t="str">
        <f>SUBSTITUTE("Sp.mat: 0.00%",".",IF(VALUE("1.2")=1.2,".",","),2)</f>
        <v>Sp.mat: 0.00%</v>
      </c>
      <c r="F376" s="15" t="str">
        <f>SUBSTITUTE("Sp.man: 0.00%",".",IF(VALUE("1.2")=1.2,".",","),2)</f>
        <v>Sp.man: 0.00%</v>
      </c>
      <c r="G376" s="35" t="str">
        <f>SUBSTITUTE("Sp.uti: 0.00%",".",IF(VALUE("1.2")=1.2,".",","),2)</f>
        <v>Sp.uti: 0.00%</v>
      </c>
      <c r="H376" s="38">
        <f>807.74/G375</f>
        <v>6.5669918699186995</v>
      </c>
      <c r="I376" s="29">
        <f>G375*H376</f>
        <v>807.74</v>
      </c>
      <c r="J376">
        <v>2</v>
      </c>
    </row>
    <row r="377" spans="1:19" x14ac:dyDescent="0.3">
      <c r="A377" s="88" t="s">
        <v>229</v>
      </c>
      <c r="B377" s="98"/>
      <c r="C377" s="98"/>
      <c r="D377" s="98"/>
      <c r="E377" s="98"/>
      <c r="F377" s="98"/>
      <c r="G377" s="98"/>
      <c r="H377" s="38">
        <f>53.59/G375</f>
        <v>0.43569105691056914</v>
      </c>
      <c r="I377" s="29">
        <f>G375*H377</f>
        <v>53.59</v>
      </c>
      <c r="J377">
        <v>3</v>
      </c>
      <c r="K377" s="4">
        <v>0</v>
      </c>
      <c r="L377" s="4">
        <v>100.36799999999999</v>
      </c>
      <c r="M377" s="4">
        <f>I377-K377-L377</f>
        <v>-46.777999999999992</v>
      </c>
    </row>
    <row r="378" spans="1:19" x14ac:dyDescent="0.3">
      <c r="A378" s="98"/>
      <c r="B378" s="98"/>
      <c r="C378" s="98"/>
      <c r="D378" s="98"/>
      <c r="E378" s="98"/>
      <c r="F378" s="98"/>
      <c r="G378" s="98"/>
      <c r="H378" s="38">
        <f>0</f>
        <v>0</v>
      </c>
      <c r="I378" s="29">
        <f>G375*H378</f>
        <v>0</v>
      </c>
      <c r="J378">
        <v>4</v>
      </c>
      <c r="N378" s="4">
        <f>IF(ISERR(SEARCH("TRA* 82",C375)),IF(Q378+R378+S378=0,0,I378*(Q378/(Q378+R378+S378))),I378)</f>
        <v>0</v>
      </c>
      <c r="O378" s="4">
        <f>IF(ISERR(SEARCH("TRA* 82",C375)),IF(Q378+R378+S378=0,0,I378*(R378/(Q378+R378+S378))),0)</f>
        <v>0</v>
      </c>
      <c r="P378" s="4">
        <f>IF(ISERR(SEARCH("TRA* 82",C375)),I378-N378-O378,0)</f>
        <v>0</v>
      </c>
      <c r="Q378" s="4">
        <v>0</v>
      </c>
      <c r="R378" s="4">
        <v>0</v>
      </c>
      <c r="S378" s="4">
        <v>0</v>
      </c>
    </row>
    <row r="379" spans="1:19" x14ac:dyDescent="0.3">
      <c r="A379" s="96" t="s">
        <v>27</v>
      </c>
      <c r="B379" s="97"/>
      <c r="C379" s="97"/>
      <c r="D379" s="97"/>
      <c r="E379" s="97"/>
      <c r="F379" s="97"/>
      <c r="G379" s="97"/>
      <c r="H379" s="36">
        <f>H375+H376+H377+H378</f>
        <v>12.186585365853658</v>
      </c>
      <c r="I379" s="74">
        <f>I375+I376+I377+I378</f>
        <v>1498.95</v>
      </c>
      <c r="J379">
        <v>5</v>
      </c>
    </row>
    <row r="380" spans="1:19" x14ac:dyDescent="0.3">
      <c r="B380" s="2">
        <v>63</v>
      </c>
      <c r="C380" s="3" t="s">
        <v>230</v>
      </c>
      <c r="D380" s="5" t="s">
        <v>25</v>
      </c>
      <c r="G380" s="30">
        <v>56</v>
      </c>
      <c r="H380" s="38">
        <f>421.02/G380</f>
        <v>7.5182142857142855</v>
      </c>
      <c r="I380" s="29">
        <f>G380*H380</f>
        <v>421.02</v>
      </c>
      <c r="J380">
        <v>1</v>
      </c>
    </row>
    <row r="381" spans="1:19" x14ac:dyDescent="0.3">
      <c r="D381" s="15" t="str">
        <f>SUBSTITUTE("Sp.mat: 0.00%",".",IF(VALUE("1.2")=1.2,".",","),2)</f>
        <v>Sp.mat: 0.00%</v>
      </c>
      <c r="F381" s="15" t="str">
        <f>SUBSTITUTE("Sp.man: 0.00%",".",IF(VALUE("1.2")=1.2,".",","),2)</f>
        <v>Sp.man: 0.00%</v>
      </c>
      <c r="G381" s="35" t="str">
        <f>SUBSTITUTE("Sp.uti: 0.00%",".",IF(VALUE("1.2")=1.2,".",","),2)</f>
        <v>Sp.uti: 0.00%</v>
      </c>
      <c r="H381" s="38">
        <f>385.69/G380</f>
        <v>6.8873214285714282</v>
      </c>
      <c r="I381" s="29">
        <f>G380*H381</f>
        <v>385.69</v>
      </c>
      <c r="J381">
        <v>2</v>
      </c>
    </row>
    <row r="382" spans="1:19" x14ac:dyDescent="0.3">
      <c r="A382" s="88" t="s">
        <v>231</v>
      </c>
      <c r="B382" s="98"/>
      <c r="C382" s="98"/>
      <c r="D382" s="98"/>
      <c r="E382" s="98"/>
      <c r="F382" s="98"/>
      <c r="G382" s="98"/>
      <c r="H382" s="38">
        <f>25.65/G380</f>
        <v>0.45803571428571427</v>
      </c>
      <c r="I382" s="29">
        <f>G380*H382</f>
        <v>25.65</v>
      </c>
      <c r="J382">
        <v>3</v>
      </c>
      <c r="K382" s="4">
        <v>0</v>
      </c>
      <c r="L382" s="4">
        <v>48.048000000000002</v>
      </c>
      <c r="M382" s="4">
        <f>I382-K382-L382</f>
        <v>-22.398000000000003</v>
      </c>
    </row>
    <row r="383" spans="1:19" x14ac:dyDescent="0.3">
      <c r="A383" s="98"/>
      <c r="B383" s="98"/>
      <c r="C383" s="98"/>
      <c r="D383" s="98"/>
      <c r="E383" s="98"/>
      <c r="F383" s="98"/>
      <c r="G383" s="98"/>
      <c r="H383" s="38">
        <f>0</f>
        <v>0</v>
      </c>
      <c r="I383" s="29">
        <f>G380*H383</f>
        <v>0</v>
      </c>
      <c r="J383">
        <v>4</v>
      </c>
      <c r="N383" s="4">
        <f>IF(ISERR(SEARCH("TRA* 82",C380)),IF(Q383+R383+S383=0,0,I383*(Q383/(Q383+R383+S383))),I383)</f>
        <v>0</v>
      </c>
      <c r="O383" s="4">
        <f>IF(ISERR(SEARCH("TRA* 82",C380)),IF(Q383+R383+S383=0,0,I383*(R383/(Q383+R383+S383))),0)</f>
        <v>0</v>
      </c>
      <c r="P383" s="4">
        <f>IF(ISERR(SEARCH("TRA* 82",C380)),I383-N383-O383,0)</f>
        <v>0</v>
      </c>
      <c r="Q383" s="4">
        <v>0</v>
      </c>
      <c r="R383" s="4">
        <v>0</v>
      </c>
      <c r="S383" s="4">
        <v>0</v>
      </c>
    </row>
    <row r="384" spans="1:19" x14ac:dyDescent="0.3">
      <c r="A384" s="96" t="s">
        <v>27</v>
      </c>
      <c r="B384" s="97"/>
      <c r="C384" s="97"/>
      <c r="D384" s="97"/>
      <c r="E384" s="97"/>
      <c r="F384" s="97"/>
      <c r="G384" s="97"/>
      <c r="H384" s="36">
        <f>H380+H381+H382+H383</f>
        <v>14.863571428571428</v>
      </c>
      <c r="I384" s="74">
        <f>I380+I381+I382+I383</f>
        <v>832.36</v>
      </c>
      <c r="J384">
        <v>5</v>
      </c>
    </row>
    <row r="385" spans="1:19" x14ac:dyDescent="0.3">
      <c r="B385" s="2">
        <v>64</v>
      </c>
      <c r="C385" s="3" t="s">
        <v>232</v>
      </c>
      <c r="D385" s="5" t="s">
        <v>25</v>
      </c>
      <c r="G385" s="30">
        <v>72</v>
      </c>
      <c r="H385" s="38">
        <f>885.85/G385</f>
        <v>12.303472222222222</v>
      </c>
      <c r="I385" s="29">
        <f>G385*H385</f>
        <v>885.85</v>
      </c>
      <c r="J385">
        <v>1</v>
      </c>
    </row>
    <row r="386" spans="1:19" x14ac:dyDescent="0.3">
      <c r="D386" s="15" t="str">
        <f>SUBSTITUTE("Sp.mat: 0.00%",".",IF(VALUE("1.2")=1.2,".",","),2)</f>
        <v>Sp.mat: 0.00%</v>
      </c>
      <c r="F386" s="15" t="str">
        <f>SUBSTITUTE("Sp.man: 0.00%",".",IF(VALUE("1.2")=1.2,".",","),2)</f>
        <v>Sp.man: 0.00%</v>
      </c>
      <c r="G386" s="35" t="str">
        <f>SUBSTITUTE("Sp.uti: 0.00%",".",IF(VALUE("1.2")=1.2,".",","),2)</f>
        <v>Sp.uti: 0.00%</v>
      </c>
      <c r="H386" s="38">
        <f>553.55/G385</f>
        <v>7.6881944444444441</v>
      </c>
      <c r="I386" s="29">
        <f>G385*H386</f>
        <v>553.54999999999995</v>
      </c>
      <c r="J386">
        <v>2</v>
      </c>
    </row>
    <row r="387" spans="1:19" x14ac:dyDescent="0.3">
      <c r="A387" s="88" t="s">
        <v>233</v>
      </c>
      <c r="B387" s="98"/>
      <c r="C387" s="98"/>
      <c r="D387" s="98"/>
      <c r="E387" s="98"/>
      <c r="F387" s="98"/>
      <c r="G387" s="98"/>
      <c r="H387" s="38">
        <f>36.79/G385</f>
        <v>0.51097222222222216</v>
      </c>
      <c r="I387" s="29">
        <f>G385*H387</f>
        <v>36.789999999999992</v>
      </c>
      <c r="J387">
        <v>3</v>
      </c>
      <c r="K387" s="4">
        <v>0</v>
      </c>
      <c r="L387" s="4">
        <v>68.903999999999996</v>
      </c>
      <c r="M387" s="4">
        <f>I387-K387-L387</f>
        <v>-32.114000000000004</v>
      </c>
    </row>
    <row r="388" spans="1:19" x14ac:dyDescent="0.3">
      <c r="A388" s="98"/>
      <c r="B388" s="98"/>
      <c r="C388" s="98"/>
      <c r="D388" s="98"/>
      <c r="E388" s="98"/>
      <c r="F388" s="98"/>
      <c r="G388" s="98"/>
      <c r="H388" s="38">
        <f>0</f>
        <v>0</v>
      </c>
      <c r="I388" s="29">
        <f>G385*H388</f>
        <v>0</v>
      </c>
      <c r="J388">
        <v>4</v>
      </c>
      <c r="N388" s="4">
        <f>IF(ISERR(SEARCH("TRA* 82",C385)),IF(Q388+R388+S388=0,0,I388*(Q388/(Q388+R388+S388))),I388)</f>
        <v>0</v>
      </c>
      <c r="O388" s="4">
        <f>IF(ISERR(SEARCH("TRA* 82",C385)),IF(Q388+R388+S388=0,0,I388*(R388/(Q388+R388+S388))),0)</f>
        <v>0</v>
      </c>
      <c r="P388" s="4">
        <f>IF(ISERR(SEARCH("TRA* 82",C385)),I388-N388-O388,0)</f>
        <v>0</v>
      </c>
      <c r="Q388" s="4">
        <v>0</v>
      </c>
      <c r="R388" s="4">
        <v>0</v>
      </c>
      <c r="S388" s="4">
        <v>0</v>
      </c>
    </row>
    <row r="389" spans="1:19" x14ac:dyDescent="0.3">
      <c r="A389" s="96" t="s">
        <v>27</v>
      </c>
      <c r="B389" s="97"/>
      <c r="C389" s="97"/>
      <c r="D389" s="97"/>
      <c r="E389" s="97"/>
      <c r="F389" s="97"/>
      <c r="G389" s="97"/>
      <c r="H389" s="36">
        <f>H385+H386+H387+H388</f>
        <v>20.502638888888889</v>
      </c>
      <c r="I389" s="74">
        <f>I385+I386+I387+I388</f>
        <v>1476.19</v>
      </c>
      <c r="J389">
        <v>5</v>
      </c>
    </row>
    <row r="390" spans="1:19" x14ac:dyDescent="0.3">
      <c r="B390" s="2">
        <v>65</v>
      </c>
      <c r="C390" s="3" t="s">
        <v>234</v>
      </c>
      <c r="D390" s="5" t="s">
        <v>25</v>
      </c>
      <c r="G390" s="30">
        <v>45</v>
      </c>
      <c r="H390" s="38">
        <f>732.27/G390</f>
        <v>16.272666666666666</v>
      </c>
      <c r="I390" s="29">
        <f>G390*H390</f>
        <v>732.27</v>
      </c>
      <c r="J390">
        <v>1</v>
      </c>
    </row>
    <row r="391" spans="1:19" x14ac:dyDescent="0.3">
      <c r="D391" s="15" t="str">
        <f>SUBSTITUTE("Sp.mat: 0.00%",".",IF(VALUE("1.2")=1.2,".",","),2)</f>
        <v>Sp.mat: 0.00%</v>
      </c>
      <c r="F391" s="15" t="str">
        <f>SUBSTITUTE("Sp.man: 0.00%",".",IF(VALUE("1.2")=1.2,".",","),2)</f>
        <v>Sp.man: 0.00%</v>
      </c>
      <c r="G391" s="35" t="str">
        <f>SUBSTITUTE("Sp.uti: 0.00%",".",IF(VALUE("1.2")=1.2,".",","),2)</f>
        <v>Sp.uti: 0.00%</v>
      </c>
      <c r="H391" s="38">
        <f>165.78/G390</f>
        <v>3.6840000000000002</v>
      </c>
      <c r="I391" s="29">
        <f>G390*H391</f>
        <v>165.78</v>
      </c>
      <c r="J391">
        <v>2</v>
      </c>
    </row>
    <row r="392" spans="1:19" x14ac:dyDescent="0.3">
      <c r="A392" s="88" t="s">
        <v>235</v>
      </c>
      <c r="B392" s="98"/>
      <c r="C392" s="98"/>
      <c r="D392" s="98"/>
      <c r="E392" s="98"/>
      <c r="F392" s="98"/>
      <c r="G392" s="98"/>
      <c r="H392" s="38">
        <f>11.03/G390</f>
        <v>0.24511111111111109</v>
      </c>
      <c r="I392" s="29">
        <f>G390*H392</f>
        <v>11.03</v>
      </c>
      <c r="J392">
        <v>3</v>
      </c>
      <c r="K392" s="4">
        <v>0</v>
      </c>
      <c r="L392" s="4">
        <v>20.655000000000001</v>
      </c>
      <c r="M392" s="4">
        <f>I392-K392-L392</f>
        <v>-9.6250000000000018</v>
      </c>
    </row>
    <row r="393" spans="1:19" x14ac:dyDescent="0.3">
      <c r="A393" s="98"/>
      <c r="B393" s="98"/>
      <c r="C393" s="98"/>
      <c r="D393" s="98"/>
      <c r="E393" s="98"/>
      <c r="F393" s="98"/>
      <c r="G393" s="98"/>
      <c r="H393" s="38">
        <f>0</f>
        <v>0</v>
      </c>
      <c r="I393" s="29">
        <f>G390*H393</f>
        <v>0</v>
      </c>
      <c r="J393">
        <v>4</v>
      </c>
      <c r="N393" s="4">
        <f>IF(ISERR(SEARCH("TRA* 82",C390)),IF(Q393+R393+S393=0,0,I393*(Q393/(Q393+R393+S393))),I393)</f>
        <v>0</v>
      </c>
      <c r="O393" s="4">
        <f>IF(ISERR(SEARCH("TRA* 82",C390)),IF(Q393+R393+S393=0,0,I393*(R393/(Q393+R393+S393))),0)</f>
        <v>0</v>
      </c>
      <c r="P393" s="4">
        <f>IF(ISERR(SEARCH("TRA* 82",C390)),I393-N393-O393,0)</f>
        <v>0</v>
      </c>
      <c r="Q393" s="4">
        <v>0</v>
      </c>
      <c r="R393" s="4">
        <v>0</v>
      </c>
      <c r="S393" s="4">
        <v>0</v>
      </c>
    </row>
    <row r="394" spans="1:19" x14ac:dyDescent="0.3">
      <c r="A394" s="96" t="s">
        <v>27</v>
      </c>
      <c r="B394" s="97"/>
      <c r="C394" s="97"/>
      <c r="D394" s="97"/>
      <c r="E394" s="97"/>
      <c r="F394" s="97"/>
      <c r="G394" s="97"/>
      <c r="H394" s="36">
        <f>H390+H391+H392+H393</f>
        <v>20.201777777777778</v>
      </c>
      <c r="I394" s="74">
        <f>I390+I391+I392+I393</f>
        <v>909.07999999999993</v>
      </c>
      <c r="J394">
        <v>5</v>
      </c>
    </row>
    <row r="395" spans="1:19" x14ac:dyDescent="0.3">
      <c r="B395" s="2">
        <v>66</v>
      </c>
      <c r="C395" s="3" t="s">
        <v>236</v>
      </c>
      <c r="D395" s="5" t="s">
        <v>25</v>
      </c>
      <c r="G395" s="30">
        <v>12</v>
      </c>
      <c r="H395" s="38">
        <v>25.81</v>
      </c>
      <c r="I395" s="29">
        <f>G395*H395</f>
        <v>309.71999999999997</v>
      </c>
      <c r="J395">
        <v>1</v>
      </c>
    </row>
    <row r="396" spans="1:19" x14ac:dyDescent="0.3">
      <c r="D396" s="15" t="str">
        <f>SUBSTITUTE("Sp.mat: 0.00%",".",IF(VALUE("1.2")=1.2,".",","),2)</f>
        <v>Sp.mat: 0.00%</v>
      </c>
      <c r="F396" s="15" t="str">
        <f>SUBSTITUTE("Sp.man: 0.00%",".",IF(VALUE("1.2")=1.2,".",","),2)</f>
        <v>Sp.man: 0.00%</v>
      </c>
      <c r="G396" s="35" t="str">
        <f>SUBSTITUTE("Sp.uti: 0.00%",".",IF(VALUE("1.2")=1.2,".",","),2)</f>
        <v>Sp.uti: 0.00%</v>
      </c>
      <c r="H396" s="38">
        <f>49.97/G395</f>
        <v>4.1641666666666666</v>
      </c>
      <c r="I396" s="29">
        <f>G395*H396</f>
        <v>49.97</v>
      </c>
      <c r="J396">
        <v>2</v>
      </c>
    </row>
    <row r="397" spans="1:19" x14ac:dyDescent="0.3">
      <c r="A397" s="88" t="s">
        <v>237</v>
      </c>
      <c r="B397" s="98"/>
      <c r="C397" s="98"/>
      <c r="D397" s="98"/>
      <c r="E397" s="98"/>
      <c r="F397" s="98"/>
      <c r="G397" s="98"/>
      <c r="H397" s="38">
        <f>3.3/G395</f>
        <v>0.27499999999999997</v>
      </c>
      <c r="I397" s="29">
        <f>G395*H397</f>
        <v>3.3</v>
      </c>
      <c r="J397">
        <v>3</v>
      </c>
      <c r="K397" s="4">
        <v>0</v>
      </c>
      <c r="L397" s="4">
        <v>6.1920000000000002</v>
      </c>
      <c r="M397" s="4">
        <f>I397-K397-L397</f>
        <v>-2.8920000000000003</v>
      </c>
    </row>
    <row r="398" spans="1:19" x14ac:dyDescent="0.3">
      <c r="A398" s="98"/>
      <c r="B398" s="98"/>
      <c r="C398" s="98"/>
      <c r="D398" s="98"/>
      <c r="E398" s="98"/>
      <c r="F398" s="98"/>
      <c r="G398" s="98"/>
      <c r="H398" s="38">
        <f>0</f>
        <v>0</v>
      </c>
      <c r="I398" s="29">
        <f>G395*H398</f>
        <v>0</v>
      </c>
      <c r="J398">
        <v>4</v>
      </c>
      <c r="N398" s="4">
        <f>IF(ISERR(SEARCH("TRA* 82",C395)),IF(Q398+R398+S398=0,0,I398*(Q398/(Q398+R398+S398))),I398)</f>
        <v>0</v>
      </c>
      <c r="O398" s="4">
        <f>IF(ISERR(SEARCH("TRA* 82",C395)),IF(Q398+R398+S398=0,0,I398*(R398/(Q398+R398+S398))),0)</f>
        <v>0</v>
      </c>
      <c r="P398" s="4">
        <f>IF(ISERR(SEARCH("TRA* 82",C395)),I398-N398-O398,0)</f>
        <v>0</v>
      </c>
      <c r="Q398" s="4">
        <v>0</v>
      </c>
      <c r="R398" s="4">
        <v>0</v>
      </c>
      <c r="S398" s="4">
        <v>0</v>
      </c>
    </row>
    <row r="399" spans="1:19" x14ac:dyDescent="0.3">
      <c r="A399" s="96" t="s">
        <v>27</v>
      </c>
      <c r="B399" s="97"/>
      <c r="C399" s="97"/>
      <c r="D399" s="97"/>
      <c r="E399" s="97"/>
      <c r="F399" s="97"/>
      <c r="G399" s="97"/>
      <c r="H399" s="36">
        <f>H395+H396+H397+H398</f>
        <v>30.249166666666664</v>
      </c>
      <c r="I399" s="74">
        <f>I395+I396+I397+I398</f>
        <v>362.98999999999995</v>
      </c>
      <c r="J399">
        <v>5</v>
      </c>
    </row>
    <row r="400" spans="1:19" x14ac:dyDescent="0.3">
      <c r="B400" s="2">
        <v>67</v>
      </c>
      <c r="C400" s="3" t="s">
        <v>238</v>
      </c>
      <c r="D400" s="5" t="s">
        <v>25</v>
      </c>
      <c r="G400" s="30">
        <v>587</v>
      </c>
      <c r="H400" s="38">
        <f>154.1/G400</f>
        <v>0.26252129471890973</v>
      </c>
      <c r="I400" s="29">
        <f>G400*H400</f>
        <v>154.10000000000002</v>
      </c>
      <c r="J400">
        <v>1</v>
      </c>
    </row>
    <row r="401" spans="1:19" x14ac:dyDescent="0.3">
      <c r="D401" s="15" t="str">
        <f>SUBSTITUTE("Sp.mat: 0.00%",".",IF(VALUE("1.2")=1.2,".",","),2)</f>
        <v>Sp.mat: 0.00%</v>
      </c>
      <c r="F401" s="15" t="str">
        <f>SUBSTITUTE("Sp.man: 0.00%",".",IF(VALUE("1.2")=1.2,".",","),2)</f>
        <v>Sp.man: 0.00%</v>
      </c>
      <c r="G401" s="35" t="str">
        <f>SUBSTITUTE("Sp.uti: 0.00%",".",IF(VALUE("1.2")=1.2,".",","),2)</f>
        <v>Sp.uti: 0.00%</v>
      </c>
      <c r="H401" s="38">
        <f>1128.24/G400</f>
        <v>1.9220442930153323</v>
      </c>
      <c r="I401" s="29">
        <f>G400*H401</f>
        <v>1128.24</v>
      </c>
      <c r="J401">
        <v>2</v>
      </c>
    </row>
    <row r="402" spans="1:19" x14ac:dyDescent="0.3">
      <c r="A402" s="88" t="s">
        <v>239</v>
      </c>
      <c r="B402" s="98"/>
      <c r="C402" s="98"/>
      <c r="D402" s="98"/>
      <c r="E402" s="98"/>
      <c r="F402" s="98"/>
      <c r="G402" s="98"/>
      <c r="H402" s="38">
        <f>18.33/G400</f>
        <v>3.1226575809199315E-2</v>
      </c>
      <c r="I402" s="29">
        <f>G400*H402</f>
        <v>18.329999999999998</v>
      </c>
      <c r="J402">
        <v>3</v>
      </c>
      <c r="K402" s="4">
        <v>0</v>
      </c>
      <c r="L402" s="4">
        <v>0</v>
      </c>
      <c r="M402" s="4">
        <f>I402-K402-L402</f>
        <v>18.329999999999998</v>
      </c>
    </row>
    <row r="403" spans="1:19" x14ac:dyDescent="0.3">
      <c r="A403" s="98"/>
      <c r="B403" s="98"/>
      <c r="C403" s="98"/>
      <c r="D403" s="98"/>
      <c r="E403" s="98"/>
      <c r="F403" s="98"/>
      <c r="G403" s="98"/>
      <c r="H403" s="38">
        <f>0</f>
        <v>0</v>
      </c>
      <c r="I403" s="29">
        <f>G400*H403</f>
        <v>0</v>
      </c>
      <c r="J403">
        <v>4</v>
      </c>
      <c r="N403" s="4">
        <f>IF(ISERR(SEARCH("TRA* 82",C400)),IF(Q403+R403+S403=0,0,I403*(Q403/(Q403+R403+S403))),I403)</f>
        <v>0</v>
      </c>
      <c r="O403" s="4">
        <f>IF(ISERR(SEARCH("TRA* 82",C400)),IF(Q403+R403+S403=0,0,I403*(R403/(Q403+R403+S403))),0)</f>
        <v>0</v>
      </c>
      <c r="P403" s="4">
        <f>IF(ISERR(SEARCH("TRA* 82",C400)),I403-N403-O403,0)</f>
        <v>0</v>
      </c>
      <c r="Q403" s="4">
        <v>0</v>
      </c>
      <c r="R403" s="4">
        <v>0</v>
      </c>
      <c r="S403" s="4">
        <v>0</v>
      </c>
    </row>
    <row r="404" spans="1:19" x14ac:dyDescent="0.3">
      <c r="A404" s="96" t="s">
        <v>240</v>
      </c>
      <c r="B404" s="97"/>
      <c r="C404" s="97"/>
      <c r="D404" s="97"/>
      <c r="E404" s="97"/>
      <c r="F404" s="97"/>
      <c r="G404" s="97"/>
      <c r="H404" s="36">
        <f>H400+H401+H402+H403</f>
        <v>2.215792163543441</v>
      </c>
      <c r="I404" s="74">
        <f>I400+I401+I402+I403</f>
        <v>1300.67</v>
      </c>
      <c r="J404">
        <v>5</v>
      </c>
    </row>
    <row r="405" spans="1:19" x14ac:dyDescent="0.3">
      <c r="B405" s="2">
        <v>68</v>
      </c>
      <c r="C405" s="3" t="s">
        <v>241</v>
      </c>
      <c r="D405" s="5" t="s">
        <v>25</v>
      </c>
      <c r="G405" s="30">
        <v>96</v>
      </c>
      <c r="H405" s="38">
        <f>110.97/G405</f>
        <v>1.1559375000000001</v>
      </c>
      <c r="I405" s="29">
        <f>G405*H405</f>
        <v>110.97</v>
      </c>
      <c r="J405">
        <v>1</v>
      </c>
    </row>
    <row r="406" spans="1:19" x14ac:dyDescent="0.3">
      <c r="D406" s="15" t="str">
        <f>SUBSTITUTE("Sp.mat: 0.00%",".",IF(VALUE("1.2")=1.2,".",","),2)</f>
        <v>Sp.mat: 0.00%</v>
      </c>
      <c r="F406" s="15" t="str">
        <f>SUBSTITUTE("Sp.man: 0.00%",".",IF(VALUE("1.2")=1.2,".",","),2)</f>
        <v>Sp.man: 0.00%</v>
      </c>
      <c r="G406" s="35" t="str">
        <f>SUBSTITUTE("Sp.uti: 0.00%",".",IF(VALUE("1.2")=1.2,".",","),2)</f>
        <v>Sp.uti: 0.00%</v>
      </c>
      <c r="H406" s="38">
        <v>0</v>
      </c>
      <c r="I406" s="29">
        <f>G405*H406</f>
        <v>0</v>
      </c>
      <c r="J406">
        <v>2</v>
      </c>
    </row>
    <row r="407" spans="1:19" x14ac:dyDescent="0.3">
      <c r="A407" s="88" t="s">
        <v>242</v>
      </c>
      <c r="B407" s="98"/>
      <c r="C407" s="98"/>
      <c r="D407" s="98"/>
      <c r="E407" s="98"/>
      <c r="F407" s="98"/>
      <c r="G407" s="98"/>
      <c r="H407" s="38">
        <f>(1+IF(OR(ISERR(FIND(":",G406)),ISERR(FIND("%",G406))),0,MID(G406,FIND(":",G406)+2,FIND("%",G406)-FIND(":",G406)-2)/100))*0</f>
        <v>0</v>
      </c>
      <c r="I407" s="29">
        <f>G405*H407</f>
        <v>0</v>
      </c>
      <c r="J407">
        <v>3</v>
      </c>
      <c r="K407" s="4">
        <v>0</v>
      </c>
      <c r="L407" s="4">
        <v>0</v>
      </c>
      <c r="M407" s="4">
        <f>I407-K407-L407</f>
        <v>0</v>
      </c>
    </row>
    <row r="408" spans="1:19" x14ac:dyDescent="0.3">
      <c r="A408" s="98"/>
      <c r="B408" s="98"/>
      <c r="C408" s="98"/>
      <c r="D408" s="98"/>
      <c r="E408" s="98"/>
      <c r="F408" s="98"/>
      <c r="G408" s="98"/>
      <c r="H408" s="38">
        <f>0</f>
        <v>0</v>
      </c>
      <c r="I408" s="29">
        <f>G405*H408</f>
        <v>0</v>
      </c>
      <c r="J408">
        <v>4</v>
      </c>
      <c r="N408" s="4">
        <f>IF(ISERR(SEARCH("TRA* 82",C405)),IF(Q408+R408+S408=0,0,I408*(Q408/(Q408+R408+S408))),I408)</f>
        <v>0</v>
      </c>
      <c r="O408" s="4">
        <f>IF(ISERR(SEARCH("TRA* 82",C405)),IF(Q408+R408+S408=0,0,I408*(R408/(Q408+R408+S408))),0)</f>
        <v>0</v>
      </c>
      <c r="P408" s="4">
        <f>IF(ISERR(SEARCH("TRA* 82",C405)),I408-N408-O408,0)</f>
        <v>0</v>
      </c>
      <c r="Q408" s="4">
        <v>0</v>
      </c>
      <c r="R408" s="4">
        <v>0</v>
      </c>
      <c r="S408" s="4">
        <v>0</v>
      </c>
    </row>
    <row r="409" spans="1:19" x14ac:dyDescent="0.3">
      <c r="A409" s="96" t="s">
        <v>27</v>
      </c>
      <c r="B409" s="97"/>
      <c r="C409" s="97"/>
      <c r="D409" s="97"/>
      <c r="E409" s="97"/>
      <c r="F409" s="97"/>
      <c r="G409" s="97"/>
      <c r="H409" s="36">
        <f>H405+H406+H407+H408</f>
        <v>1.1559375000000001</v>
      </c>
      <c r="I409" s="74">
        <f>I405+I406+I407+I408</f>
        <v>110.97</v>
      </c>
      <c r="J409">
        <v>5</v>
      </c>
    </row>
    <row r="410" spans="1:19" x14ac:dyDescent="0.3">
      <c r="B410" s="2">
        <v>69</v>
      </c>
      <c r="C410" s="3" t="s">
        <v>243</v>
      </c>
      <c r="D410" s="5" t="s">
        <v>29</v>
      </c>
      <c r="G410" s="30">
        <v>38</v>
      </c>
      <c r="H410" s="38">
        <f>69.98/G410</f>
        <v>1.8415789473684212</v>
      </c>
      <c r="I410" s="29">
        <f>G410*H410</f>
        <v>69.98</v>
      </c>
      <c r="J410">
        <v>1</v>
      </c>
    </row>
    <row r="411" spans="1:19" x14ac:dyDescent="0.3">
      <c r="D411" s="15" t="str">
        <f>SUBSTITUTE("Sp.mat: 0.00%",".",IF(VALUE("1.2")=1.2,".",","),2)</f>
        <v>Sp.mat: 0.00%</v>
      </c>
      <c r="F411" s="15" t="str">
        <f>SUBSTITUTE("Sp.man: 0.00%",".",IF(VALUE("1.2")=1.2,".",","),2)</f>
        <v>Sp.man: 0.00%</v>
      </c>
      <c r="G411" s="35" t="str">
        <f>SUBSTITUTE("Sp.uti: 0.00%",".",IF(VALUE("1.2")=1.2,".",","),2)</f>
        <v>Sp.uti: 0.00%</v>
      </c>
      <c r="H411" s="38">
        <f>(1+IF(OR(ISERR(FIND(":",F411)),ISERR(FIND("%",F411))),0,MID(F411,FIND(":",F411)+2,FIND("%",F411)-FIND(":",F411)-2)/100))*0</f>
        <v>0</v>
      </c>
      <c r="I411" s="29">
        <f>G410*H411</f>
        <v>0</v>
      </c>
      <c r="J411">
        <v>2</v>
      </c>
    </row>
    <row r="412" spans="1:19" x14ac:dyDescent="0.3">
      <c r="A412" s="88" t="s">
        <v>244</v>
      </c>
      <c r="B412" s="98"/>
      <c r="C412" s="98"/>
      <c r="D412" s="98"/>
      <c r="E412" s="98"/>
      <c r="F412" s="98"/>
      <c r="G412" s="98"/>
      <c r="H412" s="38">
        <f>(1+IF(OR(ISERR(FIND(":",G411)),ISERR(FIND("%",G411))),0,MID(G411,FIND(":",G411)+2,FIND("%",G411)-FIND(":",G411)-2)/100))*0</f>
        <v>0</v>
      </c>
      <c r="I412" s="29">
        <f>G410*H412</f>
        <v>0</v>
      </c>
      <c r="J412">
        <v>3</v>
      </c>
      <c r="K412" s="4">
        <v>0</v>
      </c>
      <c r="L412" s="4">
        <v>0</v>
      </c>
      <c r="M412" s="4">
        <f>I412-K412-L412</f>
        <v>0</v>
      </c>
    </row>
    <row r="413" spans="1:19" x14ac:dyDescent="0.3">
      <c r="A413" s="98"/>
      <c r="B413" s="98"/>
      <c r="C413" s="98"/>
      <c r="D413" s="98"/>
      <c r="E413" s="98"/>
      <c r="F413" s="98"/>
      <c r="G413" s="98"/>
      <c r="H413" s="38">
        <f>0</f>
        <v>0</v>
      </c>
      <c r="I413" s="29">
        <f>G410*H413</f>
        <v>0</v>
      </c>
      <c r="J413">
        <v>4</v>
      </c>
      <c r="N413" s="4">
        <f>IF(ISERR(SEARCH("TRA* 82",C410)),IF(Q413+R413+S413=0,0,I413*(Q413/(Q413+R413+S413))),I413)</f>
        <v>0</v>
      </c>
      <c r="O413" s="4">
        <f>IF(ISERR(SEARCH("TRA* 82",C410)),IF(Q413+R413+S413=0,0,I413*(R413/(Q413+R413+S413))),0)</f>
        <v>0</v>
      </c>
      <c r="P413" s="4">
        <f>IF(ISERR(SEARCH("TRA* 82",C410)),I413-N413-O413,0)</f>
        <v>0</v>
      </c>
      <c r="Q413" s="4">
        <v>0</v>
      </c>
      <c r="R413" s="4">
        <v>0</v>
      </c>
      <c r="S413" s="4">
        <v>0</v>
      </c>
    </row>
    <row r="414" spans="1:19" x14ac:dyDescent="0.3">
      <c r="A414" s="96" t="s">
        <v>245</v>
      </c>
      <c r="B414" s="97"/>
      <c r="C414" s="97"/>
      <c r="D414" s="97"/>
      <c r="E414" s="97"/>
      <c r="F414" s="97"/>
      <c r="G414" s="97"/>
      <c r="H414" s="36">
        <f>H410+H411+H412+H413</f>
        <v>1.8415789473684212</v>
      </c>
      <c r="I414" s="74">
        <f>I410+I411+I412+I413</f>
        <v>69.98</v>
      </c>
      <c r="J414">
        <v>5</v>
      </c>
    </row>
    <row r="415" spans="1:19" x14ac:dyDescent="0.3">
      <c r="B415" s="2">
        <v>70</v>
      </c>
      <c r="C415" s="3" t="s">
        <v>246</v>
      </c>
      <c r="D415" s="5" t="s">
        <v>25</v>
      </c>
      <c r="G415" s="30">
        <v>145</v>
      </c>
      <c r="H415" s="38">
        <f>325.15/G415</f>
        <v>2.2424137931034482</v>
      </c>
      <c r="I415" s="29">
        <f>G415*H415</f>
        <v>325.14999999999998</v>
      </c>
      <c r="J415">
        <v>1</v>
      </c>
    </row>
    <row r="416" spans="1:19" x14ac:dyDescent="0.3">
      <c r="D416" s="15" t="str">
        <f>SUBSTITUTE("Sp.mat: 0.00%",".",IF(VALUE("1.2")=1.2,".",","),2)</f>
        <v>Sp.mat: 0.00%</v>
      </c>
      <c r="F416" s="15" t="str">
        <f>SUBSTITUTE("Sp.man: 0.00%",".",IF(VALUE("1.2")=1.2,".",","),2)</f>
        <v>Sp.man: 0.00%</v>
      </c>
      <c r="G416" s="35" t="str">
        <f>SUBSTITUTE("Sp.uti: 0.00%",".",IF(VALUE("1.2")=1.2,".",","),2)</f>
        <v>Sp.uti: 0.00%</v>
      </c>
      <c r="H416" s="38">
        <f>(1+IF(OR(ISERR(FIND(":",F416)),ISERR(FIND("%",F416))),0,MID(F416,FIND(":",F416)+2,FIND("%",F416)-FIND(":",F416)-2)/100))*0</f>
        <v>0</v>
      </c>
      <c r="I416" s="29">
        <f>G415*H416</f>
        <v>0</v>
      </c>
      <c r="J416">
        <v>2</v>
      </c>
    </row>
    <row r="417" spans="1:19" x14ac:dyDescent="0.3">
      <c r="A417" s="88" t="s">
        <v>247</v>
      </c>
      <c r="B417" s="98"/>
      <c r="C417" s="98"/>
      <c r="D417" s="98"/>
      <c r="E417" s="98"/>
      <c r="F417" s="98"/>
      <c r="G417" s="98"/>
      <c r="H417" s="38">
        <f>(1+IF(OR(ISERR(FIND(":",G416)),ISERR(FIND("%",G416))),0,MID(G416,FIND(":",G416)+2,FIND("%",G416)-FIND(":",G416)-2)/100))*0</f>
        <v>0</v>
      </c>
      <c r="I417" s="29">
        <f>G415*H417</f>
        <v>0</v>
      </c>
      <c r="J417">
        <v>3</v>
      </c>
      <c r="K417" s="4">
        <v>0</v>
      </c>
      <c r="L417" s="4">
        <v>0</v>
      </c>
      <c r="M417" s="4">
        <f>I417-K417-L417</f>
        <v>0</v>
      </c>
    </row>
    <row r="418" spans="1:19" x14ac:dyDescent="0.3">
      <c r="A418" s="98"/>
      <c r="B418" s="98"/>
      <c r="C418" s="98"/>
      <c r="D418" s="98"/>
      <c r="E418" s="98"/>
      <c r="F418" s="98"/>
      <c r="G418" s="98"/>
      <c r="H418" s="38">
        <f>0</f>
        <v>0</v>
      </c>
      <c r="I418" s="29">
        <f>G415*H418</f>
        <v>0</v>
      </c>
      <c r="J418">
        <v>4</v>
      </c>
      <c r="N418" s="4">
        <f>IF(ISERR(SEARCH("TRA* 82",C415)),IF(Q418+R418+S418=0,0,I418*(Q418/(Q418+R418+S418))),I418)</f>
        <v>0</v>
      </c>
      <c r="O418" s="4">
        <f>IF(ISERR(SEARCH("TRA* 82",C415)),IF(Q418+R418+S418=0,0,I418*(R418/(Q418+R418+S418))),0)</f>
        <v>0</v>
      </c>
      <c r="P418" s="4">
        <f>IF(ISERR(SEARCH("TRA* 82",C415)),I418-N418-O418,0)</f>
        <v>0</v>
      </c>
      <c r="Q418" s="4">
        <v>0</v>
      </c>
      <c r="R418" s="4">
        <v>0</v>
      </c>
      <c r="S418" s="4">
        <v>0</v>
      </c>
    </row>
    <row r="419" spans="1:19" x14ac:dyDescent="0.3">
      <c r="A419" s="96" t="s">
        <v>27</v>
      </c>
      <c r="B419" s="97"/>
      <c r="C419" s="97"/>
      <c r="D419" s="97"/>
      <c r="E419" s="97"/>
      <c r="F419" s="97"/>
      <c r="G419" s="97"/>
      <c r="H419" s="36">
        <f>H415+H416+H417+H418</f>
        <v>2.2424137931034482</v>
      </c>
      <c r="I419" s="74">
        <f>I415+I416+I417+I418</f>
        <v>325.14999999999998</v>
      </c>
      <c r="J419">
        <v>5</v>
      </c>
    </row>
    <row r="420" spans="1:19" x14ac:dyDescent="0.3">
      <c r="B420" s="2">
        <v>71</v>
      </c>
      <c r="C420" s="3" t="s">
        <v>248</v>
      </c>
      <c r="D420" s="5" t="s">
        <v>25</v>
      </c>
      <c r="G420" s="30">
        <v>123</v>
      </c>
      <c r="H420" s="38">
        <f>390.08/G420</f>
        <v>3.1713821138211382</v>
      </c>
      <c r="I420" s="29">
        <f>G420*H420</f>
        <v>390.08</v>
      </c>
      <c r="J420">
        <v>1</v>
      </c>
    </row>
    <row r="421" spans="1:19" x14ac:dyDescent="0.3">
      <c r="D421" s="15" t="str">
        <f>SUBSTITUTE("Sp.mat: 0.00%",".",IF(VALUE("1.2")=1.2,".",","),2)</f>
        <v>Sp.mat: 0.00%</v>
      </c>
      <c r="F421" s="15" t="str">
        <f>SUBSTITUTE("Sp.man: 0.00%",".",IF(VALUE("1.2")=1.2,".",","),2)</f>
        <v>Sp.man: 0.00%</v>
      </c>
      <c r="G421" s="35" t="str">
        <f>SUBSTITUTE("Sp.uti: 0.00%",".",IF(VALUE("1.2")=1.2,".",","),2)</f>
        <v>Sp.uti: 0.00%</v>
      </c>
      <c r="H421" s="38">
        <f>(1+IF(OR(ISERR(FIND(":",F421)),ISERR(FIND("%",F421))),0,MID(F421,FIND(":",F421)+2,FIND("%",F421)-FIND(":",F421)-2)/100))*0</f>
        <v>0</v>
      </c>
      <c r="I421" s="29">
        <f>G420*H421</f>
        <v>0</v>
      </c>
      <c r="J421">
        <v>2</v>
      </c>
    </row>
    <row r="422" spans="1:19" x14ac:dyDescent="0.3">
      <c r="A422" s="88" t="s">
        <v>249</v>
      </c>
      <c r="B422" s="98"/>
      <c r="C422" s="98"/>
      <c r="D422" s="98"/>
      <c r="E422" s="98"/>
      <c r="F422" s="98"/>
      <c r="G422" s="98"/>
      <c r="H422" s="38">
        <f>(1+IF(OR(ISERR(FIND(":",G421)),ISERR(FIND("%",G421))),0,MID(G421,FIND(":",G421)+2,FIND("%",G421)-FIND(":",G421)-2)/100))*0</f>
        <v>0</v>
      </c>
      <c r="I422" s="29">
        <f>G420*H422</f>
        <v>0</v>
      </c>
      <c r="J422">
        <v>3</v>
      </c>
      <c r="K422" s="4">
        <v>0</v>
      </c>
      <c r="L422" s="4">
        <v>0</v>
      </c>
      <c r="M422" s="4">
        <f>I422-K422-L422</f>
        <v>0</v>
      </c>
    </row>
    <row r="423" spans="1:19" x14ac:dyDescent="0.3">
      <c r="A423" s="98"/>
      <c r="B423" s="98"/>
      <c r="C423" s="98"/>
      <c r="D423" s="98"/>
      <c r="E423" s="98"/>
      <c r="F423" s="98"/>
      <c r="G423" s="98"/>
      <c r="H423" s="38">
        <f>0</f>
        <v>0</v>
      </c>
      <c r="I423" s="29">
        <f>G420*H423</f>
        <v>0</v>
      </c>
      <c r="J423">
        <v>4</v>
      </c>
      <c r="N423" s="4">
        <f>IF(ISERR(SEARCH("TRA* 82",C420)),IF(Q423+R423+S423=0,0,I423*(Q423/(Q423+R423+S423))),I423)</f>
        <v>0</v>
      </c>
      <c r="O423" s="4">
        <f>IF(ISERR(SEARCH("TRA* 82",C420)),IF(Q423+R423+S423=0,0,I423*(R423/(Q423+R423+S423))),0)</f>
        <v>0</v>
      </c>
      <c r="P423" s="4">
        <f>IF(ISERR(SEARCH("TRA* 82",C420)),I423-N423-O423,0)</f>
        <v>0</v>
      </c>
      <c r="Q423" s="4">
        <v>0</v>
      </c>
      <c r="R423" s="4">
        <v>0</v>
      </c>
      <c r="S423" s="4">
        <v>0</v>
      </c>
    </row>
    <row r="424" spans="1:19" x14ac:dyDescent="0.3">
      <c r="A424" s="96" t="s">
        <v>27</v>
      </c>
      <c r="B424" s="97"/>
      <c r="C424" s="97"/>
      <c r="D424" s="97"/>
      <c r="E424" s="97"/>
      <c r="F424" s="97"/>
      <c r="G424" s="97"/>
      <c r="H424" s="36">
        <f>H420+H421+H422+H423</f>
        <v>3.1713821138211382</v>
      </c>
      <c r="I424" s="74">
        <f>I420+I421+I422+I423</f>
        <v>390.08</v>
      </c>
      <c r="J424">
        <v>5</v>
      </c>
    </row>
    <row r="425" spans="1:19" x14ac:dyDescent="0.3">
      <c r="B425" s="2">
        <v>72</v>
      </c>
      <c r="C425" s="3" t="s">
        <v>250</v>
      </c>
      <c r="D425" s="5" t="s">
        <v>25</v>
      </c>
      <c r="G425" s="30">
        <v>56</v>
      </c>
      <c r="H425" s="38">
        <f>177.6/G425</f>
        <v>3.1714285714285713</v>
      </c>
      <c r="I425" s="29">
        <f>G425*H425</f>
        <v>177.6</v>
      </c>
      <c r="J425">
        <v>1</v>
      </c>
    </row>
    <row r="426" spans="1:19" x14ac:dyDescent="0.3">
      <c r="D426" s="15" t="str">
        <f>SUBSTITUTE("Sp.mat: 0.00%",".",IF(VALUE("1.2")=1.2,".",","),2)</f>
        <v>Sp.mat: 0.00%</v>
      </c>
      <c r="F426" s="15" t="str">
        <f>SUBSTITUTE("Sp.man: 0.00%",".",IF(VALUE("1.2")=1.2,".",","),2)</f>
        <v>Sp.man: 0.00%</v>
      </c>
      <c r="G426" s="35" t="str">
        <f>SUBSTITUTE("Sp.uti: 0.00%",".",IF(VALUE("1.2")=1.2,".",","),2)</f>
        <v>Sp.uti: 0.00%</v>
      </c>
      <c r="H426" s="38">
        <f>(1+IF(OR(ISERR(FIND(":",F426)),ISERR(FIND("%",F426))),0,MID(F426,FIND(":",F426)+2,FIND("%",F426)-FIND(":",F426)-2)/100))*0</f>
        <v>0</v>
      </c>
      <c r="I426" s="29">
        <f>G425*H426</f>
        <v>0</v>
      </c>
      <c r="J426">
        <v>2</v>
      </c>
    </row>
    <row r="427" spans="1:19" x14ac:dyDescent="0.3">
      <c r="A427" s="88" t="s">
        <v>251</v>
      </c>
      <c r="B427" s="98"/>
      <c r="C427" s="98"/>
      <c r="D427" s="98"/>
      <c r="E427" s="98"/>
      <c r="F427" s="98"/>
      <c r="G427" s="98"/>
      <c r="H427" s="38">
        <f>(1+IF(OR(ISERR(FIND(":",G426)),ISERR(FIND("%",G426))),0,MID(G426,FIND(":",G426)+2,FIND("%",G426)-FIND(":",G426)-2)/100))*0</f>
        <v>0</v>
      </c>
      <c r="I427" s="29">
        <f>G425*H427</f>
        <v>0</v>
      </c>
      <c r="J427">
        <v>3</v>
      </c>
      <c r="K427" s="4">
        <v>0</v>
      </c>
      <c r="L427" s="4">
        <v>0</v>
      </c>
      <c r="M427" s="4">
        <f>I427-K427-L427</f>
        <v>0</v>
      </c>
    </row>
    <row r="428" spans="1:19" x14ac:dyDescent="0.3">
      <c r="A428" s="98"/>
      <c r="B428" s="98"/>
      <c r="C428" s="98"/>
      <c r="D428" s="98"/>
      <c r="E428" s="98"/>
      <c r="F428" s="98"/>
      <c r="G428" s="98"/>
      <c r="H428" s="38">
        <f>0</f>
        <v>0</v>
      </c>
      <c r="I428" s="29">
        <f>G425*H428</f>
        <v>0</v>
      </c>
      <c r="J428">
        <v>4</v>
      </c>
      <c r="N428" s="4">
        <f>IF(ISERR(SEARCH("TRA* 82",C425)),IF(Q428+R428+S428=0,0,I428*(Q428/(Q428+R428+S428))),I428)</f>
        <v>0</v>
      </c>
      <c r="O428" s="4">
        <f>IF(ISERR(SEARCH("TRA* 82",C425)),IF(Q428+R428+S428=0,0,I428*(R428/(Q428+R428+S428))),0)</f>
        <v>0</v>
      </c>
      <c r="P428" s="4">
        <f>IF(ISERR(SEARCH("TRA* 82",C425)),I428-N428-O428,0)</f>
        <v>0</v>
      </c>
      <c r="Q428" s="4">
        <v>0</v>
      </c>
      <c r="R428" s="4">
        <v>0</v>
      </c>
      <c r="S428" s="4">
        <v>0</v>
      </c>
    </row>
    <row r="429" spans="1:19" x14ac:dyDescent="0.3">
      <c r="A429" s="96" t="s">
        <v>27</v>
      </c>
      <c r="B429" s="97"/>
      <c r="C429" s="97"/>
      <c r="D429" s="97"/>
      <c r="E429" s="97"/>
      <c r="F429" s="97"/>
      <c r="G429" s="97"/>
      <c r="H429" s="36">
        <f>H425+H426+H427+H428</f>
        <v>3.1714285714285713</v>
      </c>
      <c r="I429" s="74">
        <f>I425+I426+I427+I428</f>
        <v>177.6</v>
      </c>
      <c r="J429">
        <v>5</v>
      </c>
    </row>
    <row r="430" spans="1:19" x14ac:dyDescent="0.3">
      <c r="B430" s="2">
        <v>73</v>
      </c>
      <c r="C430" s="3" t="s">
        <v>252</v>
      </c>
      <c r="D430" s="5" t="s">
        <v>25</v>
      </c>
      <c r="G430" s="30">
        <v>72</v>
      </c>
      <c r="H430" s="38">
        <f>246.79/G430</f>
        <v>3.4276388888888887</v>
      </c>
      <c r="I430" s="29">
        <f>G430*H430</f>
        <v>246.79</v>
      </c>
      <c r="J430">
        <v>1</v>
      </c>
    </row>
    <row r="431" spans="1:19" x14ac:dyDescent="0.3">
      <c r="D431" s="15" t="str">
        <f>SUBSTITUTE("Sp.mat: 0.00%",".",IF(VALUE("1.2")=1.2,".",","),2)</f>
        <v>Sp.mat: 0.00%</v>
      </c>
      <c r="F431" s="15" t="str">
        <f>SUBSTITUTE("Sp.man: 0.00%",".",IF(VALUE("1.2")=1.2,".",","),2)</f>
        <v>Sp.man: 0.00%</v>
      </c>
      <c r="G431" s="35" t="str">
        <f>SUBSTITUTE("Sp.uti: 0.00%",".",IF(VALUE("1.2")=1.2,".",","),2)</f>
        <v>Sp.uti: 0.00%</v>
      </c>
      <c r="H431" s="38">
        <f>(1+IF(OR(ISERR(FIND(":",F431)),ISERR(FIND("%",F431))),0,MID(F431,FIND(":",F431)+2,FIND("%",F431)-FIND(":",F431)-2)/100))*0</f>
        <v>0</v>
      </c>
      <c r="I431" s="29">
        <f>G430*H431</f>
        <v>0</v>
      </c>
      <c r="J431">
        <v>2</v>
      </c>
    </row>
    <row r="432" spans="1:19" x14ac:dyDescent="0.3">
      <c r="A432" s="88" t="s">
        <v>253</v>
      </c>
      <c r="B432" s="98"/>
      <c r="C432" s="98"/>
      <c r="D432" s="98"/>
      <c r="E432" s="98"/>
      <c r="F432" s="98"/>
      <c r="G432" s="98"/>
      <c r="H432" s="38">
        <f>(1+IF(OR(ISERR(FIND(":",G431)),ISERR(FIND("%",G431))),0,MID(G431,FIND(":",G431)+2,FIND("%",G431)-FIND(":",G431)-2)/100))*0</f>
        <v>0</v>
      </c>
      <c r="I432" s="29">
        <f>G430*H432</f>
        <v>0</v>
      </c>
      <c r="J432">
        <v>3</v>
      </c>
      <c r="K432" s="4">
        <v>0</v>
      </c>
      <c r="L432" s="4">
        <v>0</v>
      </c>
      <c r="M432" s="4">
        <f>I432-K432-L432</f>
        <v>0</v>
      </c>
    </row>
    <row r="433" spans="1:19" x14ac:dyDescent="0.3">
      <c r="A433" s="98"/>
      <c r="B433" s="98"/>
      <c r="C433" s="98"/>
      <c r="D433" s="98"/>
      <c r="E433" s="98"/>
      <c r="F433" s="98"/>
      <c r="G433" s="98"/>
      <c r="H433" s="38">
        <f>0</f>
        <v>0</v>
      </c>
      <c r="I433" s="29">
        <f>G430*H433</f>
        <v>0</v>
      </c>
      <c r="J433">
        <v>4</v>
      </c>
      <c r="N433" s="4">
        <f>IF(ISERR(SEARCH("TRA* 82",C430)),IF(Q433+R433+S433=0,0,I433*(Q433/(Q433+R433+S433))),I433)</f>
        <v>0</v>
      </c>
      <c r="O433" s="4">
        <f>IF(ISERR(SEARCH("TRA* 82",C430)),IF(Q433+R433+S433=0,0,I433*(R433/(Q433+R433+S433))),0)</f>
        <v>0</v>
      </c>
      <c r="P433" s="4">
        <f>IF(ISERR(SEARCH("TRA* 82",C430)),I433-N433-O433,0)</f>
        <v>0</v>
      </c>
      <c r="Q433" s="4">
        <v>0</v>
      </c>
      <c r="R433" s="4">
        <v>0</v>
      </c>
      <c r="S433" s="4">
        <v>0</v>
      </c>
    </row>
    <row r="434" spans="1:19" x14ac:dyDescent="0.3">
      <c r="A434" s="96" t="s">
        <v>27</v>
      </c>
      <c r="B434" s="97"/>
      <c r="C434" s="97"/>
      <c r="D434" s="97"/>
      <c r="E434" s="97"/>
      <c r="F434" s="97"/>
      <c r="G434" s="97"/>
      <c r="H434" s="36">
        <f>H430+H431+H432+H433</f>
        <v>3.4276388888888887</v>
      </c>
      <c r="I434" s="74">
        <f>I430+I431+I432+I433</f>
        <v>246.79</v>
      </c>
      <c r="J434">
        <v>5</v>
      </c>
    </row>
    <row r="435" spans="1:19" x14ac:dyDescent="0.3">
      <c r="B435" s="2">
        <v>74</v>
      </c>
      <c r="C435" s="3" t="s">
        <v>254</v>
      </c>
      <c r="D435" s="5" t="s">
        <v>25</v>
      </c>
      <c r="G435" s="30">
        <v>45</v>
      </c>
      <c r="H435" s="38">
        <f>191.72/G435</f>
        <v>4.2604444444444445</v>
      </c>
      <c r="I435" s="29">
        <f>G435*H435</f>
        <v>191.72</v>
      </c>
      <c r="J435">
        <v>1</v>
      </c>
    </row>
    <row r="436" spans="1:19" x14ac:dyDescent="0.3">
      <c r="D436" s="15" t="str">
        <f>SUBSTITUTE("Sp.mat: 0.00%",".",IF(VALUE("1.2")=1.2,".",","),2)</f>
        <v>Sp.mat: 0.00%</v>
      </c>
      <c r="F436" s="15" t="str">
        <f>SUBSTITUTE("Sp.man: 0.00%",".",IF(VALUE("1.2")=1.2,".",","),2)</f>
        <v>Sp.man: 0.00%</v>
      </c>
      <c r="G436" s="35" t="str">
        <f>SUBSTITUTE("Sp.uti: 0.00%",".",IF(VALUE("1.2")=1.2,".",","),2)</f>
        <v>Sp.uti: 0.00%</v>
      </c>
      <c r="H436" s="38">
        <f>(1+IF(OR(ISERR(FIND(":",F436)),ISERR(FIND("%",F436))),0,MID(F436,FIND(":",F436)+2,FIND("%",F436)-FIND(":",F436)-2)/100))*0</f>
        <v>0</v>
      </c>
      <c r="I436" s="29">
        <f>G435*H436</f>
        <v>0</v>
      </c>
      <c r="J436">
        <v>2</v>
      </c>
    </row>
    <row r="437" spans="1:19" x14ac:dyDescent="0.3">
      <c r="A437" s="88" t="s">
        <v>255</v>
      </c>
      <c r="B437" s="98"/>
      <c r="C437" s="98"/>
      <c r="D437" s="98"/>
      <c r="E437" s="98"/>
      <c r="F437" s="98"/>
      <c r="G437" s="98"/>
      <c r="H437" s="38">
        <f>(1+IF(OR(ISERR(FIND(":",G436)),ISERR(FIND("%",G436))),0,MID(G436,FIND(":",G436)+2,FIND("%",G436)-FIND(":",G436)-2)/100))*0</f>
        <v>0</v>
      </c>
      <c r="I437" s="29">
        <f>G435*H437</f>
        <v>0</v>
      </c>
      <c r="J437">
        <v>3</v>
      </c>
      <c r="K437" s="4">
        <v>0</v>
      </c>
      <c r="L437" s="4">
        <v>0</v>
      </c>
      <c r="M437" s="4">
        <f>I437-K437-L437</f>
        <v>0</v>
      </c>
    </row>
    <row r="438" spans="1:19" x14ac:dyDescent="0.3">
      <c r="A438" s="98"/>
      <c r="B438" s="98"/>
      <c r="C438" s="98"/>
      <c r="D438" s="98"/>
      <c r="E438" s="98"/>
      <c r="F438" s="98"/>
      <c r="G438" s="98"/>
      <c r="H438" s="38">
        <f>0</f>
        <v>0</v>
      </c>
      <c r="I438" s="29">
        <f>G435*H438</f>
        <v>0</v>
      </c>
      <c r="J438">
        <v>4</v>
      </c>
      <c r="N438" s="4">
        <f>IF(ISERR(SEARCH("TRA* 82",C435)),IF(Q438+R438+S438=0,0,I438*(Q438/(Q438+R438+S438))),I438)</f>
        <v>0</v>
      </c>
      <c r="O438" s="4">
        <f>IF(ISERR(SEARCH("TRA* 82",C435)),IF(Q438+R438+S438=0,0,I438*(R438/(Q438+R438+S438))),0)</f>
        <v>0</v>
      </c>
      <c r="P438" s="4">
        <f>IF(ISERR(SEARCH("TRA* 82",C435)),I438-N438-O438,0)</f>
        <v>0</v>
      </c>
      <c r="Q438" s="4">
        <v>0</v>
      </c>
      <c r="R438" s="4">
        <v>0</v>
      </c>
      <c r="S438" s="4">
        <v>0</v>
      </c>
    </row>
    <row r="439" spans="1:19" x14ac:dyDescent="0.3">
      <c r="A439" s="96" t="s">
        <v>27</v>
      </c>
      <c r="B439" s="97"/>
      <c r="C439" s="97"/>
      <c r="D439" s="97"/>
      <c r="E439" s="97"/>
      <c r="F439" s="97"/>
      <c r="G439" s="97"/>
      <c r="H439" s="36">
        <f>H435+H436+H437+H438</f>
        <v>4.2604444444444445</v>
      </c>
      <c r="I439" s="74">
        <f>I435+I436+I437+I438</f>
        <v>191.72</v>
      </c>
      <c r="J439">
        <v>5</v>
      </c>
    </row>
    <row r="440" spans="1:19" x14ac:dyDescent="0.3">
      <c r="B440" s="2">
        <v>75</v>
      </c>
      <c r="C440" s="3" t="s">
        <v>256</v>
      </c>
      <c r="D440" s="5" t="s">
        <v>25</v>
      </c>
      <c r="G440" s="30">
        <v>12</v>
      </c>
      <c r="H440" s="38">
        <v>4.91</v>
      </c>
      <c r="I440" s="29">
        <f>G440*H440</f>
        <v>58.92</v>
      </c>
      <c r="J440">
        <v>1</v>
      </c>
    </row>
    <row r="441" spans="1:19" x14ac:dyDescent="0.3">
      <c r="D441" s="15" t="str">
        <f>SUBSTITUTE("Sp.mat: 0.00%",".",IF(VALUE("1.2")=1.2,".",","),2)</f>
        <v>Sp.mat: 0.00%</v>
      </c>
      <c r="F441" s="15" t="str">
        <f>SUBSTITUTE("Sp.man: 0.00%",".",IF(VALUE("1.2")=1.2,".",","),2)</f>
        <v>Sp.man: 0.00%</v>
      </c>
      <c r="G441" s="35" t="str">
        <f>SUBSTITUTE("Sp.uti: 0.00%",".",IF(VALUE("1.2")=1.2,".",","),2)</f>
        <v>Sp.uti: 0.00%</v>
      </c>
      <c r="H441" s="38">
        <f>(1+IF(OR(ISERR(FIND(":",F441)),ISERR(FIND("%",F441))),0,MID(F441,FIND(":",F441)+2,FIND("%",F441)-FIND(":",F441)-2)/100))*0</f>
        <v>0</v>
      </c>
      <c r="I441" s="29">
        <f>G440*H441</f>
        <v>0</v>
      </c>
      <c r="J441">
        <v>2</v>
      </c>
    </row>
    <row r="442" spans="1:19" x14ac:dyDescent="0.3">
      <c r="A442" s="88" t="s">
        <v>257</v>
      </c>
      <c r="B442" s="98"/>
      <c r="C442" s="98"/>
      <c r="D442" s="98"/>
      <c r="E442" s="98"/>
      <c r="F442" s="98"/>
      <c r="G442" s="98"/>
      <c r="H442" s="38">
        <f>(1+IF(OR(ISERR(FIND(":",G441)),ISERR(FIND("%",G441))),0,MID(G441,FIND(":",G441)+2,FIND("%",G441)-FIND(":",G441)-2)/100))*0</f>
        <v>0</v>
      </c>
      <c r="I442" s="29">
        <f>G440*H442</f>
        <v>0</v>
      </c>
      <c r="J442">
        <v>3</v>
      </c>
      <c r="K442" s="4">
        <v>0</v>
      </c>
      <c r="L442" s="4">
        <v>0</v>
      </c>
      <c r="M442" s="4">
        <f>I442-K442-L442</f>
        <v>0</v>
      </c>
    </row>
    <row r="443" spans="1:19" x14ac:dyDescent="0.3">
      <c r="A443" s="98"/>
      <c r="B443" s="98"/>
      <c r="C443" s="98"/>
      <c r="D443" s="98"/>
      <c r="E443" s="98"/>
      <c r="F443" s="98"/>
      <c r="G443" s="98"/>
      <c r="H443" s="38">
        <f>0</f>
        <v>0</v>
      </c>
      <c r="I443" s="29">
        <f>G440*H443</f>
        <v>0</v>
      </c>
      <c r="J443">
        <v>4</v>
      </c>
      <c r="N443" s="4">
        <f>IF(ISERR(SEARCH("TRA* 82",C440)),IF(Q443+R443+S443=0,0,I443*(Q443/(Q443+R443+S443))),I443)</f>
        <v>0</v>
      </c>
      <c r="O443" s="4">
        <f>IF(ISERR(SEARCH("TRA* 82",C440)),IF(Q443+R443+S443=0,0,I443*(R443/(Q443+R443+S443))),0)</f>
        <v>0</v>
      </c>
      <c r="P443" s="4">
        <f>IF(ISERR(SEARCH("TRA* 82",C440)),I443-N443-O443,0)</f>
        <v>0</v>
      </c>
      <c r="Q443" s="4">
        <v>0</v>
      </c>
      <c r="R443" s="4">
        <v>0</v>
      </c>
      <c r="S443" s="4">
        <v>0</v>
      </c>
    </row>
    <row r="444" spans="1:19" x14ac:dyDescent="0.3">
      <c r="A444" s="96" t="s">
        <v>27</v>
      </c>
      <c r="B444" s="97"/>
      <c r="C444" s="97"/>
      <c r="D444" s="97"/>
      <c r="E444" s="97"/>
      <c r="F444" s="97"/>
      <c r="G444" s="97"/>
      <c r="H444" s="36">
        <f>H440+H441+H442+H443</f>
        <v>4.91</v>
      </c>
      <c r="I444" s="74">
        <f>I440+I441+I442+I443</f>
        <v>58.92</v>
      </c>
      <c r="J444">
        <v>5</v>
      </c>
    </row>
    <row r="445" spans="1:19" x14ac:dyDescent="0.3">
      <c r="B445" s="2">
        <v>76</v>
      </c>
      <c r="C445" s="3" t="s">
        <v>258</v>
      </c>
      <c r="D445" s="5" t="s">
        <v>29</v>
      </c>
      <c r="G445" s="30">
        <v>63</v>
      </c>
      <c r="H445" s="38">
        <f>532.19/G445</f>
        <v>8.4474603174603189</v>
      </c>
      <c r="I445" s="29">
        <f>G445*H445</f>
        <v>532.19000000000005</v>
      </c>
      <c r="J445">
        <v>1</v>
      </c>
    </row>
    <row r="446" spans="1:19" x14ac:dyDescent="0.3">
      <c r="D446" s="15" t="str">
        <f>SUBSTITUTE("Sp.mat: 0.00%",".",IF(VALUE("1.2")=1.2,".",","),2)</f>
        <v>Sp.mat: 0.00%</v>
      </c>
      <c r="F446" s="15" t="str">
        <f>SUBSTITUTE("Sp.man: 0.00%",".",IF(VALUE("1.2")=1.2,".",","),2)</f>
        <v>Sp.man: 0.00%</v>
      </c>
      <c r="G446" s="35" t="str">
        <f>SUBSTITUTE("Sp.uti: 0.00%",".",IF(VALUE("1.2")=1.2,".",","),2)</f>
        <v>Sp.uti: 0.00%</v>
      </c>
      <c r="H446" s="38">
        <f>2623.58/G445</f>
        <v>41.644126984126984</v>
      </c>
      <c r="I446" s="29">
        <f>G445*H446</f>
        <v>2623.58</v>
      </c>
      <c r="J446">
        <v>2</v>
      </c>
    </row>
    <row r="447" spans="1:19" x14ac:dyDescent="0.3">
      <c r="A447" s="88" t="s">
        <v>259</v>
      </c>
      <c r="B447" s="98"/>
      <c r="C447" s="98"/>
      <c r="D447" s="98"/>
      <c r="E447" s="98"/>
      <c r="F447" s="98"/>
      <c r="G447" s="98"/>
      <c r="H447" s="38">
        <f>(1+IF(OR(ISERR(FIND(":",G446)),ISERR(FIND("%",G446))),0,MID(G446,FIND(":",G446)+2,FIND("%",G446)-FIND(":",G446)-2)/100))*0</f>
        <v>0</v>
      </c>
      <c r="I447" s="29">
        <f>G445*H447</f>
        <v>0</v>
      </c>
      <c r="J447">
        <v>3</v>
      </c>
      <c r="K447" s="4">
        <v>0</v>
      </c>
      <c r="L447" s="4">
        <v>0</v>
      </c>
      <c r="M447" s="4">
        <f>I447-K447-L447</f>
        <v>0</v>
      </c>
    </row>
    <row r="448" spans="1:19" x14ac:dyDescent="0.3">
      <c r="A448" s="98"/>
      <c r="B448" s="98"/>
      <c r="C448" s="98"/>
      <c r="D448" s="98"/>
      <c r="E448" s="98"/>
      <c r="F448" s="98"/>
      <c r="G448" s="98"/>
      <c r="H448" s="38">
        <f>0</f>
        <v>0</v>
      </c>
      <c r="I448" s="29">
        <f>G445*H448</f>
        <v>0</v>
      </c>
      <c r="J448">
        <v>4</v>
      </c>
      <c r="N448" s="4">
        <f>IF(ISERR(SEARCH("TRA* 82",C445)),IF(Q448+R448+S448=0,0,I448*(Q448/(Q448+R448+S448))),I448)</f>
        <v>0</v>
      </c>
      <c r="O448" s="4">
        <f>IF(ISERR(SEARCH("TRA* 82",C445)),IF(Q448+R448+S448=0,0,I448*(R448/(Q448+R448+S448))),0)</f>
        <v>0</v>
      </c>
      <c r="P448" s="4">
        <f>IF(ISERR(SEARCH("TRA* 82",C445)),I448-N448-O448,0)</f>
        <v>0</v>
      </c>
      <c r="Q448" s="4">
        <v>0</v>
      </c>
      <c r="R448" s="4">
        <v>0</v>
      </c>
      <c r="S448" s="4">
        <v>0</v>
      </c>
    </row>
    <row r="449" spans="1:19" x14ac:dyDescent="0.3">
      <c r="A449" s="96" t="s">
        <v>260</v>
      </c>
      <c r="B449" s="97"/>
      <c r="C449" s="97"/>
      <c r="D449" s="97"/>
      <c r="E449" s="97"/>
      <c r="F449" s="97"/>
      <c r="G449" s="97"/>
      <c r="H449" s="36">
        <f>H445+H446+H447+H448</f>
        <v>50.091587301587303</v>
      </c>
      <c r="I449" s="74">
        <f>I445+I446+I447+I448</f>
        <v>3155.77</v>
      </c>
      <c r="J449">
        <v>5</v>
      </c>
    </row>
    <row r="450" spans="1:19" x14ac:dyDescent="0.3">
      <c r="B450" s="2">
        <v>77</v>
      </c>
      <c r="C450" s="3" t="s">
        <v>261</v>
      </c>
      <c r="D450" s="5" t="s">
        <v>29</v>
      </c>
      <c r="G450" s="30">
        <v>63</v>
      </c>
      <c r="H450" s="38">
        <f>27984.9/G450</f>
        <v>444.20476190476194</v>
      </c>
      <c r="I450" s="29">
        <f>G450*H450</f>
        <v>27984.9</v>
      </c>
      <c r="J450">
        <v>1</v>
      </c>
    </row>
    <row r="451" spans="1:19" x14ac:dyDescent="0.3">
      <c r="D451" s="15" t="str">
        <f>SUBSTITUTE("Sp.mat: 0.00%",".",IF(VALUE("1.2")=1.2,".",","),2)</f>
        <v>Sp.mat: 0.00%</v>
      </c>
      <c r="F451" s="15" t="str">
        <f>SUBSTITUTE("Sp.man: 0.00%",".",IF(VALUE("1.2")=1.2,".",","),2)</f>
        <v>Sp.man: 0.00%</v>
      </c>
      <c r="G451" s="35" t="str">
        <f>SUBSTITUTE("Sp.uti: 0.00%",".",IF(VALUE("1.2")=1.2,".",","),2)</f>
        <v>Sp.uti: 0.00%</v>
      </c>
      <c r="H451" s="38">
        <f>(1+IF(OR(ISERR(FIND(":",F451)),ISERR(FIND("%",F451))),0,MID(F451,FIND(":",F451)+2,FIND("%",F451)-FIND(":",F451)-2)/100))*0</f>
        <v>0</v>
      </c>
      <c r="I451" s="29">
        <f>G450*H451</f>
        <v>0</v>
      </c>
      <c r="J451">
        <v>2</v>
      </c>
    </row>
    <row r="452" spans="1:19" x14ac:dyDescent="0.3">
      <c r="A452" s="88" t="s">
        <v>262</v>
      </c>
      <c r="B452" s="98"/>
      <c r="C452" s="98"/>
      <c r="D452" s="98"/>
      <c r="E452" s="98"/>
      <c r="F452" s="98"/>
      <c r="G452" s="98"/>
      <c r="H452" s="38">
        <f>(1+IF(OR(ISERR(FIND(":",G451)),ISERR(FIND("%",G451))),0,MID(G451,FIND(":",G451)+2,FIND("%",G451)-FIND(":",G451)-2)/100))*0</f>
        <v>0</v>
      </c>
      <c r="I452" s="29">
        <f>G450*H452</f>
        <v>0</v>
      </c>
      <c r="J452">
        <v>3</v>
      </c>
      <c r="K452" s="4">
        <v>0</v>
      </c>
      <c r="L452" s="4">
        <v>0</v>
      </c>
      <c r="M452" s="4">
        <f>I452-K452-L452</f>
        <v>0</v>
      </c>
    </row>
    <row r="453" spans="1:19" x14ac:dyDescent="0.3">
      <c r="A453" s="98"/>
      <c r="B453" s="98"/>
      <c r="C453" s="98"/>
      <c r="D453" s="98"/>
      <c r="E453" s="98"/>
      <c r="F453" s="98"/>
      <c r="G453" s="98"/>
      <c r="H453" s="38">
        <f>0</f>
        <v>0</v>
      </c>
      <c r="I453" s="29">
        <f>G450*H453</f>
        <v>0</v>
      </c>
      <c r="J453">
        <v>4</v>
      </c>
      <c r="N453" s="4">
        <f>IF(ISERR(SEARCH("TRA* 82",C450)),IF(Q453+R453+S453=0,0,I453*(Q453/(Q453+R453+S453))),I453)</f>
        <v>0</v>
      </c>
      <c r="O453" s="4">
        <f>IF(ISERR(SEARCH("TRA* 82",C450)),IF(Q453+R453+S453=0,0,I453*(R453/(Q453+R453+S453))),0)</f>
        <v>0</v>
      </c>
      <c r="P453" s="4">
        <f>IF(ISERR(SEARCH("TRA* 82",C450)),I453-N453-O453,0)</f>
        <v>0</v>
      </c>
      <c r="Q453" s="4">
        <v>0</v>
      </c>
      <c r="R453" s="4">
        <v>0</v>
      </c>
      <c r="S453" s="4">
        <v>0</v>
      </c>
    </row>
    <row r="454" spans="1:19" x14ac:dyDescent="0.3">
      <c r="A454" s="96" t="s">
        <v>27</v>
      </c>
      <c r="B454" s="97"/>
      <c r="C454" s="97"/>
      <c r="D454" s="97"/>
      <c r="E454" s="97"/>
      <c r="F454" s="97"/>
      <c r="G454" s="97"/>
      <c r="H454" s="36">
        <f>H450+H451+H452+H453</f>
        <v>444.20476190476194</v>
      </c>
      <c r="I454" s="74">
        <f>I450+I451+I452+I453</f>
        <v>27984.9</v>
      </c>
      <c r="J454">
        <v>5</v>
      </c>
    </row>
    <row r="455" spans="1:19" x14ac:dyDescent="0.3">
      <c r="B455" s="2">
        <v>78</v>
      </c>
      <c r="C455" s="3" t="s">
        <v>263</v>
      </c>
      <c r="D455" s="5" t="s">
        <v>25</v>
      </c>
      <c r="G455" s="30">
        <v>587</v>
      </c>
      <c r="H455" s="38">
        <f>(1+IF(OR(ISERR(FIND(":",D456)),ISERR(FIND("%",D456))),0,MID(D456,FIND(":",D456)+2,FIND("%",D456)-FIND(":",D456)-2)/100))*0</f>
        <v>0</v>
      </c>
      <c r="I455" s="29">
        <f>G455*H455</f>
        <v>0</v>
      </c>
      <c r="J455">
        <v>1</v>
      </c>
    </row>
    <row r="456" spans="1:19" x14ac:dyDescent="0.3">
      <c r="D456" s="15" t="str">
        <f>SUBSTITUTE("Sp.mat: 0.00%",".",IF(VALUE("1.2")=1.2,".",","),2)</f>
        <v>Sp.mat: 0.00%</v>
      </c>
      <c r="F456" s="15" t="str">
        <f>SUBSTITUTE("Sp.man: 0.00%",".",IF(VALUE("1.2")=1.2,".",","),2)</f>
        <v>Sp.man: 0.00%</v>
      </c>
      <c r="G456" s="35" t="str">
        <f>SUBSTITUTE("Sp.uti: 0.00%",".",IF(VALUE("1.2")=1.2,".",","),2)</f>
        <v>Sp.uti: 0.00%</v>
      </c>
      <c r="H456" s="38">
        <f>470.1/G455</f>
        <v>0.80085178875638841</v>
      </c>
      <c r="I456" s="29">
        <f>G455*H456</f>
        <v>470.09999999999997</v>
      </c>
      <c r="J456">
        <v>2</v>
      </c>
    </row>
    <row r="457" spans="1:19" x14ac:dyDescent="0.3">
      <c r="A457" s="88" t="s">
        <v>264</v>
      </c>
      <c r="B457" s="98"/>
      <c r="C457" s="98"/>
      <c r="D457" s="98"/>
      <c r="E457" s="98"/>
      <c r="F457" s="98"/>
      <c r="G457" s="98"/>
      <c r="H457" s="38">
        <f>(1+IF(OR(ISERR(FIND(":",G456)),ISERR(FIND("%",G456))),0,MID(G456,FIND(":",G456)+2,FIND("%",G456)-FIND(":",G456)-2)/100))*0</f>
        <v>0</v>
      </c>
      <c r="I457" s="29">
        <f>G455*H457</f>
        <v>0</v>
      </c>
      <c r="J457">
        <v>3</v>
      </c>
      <c r="K457" s="4">
        <v>0</v>
      </c>
      <c r="L457" s="4">
        <v>0</v>
      </c>
      <c r="M457" s="4">
        <f>I457-K457-L457</f>
        <v>0</v>
      </c>
    </row>
    <row r="458" spans="1:19" x14ac:dyDescent="0.3">
      <c r="A458" s="98"/>
      <c r="B458" s="98"/>
      <c r="C458" s="98"/>
      <c r="D458" s="98"/>
      <c r="E458" s="98"/>
      <c r="F458" s="98"/>
      <c r="G458" s="98"/>
      <c r="H458" s="38">
        <f>0</f>
        <v>0</v>
      </c>
      <c r="I458" s="29">
        <f>G455*H458</f>
        <v>0</v>
      </c>
      <c r="J458">
        <v>4</v>
      </c>
      <c r="N458" s="4">
        <f>IF(ISERR(SEARCH("TRA* 82",C455)),IF(Q458+R458+S458=0,0,I458*(Q458/(Q458+R458+S458))),I458)</f>
        <v>0</v>
      </c>
      <c r="O458" s="4">
        <f>IF(ISERR(SEARCH("TRA* 82",C455)),IF(Q458+R458+S458=0,0,I458*(R458/(Q458+R458+S458))),0)</f>
        <v>0</v>
      </c>
      <c r="P458" s="4">
        <f>IF(ISERR(SEARCH("TRA* 82",C455)),I458-N458-O458,0)</f>
        <v>0</v>
      </c>
      <c r="Q458" s="4">
        <v>0</v>
      </c>
      <c r="R458" s="4">
        <v>0</v>
      </c>
      <c r="S458" s="4">
        <v>0</v>
      </c>
    </row>
    <row r="459" spans="1:19" x14ac:dyDescent="0.3">
      <c r="A459" s="96" t="s">
        <v>27</v>
      </c>
      <c r="B459" s="97"/>
      <c r="C459" s="97"/>
      <c r="D459" s="97"/>
      <c r="E459" s="97"/>
      <c r="F459" s="97"/>
      <c r="G459" s="97"/>
      <c r="H459" s="36">
        <f>H455+H456+H457+H458</f>
        <v>0.80085178875638841</v>
      </c>
      <c r="I459" s="74">
        <f>I455+I456+I457+I458</f>
        <v>470.09999999999997</v>
      </c>
      <c r="J459">
        <v>5</v>
      </c>
    </row>
    <row r="460" spans="1:19" x14ac:dyDescent="0.3">
      <c r="B460" s="2">
        <v>79</v>
      </c>
      <c r="C460" s="3" t="s">
        <v>265</v>
      </c>
      <c r="D460" s="5" t="s">
        <v>133</v>
      </c>
      <c r="G460" s="30">
        <v>58.7</v>
      </c>
      <c r="H460" s="38">
        <f>(1+IF(OR(ISERR(FIND(":",D461)),ISERR(FIND("%",D461))),0,MID(D461,FIND(":",D461)+2,FIND("%",D461)-FIND(":",D461)-2)/100))*0</f>
        <v>0</v>
      </c>
      <c r="I460" s="29">
        <f>G460*H460</f>
        <v>0</v>
      </c>
      <c r="J460">
        <v>1</v>
      </c>
    </row>
    <row r="461" spans="1:19" x14ac:dyDescent="0.3">
      <c r="D461" s="15" t="str">
        <f>SUBSTITUTE("Sp.mat: 0.00%",".",IF(VALUE("1.2")=1.2,".",","),2)</f>
        <v>Sp.mat: 0.00%</v>
      </c>
      <c r="F461" s="15" t="str">
        <f>SUBSTITUTE("Sp.man: 0.00%",".",IF(VALUE("1.2")=1.2,".",","),2)</f>
        <v>Sp.man: 0.00%</v>
      </c>
      <c r="G461" s="35" t="str">
        <f>SUBSTITUTE("Sp.uti: 0.00%",".",IF(VALUE("1.2")=1.2,".",","),2)</f>
        <v>Sp.uti: 0.00%</v>
      </c>
      <c r="H461" s="38">
        <f>103.42/G460</f>
        <v>1.7618398637137989</v>
      </c>
      <c r="I461" s="29">
        <f>G460*H461</f>
        <v>103.42</v>
      </c>
      <c r="J461">
        <v>2</v>
      </c>
    </row>
    <row r="462" spans="1:19" x14ac:dyDescent="0.3">
      <c r="A462" s="88" t="s">
        <v>266</v>
      </c>
      <c r="B462" s="98"/>
      <c r="C462" s="98"/>
      <c r="D462" s="98"/>
      <c r="E462" s="98"/>
      <c r="F462" s="98"/>
      <c r="G462" s="98"/>
      <c r="H462" s="38">
        <f>(1+IF(OR(ISERR(FIND(":",G461)),ISERR(FIND("%",G461))),0,MID(G461,FIND(":",G461)+2,FIND("%",G461)-FIND(":",G461)-2)/100))*0</f>
        <v>0</v>
      </c>
      <c r="I462" s="29">
        <f>G460*H462</f>
        <v>0</v>
      </c>
      <c r="J462">
        <v>3</v>
      </c>
      <c r="K462" s="4">
        <v>0</v>
      </c>
      <c r="L462" s="4">
        <v>0</v>
      </c>
      <c r="M462" s="4">
        <f>I462-K462-L462</f>
        <v>0</v>
      </c>
    </row>
    <row r="463" spans="1:19" x14ac:dyDescent="0.3">
      <c r="A463" s="98"/>
      <c r="B463" s="98"/>
      <c r="C463" s="98"/>
      <c r="D463" s="98"/>
      <c r="E463" s="98"/>
      <c r="F463" s="98"/>
      <c r="G463" s="98"/>
      <c r="H463" s="38">
        <f>0</f>
        <v>0</v>
      </c>
      <c r="I463" s="29">
        <f>G460*H463</f>
        <v>0</v>
      </c>
      <c r="J463">
        <v>4</v>
      </c>
      <c r="N463" s="4">
        <f>IF(ISERR(SEARCH("TRA* 82",C460)),IF(Q463+R463+S463=0,0,I463*(Q463/(Q463+R463+S463))),I463)</f>
        <v>0</v>
      </c>
      <c r="O463" s="4">
        <f>IF(ISERR(SEARCH("TRA* 82",C460)),IF(Q463+R463+S463=0,0,I463*(R463/(Q463+R463+S463))),0)</f>
        <v>0</v>
      </c>
      <c r="P463" s="4">
        <f>IF(ISERR(SEARCH("TRA* 82",C460)),I463-N463-O463,0)</f>
        <v>0</v>
      </c>
      <c r="Q463" s="4">
        <v>0</v>
      </c>
      <c r="R463" s="4">
        <v>0</v>
      </c>
      <c r="S463" s="4">
        <v>0</v>
      </c>
    </row>
    <row r="464" spans="1:19" x14ac:dyDescent="0.3">
      <c r="A464" s="96" t="s">
        <v>27</v>
      </c>
      <c r="B464" s="97"/>
      <c r="C464" s="97"/>
      <c r="D464" s="97"/>
      <c r="E464" s="97"/>
      <c r="F464" s="97"/>
      <c r="G464" s="97"/>
      <c r="H464" s="36">
        <f>H460+H461+H462+H463</f>
        <v>1.7618398637137989</v>
      </c>
      <c r="I464" s="74">
        <f>I460+I461+I462+I463</f>
        <v>103.42</v>
      </c>
      <c r="J464">
        <v>5</v>
      </c>
    </row>
    <row r="465" spans="1:19" x14ac:dyDescent="0.3">
      <c r="B465" s="2">
        <v>80</v>
      </c>
      <c r="C465" s="3" t="s">
        <v>267</v>
      </c>
      <c r="D465" s="5" t="s">
        <v>29</v>
      </c>
      <c r="G465" s="30">
        <v>30</v>
      </c>
      <c r="H465" s="38">
        <f>588.46/G465</f>
        <v>19.615333333333336</v>
      </c>
      <c r="I465" s="29">
        <f>G465*H465</f>
        <v>588.46</v>
      </c>
      <c r="J465">
        <v>1</v>
      </c>
    </row>
    <row r="466" spans="1:19" x14ac:dyDescent="0.3">
      <c r="D466" s="15" t="str">
        <f>SUBSTITUTE("Sp.mat: 0.00%",".",IF(VALUE("1.2")=1.2,".",","),2)</f>
        <v>Sp.mat: 0.00%</v>
      </c>
      <c r="F466" s="15" t="str">
        <f>SUBSTITUTE("Sp.man: 0.00%",".",IF(VALUE("1.2")=1.2,".",","),2)</f>
        <v>Sp.man: 0.00%</v>
      </c>
      <c r="G466" s="35" t="str">
        <f>SUBSTITUTE("Sp.uti: 0.00%",".",IF(VALUE("1.2")=1.2,".",","),2)</f>
        <v>Sp.uti: 0.00%</v>
      </c>
      <c r="H466" s="38">
        <f>197.01/G465</f>
        <v>6.5669999999999993</v>
      </c>
      <c r="I466" s="29">
        <f>G465*H466</f>
        <v>197.01</v>
      </c>
      <c r="J466">
        <v>2</v>
      </c>
    </row>
    <row r="467" spans="1:19" x14ac:dyDescent="0.3">
      <c r="A467" s="88" t="s">
        <v>268</v>
      </c>
      <c r="B467" s="98"/>
      <c r="C467" s="98"/>
      <c r="D467" s="98"/>
      <c r="E467" s="98"/>
      <c r="F467" s="98"/>
      <c r="G467" s="98"/>
      <c r="H467" s="38">
        <f>(1+IF(OR(ISERR(FIND(":",G466)),ISERR(FIND("%",G466))),0,MID(G466,FIND(":",G466)+2,FIND("%",G466)-FIND(":",G466)-2)/100))*0</f>
        <v>0</v>
      </c>
      <c r="I467" s="29">
        <f>G465*H467</f>
        <v>0</v>
      </c>
      <c r="J467">
        <v>3</v>
      </c>
      <c r="K467" s="4">
        <v>0</v>
      </c>
      <c r="L467" s="4">
        <v>0</v>
      </c>
      <c r="M467" s="4">
        <f>I467-K467-L467</f>
        <v>0</v>
      </c>
    </row>
    <row r="468" spans="1:19" x14ac:dyDescent="0.3">
      <c r="A468" s="98"/>
      <c r="B468" s="98"/>
      <c r="C468" s="98"/>
      <c r="D468" s="98"/>
      <c r="E468" s="98"/>
      <c r="F468" s="98"/>
      <c r="G468" s="98"/>
      <c r="H468" s="38">
        <f>0</f>
        <v>0</v>
      </c>
      <c r="I468" s="29">
        <f>G465*H468</f>
        <v>0</v>
      </c>
      <c r="J468">
        <v>4</v>
      </c>
      <c r="N468" s="4">
        <f>IF(ISERR(SEARCH("TRA* 82",C465)),IF(Q468+R468+S468=0,0,I468*(Q468/(Q468+R468+S468))),I468)</f>
        <v>0</v>
      </c>
      <c r="O468" s="4">
        <f>IF(ISERR(SEARCH("TRA* 82",C465)),IF(Q468+R468+S468=0,0,I468*(R468/(Q468+R468+S468))),0)</f>
        <v>0</v>
      </c>
      <c r="P468" s="4">
        <f>IF(ISERR(SEARCH("TRA* 82",C465)),I468-N468-O468,0)</f>
        <v>0</v>
      </c>
      <c r="Q468" s="4">
        <v>0</v>
      </c>
      <c r="R468" s="4">
        <v>0</v>
      </c>
      <c r="S468" s="4">
        <v>0</v>
      </c>
    </row>
    <row r="469" spans="1:19" x14ac:dyDescent="0.3">
      <c r="A469" s="96" t="s">
        <v>27</v>
      </c>
      <c r="B469" s="97"/>
      <c r="C469" s="97"/>
      <c r="D469" s="97"/>
      <c r="E469" s="97"/>
      <c r="F469" s="97"/>
      <c r="G469" s="97"/>
      <c r="H469" s="36">
        <f>H465+H466+H467+H468</f>
        <v>26.182333333333336</v>
      </c>
      <c r="I469" s="74">
        <f>I465+I466+I467+I468</f>
        <v>785.47</v>
      </c>
      <c r="J469">
        <v>5</v>
      </c>
    </row>
    <row r="470" spans="1:19" x14ac:dyDescent="0.3">
      <c r="B470" s="2">
        <v>81</v>
      </c>
      <c r="C470" s="3" t="s">
        <v>269</v>
      </c>
      <c r="D470" s="5" t="s">
        <v>25</v>
      </c>
      <c r="G470" s="30">
        <v>128</v>
      </c>
      <c r="H470" s="38">
        <f>1681.39/G470</f>
        <v>13.135859375000001</v>
      </c>
      <c r="I470" s="29">
        <f>G470*H470</f>
        <v>1681.39</v>
      </c>
      <c r="J470">
        <v>1</v>
      </c>
    </row>
    <row r="471" spans="1:19" x14ac:dyDescent="0.3">
      <c r="D471" s="15" t="str">
        <f>SUBSTITUTE("Sp.mat: 0.00%",".",IF(VALUE("1.2")=1.2,".",","),2)</f>
        <v>Sp.mat: 0.00%</v>
      </c>
      <c r="F471" s="15" t="str">
        <f>SUBSTITUTE("Sp.man: 0.00%",".",IF(VALUE("1.2")=1.2,".",","),2)</f>
        <v>Sp.man: 0.00%</v>
      </c>
      <c r="G471" s="35" t="str">
        <f>SUBSTITUTE("Sp.uti: 0.00%",".",IF(VALUE("1.2")=1.2,".",","),2)</f>
        <v>Sp.uti: 0.00%</v>
      </c>
      <c r="H471" s="38">
        <f>861.07/G470</f>
        <v>6.7271093750000004</v>
      </c>
      <c r="I471" s="29">
        <f>G470*H471</f>
        <v>861.07</v>
      </c>
      <c r="J471">
        <v>2</v>
      </c>
    </row>
    <row r="472" spans="1:19" x14ac:dyDescent="0.3">
      <c r="A472" s="88" t="s">
        <v>270</v>
      </c>
      <c r="B472" s="98"/>
      <c r="C472" s="98"/>
      <c r="D472" s="98"/>
      <c r="E472" s="98"/>
      <c r="F472" s="98"/>
      <c r="G472" s="98"/>
      <c r="H472" s="38">
        <f>(1+IF(OR(ISERR(FIND(":",G471)),ISERR(FIND("%",G471))),0,MID(G471,FIND(":",G471)+2,FIND("%",G471)-FIND(":",G471)-2)/100))*0</f>
        <v>0</v>
      </c>
      <c r="I472" s="29">
        <f>G470*H472</f>
        <v>0</v>
      </c>
      <c r="J472">
        <v>3</v>
      </c>
      <c r="K472" s="4">
        <v>0</v>
      </c>
      <c r="L472" s="4">
        <v>0</v>
      </c>
      <c r="M472" s="4">
        <f>I472-K472-L472</f>
        <v>0</v>
      </c>
    </row>
    <row r="473" spans="1:19" x14ac:dyDescent="0.3">
      <c r="A473" s="98"/>
      <c r="B473" s="98"/>
      <c r="C473" s="98"/>
      <c r="D473" s="98"/>
      <c r="E473" s="98"/>
      <c r="F473" s="98"/>
      <c r="G473" s="98"/>
      <c r="H473" s="38">
        <f>0</f>
        <v>0</v>
      </c>
      <c r="I473" s="29">
        <f>G470*H473</f>
        <v>0</v>
      </c>
      <c r="J473">
        <v>4</v>
      </c>
      <c r="N473" s="4">
        <f>IF(ISERR(SEARCH("TRA* 82",C470)),IF(Q473+R473+S473=0,0,I473*(Q473/(Q473+R473+S473))),I473)</f>
        <v>0</v>
      </c>
      <c r="O473" s="4">
        <f>IF(ISERR(SEARCH("TRA* 82",C470)),IF(Q473+R473+S473=0,0,I473*(R473/(Q473+R473+S473))),0)</f>
        <v>0</v>
      </c>
      <c r="P473" s="4">
        <f>IF(ISERR(SEARCH("TRA* 82",C470)),I473-N473-O473,0)</f>
        <v>0</v>
      </c>
      <c r="Q473" s="4">
        <v>0</v>
      </c>
      <c r="R473" s="4">
        <v>0</v>
      </c>
      <c r="S473" s="4">
        <v>0</v>
      </c>
    </row>
    <row r="474" spans="1:19" x14ac:dyDescent="0.3">
      <c r="A474" s="96" t="s">
        <v>271</v>
      </c>
      <c r="B474" s="97"/>
      <c r="C474" s="97"/>
      <c r="D474" s="97"/>
      <c r="E474" s="97"/>
      <c r="F474" s="97"/>
      <c r="G474" s="97"/>
      <c r="H474" s="36">
        <f>H470+H471+H472+H473</f>
        <v>19.86296875</v>
      </c>
      <c r="I474" s="74">
        <f>I470+I471+I472+I473</f>
        <v>2542.46</v>
      </c>
      <c r="J474">
        <v>5</v>
      </c>
    </row>
    <row r="475" spans="1:19" x14ac:dyDescent="0.3">
      <c r="B475" s="2">
        <v>82</v>
      </c>
      <c r="C475" s="3" t="s">
        <v>272</v>
      </c>
      <c r="D475" s="5" t="s">
        <v>25</v>
      </c>
      <c r="G475" s="30">
        <v>26</v>
      </c>
      <c r="H475" s="38">
        <f>327.99/G475</f>
        <v>12.615</v>
      </c>
      <c r="I475" s="29">
        <f>G475*H475</f>
        <v>327.99</v>
      </c>
      <c r="J475">
        <v>1</v>
      </c>
    </row>
    <row r="476" spans="1:19" x14ac:dyDescent="0.3">
      <c r="D476" s="15" t="str">
        <f>SUBSTITUTE("Sp.mat: 0.00%",".",IF(VALUE("1.2")=1.2,".",","),2)</f>
        <v>Sp.mat: 0.00%</v>
      </c>
      <c r="F476" s="15" t="str">
        <f>SUBSTITUTE("Sp.man: 0.00%",".",IF(VALUE("1.2")=1.2,".",","),2)</f>
        <v>Sp.man: 0.00%</v>
      </c>
      <c r="G476" s="35" t="str">
        <f>SUBSTITUTE("Sp.uti: 0.00%",".",IF(VALUE("1.2")=1.2,".",","),2)</f>
        <v>Sp.uti: 0.00%</v>
      </c>
      <c r="H476" s="38">
        <f>187.4/G475</f>
        <v>7.2076923076923078</v>
      </c>
      <c r="I476" s="29">
        <f>G475*H476</f>
        <v>187.4</v>
      </c>
      <c r="J476">
        <v>2</v>
      </c>
    </row>
    <row r="477" spans="1:19" x14ac:dyDescent="0.3">
      <c r="A477" s="88" t="s">
        <v>273</v>
      </c>
      <c r="B477" s="98"/>
      <c r="C477" s="98"/>
      <c r="D477" s="98"/>
      <c r="E477" s="98"/>
      <c r="F477" s="98"/>
      <c r="G477" s="98"/>
      <c r="H477" s="38">
        <f>(1+IF(OR(ISERR(FIND(":",G476)),ISERR(FIND("%",G476))),0,MID(G476,FIND(":",G476)+2,FIND("%",G476)-FIND(":",G476)-2)/100))*0</f>
        <v>0</v>
      </c>
      <c r="I477" s="29">
        <f>G475*H477</f>
        <v>0</v>
      </c>
      <c r="J477">
        <v>3</v>
      </c>
      <c r="K477" s="4">
        <v>0</v>
      </c>
      <c r="L477" s="4">
        <v>0</v>
      </c>
      <c r="M477" s="4">
        <f>I477-K477-L477</f>
        <v>0</v>
      </c>
    </row>
    <row r="478" spans="1:19" x14ac:dyDescent="0.3">
      <c r="A478" s="98"/>
      <c r="B478" s="98"/>
      <c r="C478" s="98"/>
      <c r="D478" s="98"/>
      <c r="E478" s="98"/>
      <c r="F478" s="98"/>
      <c r="G478" s="98"/>
      <c r="H478" s="38">
        <f>0</f>
        <v>0</v>
      </c>
      <c r="I478" s="29">
        <f>G475*H478</f>
        <v>0</v>
      </c>
      <c r="J478">
        <v>4</v>
      </c>
      <c r="N478" s="4">
        <f>IF(ISERR(SEARCH("TRA* 82",C475)),IF(Q478+R478+S478=0,0,I478*(Q478/(Q478+R478+S478))),I478)</f>
        <v>0</v>
      </c>
      <c r="O478" s="4">
        <f>IF(ISERR(SEARCH("TRA* 82",C475)),IF(Q478+R478+S478=0,0,I478*(R478/(Q478+R478+S478))),0)</f>
        <v>0</v>
      </c>
      <c r="P478" s="4">
        <f>IF(ISERR(SEARCH("TRA* 82",C475)),I478-N478-O478,0)</f>
        <v>0</v>
      </c>
      <c r="Q478" s="4">
        <v>0</v>
      </c>
      <c r="R478" s="4">
        <v>0</v>
      </c>
      <c r="S478" s="4">
        <v>0</v>
      </c>
    </row>
    <row r="479" spans="1:19" x14ac:dyDescent="0.3">
      <c r="A479" s="96" t="s">
        <v>271</v>
      </c>
      <c r="B479" s="97"/>
      <c r="C479" s="97"/>
      <c r="D479" s="97"/>
      <c r="E479" s="97"/>
      <c r="F479" s="97"/>
      <c r="G479" s="97"/>
      <c r="H479" s="36">
        <f>H475+H476+H477+H478</f>
        <v>19.822692307692307</v>
      </c>
      <c r="I479" s="74">
        <f>I475+I476+I477+I478</f>
        <v>515.39</v>
      </c>
      <c r="J479">
        <v>5</v>
      </c>
    </row>
    <row r="480" spans="1:19" x14ac:dyDescent="0.3">
      <c r="B480" s="2">
        <v>83</v>
      </c>
      <c r="C480" s="3" t="s">
        <v>274</v>
      </c>
      <c r="D480" s="5" t="s">
        <v>25</v>
      </c>
      <c r="G480" s="30">
        <v>97</v>
      </c>
      <c r="H480" s="38">
        <f>1740.37/G480</f>
        <v>17.941958762886596</v>
      </c>
      <c r="I480" s="29">
        <f>G480*H480</f>
        <v>1740.37</v>
      </c>
      <c r="J480">
        <v>1</v>
      </c>
    </row>
    <row r="481" spans="1:19" x14ac:dyDescent="0.3">
      <c r="D481" s="15" t="str">
        <f>SUBSTITUTE("Sp.mat: 0.00%",".",IF(VALUE("1.2")=1.2,".",","),2)</f>
        <v>Sp.mat: 0.00%</v>
      </c>
      <c r="F481" s="15" t="str">
        <f>SUBSTITUTE("Sp.man: 0.00%",".",IF(VALUE("1.2")=1.2,".",","),2)</f>
        <v>Sp.man: 0.00%</v>
      </c>
      <c r="G481" s="35" t="str">
        <f>SUBSTITUTE("Sp.uti: 0.00%",".",IF(VALUE("1.2")=1.2,".",","),2)</f>
        <v>Sp.uti: 0.00%</v>
      </c>
      <c r="H481" s="38">
        <f>792.36/G480</f>
        <v>8.1686597938144327</v>
      </c>
      <c r="I481" s="29">
        <f>G480*H481</f>
        <v>792.36</v>
      </c>
      <c r="J481">
        <v>2</v>
      </c>
    </row>
    <row r="482" spans="1:19" x14ac:dyDescent="0.3">
      <c r="A482" s="88" t="s">
        <v>275</v>
      </c>
      <c r="B482" s="98"/>
      <c r="C482" s="98"/>
      <c r="D482" s="98"/>
      <c r="E482" s="98"/>
      <c r="F482" s="98"/>
      <c r="G482" s="98"/>
      <c r="H482" s="38">
        <f>(1+IF(OR(ISERR(FIND(":",G481)),ISERR(FIND("%",G481))),0,MID(G481,FIND(":",G481)+2,FIND("%",G481)-FIND(":",G481)-2)/100))*0</f>
        <v>0</v>
      </c>
      <c r="I482" s="29">
        <f>G480*H482</f>
        <v>0</v>
      </c>
      <c r="J482">
        <v>3</v>
      </c>
      <c r="K482" s="4">
        <v>0</v>
      </c>
      <c r="L482" s="4">
        <v>0</v>
      </c>
      <c r="M482" s="4">
        <f>I482-K482-L482</f>
        <v>0</v>
      </c>
    </row>
    <row r="483" spans="1:19" x14ac:dyDescent="0.3">
      <c r="A483" s="98"/>
      <c r="B483" s="98"/>
      <c r="C483" s="98"/>
      <c r="D483" s="98"/>
      <c r="E483" s="98"/>
      <c r="F483" s="98"/>
      <c r="G483" s="98"/>
      <c r="H483" s="38">
        <f>0</f>
        <v>0</v>
      </c>
      <c r="I483" s="29">
        <f>G480*H483</f>
        <v>0</v>
      </c>
      <c r="J483">
        <v>4</v>
      </c>
      <c r="N483" s="4">
        <f>IF(ISERR(SEARCH("TRA* 82",C480)),IF(Q483+R483+S483=0,0,I483*(Q483/(Q483+R483+S483))),I483)</f>
        <v>0</v>
      </c>
      <c r="O483" s="4">
        <f>IF(ISERR(SEARCH("TRA* 82",C480)),IF(Q483+R483+S483=0,0,I483*(R483/(Q483+R483+S483))),0)</f>
        <v>0</v>
      </c>
      <c r="P483" s="4">
        <f>IF(ISERR(SEARCH("TRA* 82",C480)),I483-N483-O483,0)</f>
        <v>0</v>
      </c>
      <c r="Q483" s="4">
        <v>0</v>
      </c>
      <c r="R483" s="4">
        <v>0</v>
      </c>
      <c r="S483" s="4">
        <v>0</v>
      </c>
    </row>
    <row r="484" spans="1:19" x14ac:dyDescent="0.3">
      <c r="A484" s="96" t="s">
        <v>271</v>
      </c>
      <c r="B484" s="97"/>
      <c r="C484" s="97"/>
      <c r="D484" s="97"/>
      <c r="E484" s="97"/>
      <c r="F484" s="97"/>
      <c r="G484" s="97"/>
      <c r="H484" s="36">
        <f>H480+H481+H482+H483</f>
        <v>26.110618556701027</v>
      </c>
      <c r="I484" s="74">
        <f>I480+I481+I482+I483</f>
        <v>2532.73</v>
      </c>
      <c r="J484">
        <v>5</v>
      </c>
    </row>
    <row r="485" spans="1:19" x14ac:dyDescent="0.3">
      <c r="B485" s="2">
        <v>84</v>
      </c>
      <c r="C485" s="3" t="s">
        <v>119</v>
      </c>
      <c r="D485" s="5" t="s">
        <v>25</v>
      </c>
      <c r="G485" s="30">
        <v>73</v>
      </c>
      <c r="H485" s="38">
        <f>828.23/G485</f>
        <v>11.345616438356165</v>
      </c>
      <c r="I485" s="29">
        <f>G485*H485</f>
        <v>828.23</v>
      </c>
      <c r="J485">
        <v>1</v>
      </c>
    </row>
    <row r="486" spans="1:19" x14ac:dyDescent="0.3">
      <c r="D486" s="15" t="str">
        <f>SUBSTITUTE("Sp.mat: 0.00%",".",IF(VALUE("1.2")=1.2,".",","),2)</f>
        <v>Sp.mat: 0.00%</v>
      </c>
      <c r="F486" s="15" t="str">
        <f>SUBSTITUTE("Sp.man: 0.00%",".",IF(VALUE("1.2")=1.2,".",","),2)</f>
        <v>Sp.man: 0.00%</v>
      </c>
      <c r="G486" s="35" t="str">
        <f>SUBSTITUTE("Sp.uti: 0.00%",".",IF(VALUE("1.2")=1.2,".",","),2)</f>
        <v>Sp.uti: 0.00%</v>
      </c>
      <c r="H486" s="38">
        <f>222.16/G485</f>
        <v>3.0432876712328767</v>
      </c>
      <c r="I486" s="29">
        <f>G485*H486</f>
        <v>222.16</v>
      </c>
      <c r="J486">
        <v>2</v>
      </c>
    </row>
    <row r="487" spans="1:19" x14ac:dyDescent="0.3">
      <c r="A487" s="88" t="s">
        <v>120</v>
      </c>
      <c r="B487" s="98"/>
      <c r="C487" s="98"/>
      <c r="D487" s="98"/>
      <c r="E487" s="98"/>
      <c r="F487" s="98"/>
      <c r="G487" s="98"/>
      <c r="H487" s="38">
        <f>0.1/G485</f>
        <v>1.3698630136986301E-3</v>
      </c>
      <c r="I487" s="29">
        <f>G485*H487</f>
        <v>0.1</v>
      </c>
      <c r="J487">
        <v>3</v>
      </c>
      <c r="K487" s="4">
        <v>0.18615000000000001</v>
      </c>
      <c r="L487" s="4">
        <v>0</v>
      </c>
      <c r="M487" s="4">
        <f>I487-K487-L487</f>
        <v>-8.6150000000000004E-2</v>
      </c>
    </row>
    <row r="488" spans="1:19" x14ac:dyDescent="0.3">
      <c r="A488" s="98"/>
      <c r="B488" s="98"/>
      <c r="C488" s="98"/>
      <c r="D488" s="98"/>
      <c r="E488" s="98"/>
      <c r="F488" s="98"/>
      <c r="G488" s="98"/>
      <c r="H488" s="38">
        <f>0</f>
        <v>0</v>
      </c>
      <c r="I488" s="29">
        <f>G485*H488</f>
        <v>0</v>
      </c>
      <c r="J488">
        <v>4</v>
      </c>
      <c r="N488" s="4">
        <f>IF(ISERR(SEARCH("TRA* 82",C485)),IF(Q488+R488+S488=0,0,I488*(Q488/(Q488+R488+S488))),I488)</f>
        <v>0</v>
      </c>
      <c r="O488" s="4">
        <f>IF(ISERR(SEARCH("TRA* 82",C485)),IF(Q488+R488+S488=0,0,I488*(R488/(Q488+R488+S488))),0)</f>
        <v>0</v>
      </c>
      <c r="P488" s="4">
        <f>IF(ISERR(SEARCH("TRA* 82",C485)),I488-N488-O488,0)</f>
        <v>0</v>
      </c>
      <c r="Q488" s="4">
        <v>0</v>
      </c>
      <c r="R488" s="4">
        <v>0</v>
      </c>
      <c r="S488" s="4">
        <v>0</v>
      </c>
    </row>
    <row r="489" spans="1:19" x14ac:dyDescent="0.3">
      <c r="A489" s="100" t="s">
        <v>27</v>
      </c>
      <c r="B489" s="101"/>
      <c r="C489" s="101"/>
      <c r="D489" s="101"/>
      <c r="E489" s="101"/>
      <c r="F489" s="101"/>
      <c r="G489" s="101"/>
      <c r="H489" s="33">
        <f>H485+H486+H487+H488</f>
        <v>14.39027397260274</v>
      </c>
      <c r="I489" s="37">
        <f>I485+I486+I487+I488</f>
        <v>1050.49</v>
      </c>
      <c r="J489">
        <v>5</v>
      </c>
    </row>
    <row r="490" spans="1:19" x14ac:dyDescent="0.3">
      <c r="A490" s="99" t="s">
        <v>121</v>
      </c>
      <c r="B490" s="99"/>
      <c r="C490" s="99"/>
      <c r="D490" s="99"/>
      <c r="E490" s="99"/>
      <c r="F490" s="99"/>
      <c r="G490" s="99"/>
      <c r="H490" s="99"/>
      <c r="I490" s="99"/>
    </row>
    <row r="491" spans="1:19" x14ac:dyDescent="0.3">
      <c r="B491" s="2">
        <v>85</v>
      </c>
      <c r="C491" s="3" t="s">
        <v>122</v>
      </c>
      <c r="D491" s="5" t="s">
        <v>25</v>
      </c>
      <c r="G491" s="30">
        <v>28</v>
      </c>
      <c r="H491" s="38">
        <f>604.77/G491</f>
        <v>21.598928571428569</v>
      </c>
      <c r="I491" s="29">
        <f>G491*H491</f>
        <v>604.77</v>
      </c>
      <c r="J491">
        <v>1</v>
      </c>
    </row>
    <row r="492" spans="1:19" x14ac:dyDescent="0.3">
      <c r="D492" s="15" t="str">
        <f>SUBSTITUTE("Sp.mat: 0.00%",".",IF(VALUE("1.2")=1.2,".",","),2)</f>
        <v>Sp.mat: 0.00%</v>
      </c>
      <c r="F492" s="15" t="str">
        <f>SUBSTITUTE("Sp.man: 0.00%",".",IF(VALUE("1.2")=1.2,".",","),2)</f>
        <v>Sp.man: 0.00%</v>
      </c>
      <c r="G492" s="35" t="str">
        <f>SUBSTITUTE("Sp.uti: 0.00%",".",IF(VALUE("1.2")=1.2,".",","),2)</f>
        <v>Sp.uti: 0.00%</v>
      </c>
      <c r="H492" s="38">
        <f>98.66/G491</f>
        <v>3.5235714285714286</v>
      </c>
      <c r="I492" s="29">
        <f>G491*H492</f>
        <v>98.66</v>
      </c>
      <c r="J492">
        <v>2</v>
      </c>
    </row>
    <row r="493" spans="1:19" x14ac:dyDescent="0.3">
      <c r="A493" s="88" t="s">
        <v>123</v>
      </c>
      <c r="B493" s="98"/>
      <c r="C493" s="98"/>
      <c r="D493" s="98"/>
      <c r="E493" s="98"/>
      <c r="F493" s="98"/>
      <c r="G493" s="98"/>
      <c r="H493" s="38">
        <f>0.04/G491</f>
        <v>1.4285714285714286E-3</v>
      </c>
      <c r="I493" s="29">
        <f>G491*H493</f>
        <v>0.04</v>
      </c>
      <c r="J493">
        <v>3</v>
      </c>
      <c r="K493" s="4">
        <v>7.1400000000000005E-2</v>
      </c>
      <c r="L493" s="4">
        <v>0</v>
      </c>
      <c r="M493" s="4">
        <f>I493-K493-L493</f>
        <v>-3.1400000000000004E-2</v>
      </c>
    </row>
    <row r="494" spans="1:19" x14ac:dyDescent="0.3">
      <c r="A494" s="98"/>
      <c r="B494" s="98"/>
      <c r="C494" s="98"/>
      <c r="D494" s="98"/>
      <c r="E494" s="98"/>
      <c r="F494" s="98"/>
      <c r="G494" s="98"/>
      <c r="H494" s="38">
        <f>0</f>
        <v>0</v>
      </c>
      <c r="I494" s="29">
        <f>G491*H494</f>
        <v>0</v>
      </c>
      <c r="J494">
        <v>4</v>
      </c>
      <c r="N494" s="4">
        <f>IF(ISERR(SEARCH("TRA* 82",C491)),IF(Q494+R494+S494=0,0,I494*(Q494/(Q494+R494+S494))),I494)</f>
        <v>0</v>
      </c>
      <c r="O494" s="4">
        <f>IF(ISERR(SEARCH("TRA* 82",C491)),IF(Q494+R494+S494=0,0,I494*(R494/(Q494+R494+S494))),0)</f>
        <v>0</v>
      </c>
      <c r="P494" s="4">
        <f>IF(ISERR(SEARCH("TRA* 82",C491)),I494-N494-O494,0)</f>
        <v>0</v>
      </c>
      <c r="Q494" s="4">
        <v>0</v>
      </c>
      <c r="R494" s="4">
        <v>0</v>
      </c>
      <c r="S494" s="4">
        <v>0</v>
      </c>
    </row>
    <row r="495" spans="1:19" x14ac:dyDescent="0.3">
      <c r="A495" s="100" t="s">
        <v>27</v>
      </c>
      <c r="B495" s="101"/>
      <c r="C495" s="101"/>
      <c r="D495" s="101"/>
      <c r="E495" s="101"/>
      <c r="F495" s="101"/>
      <c r="G495" s="101"/>
      <c r="H495" s="33">
        <f>H491+H492+H493+H494</f>
        <v>25.123928571428571</v>
      </c>
      <c r="I495" s="37">
        <f>I491+I492+I493+I494</f>
        <v>703.46999999999991</v>
      </c>
      <c r="J495">
        <v>5</v>
      </c>
    </row>
    <row r="496" spans="1:19" x14ac:dyDescent="0.3">
      <c r="A496" s="99" t="s">
        <v>124</v>
      </c>
      <c r="B496" s="99"/>
      <c r="C496" s="99"/>
      <c r="D496" s="99"/>
      <c r="E496" s="99"/>
      <c r="F496" s="99"/>
      <c r="G496" s="99"/>
      <c r="H496" s="99"/>
      <c r="I496" s="99"/>
    </row>
    <row r="497" spans="1:19" x14ac:dyDescent="0.3">
      <c r="B497" s="2">
        <v>86</v>
      </c>
      <c r="C497" s="3" t="s">
        <v>125</v>
      </c>
      <c r="D497" s="5" t="s">
        <v>25</v>
      </c>
      <c r="G497" s="30">
        <v>37</v>
      </c>
      <c r="H497" s="38">
        <f>2592.74/G497</f>
        <v>70.074054054054045</v>
      </c>
      <c r="I497" s="29">
        <f>G497*H497</f>
        <v>2592.7399999999998</v>
      </c>
      <c r="J497">
        <v>1</v>
      </c>
    </row>
    <row r="498" spans="1:19" x14ac:dyDescent="0.3">
      <c r="D498" s="15" t="str">
        <f>SUBSTITUTE("Sp.mat: 0.00%",".",IF(VALUE("1.2")=1.2,".",","),2)</f>
        <v>Sp.mat: 0.00%</v>
      </c>
      <c r="F498" s="15" t="str">
        <f>SUBSTITUTE("Sp.man: 0.00%",".",IF(VALUE("1.2")=1.2,".",","),2)</f>
        <v>Sp.man: 0.00%</v>
      </c>
      <c r="G498" s="35" t="str">
        <f>SUBSTITUTE("Sp.uti: 0.00%",".",IF(VALUE("1.2")=1.2,".",","),2)</f>
        <v>Sp.uti: 0.00%</v>
      </c>
      <c r="H498" s="38">
        <f>142.23/G497</f>
        <v>3.844054054054054</v>
      </c>
      <c r="I498" s="29">
        <f>G497*H498</f>
        <v>142.22999999999999</v>
      </c>
      <c r="J498">
        <v>2</v>
      </c>
    </row>
    <row r="499" spans="1:19" x14ac:dyDescent="0.3">
      <c r="A499" s="88" t="s">
        <v>276</v>
      </c>
      <c r="B499" s="98"/>
      <c r="C499" s="98"/>
      <c r="D499" s="98"/>
      <c r="E499" s="98"/>
      <c r="F499" s="98"/>
      <c r="G499" s="98"/>
      <c r="H499" s="38">
        <f>0.1/G497</f>
        <v>2.7027027027027029E-3</v>
      </c>
      <c r="I499" s="29">
        <f>G497*H499</f>
        <v>0.1</v>
      </c>
      <c r="J499">
        <v>3</v>
      </c>
      <c r="K499" s="4">
        <v>0.18870000000000001</v>
      </c>
      <c r="L499" s="4">
        <v>0</v>
      </c>
      <c r="M499" s="4">
        <f>I499-K499-L499</f>
        <v>-8.8700000000000001E-2</v>
      </c>
    </row>
    <row r="500" spans="1:19" x14ac:dyDescent="0.3">
      <c r="A500" s="98"/>
      <c r="B500" s="98"/>
      <c r="C500" s="98"/>
      <c r="D500" s="98"/>
      <c r="E500" s="98"/>
      <c r="F500" s="98"/>
      <c r="G500" s="98"/>
      <c r="H500" s="38">
        <f>0</f>
        <v>0</v>
      </c>
      <c r="I500" s="29">
        <f>G497*H500</f>
        <v>0</v>
      </c>
      <c r="J500">
        <v>4</v>
      </c>
      <c r="N500" s="4">
        <f>IF(ISERR(SEARCH("TRA* 82",C497)),IF(Q500+R500+S500=0,0,I500*(Q500/(Q500+R500+S500))),I500)</f>
        <v>0</v>
      </c>
      <c r="O500" s="4">
        <f>IF(ISERR(SEARCH("TRA* 82",C497)),IF(Q500+R500+S500=0,0,I500*(R500/(Q500+R500+S500))),0)</f>
        <v>0</v>
      </c>
      <c r="P500" s="4">
        <f>IF(ISERR(SEARCH("TRA* 82",C497)),I500-N500-O500,0)</f>
        <v>0</v>
      </c>
      <c r="Q500" s="4">
        <v>0</v>
      </c>
      <c r="R500" s="4">
        <v>0</v>
      </c>
      <c r="S500" s="4">
        <v>0</v>
      </c>
    </row>
    <row r="501" spans="1:19" x14ac:dyDescent="0.3">
      <c r="A501" s="100" t="s">
        <v>87</v>
      </c>
      <c r="B501" s="101"/>
      <c r="C501" s="101"/>
      <c r="D501" s="101"/>
      <c r="E501" s="101"/>
      <c r="F501" s="101"/>
      <c r="G501" s="101"/>
      <c r="H501" s="33">
        <f>H497+H498+H499+H500</f>
        <v>73.920810810810806</v>
      </c>
      <c r="I501" s="37">
        <f>I497+I498+I499+I500</f>
        <v>2735.0699999999997</v>
      </c>
      <c r="J501">
        <v>5</v>
      </c>
    </row>
    <row r="502" spans="1:19" x14ac:dyDescent="0.3">
      <c r="A502" s="99" t="s">
        <v>127</v>
      </c>
      <c r="B502" s="99"/>
      <c r="C502" s="99"/>
      <c r="D502" s="99"/>
      <c r="E502" s="99"/>
      <c r="F502" s="99"/>
      <c r="G502" s="99"/>
      <c r="H502" s="99"/>
      <c r="I502" s="99"/>
    </row>
    <row r="503" spans="1:19" x14ac:dyDescent="0.3">
      <c r="B503" s="2">
        <v>87</v>
      </c>
      <c r="C503" s="3" t="s">
        <v>128</v>
      </c>
      <c r="D503" s="5" t="s">
        <v>29</v>
      </c>
      <c r="G503" s="30">
        <v>6</v>
      </c>
      <c r="H503" s="38">
        <v>1244.73</v>
      </c>
      <c r="I503" s="29">
        <f>G503*H503</f>
        <v>7468.38</v>
      </c>
      <c r="J503">
        <v>1</v>
      </c>
    </row>
    <row r="504" spans="1:19" x14ac:dyDescent="0.3">
      <c r="D504" s="15" t="str">
        <f>SUBSTITUTE("Sp.mat: 0.00%",".",IF(VALUE("1.2")=1.2,".",","),2)</f>
        <v>Sp.mat: 0.00%</v>
      </c>
      <c r="F504" s="15" t="str">
        <f>SUBSTITUTE("Sp.man: 0.00%",".",IF(VALUE("1.2")=1.2,".",","),2)</f>
        <v>Sp.man: 0.00%</v>
      </c>
      <c r="G504" s="35" t="str">
        <f>SUBSTITUTE("Sp.uti: 0.00%",".",IF(VALUE("1.2")=1.2,".",","),2)</f>
        <v>Sp.uti: 0.00%</v>
      </c>
      <c r="H504" s="38">
        <v>313.44</v>
      </c>
      <c r="I504" s="29">
        <f>G503*H504</f>
        <v>1880.6399999999999</v>
      </c>
      <c r="J504">
        <v>2</v>
      </c>
    </row>
    <row r="505" spans="1:19" x14ac:dyDescent="0.3">
      <c r="A505" s="88" t="s">
        <v>129</v>
      </c>
      <c r="B505" s="98"/>
      <c r="C505" s="98"/>
      <c r="D505" s="98"/>
      <c r="E505" s="98"/>
      <c r="F505" s="98"/>
      <c r="G505" s="98"/>
      <c r="H505" s="38">
        <v>60.93</v>
      </c>
      <c r="I505" s="29">
        <f>G503*H505</f>
        <v>365.58</v>
      </c>
      <c r="J505">
        <v>3</v>
      </c>
      <c r="K505" s="4">
        <v>651.60864000000004</v>
      </c>
      <c r="L505" s="4">
        <v>0</v>
      </c>
      <c r="M505" s="4">
        <f>I505-K505-L505</f>
        <v>-286.02864000000005</v>
      </c>
    </row>
    <row r="506" spans="1:19" x14ac:dyDescent="0.3">
      <c r="A506" s="98"/>
      <c r="B506" s="98"/>
      <c r="C506" s="98"/>
      <c r="D506" s="98"/>
      <c r="E506" s="98"/>
      <c r="F506" s="98"/>
      <c r="G506" s="98"/>
      <c r="H506" s="38">
        <f>0</f>
        <v>0</v>
      </c>
      <c r="I506" s="29">
        <f>G503*H506</f>
        <v>0</v>
      </c>
      <c r="J506">
        <v>4</v>
      </c>
      <c r="N506" s="4">
        <f>IF(ISERR(SEARCH("TRA* 82",C503)),IF(Q506+R506+S506=0,0,I506*(Q506/(Q506+R506+S506))),I506)</f>
        <v>0</v>
      </c>
      <c r="O506" s="4">
        <f>IF(ISERR(SEARCH("TRA* 82",C503)),IF(Q506+R506+S506=0,0,I506*(R506/(Q506+R506+S506))),0)</f>
        <v>0</v>
      </c>
      <c r="P506" s="4">
        <f>IF(ISERR(SEARCH("TRA* 82",C503)),I506-N506-O506,0)</f>
        <v>0</v>
      </c>
      <c r="Q506" s="4">
        <v>0</v>
      </c>
      <c r="R506" s="4">
        <v>0</v>
      </c>
      <c r="S506" s="4">
        <v>0</v>
      </c>
    </row>
    <row r="507" spans="1:19" x14ac:dyDescent="0.3">
      <c r="A507" s="96" t="s">
        <v>27</v>
      </c>
      <c r="B507" s="97"/>
      <c r="C507" s="97"/>
      <c r="D507" s="97"/>
      <c r="E507" s="97"/>
      <c r="F507" s="97"/>
      <c r="G507" s="97"/>
      <c r="H507" s="36">
        <f>H503+H504+H505+H506</f>
        <v>1619.1000000000001</v>
      </c>
      <c r="I507" s="74">
        <f>I503+I504+I505+I506</f>
        <v>9714.6</v>
      </c>
      <c r="J507">
        <v>5</v>
      </c>
    </row>
    <row r="508" spans="1:19" x14ac:dyDescent="0.3">
      <c r="B508" s="2">
        <v>88</v>
      </c>
      <c r="C508" s="3" t="s">
        <v>130</v>
      </c>
      <c r="D508" s="5" t="s">
        <v>29</v>
      </c>
      <c r="G508" s="30">
        <v>6</v>
      </c>
      <c r="H508" s="38">
        <f>2002.2/G508</f>
        <v>333.7</v>
      </c>
      <c r="I508" s="29">
        <f>G508*H508</f>
        <v>2002.1999999999998</v>
      </c>
      <c r="J508">
        <v>1</v>
      </c>
    </row>
    <row r="509" spans="1:19" x14ac:dyDescent="0.3">
      <c r="D509" s="15" t="str">
        <f>SUBSTITUTE("Sp.mat: 0.00%",".",IF(VALUE("1.2")=1.2,".",","),2)</f>
        <v>Sp.mat: 0.00%</v>
      </c>
      <c r="F509" s="15" t="str">
        <f>SUBSTITUTE("Sp.man: 0.00%",".",IF(VALUE("1.2")=1.2,".",","),2)</f>
        <v>Sp.man: 0.00%</v>
      </c>
      <c r="G509" s="35" t="str">
        <f>SUBSTITUTE("Sp.uti: 0.00%",".",IF(VALUE("1.2")=1.2,".",","),2)</f>
        <v>Sp.uti: 0.00%</v>
      </c>
      <c r="H509" s="38">
        <v>36.840000000000003</v>
      </c>
      <c r="I509" s="29">
        <f>G508*H509</f>
        <v>221.04000000000002</v>
      </c>
      <c r="J509">
        <v>2</v>
      </c>
    </row>
    <row r="510" spans="1:19" x14ac:dyDescent="0.3">
      <c r="A510" s="88" t="s">
        <v>131</v>
      </c>
      <c r="B510" s="98"/>
      <c r="C510" s="98"/>
      <c r="D510" s="98"/>
      <c r="E510" s="98"/>
      <c r="F510" s="98"/>
      <c r="G510" s="98"/>
      <c r="H510" s="38">
        <f>(1+IF(OR(ISERR(FIND(":",G509)),ISERR(FIND("%",G509))),0,MID(G509,FIND(":",G509)+2,FIND("%",G509)-FIND(":",G509)-2)/100))*0</f>
        <v>0</v>
      </c>
      <c r="I510" s="29">
        <f>G508*H510</f>
        <v>0</v>
      </c>
      <c r="J510">
        <v>3</v>
      </c>
      <c r="K510" s="4">
        <v>0</v>
      </c>
      <c r="L510" s="4">
        <v>0</v>
      </c>
      <c r="M510" s="4">
        <f>I510-K510-L510</f>
        <v>0</v>
      </c>
    </row>
    <row r="511" spans="1:19" x14ac:dyDescent="0.3">
      <c r="A511" s="98"/>
      <c r="B511" s="98"/>
      <c r="C511" s="98"/>
      <c r="D511" s="98"/>
      <c r="E511" s="98"/>
      <c r="F511" s="98"/>
      <c r="G511" s="98"/>
      <c r="H511" s="38">
        <f>0</f>
        <v>0</v>
      </c>
      <c r="I511" s="29">
        <f>G508*H511</f>
        <v>0</v>
      </c>
      <c r="J511">
        <v>4</v>
      </c>
      <c r="N511" s="4">
        <f>IF(ISERR(SEARCH("TRA* 82",C508)),IF(Q511+R511+S511=0,0,I511*(Q511/(Q511+R511+S511))),I511)</f>
        <v>0</v>
      </c>
      <c r="O511" s="4">
        <f>IF(ISERR(SEARCH("TRA* 82",C508)),IF(Q511+R511+S511=0,0,I511*(R511/(Q511+R511+S511))),0)</f>
        <v>0</v>
      </c>
      <c r="P511" s="4">
        <f>IF(ISERR(SEARCH("TRA* 82",C508)),I511-N511-O511,0)</f>
        <v>0</v>
      </c>
      <c r="Q511" s="4">
        <v>0</v>
      </c>
      <c r="R511" s="4">
        <v>0</v>
      </c>
      <c r="S511" s="4">
        <v>0</v>
      </c>
    </row>
    <row r="512" spans="1:19" x14ac:dyDescent="0.3">
      <c r="A512" s="96" t="s">
        <v>27</v>
      </c>
      <c r="B512" s="97"/>
      <c r="C512" s="97"/>
      <c r="D512" s="97"/>
      <c r="E512" s="97"/>
      <c r="F512" s="97"/>
      <c r="G512" s="97"/>
      <c r="H512" s="36">
        <f>H508+H509+H510+H511</f>
        <v>370.53999999999996</v>
      </c>
      <c r="I512" s="74">
        <f>I508+I509+I510+I511</f>
        <v>2223.2399999999998</v>
      </c>
      <c r="J512">
        <v>5</v>
      </c>
    </row>
    <row r="513" spans="1:19" x14ac:dyDescent="0.3">
      <c r="B513" s="2">
        <v>89</v>
      </c>
      <c r="C513" s="3" t="s">
        <v>34</v>
      </c>
      <c r="D513" s="5" t="s">
        <v>35</v>
      </c>
      <c r="G513" s="30">
        <v>15</v>
      </c>
      <c r="H513" s="38">
        <f>617.3/G513</f>
        <v>41.153333333333329</v>
      </c>
      <c r="I513" s="29">
        <f>G513*H513</f>
        <v>617.29999999999995</v>
      </c>
      <c r="J513">
        <v>1</v>
      </c>
    </row>
    <row r="514" spans="1:19" x14ac:dyDescent="0.3">
      <c r="D514" s="15" t="str">
        <f>SUBSTITUTE("Sp.mat: 0.00%",".",IF(VALUE("1.2")=1.2,".",","),2)</f>
        <v>Sp.mat: 0.00%</v>
      </c>
      <c r="F514" s="15" t="str">
        <f>SUBSTITUTE("Sp.man: 0.00%",".",IF(VALUE("1.2")=1.2,".",","),2)</f>
        <v>Sp.man: 0.00%</v>
      </c>
      <c r="G514" s="35" t="str">
        <f>SUBSTITUTE("Sp.uti: 0.00%",".",IF(VALUE("1.2")=1.2,".",","),2)</f>
        <v>Sp.uti: 0.00%</v>
      </c>
      <c r="H514" s="38">
        <f>146.56/G513</f>
        <v>9.7706666666666671</v>
      </c>
      <c r="I514" s="29">
        <f>G513*H514</f>
        <v>146.56</v>
      </c>
      <c r="J514">
        <v>2</v>
      </c>
    </row>
    <row r="515" spans="1:19" x14ac:dyDescent="0.3">
      <c r="A515" s="88" t="s">
        <v>36</v>
      </c>
      <c r="B515" s="98"/>
      <c r="C515" s="98"/>
      <c r="D515" s="98"/>
      <c r="E515" s="98"/>
      <c r="F515" s="98"/>
      <c r="G515" s="98"/>
      <c r="H515" s="38">
        <f>(1+IF(OR(ISERR(FIND(":",G514)),ISERR(FIND("%",G514))),0,MID(G514,FIND(":",G514)+2,FIND("%",G514)-FIND(":",G514)-2)/100))*0</f>
        <v>0</v>
      </c>
      <c r="I515" s="29">
        <f>G513*H515</f>
        <v>0</v>
      </c>
      <c r="J515">
        <v>3</v>
      </c>
      <c r="K515" s="4">
        <v>0</v>
      </c>
      <c r="L515" s="4">
        <v>0</v>
      </c>
      <c r="M515" s="4">
        <f>I515-K515-L515</f>
        <v>0</v>
      </c>
    </row>
    <row r="516" spans="1:19" x14ac:dyDescent="0.3">
      <c r="A516" s="98"/>
      <c r="B516" s="98"/>
      <c r="C516" s="98"/>
      <c r="D516" s="98"/>
      <c r="E516" s="98"/>
      <c r="F516" s="98"/>
      <c r="G516" s="98"/>
      <c r="H516" s="38">
        <f>0</f>
        <v>0</v>
      </c>
      <c r="I516" s="29">
        <f>G513*H516</f>
        <v>0</v>
      </c>
      <c r="J516">
        <v>4</v>
      </c>
      <c r="N516" s="4">
        <f>IF(ISERR(SEARCH("TRA* 82",C513)),IF(Q516+R516+S516=0,0,I516*(Q516/(Q516+R516+S516))),I516)</f>
        <v>0</v>
      </c>
      <c r="O516" s="4">
        <f>IF(ISERR(SEARCH("TRA* 82",C513)),IF(Q516+R516+S516=0,0,I516*(R516/(Q516+R516+S516))),0)</f>
        <v>0</v>
      </c>
      <c r="P516" s="4">
        <f>IF(ISERR(SEARCH("TRA* 82",C513)),I516-N516-O516,0)</f>
        <v>0</v>
      </c>
      <c r="Q516" s="4">
        <v>0</v>
      </c>
      <c r="R516" s="4">
        <v>0</v>
      </c>
      <c r="S516" s="4">
        <v>0</v>
      </c>
    </row>
    <row r="517" spans="1:19" x14ac:dyDescent="0.3">
      <c r="A517" s="96" t="s">
        <v>27</v>
      </c>
      <c r="B517" s="97"/>
      <c r="C517" s="97"/>
      <c r="D517" s="97"/>
      <c r="E517" s="97"/>
      <c r="F517" s="97"/>
      <c r="G517" s="97"/>
      <c r="H517" s="36">
        <f>H513+H514+H515+H516</f>
        <v>50.923999999999992</v>
      </c>
      <c r="I517" s="74">
        <f>I513+I514+I515+I516</f>
        <v>763.8599999999999</v>
      </c>
      <c r="J517">
        <v>5</v>
      </c>
    </row>
    <row r="518" spans="1:19" x14ac:dyDescent="0.3">
      <c r="B518" s="2">
        <v>90</v>
      </c>
      <c r="C518" s="3" t="s">
        <v>135</v>
      </c>
      <c r="D518" s="5" t="s">
        <v>35</v>
      </c>
      <c r="G518" s="30">
        <v>48</v>
      </c>
      <c r="H518" s="38">
        <v>0</v>
      </c>
      <c r="I518" s="29">
        <f>G518*H518</f>
        <v>0</v>
      </c>
      <c r="J518">
        <v>1</v>
      </c>
    </row>
    <row r="519" spans="1:19" x14ac:dyDescent="0.3">
      <c r="D519" s="15" t="str">
        <f>SUBSTITUTE("Sp.mat: 0.00%",".",IF(VALUE("1.2")=1.2,".",","),2)</f>
        <v>Sp.mat: 0.00%</v>
      </c>
      <c r="F519" s="15" t="str">
        <f>SUBSTITUTE("Sp.man: 0.00%",".",IF(VALUE("1.2")=1.2,".",","),2)</f>
        <v>Sp.man: 0.00%</v>
      </c>
      <c r="G519" s="35" t="str">
        <f>SUBSTITUTE("Sp.uti: 0.00%",".",IF(VALUE("1.2")=1.2,".",","),2)</f>
        <v>Sp.uti: 0.00%</v>
      </c>
      <c r="H519" s="38">
        <f>1145.54/G518</f>
        <v>23.865416666666665</v>
      </c>
      <c r="I519" s="29">
        <f>G518*H519</f>
        <v>1145.54</v>
      </c>
      <c r="J519">
        <v>2</v>
      </c>
    </row>
    <row r="520" spans="1:19" x14ac:dyDescent="0.3">
      <c r="A520" s="88" t="s">
        <v>136</v>
      </c>
      <c r="B520" s="98"/>
      <c r="C520" s="98"/>
      <c r="D520" s="98"/>
      <c r="E520" s="98"/>
      <c r="F520" s="98"/>
      <c r="G520" s="98"/>
      <c r="H520" s="38">
        <f>(1+IF(OR(ISERR(FIND(":",G519)),ISERR(FIND("%",G519))),0,MID(G519,FIND(":",G519)+2,FIND("%",G519)-FIND(":",G519)-2)/100))*0</f>
        <v>0</v>
      </c>
      <c r="I520" s="29">
        <f>G518*H520</f>
        <v>0</v>
      </c>
      <c r="J520">
        <v>3</v>
      </c>
      <c r="K520" s="4">
        <v>0</v>
      </c>
      <c r="L520" s="4">
        <v>0</v>
      </c>
      <c r="M520" s="4">
        <f>I520-K520-L520</f>
        <v>0</v>
      </c>
    </row>
    <row r="521" spans="1:19" x14ac:dyDescent="0.3">
      <c r="A521" s="98"/>
      <c r="B521" s="98"/>
      <c r="C521" s="98"/>
      <c r="D521" s="98"/>
      <c r="E521" s="98"/>
      <c r="F521" s="98"/>
      <c r="G521" s="98"/>
      <c r="H521" s="38">
        <f>0</f>
        <v>0</v>
      </c>
      <c r="I521" s="29">
        <f>G518*H521</f>
        <v>0</v>
      </c>
      <c r="J521">
        <v>4</v>
      </c>
      <c r="N521" s="4">
        <f>IF(ISERR(SEARCH("TRA* 82",C518)),IF(Q521+R521+S521=0,0,I521*(Q521/(Q521+R521+S521))),I521)</f>
        <v>0</v>
      </c>
      <c r="O521" s="4">
        <f>IF(ISERR(SEARCH("TRA* 82",C518)),IF(Q521+R521+S521=0,0,I521*(R521/(Q521+R521+S521))),0)</f>
        <v>0</v>
      </c>
      <c r="P521" s="4">
        <f>IF(ISERR(SEARCH("TRA* 82",C518)),I521-N521-O521,0)</f>
        <v>0</v>
      </c>
      <c r="Q521" s="4">
        <v>0</v>
      </c>
      <c r="R521" s="4">
        <v>0</v>
      </c>
      <c r="S521" s="4">
        <v>0</v>
      </c>
    </row>
    <row r="522" spans="1:19" x14ac:dyDescent="0.3">
      <c r="A522" s="96" t="s">
        <v>27</v>
      </c>
      <c r="B522" s="97"/>
      <c r="C522" s="97"/>
      <c r="D522" s="97"/>
      <c r="E522" s="97"/>
      <c r="F522" s="97"/>
      <c r="G522" s="97"/>
      <c r="H522" s="36">
        <f>H518+H519+H520+H521</f>
        <v>23.865416666666665</v>
      </c>
      <c r="I522" s="74">
        <f>I518+I519+I520+I521</f>
        <v>1145.54</v>
      </c>
      <c r="J522">
        <v>5</v>
      </c>
    </row>
    <row r="523" spans="1:19" x14ac:dyDescent="0.3">
      <c r="B523" s="2">
        <v>91</v>
      </c>
      <c r="C523" s="3" t="s">
        <v>137</v>
      </c>
      <c r="D523" s="5" t="s">
        <v>40</v>
      </c>
      <c r="G523" s="30">
        <v>11</v>
      </c>
      <c r="H523" s="38">
        <v>6.27</v>
      </c>
      <c r="I523" s="29">
        <f>G523*H523</f>
        <v>68.97</v>
      </c>
      <c r="J523">
        <v>1</v>
      </c>
    </row>
    <row r="524" spans="1:19" x14ac:dyDescent="0.3">
      <c r="D524" s="15" t="str">
        <f>SUBSTITUTE("Sp.mat: 0.00%",".",IF(VALUE("1.2")=1.2,".",","),2)</f>
        <v>Sp.mat: 0.00%</v>
      </c>
      <c r="F524" s="15" t="str">
        <f>SUBSTITUTE("Sp.man: 0.00%",".",IF(VALUE("1.2")=1.2,".",","),2)</f>
        <v>Sp.man: 0.00%</v>
      </c>
      <c r="G524" s="35" t="str">
        <f>SUBSTITUTE("Sp.uti: 0.00%",".",IF(VALUE("1.2")=1.2,".",","),2)</f>
        <v>Sp.uti: 0.00%</v>
      </c>
      <c r="H524" s="38">
        <v>8.17</v>
      </c>
      <c r="I524" s="29">
        <f>G523*H524</f>
        <v>89.87</v>
      </c>
      <c r="J524">
        <v>2</v>
      </c>
    </row>
    <row r="525" spans="1:19" x14ac:dyDescent="0.3">
      <c r="A525" s="88" t="s">
        <v>138</v>
      </c>
      <c r="B525" s="98"/>
      <c r="C525" s="98"/>
      <c r="D525" s="98"/>
      <c r="E525" s="98"/>
      <c r="F525" s="98"/>
      <c r="G525" s="98"/>
      <c r="H525" s="38">
        <f>(1+IF(OR(ISERR(FIND(":",G524)),ISERR(FIND("%",G524))),0,MID(G524,FIND(":",G524)+2,FIND("%",G524)-FIND(":",G524)-2)/100))*0</f>
        <v>0</v>
      </c>
      <c r="I525" s="29">
        <f>G523*H525</f>
        <v>0</v>
      </c>
      <c r="J525">
        <v>3</v>
      </c>
      <c r="K525" s="4">
        <v>0</v>
      </c>
      <c r="L525" s="4">
        <v>0</v>
      </c>
      <c r="M525" s="4">
        <f>I525-K525-L525</f>
        <v>0</v>
      </c>
    </row>
    <row r="526" spans="1:19" x14ac:dyDescent="0.3">
      <c r="A526" s="98"/>
      <c r="B526" s="98"/>
      <c r="C526" s="98"/>
      <c r="D526" s="98"/>
      <c r="E526" s="98"/>
      <c r="F526" s="98"/>
      <c r="G526" s="98"/>
      <c r="H526" s="38">
        <f>0</f>
        <v>0</v>
      </c>
      <c r="I526" s="29">
        <f>G523*H526</f>
        <v>0</v>
      </c>
      <c r="J526">
        <v>4</v>
      </c>
      <c r="N526" s="4">
        <f>IF(ISERR(SEARCH("TRA* 82",C523)),IF(Q526+R526+S526=0,0,I526*(Q526/(Q526+R526+S526))),I526)</f>
        <v>0</v>
      </c>
      <c r="O526" s="4">
        <f>IF(ISERR(SEARCH("TRA* 82",C523)),IF(Q526+R526+S526=0,0,I526*(R526/(Q526+R526+S526))),0)</f>
        <v>0</v>
      </c>
      <c r="P526" s="4">
        <f>IF(ISERR(SEARCH("TRA* 82",C523)),I526-N526-O526,0)</f>
        <v>0</v>
      </c>
      <c r="Q526" s="4">
        <v>0</v>
      </c>
      <c r="R526" s="4">
        <v>0</v>
      </c>
      <c r="S526" s="4">
        <v>0</v>
      </c>
    </row>
    <row r="527" spans="1:19" x14ac:dyDescent="0.3">
      <c r="A527" s="96" t="s">
        <v>27</v>
      </c>
      <c r="B527" s="97"/>
      <c r="C527" s="97"/>
      <c r="D527" s="97"/>
      <c r="E527" s="97"/>
      <c r="F527" s="97"/>
      <c r="G527" s="97"/>
      <c r="H527" s="36">
        <f>H523+H524+H525+H526</f>
        <v>14.44</v>
      </c>
      <c r="I527" s="74">
        <f>I523+I524+I525+I526</f>
        <v>158.84</v>
      </c>
      <c r="J527">
        <v>5</v>
      </c>
    </row>
    <row r="528" spans="1:19" x14ac:dyDescent="0.3">
      <c r="B528" s="2">
        <v>92</v>
      </c>
      <c r="C528" s="3" t="s">
        <v>277</v>
      </c>
      <c r="D528" s="5" t="s">
        <v>29</v>
      </c>
      <c r="G528" s="30">
        <v>15</v>
      </c>
      <c r="H528" s="38">
        <f>2062.88/G528</f>
        <v>137.52533333333335</v>
      </c>
      <c r="I528" s="29">
        <f>G528*H528</f>
        <v>2062.88</v>
      </c>
      <c r="J528">
        <v>1</v>
      </c>
    </row>
    <row r="529" spans="1:19" x14ac:dyDescent="0.3">
      <c r="D529" s="15" t="str">
        <f>SUBSTITUTE("Sp.mat: 0.00%",".",IF(VALUE("1.2")=1.2,".",","),2)</f>
        <v>Sp.mat: 0.00%</v>
      </c>
      <c r="F529" s="15" t="str">
        <f>SUBSTITUTE("Sp.man: 0.00%",".",IF(VALUE("1.2")=1.2,".",","),2)</f>
        <v>Sp.man: 0.00%</v>
      </c>
      <c r="G529" s="35" t="str">
        <f>SUBSTITUTE("Sp.uti: 0.00%",".",IF(VALUE("1.2")=1.2,".",","),2)</f>
        <v>Sp.uti: 0.00%</v>
      </c>
      <c r="H529" s="38">
        <f>264.28/G528</f>
        <v>17.618666666666666</v>
      </c>
      <c r="I529" s="29">
        <f>G528*H529</f>
        <v>264.27999999999997</v>
      </c>
      <c r="J529">
        <v>2</v>
      </c>
    </row>
    <row r="530" spans="1:19" x14ac:dyDescent="0.3">
      <c r="A530" s="88" t="s">
        <v>278</v>
      </c>
      <c r="B530" s="98"/>
      <c r="C530" s="98"/>
      <c r="D530" s="98"/>
      <c r="E530" s="98"/>
      <c r="F530" s="98"/>
      <c r="G530" s="98"/>
      <c r="H530" s="38">
        <f>(1+IF(OR(ISERR(FIND(":",G529)),ISERR(FIND("%",G529))),0,MID(G529,FIND(":",G529)+2,FIND("%",G529)-FIND(":",G529)-2)/100))*0</f>
        <v>0</v>
      </c>
      <c r="I530" s="29">
        <f>G528*H530</f>
        <v>0</v>
      </c>
      <c r="J530">
        <v>3</v>
      </c>
      <c r="K530" s="4">
        <v>0</v>
      </c>
      <c r="L530" s="4">
        <v>0</v>
      </c>
      <c r="M530" s="4">
        <f>I530-K530-L530</f>
        <v>0</v>
      </c>
    </row>
    <row r="531" spans="1:19" x14ac:dyDescent="0.3">
      <c r="A531" s="98"/>
      <c r="B531" s="98"/>
      <c r="C531" s="98"/>
      <c r="D531" s="98"/>
      <c r="E531" s="98"/>
      <c r="F531" s="98"/>
      <c r="G531" s="98"/>
      <c r="H531" s="38">
        <f>0</f>
        <v>0</v>
      </c>
      <c r="I531" s="29">
        <f>G528*H531</f>
        <v>0</v>
      </c>
      <c r="J531">
        <v>4</v>
      </c>
      <c r="N531" s="4">
        <f>IF(ISERR(SEARCH("TRA* 82",C528)),IF(Q531+R531+S531=0,0,I531*(Q531/(Q531+R531+S531))),I531)</f>
        <v>0</v>
      </c>
      <c r="O531" s="4">
        <f>IF(ISERR(SEARCH("TRA* 82",C528)),IF(Q531+R531+S531=0,0,I531*(R531/(Q531+R531+S531))),0)</f>
        <v>0</v>
      </c>
      <c r="P531" s="4">
        <f>IF(ISERR(SEARCH("TRA* 82",C528)),I531-N531-O531,0)</f>
        <v>0</v>
      </c>
      <c r="Q531" s="4">
        <v>0</v>
      </c>
      <c r="R531" s="4">
        <v>0</v>
      </c>
      <c r="S531" s="4">
        <v>0</v>
      </c>
    </row>
    <row r="532" spans="1:19" x14ac:dyDescent="0.3">
      <c r="A532" s="96" t="s">
        <v>27</v>
      </c>
      <c r="B532" s="97"/>
      <c r="C532" s="97"/>
      <c r="D532" s="97"/>
      <c r="E532" s="97"/>
      <c r="F532" s="97"/>
      <c r="G532" s="97"/>
      <c r="H532" s="36">
        <f>H528+H529+H530+H531</f>
        <v>155.14400000000001</v>
      </c>
      <c r="I532" s="74">
        <f>I528+I529+I530+I531</f>
        <v>2327.16</v>
      </c>
      <c r="J532">
        <v>5</v>
      </c>
    </row>
    <row r="533" spans="1:19" x14ac:dyDescent="0.3">
      <c r="B533" s="2">
        <v>93</v>
      </c>
      <c r="C533" s="3" t="s">
        <v>132</v>
      </c>
      <c r="D533" s="5" t="s">
        <v>133</v>
      </c>
      <c r="G533" s="30">
        <v>38.9</v>
      </c>
      <c r="H533" s="38">
        <f>(1+IF(OR(ISERR(FIND(":",D534)),ISERR(FIND("%",D534))),0,MID(D534,FIND(":",D534)+2,FIND("%",D534)-FIND(":",D534)-2)/100))*0</f>
        <v>0</v>
      </c>
      <c r="I533" s="29">
        <f>G533*H533</f>
        <v>0</v>
      </c>
      <c r="J533">
        <v>1</v>
      </c>
    </row>
    <row r="534" spans="1:19" x14ac:dyDescent="0.3">
      <c r="D534" s="15" t="str">
        <f>SUBSTITUTE("Sp.mat: 0.00%",".",IF(VALUE("1.2")=1.2,".",","),2)</f>
        <v>Sp.mat: 0.00%</v>
      </c>
      <c r="F534" s="15" t="str">
        <f>SUBSTITUTE("Sp.man: 0.00%",".",IF(VALUE("1.2")=1.2,".",","),2)</f>
        <v>Sp.man: 0.00%</v>
      </c>
      <c r="G534" s="35" t="str">
        <f>SUBSTITUTE("Sp.uti: 0.00%",".",IF(VALUE("1.2")=1.2,".",","),2)</f>
        <v>Sp.uti: 0.00%</v>
      </c>
      <c r="H534" s="38">
        <f>62.31/G533</f>
        <v>1.6017994858611826</v>
      </c>
      <c r="I534" s="29">
        <f>G533*H534</f>
        <v>62.31</v>
      </c>
      <c r="J534">
        <v>2</v>
      </c>
    </row>
    <row r="535" spans="1:19" x14ac:dyDescent="0.3">
      <c r="A535" s="88" t="s">
        <v>134</v>
      </c>
      <c r="B535" s="98"/>
      <c r="C535" s="98"/>
      <c r="D535" s="98"/>
      <c r="E535" s="98"/>
      <c r="F535" s="98"/>
      <c r="G535" s="98"/>
      <c r="H535" s="38">
        <f>(1+IF(OR(ISERR(FIND(":",G534)),ISERR(FIND("%",G534))),0,MID(G534,FIND(":",G534)+2,FIND("%",G534)-FIND(":",G534)-2)/100))*0</f>
        <v>0</v>
      </c>
      <c r="I535" s="29">
        <f>G533*H535</f>
        <v>0</v>
      </c>
      <c r="J535">
        <v>3</v>
      </c>
      <c r="K535" s="4">
        <v>0</v>
      </c>
      <c r="L535" s="4">
        <v>0</v>
      </c>
      <c r="M535" s="4">
        <f>I535-K535-L535</f>
        <v>0</v>
      </c>
    </row>
    <row r="536" spans="1:19" x14ac:dyDescent="0.3">
      <c r="A536" s="98"/>
      <c r="B536" s="98"/>
      <c r="C536" s="98"/>
      <c r="D536" s="98"/>
      <c r="E536" s="98"/>
      <c r="F536" s="98"/>
      <c r="G536" s="98"/>
      <c r="H536" s="38">
        <f>0</f>
        <v>0</v>
      </c>
      <c r="I536" s="29">
        <f>G533*H536</f>
        <v>0</v>
      </c>
      <c r="J536">
        <v>4</v>
      </c>
      <c r="N536" s="4">
        <f>IF(ISERR(SEARCH("TRA* 82",C533)),IF(Q536+R536+S536=0,0,I536*(Q536/(Q536+R536+S536))),I536)</f>
        <v>0</v>
      </c>
      <c r="O536" s="4">
        <f>IF(ISERR(SEARCH("TRA* 82",C533)),IF(Q536+R536+S536=0,0,I536*(R536/(Q536+R536+S536))),0)</f>
        <v>0</v>
      </c>
      <c r="P536" s="4">
        <f>IF(ISERR(SEARCH("TRA* 82",C533)),I536-N536-O536,0)</f>
        <v>0</v>
      </c>
      <c r="Q536" s="4">
        <v>0</v>
      </c>
      <c r="R536" s="4">
        <v>0</v>
      </c>
      <c r="S536" s="4">
        <v>0</v>
      </c>
    </row>
    <row r="537" spans="1:19" x14ac:dyDescent="0.3">
      <c r="A537" s="96" t="s">
        <v>27</v>
      </c>
      <c r="B537" s="97"/>
      <c r="C537" s="97"/>
      <c r="D537" s="97"/>
      <c r="E537" s="97"/>
      <c r="F537" s="97"/>
      <c r="G537" s="97"/>
      <c r="H537" s="36">
        <f>H533+H534+H535+H536</f>
        <v>1.6017994858611826</v>
      </c>
      <c r="I537" s="74">
        <f>I533+I534+I535+I536</f>
        <v>62.31</v>
      </c>
      <c r="J537">
        <v>5</v>
      </c>
    </row>
    <row r="538" spans="1:19" x14ac:dyDescent="0.3">
      <c r="B538" s="2">
        <v>94</v>
      </c>
      <c r="C538" s="3" t="s">
        <v>279</v>
      </c>
      <c r="D538" s="5" t="s">
        <v>29</v>
      </c>
      <c r="G538" s="30">
        <v>8</v>
      </c>
      <c r="H538" s="38">
        <f>15.72/G538</f>
        <v>1.9650000000000001</v>
      </c>
      <c r="I538" s="29">
        <f>G538*H538</f>
        <v>15.72</v>
      </c>
      <c r="J538">
        <v>1</v>
      </c>
    </row>
    <row r="539" spans="1:19" x14ac:dyDescent="0.3">
      <c r="D539" s="15" t="str">
        <f>SUBSTITUTE("Sp.mat: 0.00%",".",IF(VALUE("1.2")=1.2,".",","),2)</f>
        <v>Sp.mat: 0.00%</v>
      </c>
      <c r="F539" s="15" t="str">
        <f>SUBSTITUTE("Sp.man: 0.00%",".",IF(VALUE("1.2")=1.2,".",","),2)</f>
        <v>Sp.man: 0.00%</v>
      </c>
      <c r="G539" s="35" t="str">
        <f>SUBSTITUTE("Sp.uti: 0.00%",".",IF(VALUE("1.2")=1.2,".",","),2)</f>
        <v>Sp.uti: 0.00%</v>
      </c>
      <c r="H539" s="38">
        <f>19.86/G538</f>
        <v>2.4824999999999999</v>
      </c>
      <c r="I539" s="29">
        <f>G538*H539</f>
        <v>19.86</v>
      </c>
      <c r="J539">
        <v>2</v>
      </c>
    </row>
    <row r="540" spans="1:19" x14ac:dyDescent="0.3">
      <c r="A540" s="88" t="s">
        <v>280</v>
      </c>
      <c r="B540" s="98"/>
      <c r="C540" s="98"/>
      <c r="D540" s="98"/>
      <c r="E540" s="98"/>
      <c r="F540" s="98"/>
      <c r="G540" s="98"/>
      <c r="H540" s="38">
        <f>0.05/G538</f>
        <v>6.2500000000000003E-3</v>
      </c>
      <c r="I540" s="29">
        <f>G538*H540</f>
        <v>0.05</v>
      </c>
      <c r="J540">
        <v>3</v>
      </c>
      <c r="K540" s="4">
        <v>0</v>
      </c>
      <c r="L540" s="4">
        <v>0</v>
      </c>
      <c r="M540" s="4">
        <f>I540-K540-L540</f>
        <v>0.05</v>
      </c>
    </row>
    <row r="541" spans="1:19" x14ac:dyDescent="0.3">
      <c r="A541" s="98"/>
      <c r="B541" s="98"/>
      <c r="C541" s="98"/>
      <c r="D541" s="98"/>
      <c r="E541" s="98"/>
      <c r="F541" s="98"/>
      <c r="G541" s="98"/>
      <c r="H541" s="38">
        <f>0</f>
        <v>0</v>
      </c>
      <c r="I541" s="29">
        <f>G538*H541</f>
        <v>0</v>
      </c>
      <c r="J541">
        <v>4</v>
      </c>
      <c r="N541" s="4">
        <f>IF(ISERR(SEARCH("TRA* 82",C538)),IF(Q541+R541+S541=0,0,I541*(Q541/(Q541+R541+S541))),I541)</f>
        <v>0</v>
      </c>
      <c r="O541" s="4">
        <f>IF(ISERR(SEARCH("TRA* 82",C538)),IF(Q541+R541+S541=0,0,I541*(R541/(Q541+R541+S541))),0)</f>
        <v>0</v>
      </c>
      <c r="P541" s="4">
        <f>IF(ISERR(SEARCH("TRA* 82",C538)),I541-N541-O541,0)</f>
        <v>0</v>
      </c>
      <c r="Q541" s="4">
        <v>0</v>
      </c>
      <c r="R541" s="4">
        <v>0</v>
      </c>
      <c r="S541" s="4">
        <v>0</v>
      </c>
    </row>
    <row r="542" spans="1:19" x14ac:dyDescent="0.3">
      <c r="A542" s="96" t="s">
        <v>27</v>
      </c>
      <c r="B542" s="97"/>
      <c r="C542" s="97"/>
      <c r="D542" s="97"/>
      <c r="E542" s="97"/>
      <c r="F542" s="97"/>
      <c r="G542" s="97"/>
      <c r="H542" s="36">
        <f>H538+H539+H540+H541</f>
        <v>4.4537499999999994</v>
      </c>
      <c r="I542" s="74">
        <f>I538+I539+I540+I541</f>
        <v>35.629999999999995</v>
      </c>
      <c r="J542">
        <v>5</v>
      </c>
    </row>
    <row r="543" spans="1:19" x14ac:dyDescent="0.3">
      <c r="B543" s="2">
        <v>95</v>
      </c>
      <c r="C543" s="3" t="s">
        <v>279</v>
      </c>
      <c r="D543" s="5" t="s">
        <v>29</v>
      </c>
      <c r="G543" s="30">
        <v>20</v>
      </c>
      <c r="H543" s="38">
        <f>39.3/G543</f>
        <v>1.9649999999999999</v>
      </c>
      <c r="I543" s="29">
        <f>G543*H543</f>
        <v>39.299999999999997</v>
      </c>
      <c r="J543">
        <v>1</v>
      </c>
    </row>
    <row r="544" spans="1:19" x14ac:dyDescent="0.3">
      <c r="D544" s="15" t="str">
        <f>SUBSTITUTE("Sp.mat: 0.00%",".",IF(VALUE("1.2")=1.2,".",","),2)</f>
        <v>Sp.mat: 0.00%</v>
      </c>
      <c r="F544" s="15" t="str">
        <f>SUBSTITUTE("Sp.man: 0.00%",".",IF(VALUE("1.2")=1.2,".",","),2)</f>
        <v>Sp.man: 0.00%</v>
      </c>
      <c r="G544" s="35" t="str">
        <f>SUBSTITUTE("Sp.uti: 0.00%",".",IF(VALUE("1.2")=1.2,".",","),2)</f>
        <v>Sp.uti: 0.00%</v>
      </c>
      <c r="H544" s="38">
        <f>49.65/G543</f>
        <v>2.4824999999999999</v>
      </c>
      <c r="I544" s="29">
        <f>G543*H544</f>
        <v>49.65</v>
      </c>
      <c r="J544">
        <v>2</v>
      </c>
    </row>
    <row r="545" spans="1:19" x14ac:dyDescent="0.3">
      <c r="A545" s="88" t="s">
        <v>280</v>
      </c>
      <c r="B545" s="98"/>
      <c r="C545" s="98"/>
      <c r="D545" s="98"/>
      <c r="E545" s="98"/>
      <c r="F545" s="98"/>
      <c r="G545" s="98"/>
      <c r="H545" s="38">
        <f>0.11/G543</f>
        <v>5.4999999999999997E-3</v>
      </c>
      <c r="I545" s="29">
        <f>G543*H545</f>
        <v>0.10999999999999999</v>
      </c>
      <c r="J545">
        <v>3</v>
      </c>
      <c r="K545" s="4">
        <v>0</v>
      </c>
      <c r="L545" s="4">
        <v>0</v>
      </c>
      <c r="M545" s="4">
        <f>I545-K545-L545</f>
        <v>0.10999999999999999</v>
      </c>
    </row>
    <row r="546" spans="1:19" x14ac:dyDescent="0.3">
      <c r="A546" s="98"/>
      <c r="B546" s="98"/>
      <c r="C546" s="98"/>
      <c r="D546" s="98"/>
      <c r="E546" s="98"/>
      <c r="F546" s="98"/>
      <c r="G546" s="98"/>
      <c r="H546" s="38">
        <f>0</f>
        <v>0</v>
      </c>
      <c r="I546" s="29">
        <f>G543*H546</f>
        <v>0</v>
      </c>
      <c r="J546">
        <v>4</v>
      </c>
      <c r="N546" s="4">
        <f>IF(ISERR(SEARCH("TRA* 82",C543)),IF(Q546+R546+S546=0,0,I546*(Q546/(Q546+R546+S546))),I546)</f>
        <v>0</v>
      </c>
      <c r="O546" s="4">
        <f>IF(ISERR(SEARCH("TRA* 82",C543)),IF(Q546+R546+S546=0,0,I546*(R546/(Q546+R546+S546))),0)</f>
        <v>0</v>
      </c>
      <c r="P546" s="4">
        <f>IF(ISERR(SEARCH("TRA* 82",C543)),I546-N546-O546,0)</f>
        <v>0</v>
      </c>
      <c r="Q546" s="4">
        <v>0</v>
      </c>
      <c r="R546" s="4">
        <v>0</v>
      </c>
      <c r="S546" s="4">
        <v>0</v>
      </c>
    </row>
    <row r="547" spans="1:19" x14ac:dyDescent="0.3">
      <c r="A547" s="96" t="s">
        <v>27</v>
      </c>
      <c r="B547" s="97"/>
      <c r="C547" s="97"/>
      <c r="D547" s="97"/>
      <c r="E547" s="97"/>
      <c r="F547" s="97"/>
      <c r="G547" s="97"/>
      <c r="H547" s="36">
        <f>H543+H544+H545+H546</f>
        <v>4.4529999999999994</v>
      </c>
      <c r="I547" s="74">
        <f>I543+I544+I545+I546</f>
        <v>89.059999999999988</v>
      </c>
      <c r="J547">
        <v>5</v>
      </c>
    </row>
    <row r="548" spans="1:19" x14ac:dyDescent="0.3">
      <c r="B548" s="2">
        <v>96</v>
      </c>
      <c r="C548" s="3" t="s">
        <v>281</v>
      </c>
      <c r="D548" s="5" t="s">
        <v>29</v>
      </c>
      <c r="G548" s="30">
        <v>20</v>
      </c>
      <c r="H548" s="38">
        <f>40.37/G548</f>
        <v>2.0185</v>
      </c>
      <c r="I548" s="29">
        <f>G548*H548</f>
        <v>40.369999999999997</v>
      </c>
      <c r="J548">
        <v>1</v>
      </c>
    </row>
    <row r="549" spans="1:19" x14ac:dyDescent="0.3">
      <c r="D549" s="15" t="str">
        <f>SUBSTITUTE("Sp.mat: 0.00%",".",IF(VALUE("1.2")=1.2,".",","),2)</f>
        <v>Sp.mat: 0.00%</v>
      </c>
      <c r="F549" s="15" t="str">
        <f>SUBSTITUTE("Sp.man: 0.00%",".",IF(VALUE("1.2")=1.2,".",","),2)</f>
        <v>Sp.man: 0.00%</v>
      </c>
      <c r="G549" s="35" t="str">
        <f>SUBSTITUTE("Sp.uti: 0.00%",".",IF(VALUE("1.2")=1.2,".",","),2)</f>
        <v>Sp.uti: 0.00%</v>
      </c>
      <c r="H549" s="38">
        <f>176.19/G548</f>
        <v>8.8094999999999999</v>
      </c>
      <c r="I549" s="29">
        <f>G548*H549</f>
        <v>176.19</v>
      </c>
      <c r="J549">
        <v>2</v>
      </c>
    </row>
    <row r="550" spans="1:19" x14ac:dyDescent="0.3">
      <c r="A550" s="88" t="s">
        <v>282</v>
      </c>
      <c r="B550" s="98"/>
      <c r="C550" s="98"/>
      <c r="D550" s="98"/>
      <c r="E550" s="98"/>
      <c r="F550" s="98"/>
      <c r="G550" s="98"/>
      <c r="H550" s="38">
        <f>(1+IF(OR(ISERR(FIND(":",G549)),ISERR(FIND("%",G549))),0,MID(G549,FIND(":",G549)+2,FIND("%",G549)-FIND(":",G549)-2)/100))*0</f>
        <v>0</v>
      </c>
      <c r="I550" s="29">
        <f>G548*H550</f>
        <v>0</v>
      </c>
      <c r="J550">
        <v>3</v>
      </c>
      <c r="K550" s="4">
        <v>0</v>
      </c>
      <c r="L550" s="4">
        <v>0</v>
      </c>
      <c r="M550" s="4">
        <f>I550-K550-L550</f>
        <v>0</v>
      </c>
    </row>
    <row r="551" spans="1:19" x14ac:dyDescent="0.3">
      <c r="A551" s="98"/>
      <c r="B551" s="98"/>
      <c r="C551" s="98"/>
      <c r="D551" s="98"/>
      <c r="E551" s="98"/>
      <c r="F551" s="98"/>
      <c r="G551" s="98"/>
      <c r="H551" s="38">
        <f>0</f>
        <v>0</v>
      </c>
      <c r="I551" s="29">
        <f>G548*H551</f>
        <v>0</v>
      </c>
      <c r="J551">
        <v>4</v>
      </c>
      <c r="N551" s="4">
        <f>IF(ISERR(SEARCH("TRA* 82",C548)),IF(Q551+R551+S551=0,0,I551*(Q551/(Q551+R551+S551))),I551)</f>
        <v>0</v>
      </c>
      <c r="O551" s="4">
        <f>IF(ISERR(SEARCH("TRA* 82",C548)),IF(Q551+R551+S551=0,0,I551*(R551/(Q551+R551+S551))),0)</f>
        <v>0</v>
      </c>
      <c r="P551" s="4">
        <f>IF(ISERR(SEARCH("TRA* 82",C548)),I551-N551-O551,0)</f>
        <v>0</v>
      </c>
      <c r="Q551" s="4">
        <v>0</v>
      </c>
      <c r="R551" s="4">
        <v>0</v>
      </c>
      <c r="S551" s="4">
        <v>0</v>
      </c>
    </row>
    <row r="552" spans="1:19" x14ac:dyDescent="0.3">
      <c r="A552" s="96" t="s">
        <v>27</v>
      </c>
      <c r="B552" s="97"/>
      <c r="C552" s="97"/>
      <c r="D552" s="97"/>
      <c r="E552" s="97"/>
      <c r="F552" s="97"/>
      <c r="G552" s="97"/>
      <c r="H552" s="36">
        <f>H548+H549+H550+H551</f>
        <v>10.827999999999999</v>
      </c>
      <c r="I552" s="74">
        <f>I548+I549+I550+I551</f>
        <v>216.56</v>
      </c>
      <c r="J552">
        <v>5</v>
      </c>
    </row>
    <row r="553" spans="1:19" x14ac:dyDescent="0.3">
      <c r="B553" s="2">
        <v>97</v>
      </c>
      <c r="C553" s="3" t="s">
        <v>283</v>
      </c>
      <c r="D553" s="5" t="s">
        <v>29</v>
      </c>
      <c r="G553" s="30">
        <v>141</v>
      </c>
      <c r="H553" s="38">
        <v>9.5399999999999991</v>
      </c>
      <c r="I553" s="29">
        <f>G553*H553</f>
        <v>1345.1399999999999</v>
      </c>
      <c r="J553">
        <v>1</v>
      </c>
    </row>
    <row r="554" spans="1:19" x14ac:dyDescent="0.3">
      <c r="D554" s="15" t="str">
        <f>SUBSTITUTE("Sp.mat: 0.00%",".",IF(VALUE("1.2")=1.2,".",","),2)</f>
        <v>Sp.mat: 0.00%</v>
      </c>
      <c r="F554" s="15" t="str">
        <f>SUBSTITUTE("Sp.man: 0.00%",".",IF(VALUE("1.2")=1.2,".",","),2)</f>
        <v>Sp.man: 0.00%</v>
      </c>
      <c r="G554" s="35" t="str">
        <f>SUBSTITUTE("Sp.uti: 0.00%",".",IF(VALUE("1.2")=1.2,".",","),2)</f>
        <v>Sp.uti: 0.00%</v>
      </c>
      <c r="H554" s="38">
        <f>406.51/G553</f>
        <v>2.8830496453900709</v>
      </c>
      <c r="I554" s="29">
        <f>G553*H554</f>
        <v>406.51</v>
      </c>
      <c r="J554">
        <v>2</v>
      </c>
    </row>
    <row r="555" spans="1:19" x14ac:dyDescent="0.3">
      <c r="A555" s="88" t="s">
        <v>284</v>
      </c>
      <c r="B555" s="98"/>
      <c r="C555" s="98"/>
      <c r="D555" s="98"/>
      <c r="E555" s="98"/>
      <c r="F555" s="98"/>
      <c r="G555" s="98"/>
      <c r="H555" s="38">
        <f>(1+IF(OR(ISERR(FIND(":",G554)),ISERR(FIND("%",G554))),0,MID(G554,FIND(":",G554)+2,FIND("%",G554)-FIND(":",G554)-2)/100))*0</f>
        <v>0</v>
      </c>
      <c r="I555" s="29">
        <f>G553*H555</f>
        <v>0</v>
      </c>
      <c r="J555">
        <v>3</v>
      </c>
      <c r="K555" s="4">
        <v>0</v>
      </c>
      <c r="L555" s="4">
        <v>0</v>
      </c>
      <c r="M555" s="4">
        <f>I555-K555-L555</f>
        <v>0</v>
      </c>
    </row>
    <row r="556" spans="1:19" x14ac:dyDescent="0.3">
      <c r="A556" s="98"/>
      <c r="B556" s="98"/>
      <c r="C556" s="98"/>
      <c r="D556" s="98"/>
      <c r="E556" s="98"/>
      <c r="F556" s="98"/>
      <c r="G556" s="98"/>
      <c r="H556" s="38">
        <f>0</f>
        <v>0</v>
      </c>
      <c r="I556" s="29">
        <f>G553*H556</f>
        <v>0</v>
      </c>
      <c r="J556">
        <v>4</v>
      </c>
      <c r="N556" s="4">
        <f>IF(ISERR(SEARCH("TRA* 82",C553)),IF(Q556+R556+S556=0,0,I556*(Q556/(Q556+R556+S556))),I556)</f>
        <v>0</v>
      </c>
      <c r="O556" s="4">
        <f>IF(ISERR(SEARCH("TRA* 82",C553)),IF(Q556+R556+S556=0,0,I556*(R556/(Q556+R556+S556))),0)</f>
        <v>0</v>
      </c>
      <c r="P556" s="4">
        <f>IF(ISERR(SEARCH("TRA* 82",C553)),I556-N556-O556,0)</f>
        <v>0</v>
      </c>
      <c r="Q556" s="4">
        <v>0</v>
      </c>
      <c r="R556" s="4">
        <v>0</v>
      </c>
      <c r="S556" s="4">
        <v>0</v>
      </c>
    </row>
    <row r="557" spans="1:19" x14ac:dyDescent="0.3">
      <c r="A557" s="96" t="s">
        <v>27</v>
      </c>
      <c r="B557" s="97"/>
      <c r="C557" s="97"/>
      <c r="D557" s="97"/>
      <c r="E557" s="97"/>
      <c r="F557" s="97"/>
      <c r="G557" s="97"/>
      <c r="H557" s="36">
        <f>H553+H554+H555+H556</f>
        <v>12.423049645390069</v>
      </c>
      <c r="I557" s="74">
        <f>I553+I554+I555+I556</f>
        <v>1751.6499999999999</v>
      </c>
      <c r="J557">
        <v>5</v>
      </c>
    </row>
    <row r="558" spans="1:19" x14ac:dyDescent="0.3">
      <c r="B558" s="2">
        <v>98</v>
      </c>
      <c r="C558" s="3" t="s">
        <v>285</v>
      </c>
      <c r="D558" s="5" t="s">
        <v>29</v>
      </c>
      <c r="G558" s="30">
        <v>4</v>
      </c>
      <c r="H558" s="38">
        <v>20.9</v>
      </c>
      <c r="I558" s="29">
        <f>G558*H558</f>
        <v>83.6</v>
      </c>
      <c r="J558">
        <v>1</v>
      </c>
    </row>
    <row r="559" spans="1:19" x14ac:dyDescent="0.3">
      <c r="D559" s="15" t="str">
        <f>SUBSTITUTE("Sp.mat: 0.00%",".",IF(VALUE("1.2")=1.2,".",","),2)</f>
        <v>Sp.mat: 0.00%</v>
      </c>
      <c r="F559" s="15" t="str">
        <f>SUBSTITUTE("Sp.man: 0.00%",".",IF(VALUE("1.2")=1.2,".",","),2)</f>
        <v>Sp.man: 0.00%</v>
      </c>
      <c r="G559" s="35" t="str">
        <f>SUBSTITUTE("Sp.uti: 0.00%",".",IF(VALUE("1.2")=1.2,".",","),2)</f>
        <v>Sp.uti: 0.00%</v>
      </c>
      <c r="H559" s="38">
        <f>105.07/G558</f>
        <v>26.267499999999998</v>
      </c>
      <c r="I559" s="29">
        <f>G558*H559</f>
        <v>105.07</v>
      </c>
      <c r="J559">
        <v>2</v>
      </c>
    </row>
    <row r="560" spans="1:19" x14ac:dyDescent="0.3">
      <c r="A560" s="88" t="s">
        <v>286</v>
      </c>
      <c r="B560" s="98"/>
      <c r="C560" s="98"/>
      <c r="D560" s="98"/>
      <c r="E560" s="98"/>
      <c r="F560" s="98"/>
      <c r="G560" s="98"/>
      <c r="H560" s="38">
        <f>(1+IF(OR(ISERR(FIND(":",G559)),ISERR(FIND("%",G559))),0,MID(G559,FIND(":",G559)+2,FIND("%",G559)-FIND(":",G559)-2)/100))*0</f>
        <v>0</v>
      </c>
      <c r="I560" s="29">
        <f>G558*H560</f>
        <v>0</v>
      </c>
      <c r="J560">
        <v>3</v>
      </c>
      <c r="K560" s="4">
        <v>0</v>
      </c>
      <c r="L560" s="4">
        <v>0</v>
      </c>
      <c r="M560" s="4">
        <f>I560-K560-L560</f>
        <v>0</v>
      </c>
    </row>
    <row r="561" spans="1:19" x14ac:dyDescent="0.3">
      <c r="A561" s="98"/>
      <c r="B561" s="98"/>
      <c r="C561" s="98"/>
      <c r="D561" s="98"/>
      <c r="E561" s="98"/>
      <c r="F561" s="98"/>
      <c r="G561" s="98"/>
      <c r="H561" s="38">
        <f>0</f>
        <v>0</v>
      </c>
      <c r="I561" s="29">
        <f>G558*H561</f>
        <v>0</v>
      </c>
      <c r="J561">
        <v>4</v>
      </c>
      <c r="N561" s="4">
        <f>IF(ISERR(SEARCH("TRA* 82",C558)),IF(Q561+R561+S561=0,0,I561*(Q561/(Q561+R561+S561))),I561)</f>
        <v>0</v>
      </c>
      <c r="O561" s="4">
        <f>IF(ISERR(SEARCH("TRA* 82",C558)),IF(Q561+R561+S561=0,0,I561*(R561/(Q561+R561+S561))),0)</f>
        <v>0</v>
      </c>
      <c r="P561" s="4">
        <f>IF(ISERR(SEARCH("TRA* 82",C558)),I561-N561-O561,0)</f>
        <v>0</v>
      </c>
      <c r="Q561" s="4">
        <v>0</v>
      </c>
      <c r="R561" s="4">
        <v>0</v>
      </c>
      <c r="S561" s="4">
        <v>0</v>
      </c>
    </row>
    <row r="562" spans="1:19" x14ac:dyDescent="0.3">
      <c r="A562" s="96" t="s">
        <v>27</v>
      </c>
      <c r="B562" s="97"/>
      <c r="C562" s="97"/>
      <c r="D562" s="97"/>
      <c r="E562" s="97"/>
      <c r="F562" s="97"/>
      <c r="G562" s="97"/>
      <c r="H562" s="36">
        <f>H558+H559+H560+H561</f>
        <v>47.167499999999997</v>
      </c>
      <c r="I562" s="74">
        <f>I558+I559+I560+I561</f>
        <v>188.67</v>
      </c>
      <c r="J562">
        <v>5</v>
      </c>
    </row>
    <row r="563" spans="1:19" x14ac:dyDescent="0.3">
      <c r="B563" s="2">
        <v>99</v>
      </c>
      <c r="C563" s="3" t="s">
        <v>287</v>
      </c>
      <c r="D563" s="5" t="s">
        <v>29</v>
      </c>
      <c r="G563" s="30">
        <v>4</v>
      </c>
      <c r="H563" s="38">
        <v>1452.35</v>
      </c>
      <c r="I563" s="29">
        <f>G563*H563</f>
        <v>5809.4</v>
      </c>
      <c r="J563">
        <v>1</v>
      </c>
    </row>
    <row r="564" spans="1:19" x14ac:dyDescent="0.3">
      <c r="D564" s="15" t="str">
        <f>SUBSTITUTE("Sp.mat: 0.00%",".",IF(VALUE("1.2")=1.2,".",","),2)</f>
        <v>Sp.mat: 0.00%</v>
      </c>
      <c r="F564" s="15" t="str">
        <f>SUBSTITUTE("Sp.man: 0.00%",".",IF(VALUE("1.2")=1.2,".",","),2)</f>
        <v>Sp.man: 0.00%</v>
      </c>
      <c r="G564" s="35" t="str">
        <f>SUBSTITUTE("Sp.uti: 0.00%",".",IF(VALUE("1.2")=1.2,".",","),2)</f>
        <v>Sp.uti: 0.00%</v>
      </c>
      <c r="H564" s="38">
        <v>26.43</v>
      </c>
      <c r="I564" s="29">
        <f>G563*H564</f>
        <v>105.72</v>
      </c>
      <c r="J564">
        <v>2</v>
      </c>
    </row>
    <row r="565" spans="1:19" x14ac:dyDescent="0.3">
      <c r="A565" s="88" t="s">
        <v>288</v>
      </c>
      <c r="B565" s="98"/>
      <c r="C565" s="98"/>
      <c r="D565" s="98"/>
      <c r="E565" s="98"/>
      <c r="F565" s="98"/>
      <c r="G565" s="98"/>
      <c r="H565" s="38">
        <f>(1+IF(OR(ISERR(FIND(":",G564)),ISERR(FIND("%",G564))),0,MID(G564,FIND(":",G564)+2,FIND("%",G564)-FIND(":",G564)-2)/100))*0</f>
        <v>0</v>
      </c>
      <c r="I565" s="29">
        <f>G563*H565</f>
        <v>0</v>
      </c>
      <c r="J565">
        <v>3</v>
      </c>
      <c r="K565" s="4">
        <v>0</v>
      </c>
      <c r="L565" s="4">
        <v>0</v>
      </c>
      <c r="M565" s="4">
        <f>I565-K565-L565</f>
        <v>0</v>
      </c>
    </row>
    <row r="566" spans="1:19" x14ac:dyDescent="0.3">
      <c r="A566" s="98"/>
      <c r="B566" s="98"/>
      <c r="C566" s="98"/>
      <c r="D566" s="98"/>
      <c r="E566" s="98"/>
      <c r="F566" s="98"/>
      <c r="G566" s="98"/>
      <c r="H566" s="38">
        <f>0</f>
        <v>0</v>
      </c>
      <c r="I566" s="29">
        <f>G563*H566</f>
        <v>0</v>
      </c>
      <c r="J566">
        <v>4</v>
      </c>
      <c r="N566" s="4">
        <f>IF(ISERR(SEARCH("TRA* 82",C563)),IF(Q566+R566+S566=0,0,I566*(Q566/(Q566+R566+S566))),I566)</f>
        <v>0</v>
      </c>
      <c r="O566" s="4">
        <f>IF(ISERR(SEARCH("TRA* 82",C563)),IF(Q566+R566+S566=0,0,I566*(R566/(Q566+R566+S566))),0)</f>
        <v>0</v>
      </c>
      <c r="P566" s="4">
        <f>IF(ISERR(SEARCH("TRA* 82",C563)),I566-N566-O566,0)</f>
        <v>0</v>
      </c>
      <c r="Q566" s="4">
        <v>0</v>
      </c>
      <c r="R566" s="4">
        <v>0</v>
      </c>
      <c r="S566" s="4">
        <v>0</v>
      </c>
    </row>
    <row r="567" spans="1:19" x14ac:dyDescent="0.3">
      <c r="A567" s="96" t="s">
        <v>27</v>
      </c>
      <c r="B567" s="97"/>
      <c r="C567" s="97"/>
      <c r="D567" s="97"/>
      <c r="E567" s="97"/>
      <c r="F567" s="97"/>
      <c r="G567" s="97"/>
      <c r="H567" s="36">
        <f>H563+H564+H565+H566</f>
        <v>1478.78</v>
      </c>
      <c r="I567" s="74">
        <f>I563+I564+I565+I566</f>
        <v>5915.12</v>
      </c>
      <c r="J567">
        <v>5</v>
      </c>
    </row>
    <row r="568" spans="1:19" x14ac:dyDescent="0.3">
      <c r="B568" s="2">
        <v>100</v>
      </c>
      <c r="C568" s="3" t="s">
        <v>289</v>
      </c>
      <c r="D568" s="5" t="s">
        <v>29</v>
      </c>
      <c r="G568" s="30">
        <v>22</v>
      </c>
      <c r="H568" s="38">
        <f>674.22/G568</f>
        <v>30.646363636363638</v>
      </c>
      <c r="I568" s="29">
        <f>G568*H568</f>
        <v>674.22</v>
      </c>
      <c r="J568">
        <v>1</v>
      </c>
    </row>
    <row r="569" spans="1:19" x14ac:dyDescent="0.3">
      <c r="D569" s="15" t="str">
        <f>SUBSTITUTE("Sp.mat: 0.00%",".",IF(VALUE("1.2")=1.2,".",","),2)</f>
        <v>Sp.mat: 0.00%</v>
      </c>
      <c r="F569" s="15" t="str">
        <f>SUBSTITUTE("Sp.man: 0.00%",".",IF(VALUE("1.2")=1.2,".",","),2)</f>
        <v>Sp.man: 0.00%</v>
      </c>
      <c r="G569" s="35" t="str">
        <f>SUBSTITUTE("Sp.uti: 0.00%",".",IF(VALUE("1.2")=1.2,".",","),2)</f>
        <v>Sp.uti: 0.00%</v>
      </c>
      <c r="H569" s="38">
        <f>599.04/G568</f>
        <v>27.229090909090907</v>
      </c>
      <c r="I569" s="29">
        <f>G568*H569</f>
        <v>599.04</v>
      </c>
      <c r="J569">
        <v>2</v>
      </c>
    </row>
    <row r="570" spans="1:19" x14ac:dyDescent="0.3">
      <c r="A570" s="88" t="s">
        <v>290</v>
      </c>
      <c r="B570" s="98"/>
      <c r="C570" s="98"/>
      <c r="D570" s="98"/>
      <c r="E570" s="98"/>
      <c r="F570" s="98"/>
      <c r="G570" s="98"/>
      <c r="H570" s="38">
        <f>(1+IF(OR(ISERR(FIND(":",G569)),ISERR(FIND("%",G569))),0,MID(G569,FIND(":",G569)+2,FIND("%",G569)-FIND(":",G569)-2)/100))*0</f>
        <v>0</v>
      </c>
      <c r="I570" s="29">
        <f>G568*H570</f>
        <v>0</v>
      </c>
      <c r="J570">
        <v>3</v>
      </c>
      <c r="K570" s="4">
        <v>0</v>
      </c>
      <c r="L570" s="4">
        <v>0</v>
      </c>
      <c r="M570" s="4">
        <f>I570-K570-L570</f>
        <v>0</v>
      </c>
    </row>
    <row r="571" spans="1:19" x14ac:dyDescent="0.3">
      <c r="A571" s="98"/>
      <c r="B571" s="98"/>
      <c r="C571" s="98"/>
      <c r="D571" s="98"/>
      <c r="E571" s="98"/>
      <c r="F571" s="98"/>
      <c r="G571" s="98"/>
      <c r="H571" s="38">
        <f>0</f>
        <v>0</v>
      </c>
      <c r="I571" s="29">
        <f>G568*H571</f>
        <v>0</v>
      </c>
      <c r="J571">
        <v>4</v>
      </c>
      <c r="N571" s="4">
        <f>IF(ISERR(SEARCH("TRA* 82",C568)),IF(Q571+R571+S571=0,0,I571*(Q571/(Q571+R571+S571))),I571)</f>
        <v>0</v>
      </c>
      <c r="O571" s="4">
        <f>IF(ISERR(SEARCH("TRA* 82",C568)),IF(Q571+R571+S571=0,0,I571*(R571/(Q571+R571+S571))),0)</f>
        <v>0</v>
      </c>
      <c r="P571" s="4">
        <f>IF(ISERR(SEARCH("TRA* 82",C568)),I571-N571-O571,0)</f>
        <v>0</v>
      </c>
      <c r="Q571" s="4">
        <v>0</v>
      </c>
      <c r="R571" s="4">
        <v>0</v>
      </c>
      <c r="S571" s="4">
        <v>0</v>
      </c>
    </row>
    <row r="572" spans="1:19" x14ac:dyDescent="0.3">
      <c r="A572" s="96" t="s">
        <v>27</v>
      </c>
      <c r="B572" s="97"/>
      <c r="C572" s="97"/>
      <c r="D572" s="97"/>
      <c r="E572" s="97"/>
      <c r="F572" s="97"/>
      <c r="G572" s="97"/>
      <c r="H572" s="36">
        <f>H568+H569+H570+H571</f>
        <v>57.875454545454545</v>
      </c>
      <c r="I572" s="74">
        <f>I568+I569+I570+I571</f>
        <v>1273.26</v>
      </c>
      <c r="J572">
        <v>5</v>
      </c>
    </row>
    <row r="573" spans="1:19" x14ac:dyDescent="0.3">
      <c r="B573" s="2">
        <v>101</v>
      </c>
      <c r="C573" s="3" t="s">
        <v>291</v>
      </c>
      <c r="D573" s="5" t="s">
        <v>29</v>
      </c>
      <c r="G573" s="30">
        <v>14</v>
      </c>
      <c r="H573" s="38">
        <f>722.93/G573</f>
        <v>51.637857142857136</v>
      </c>
      <c r="I573" s="29">
        <f>G573*H573</f>
        <v>722.93</v>
      </c>
      <c r="J573">
        <v>1</v>
      </c>
    </row>
    <row r="574" spans="1:19" x14ac:dyDescent="0.3">
      <c r="D574" s="15" t="str">
        <f>SUBSTITUTE("Sp.mat: 0.00%",".",IF(VALUE("1.2")=1.2,".",","),2)</f>
        <v>Sp.mat: 0.00%</v>
      </c>
      <c r="F574" s="15" t="str">
        <f>SUBSTITUTE("Sp.man: 0.00%",".",IF(VALUE("1.2")=1.2,".",","),2)</f>
        <v>Sp.man: 0.00%</v>
      </c>
      <c r="G574" s="35" t="str">
        <f>SUBSTITUTE("Sp.uti: 0.00%",".",IF(VALUE("1.2")=1.2,".",","),2)</f>
        <v>Sp.uti: 0.00%</v>
      </c>
      <c r="H574" s="38">
        <f>383.45/G573</f>
        <v>27.389285714285712</v>
      </c>
      <c r="I574" s="29">
        <f>G573*H574</f>
        <v>383.45</v>
      </c>
      <c r="J574">
        <v>2</v>
      </c>
    </row>
    <row r="575" spans="1:19" x14ac:dyDescent="0.3">
      <c r="A575" s="88" t="s">
        <v>292</v>
      </c>
      <c r="B575" s="98"/>
      <c r="C575" s="98"/>
      <c r="D575" s="98"/>
      <c r="E575" s="98"/>
      <c r="F575" s="98"/>
      <c r="G575" s="98"/>
      <c r="H575" s="38">
        <f>(1+IF(OR(ISERR(FIND(":",G574)),ISERR(FIND("%",G574))),0,MID(G574,FIND(":",G574)+2,FIND("%",G574)-FIND(":",G574)-2)/100))*0</f>
        <v>0</v>
      </c>
      <c r="I575" s="29">
        <f>G573*H575</f>
        <v>0</v>
      </c>
      <c r="J575">
        <v>3</v>
      </c>
      <c r="K575" s="4">
        <v>0</v>
      </c>
      <c r="L575" s="4">
        <v>0</v>
      </c>
      <c r="M575" s="4">
        <f>I575-K575-L575</f>
        <v>0</v>
      </c>
    </row>
    <row r="576" spans="1:19" x14ac:dyDescent="0.3">
      <c r="A576" s="98"/>
      <c r="B576" s="98"/>
      <c r="C576" s="98"/>
      <c r="D576" s="98"/>
      <c r="E576" s="98"/>
      <c r="F576" s="98"/>
      <c r="G576" s="98"/>
      <c r="H576" s="38">
        <f>0</f>
        <v>0</v>
      </c>
      <c r="I576" s="29">
        <f>G573*H576</f>
        <v>0</v>
      </c>
      <c r="J576">
        <v>4</v>
      </c>
      <c r="N576" s="4">
        <f>IF(ISERR(SEARCH("TRA* 82",C573)),IF(Q576+R576+S576=0,0,I576*(Q576/(Q576+R576+S576))),I576)</f>
        <v>0</v>
      </c>
      <c r="O576" s="4">
        <f>IF(ISERR(SEARCH("TRA* 82",C573)),IF(Q576+R576+S576=0,0,I576*(R576/(Q576+R576+S576))),0)</f>
        <v>0</v>
      </c>
      <c r="P576" s="4">
        <f>IF(ISERR(SEARCH("TRA* 82",C573)),I576-N576-O576,0)</f>
        <v>0</v>
      </c>
      <c r="Q576" s="4">
        <v>0</v>
      </c>
      <c r="R576" s="4">
        <v>0</v>
      </c>
      <c r="S576" s="4">
        <v>0</v>
      </c>
    </row>
    <row r="577" spans="1:19" x14ac:dyDescent="0.3">
      <c r="A577" s="96" t="s">
        <v>27</v>
      </c>
      <c r="B577" s="97"/>
      <c r="C577" s="97"/>
      <c r="D577" s="97"/>
      <c r="E577" s="97"/>
      <c r="F577" s="97"/>
      <c r="G577" s="97"/>
      <c r="H577" s="36">
        <f>H573+H574+H575+H576</f>
        <v>79.027142857142849</v>
      </c>
      <c r="I577" s="74">
        <f>I573+I574+I575+I576</f>
        <v>1106.3799999999999</v>
      </c>
      <c r="J577">
        <v>5</v>
      </c>
    </row>
    <row r="578" spans="1:19" x14ac:dyDescent="0.3">
      <c r="B578" s="2">
        <v>102</v>
      </c>
      <c r="C578" s="3" t="s">
        <v>293</v>
      </c>
      <c r="D578" s="5" t="s">
        <v>29</v>
      </c>
      <c r="G578" s="30">
        <v>5</v>
      </c>
      <c r="H578" s="38">
        <v>67.23</v>
      </c>
      <c r="I578" s="29">
        <f>G578*H578</f>
        <v>336.15000000000003</v>
      </c>
      <c r="J578">
        <v>1</v>
      </c>
    </row>
    <row r="579" spans="1:19" x14ac:dyDescent="0.3">
      <c r="D579" s="15" t="str">
        <f>SUBSTITUTE("Sp.mat: 0.00%",".",IF(VALUE("1.2")=1.2,".",","),2)</f>
        <v>Sp.mat: 0.00%</v>
      </c>
      <c r="F579" s="15" t="str">
        <f>SUBSTITUTE("Sp.man: 0.00%",".",IF(VALUE("1.2")=1.2,".",","),2)</f>
        <v>Sp.man: 0.00%</v>
      </c>
      <c r="G579" s="35" t="str">
        <f>SUBSTITUTE("Sp.uti: 0.00%",".",IF(VALUE("1.2")=1.2,".",","),2)</f>
        <v>Sp.uti: 0.00%</v>
      </c>
      <c r="H579" s="38">
        <v>27.39</v>
      </c>
      <c r="I579" s="29">
        <f>G578*H579</f>
        <v>136.94999999999999</v>
      </c>
      <c r="J579">
        <v>2</v>
      </c>
    </row>
    <row r="580" spans="1:19" x14ac:dyDescent="0.3">
      <c r="A580" s="88" t="s">
        <v>294</v>
      </c>
      <c r="B580" s="98"/>
      <c r="C580" s="98"/>
      <c r="D580" s="98"/>
      <c r="E580" s="98"/>
      <c r="F580" s="98"/>
      <c r="G580" s="98"/>
      <c r="H580" s="38">
        <f>(1+IF(OR(ISERR(FIND(":",G579)),ISERR(FIND("%",G579))),0,MID(G579,FIND(":",G579)+2,FIND("%",G579)-FIND(":",G579)-2)/100))*0</f>
        <v>0</v>
      </c>
      <c r="I580" s="29">
        <f>G578*H580</f>
        <v>0</v>
      </c>
      <c r="J580">
        <v>3</v>
      </c>
      <c r="K580" s="4">
        <v>0</v>
      </c>
      <c r="L580" s="4">
        <v>0</v>
      </c>
      <c r="M580" s="4">
        <f>I580-K580-L580</f>
        <v>0</v>
      </c>
    </row>
    <row r="581" spans="1:19" x14ac:dyDescent="0.3">
      <c r="A581" s="98"/>
      <c r="B581" s="98"/>
      <c r="C581" s="98"/>
      <c r="D581" s="98"/>
      <c r="E581" s="98"/>
      <c r="F581" s="98"/>
      <c r="G581" s="98"/>
      <c r="H581" s="38">
        <f>0</f>
        <v>0</v>
      </c>
      <c r="I581" s="29">
        <f>G578*H581</f>
        <v>0</v>
      </c>
      <c r="J581">
        <v>4</v>
      </c>
      <c r="N581" s="4">
        <f>IF(ISERR(SEARCH("TRA* 82",C578)),IF(Q581+R581+S581=0,0,I581*(Q581/(Q581+R581+S581))),I581)</f>
        <v>0</v>
      </c>
      <c r="O581" s="4">
        <f>IF(ISERR(SEARCH("TRA* 82",C578)),IF(Q581+R581+S581=0,0,I581*(R581/(Q581+R581+S581))),0)</f>
        <v>0</v>
      </c>
      <c r="P581" s="4">
        <f>IF(ISERR(SEARCH("TRA* 82",C578)),I581-N581-O581,0)</f>
        <v>0</v>
      </c>
      <c r="Q581" s="4">
        <v>0</v>
      </c>
      <c r="R581" s="4">
        <v>0</v>
      </c>
      <c r="S581" s="4">
        <v>0</v>
      </c>
    </row>
    <row r="582" spans="1:19" x14ac:dyDescent="0.3">
      <c r="A582" s="96" t="s">
        <v>27</v>
      </c>
      <c r="B582" s="97"/>
      <c r="C582" s="97"/>
      <c r="D582" s="97"/>
      <c r="E582" s="97"/>
      <c r="F582" s="97"/>
      <c r="G582" s="97"/>
      <c r="H582" s="36">
        <f>H578+H579+H580+H581</f>
        <v>94.62</v>
      </c>
      <c r="I582" s="74">
        <f>I578+I579+I580+I581</f>
        <v>473.1</v>
      </c>
      <c r="J582">
        <v>5</v>
      </c>
    </row>
    <row r="583" spans="1:19" x14ac:dyDescent="0.3">
      <c r="B583" s="2">
        <v>103</v>
      </c>
      <c r="C583" s="3" t="s">
        <v>295</v>
      </c>
      <c r="D583" s="5" t="s">
        <v>29</v>
      </c>
      <c r="G583" s="30">
        <v>6</v>
      </c>
      <c r="H583" s="38">
        <f>504.16/G583</f>
        <v>84.026666666666671</v>
      </c>
      <c r="I583" s="29">
        <f>G583*H583</f>
        <v>504.16</v>
      </c>
      <c r="J583">
        <v>1</v>
      </c>
    </row>
    <row r="584" spans="1:19" x14ac:dyDescent="0.3">
      <c r="D584" s="15" t="str">
        <f>SUBSTITUTE("Sp.mat: 0.00%",".",IF(VALUE("1.2")=1.2,".",","),2)</f>
        <v>Sp.mat: 0.00%</v>
      </c>
      <c r="F584" s="15" t="str">
        <f>SUBSTITUTE("Sp.man: 0.00%",".",IF(VALUE("1.2")=1.2,".",","),2)</f>
        <v>Sp.man: 0.00%</v>
      </c>
      <c r="G584" s="35" t="str">
        <f>SUBSTITUTE("Sp.uti: 0.00%",".",IF(VALUE("1.2")=1.2,".",","),2)</f>
        <v>Sp.uti: 0.00%</v>
      </c>
      <c r="H584" s="38">
        <f>188.36/G583</f>
        <v>31.393333333333334</v>
      </c>
      <c r="I584" s="29">
        <f>G583*H584</f>
        <v>188.36</v>
      </c>
      <c r="J584">
        <v>2</v>
      </c>
    </row>
    <row r="585" spans="1:19" x14ac:dyDescent="0.3">
      <c r="A585" s="88" t="s">
        <v>296</v>
      </c>
      <c r="B585" s="98"/>
      <c r="C585" s="98"/>
      <c r="D585" s="98"/>
      <c r="E585" s="98"/>
      <c r="F585" s="98"/>
      <c r="G585" s="98"/>
      <c r="H585" s="38">
        <f>(1+IF(OR(ISERR(FIND(":",G584)),ISERR(FIND("%",G584))),0,MID(G584,FIND(":",G584)+2,FIND("%",G584)-FIND(":",G584)-2)/100))*0</f>
        <v>0</v>
      </c>
      <c r="I585" s="29">
        <f>G583*H585</f>
        <v>0</v>
      </c>
      <c r="J585">
        <v>3</v>
      </c>
      <c r="K585" s="4">
        <v>0</v>
      </c>
      <c r="L585" s="4">
        <v>0</v>
      </c>
      <c r="M585" s="4">
        <f>I585-K585-L585</f>
        <v>0</v>
      </c>
    </row>
    <row r="586" spans="1:19" x14ac:dyDescent="0.3">
      <c r="A586" s="98"/>
      <c r="B586" s="98"/>
      <c r="C586" s="98"/>
      <c r="D586" s="98"/>
      <c r="E586" s="98"/>
      <c r="F586" s="98"/>
      <c r="G586" s="98"/>
      <c r="H586" s="38">
        <f>0</f>
        <v>0</v>
      </c>
      <c r="I586" s="29">
        <f>G583*H586</f>
        <v>0</v>
      </c>
      <c r="J586">
        <v>4</v>
      </c>
      <c r="N586" s="4">
        <f>IF(ISERR(SEARCH("TRA* 82",C583)),IF(Q586+R586+S586=0,0,I586*(Q586/(Q586+R586+S586))),I586)</f>
        <v>0</v>
      </c>
      <c r="O586" s="4">
        <f>IF(ISERR(SEARCH("TRA* 82",C583)),IF(Q586+R586+S586=0,0,I586*(R586/(Q586+R586+S586))),0)</f>
        <v>0</v>
      </c>
      <c r="P586" s="4">
        <f>IF(ISERR(SEARCH("TRA* 82",C583)),I586-N586-O586,0)</f>
        <v>0</v>
      </c>
      <c r="Q586" s="4">
        <v>0</v>
      </c>
      <c r="R586" s="4">
        <v>0</v>
      </c>
      <c r="S586" s="4">
        <v>0</v>
      </c>
    </row>
    <row r="587" spans="1:19" x14ac:dyDescent="0.3">
      <c r="A587" s="96" t="s">
        <v>27</v>
      </c>
      <c r="B587" s="97"/>
      <c r="C587" s="97"/>
      <c r="D587" s="97"/>
      <c r="E587" s="97"/>
      <c r="F587" s="97"/>
      <c r="G587" s="97"/>
      <c r="H587" s="36">
        <f>H583+H584+H585+H586</f>
        <v>115.42</v>
      </c>
      <c r="I587" s="74">
        <f>I583+I584+I585+I586</f>
        <v>692.52</v>
      </c>
      <c r="J587">
        <v>5</v>
      </c>
    </row>
    <row r="588" spans="1:19" x14ac:dyDescent="0.3">
      <c r="B588" s="2">
        <v>104</v>
      </c>
      <c r="C588" s="3" t="s">
        <v>297</v>
      </c>
      <c r="D588" s="5" t="s">
        <v>29</v>
      </c>
      <c r="G588" s="30">
        <v>10</v>
      </c>
      <c r="H588" s="38">
        <f>3446.66/G588</f>
        <v>344.666</v>
      </c>
      <c r="I588" s="29">
        <f>G588*H588</f>
        <v>3446.66</v>
      </c>
      <c r="J588">
        <v>1</v>
      </c>
    </row>
    <row r="589" spans="1:19" x14ac:dyDescent="0.3">
      <c r="D589" s="15" t="str">
        <f>SUBSTITUTE("Sp.mat: 0.00%",".",IF(VALUE("1.2")=1.2,".",","),2)</f>
        <v>Sp.mat: 0.00%</v>
      </c>
      <c r="F589" s="15" t="str">
        <f>SUBSTITUTE("Sp.man: 0.00%",".",IF(VALUE("1.2")=1.2,".",","),2)</f>
        <v>Sp.man: 0.00%</v>
      </c>
      <c r="G589" s="35" t="str">
        <f>SUBSTITUTE("Sp.uti: 0.00%",".",IF(VALUE("1.2")=1.2,".",","),2)</f>
        <v>Sp.uti: 0.00%</v>
      </c>
      <c r="H589" s="38">
        <f>320.34/G588</f>
        <v>32.033999999999999</v>
      </c>
      <c r="I589" s="29">
        <f>G588*H589</f>
        <v>320.33999999999997</v>
      </c>
      <c r="J589">
        <v>2</v>
      </c>
    </row>
    <row r="590" spans="1:19" x14ac:dyDescent="0.3">
      <c r="A590" s="88" t="s">
        <v>298</v>
      </c>
      <c r="B590" s="98"/>
      <c r="C590" s="98"/>
      <c r="D590" s="98"/>
      <c r="E590" s="98"/>
      <c r="F590" s="98"/>
      <c r="G590" s="98"/>
      <c r="H590" s="38">
        <f>(1+IF(OR(ISERR(FIND(":",G589)),ISERR(FIND("%",G589))),0,MID(G589,FIND(":",G589)+2,FIND("%",G589)-FIND(":",G589)-2)/100))*0</f>
        <v>0</v>
      </c>
      <c r="I590" s="29">
        <f>G588*H590</f>
        <v>0</v>
      </c>
      <c r="J590">
        <v>3</v>
      </c>
      <c r="K590" s="4">
        <v>0</v>
      </c>
      <c r="L590" s="4">
        <v>0</v>
      </c>
      <c r="M590" s="4">
        <f>I590-K590-L590</f>
        <v>0</v>
      </c>
    </row>
    <row r="591" spans="1:19" x14ac:dyDescent="0.3">
      <c r="A591" s="98"/>
      <c r="B591" s="98"/>
      <c r="C591" s="98"/>
      <c r="D591" s="98"/>
      <c r="E591" s="98"/>
      <c r="F591" s="98"/>
      <c r="G591" s="98"/>
      <c r="H591" s="38">
        <f>0</f>
        <v>0</v>
      </c>
      <c r="I591" s="29">
        <f>G588*H591</f>
        <v>0</v>
      </c>
      <c r="J591">
        <v>4</v>
      </c>
      <c r="N591" s="4">
        <f>IF(ISERR(SEARCH("TRA* 82",C588)),IF(Q591+R591+S591=0,0,I591*(Q591/(Q591+R591+S591))),I591)</f>
        <v>0</v>
      </c>
      <c r="O591" s="4">
        <f>IF(ISERR(SEARCH("TRA* 82",C588)),IF(Q591+R591+S591=0,0,I591*(R591/(Q591+R591+S591))),0)</f>
        <v>0</v>
      </c>
      <c r="P591" s="4">
        <f>IF(ISERR(SEARCH("TRA* 82",C588)),I591-N591-O591,0)</f>
        <v>0</v>
      </c>
      <c r="Q591" s="4">
        <v>0</v>
      </c>
      <c r="R591" s="4">
        <v>0</v>
      </c>
      <c r="S591" s="4">
        <v>0</v>
      </c>
    </row>
    <row r="592" spans="1:19" x14ac:dyDescent="0.3">
      <c r="A592" s="96" t="s">
        <v>27</v>
      </c>
      <c r="B592" s="97"/>
      <c r="C592" s="97"/>
      <c r="D592" s="97"/>
      <c r="E592" s="97"/>
      <c r="F592" s="97"/>
      <c r="G592" s="97"/>
      <c r="H592" s="36">
        <f>H588+H589+H590+H591</f>
        <v>376.7</v>
      </c>
      <c r="I592" s="74">
        <f>I588+I589+I590+I591</f>
        <v>3767</v>
      </c>
      <c r="J592">
        <v>5</v>
      </c>
    </row>
    <row r="593" spans="1:19" x14ac:dyDescent="0.3">
      <c r="B593" s="2">
        <v>105</v>
      </c>
      <c r="C593" s="3" t="s">
        <v>299</v>
      </c>
      <c r="D593" s="5" t="s">
        <v>29</v>
      </c>
      <c r="G593" s="30">
        <v>4</v>
      </c>
      <c r="H593" s="38">
        <v>319.88</v>
      </c>
      <c r="I593" s="29">
        <f>G593*H593</f>
        <v>1279.52</v>
      </c>
      <c r="J593">
        <v>1</v>
      </c>
    </row>
    <row r="594" spans="1:19" x14ac:dyDescent="0.3">
      <c r="D594" s="15" t="str">
        <f>SUBSTITUTE("Sp.mat: 0.00%",".",IF(VALUE("1.2")=1.2,".",","),2)</f>
        <v>Sp.mat: 0.00%</v>
      </c>
      <c r="F594" s="15" t="str">
        <f>SUBSTITUTE("Sp.man: 0.00%",".",IF(VALUE("1.2")=1.2,".",","),2)</f>
        <v>Sp.man: 0.00%</v>
      </c>
      <c r="G594" s="35" t="str">
        <f>SUBSTITUTE("Sp.uti: 0.00%",".",IF(VALUE("1.2")=1.2,".",","),2)</f>
        <v>Sp.uti: 0.00%</v>
      </c>
      <c r="H594" s="38">
        <f>140.31/G593</f>
        <v>35.077500000000001</v>
      </c>
      <c r="I594" s="29">
        <f>G593*H594</f>
        <v>140.31</v>
      </c>
      <c r="J594">
        <v>2</v>
      </c>
    </row>
    <row r="595" spans="1:19" x14ac:dyDescent="0.3">
      <c r="A595" s="88" t="s">
        <v>300</v>
      </c>
      <c r="B595" s="98"/>
      <c r="C595" s="98"/>
      <c r="D595" s="98"/>
      <c r="E595" s="98"/>
      <c r="F595" s="98"/>
      <c r="G595" s="98"/>
      <c r="H595" s="38">
        <f>(1+IF(OR(ISERR(FIND(":",G594)),ISERR(FIND("%",G594))),0,MID(G594,FIND(":",G594)+2,FIND("%",G594)-FIND(":",G594)-2)/100))*0</f>
        <v>0</v>
      </c>
      <c r="I595" s="29">
        <f>G593*H595</f>
        <v>0</v>
      </c>
      <c r="J595">
        <v>3</v>
      </c>
      <c r="K595" s="4">
        <v>0</v>
      </c>
      <c r="L595" s="4">
        <v>0</v>
      </c>
      <c r="M595" s="4">
        <f>I595-K595-L595</f>
        <v>0</v>
      </c>
    </row>
    <row r="596" spans="1:19" x14ac:dyDescent="0.3">
      <c r="A596" s="98"/>
      <c r="B596" s="98"/>
      <c r="C596" s="98"/>
      <c r="D596" s="98"/>
      <c r="E596" s="98"/>
      <c r="F596" s="98"/>
      <c r="G596" s="98"/>
      <c r="H596" s="38">
        <f>0</f>
        <v>0</v>
      </c>
      <c r="I596" s="29">
        <f>G593*H596</f>
        <v>0</v>
      </c>
      <c r="J596">
        <v>4</v>
      </c>
      <c r="N596" s="4">
        <f>IF(ISERR(SEARCH("TRA* 82",C593)),IF(Q596+R596+S596=0,0,I596*(Q596/(Q596+R596+S596))),I596)</f>
        <v>0</v>
      </c>
      <c r="O596" s="4">
        <f>IF(ISERR(SEARCH("TRA* 82",C593)),IF(Q596+R596+S596=0,0,I596*(R596/(Q596+R596+S596))),0)</f>
        <v>0</v>
      </c>
      <c r="P596" s="4">
        <f>IF(ISERR(SEARCH("TRA* 82",C593)),I596-N596-O596,0)</f>
        <v>0</v>
      </c>
      <c r="Q596" s="4">
        <v>0</v>
      </c>
      <c r="R596" s="4">
        <v>0</v>
      </c>
      <c r="S596" s="4">
        <v>0</v>
      </c>
    </row>
    <row r="597" spans="1:19" x14ac:dyDescent="0.3">
      <c r="A597" s="96" t="s">
        <v>27</v>
      </c>
      <c r="B597" s="97"/>
      <c r="C597" s="97"/>
      <c r="D597" s="97"/>
      <c r="E597" s="97"/>
      <c r="F597" s="97"/>
      <c r="G597" s="97"/>
      <c r="H597" s="36">
        <f>H593+H594+H595+H596</f>
        <v>354.95749999999998</v>
      </c>
      <c r="I597" s="74">
        <f>I593+I594+I595+I596</f>
        <v>1419.83</v>
      </c>
      <c r="J597">
        <v>5</v>
      </c>
    </row>
    <row r="598" spans="1:19" x14ac:dyDescent="0.3">
      <c r="B598" s="2">
        <v>106</v>
      </c>
      <c r="C598" s="3" t="s">
        <v>301</v>
      </c>
      <c r="D598" s="5" t="s">
        <v>29</v>
      </c>
      <c r="G598" s="30">
        <v>22</v>
      </c>
      <c r="H598" s="38">
        <f>294.87/G598</f>
        <v>13.403181818181819</v>
      </c>
      <c r="I598" s="29">
        <f>G598*H598</f>
        <v>294.87</v>
      </c>
      <c r="J598">
        <v>1</v>
      </c>
    </row>
    <row r="599" spans="1:19" x14ac:dyDescent="0.3">
      <c r="D599" s="15" t="str">
        <f>SUBSTITUTE("Sp.mat: 0.00%",".",IF(VALUE("1.2")=1.2,".",","),2)</f>
        <v>Sp.mat: 0.00%</v>
      </c>
      <c r="F599" s="15" t="str">
        <f>SUBSTITUTE("Sp.man: 0.00%",".",IF(VALUE("1.2")=1.2,".",","),2)</f>
        <v>Sp.man: 0.00%</v>
      </c>
      <c r="G599" s="35" t="str">
        <f>SUBSTITUTE("Sp.uti: 0.00%",".",IF(VALUE("1.2")=1.2,".",","),2)</f>
        <v>Sp.uti: 0.00%</v>
      </c>
      <c r="H599" s="38">
        <f>214.95/G598</f>
        <v>9.7704545454545446</v>
      </c>
      <c r="I599" s="29">
        <f>G598*H599</f>
        <v>214.95</v>
      </c>
      <c r="J599">
        <v>2</v>
      </c>
    </row>
    <row r="600" spans="1:19" x14ac:dyDescent="0.3">
      <c r="A600" s="88" t="s">
        <v>302</v>
      </c>
      <c r="B600" s="98"/>
      <c r="C600" s="98"/>
      <c r="D600" s="98"/>
      <c r="E600" s="98"/>
      <c r="F600" s="98"/>
      <c r="G600" s="98"/>
      <c r="H600" s="38">
        <f>(1+IF(OR(ISERR(FIND(":",G599)),ISERR(FIND("%",G599))),0,MID(G599,FIND(":",G599)+2,FIND("%",G599)-FIND(":",G599)-2)/100))*0</f>
        <v>0</v>
      </c>
      <c r="I600" s="29">
        <f>G598*H600</f>
        <v>0</v>
      </c>
      <c r="J600">
        <v>3</v>
      </c>
      <c r="K600" s="4">
        <v>0</v>
      </c>
      <c r="L600" s="4">
        <v>0</v>
      </c>
      <c r="M600" s="4">
        <f>I600-K600-L600</f>
        <v>0</v>
      </c>
    </row>
    <row r="601" spans="1:19" x14ac:dyDescent="0.3">
      <c r="A601" s="98"/>
      <c r="B601" s="98"/>
      <c r="C601" s="98"/>
      <c r="D601" s="98"/>
      <c r="E601" s="98"/>
      <c r="F601" s="98"/>
      <c r="G601" s="98"/>
      <c r="H601" s="38">
        <f>0</f>
        <v>0</v>
      </c>
      <c r="I601" s="29">
        <f>G598*H601</f>
        <v>0</v>
      </c>
      <c r="J601">
        <v>4</v>
      </c>
      <c r="N601" s="4">
        <f>IF(ISERR(SEARCH("TRA* 82",C598)),IF(Q601+R601+S601=0,0,I601*(Q601/(Q601+R601+S601))),I601)</f>
        <v>0</v>
      </c>
      <c r="O601" s="4">
        <f>IF(ISERR(SEARCH("TRA* 82",C598)),IF(Q601+R601+S601=0,0,I601*(R601/(Q601+R601+S601))),0)</f>
        <v>0</v>
      </c>
      <c r="P601" s="4">
        <f>IF(ISERR(SEARCH("TRA* 82",C598)),I601-N601-O601,0)</f>
        <v>0</v>
      </c>
      <c r="Q601" s="4">
        <v>0</v>
      </c>
      <c r="R601" s="4">
        <v>0</v>
      </c>
      <c r="S601" s="4">
        <v>0</v>
      </c>
    </row>
    <row r="602" spans="1:19" x14ac:dyDescent="0.3">
      <c r="A602" s="96" t="s">
        <v>27</v>
      </c>
      <c r="B602" s="97"/>
      <c r="C602" s="97"/>
      <c r="D602" s="97"/>
      <c r="E602" s="97"/>
      <c r="F602" s="97"/>
      <c r="G602" s="97"/>
      <c r="H602" s="36">
        <f>H598+H599+H600+H601</f>
        <v>23.173636363636362</v>
      </c>
      <c r="I602" s="74">
        <f>I598+I599+I600+I601</f>
        <v>509.82</v>
      </c>
      <c r="J602">
        <v>5</v>
      </c>
    </row>
    <row r="603" spans="1:19" x14ac:dyDescent="0.3">
      <c r="B603" s="16"/>
      <c r="E603" s="4">
        <f>SUMIF(J12:J602,"1",I12:I602)</f>
        <v>247839.52999999994</v>
      </c>
      <c r="F603" s="4">
        <f>SUMIF(J12:J602,"2",I12:I602)</f>
        <v>46885.440000000031</v>
      </c>
      <c r="G603" s="29">
        <f>SUMIF(J12:J602,"3",I12:I602)</f>
        <v>1149.1299999999999</v>
      </c>
      <c r="H603" s="29">
        <f>SUMIF(J12:J602,"4",I12:I602)</f>
        <v>0</v>
      </c>
      <c r="I603" s="29">
        <f>SUMIF(J12:J602,"5",I12:I602)</f>
        <v>295874.10000000003</v>
      </c>
      <c r="K603" s="4">
        <f>SUMIF(J12:J602,"3",K12:K602)</f>
        <v>1630.0875000000001</v>
      </c>
      <c r="L603" s="4">
        <f>SUMIF(J12:J602,"3",L12:L602)</f>
        <v>404.80799999999999</v>
      </c>
      <c r="M603" s="4">
        <f>SUMIF(J12:J602,"3",M12:M602)</f>
        <v>-885.76550000000009</v>
      </c>
      <c r="N603" s="4">
        <f>SUMIF(J12:J602,"4",N12:N602)</f>
        <v>0</v>
      </c>
      <c r="O603" s="4">
        <f>SUMIF(J12:J602,"4",O12:O602)</f>
        <v>0</v>
      </c>
      <c r="P603" s="4">
        <f>SUMIF(J12:J602,"4",P12:P602)</f>
        <v>0</v>
      </c>
      <c r="Q603" s="4">
        <f>SUMIF(J12:J602,"4",Q12:Q602)</f>
        <v>0</v>
      </c>
      <c r="R603" s="4">
        <f>SUMIF(J12:J602,"4",R12:R602)</f>
        <v>0</v>
      </c>
      <c r="S603" s="4">
        <f>SUMIF(J12:J602,"4",S12:S602)</f>
        <v>0</v>
      </c>
    </row>
    <row r="604" spans="1:19" x14ac:dyDescent="0.3">
      <c r="B604" s="107" t="s">
        <v>1554</v>
      </c>
      <c r="C604" s="108"/>
      <c r="D604" s="26"/>
      <c r="E604" s="26"/>
      <c r="F604" s="26"/>
      <c r="G604" s="109"/>
      <c r="H604" s="36"/>
      <c r="I604" s="110">
        <f>I603</f>
        <v>295874.10000000003</v>
      </c>
    </row>
  </sheetData>
  <mergeCells count="278">
    <mergeCell ref="A16:G16"/>
    <mergeCell ref="A19:G20"/>
    <mergeCell ref="A21:G21"/>
    <mergeCell ref="A24:G25"/>
    <mergeCell ref="A26:G26"/>
    <mergeCell ref="A29:G30"/>
    <mergeCell ref="A1:D1"/>
    <mergeCell ref="A2:I2"/>
    <mergeCell ref="A3:I3"/>
    <mergeCell ref="A4:I4"/>
    <mergeCell ref="A5:H5"/>
    <mergeCell ref="A14:G15"/>
    <mergeCell ref="A46:G46"/>
    <mergeCell ref="A49:G50"/>
    <mergeCell ref="A51:G51"/>
    <mergeCell ref="A52:I52"/>
    <mergeCell ref="A53:I53"/>
    <mergeCell ref="A56:G57"/>
    <mergeCell ref="A31:G31"/>
    <mergeCell ref="A34:G35"/>
    <mergeCell ref="A36:G36"/>
    <mergeCell ref="A39:G40"/>
    <mergeCell ref="A41:G41"/>
    <mergeCell ref="A44:G45"/>
    <mergeCell ref="A69:G70"/>
    <mergeCell ref="A71:G71"/>
    <mergeCell ref="A72:I72"/>
    <mergeCell ref="A73:I73"/>
    <mergeCell ref="A76:G77"/>
    <mergeCell ref="A78:G78"/>
    <mergeCell ref="A58:G58"/>
    <mergeCell ref="A59:I59"/>
    <mergeCell ref="A62:G63"/>
    <mergeCell ref="A64:G64"/>
    <mergeCell ref="A65:I65"/>
    <mergeCell ref="A66:I66"/>
    <mergeCell ref="A91:I91"/>
    <mergeCell ref="A94:G95"/>
    <mergeCell ref="A96:G96"/>
    <mergeCell ref="A97:I97"/>
    <mergeCell ref="A100:G101"/>
    <mergeCell ref="A102:G102"/>
    <mergeCell ref="A79:I79"/>
    <mergeCell ref="A82:G83"/>
    <mergeCell ref="A84:G84"/>
    <mergeCell ref="A85:I85"/>
    <mergeCell ref="A88:G89"/>
    <mergeCell ref="A90:G90"/>
    <mergeCell ref="A118:G118"/>
    <mergeCell ref="A121:G122"/>
    <mergeCell ref="A123:G123"/>
    <mergeCell ref="A126:G127"/>
    <mergeCell ref="A128:G128"/>
    <mergeCell ref="A131:G132"/>
    <mergeCell ref="A103:I103"/>
    <mergeCell ref="A106:G107"/>
    <mergeCell ref="A108:G108"/>
    <mergeCell ref="A111:G112"/>
    <mergeCell ref="A113:G113"/>
    <mergeCell ref="A116:G117"/>
    <mergeCell ref="A145:I145"/>
    <mergeCell ref="A148:G149"/>
    <mergeCell ref="A150:G150"/>
    <mergeCell ref="A151:I151"/>
    <mergeCell ref="A152:I152"/>
    <mergeCell ref="A155:G156"/>
    <mergeCell ref="A133:G133"/>
    <mergeCell ref="A136:G137"/>
    <mergeCell ref="A138:G138"/>
    <mergeCell ref="A141:G142"/>
    <mergeCell ref="A143:G143"/>
    <mergeCell ref="A144:I144"/>
    <mergeCell ref="A166:I166"/>
    <mergeCell ref="A169:G170"/>
    <mergeCell ref="A171:G171"/>
    <mergeCell ref="A172:I172"/>
    <mergeCell ref="A173:I173"/>
    <mergeCell ref="A176:G177"/>
    <mergeCell ref="A157:G157"/>
    <mergeCell ref="A158:I158"/>
    <mergeCell ref="A159:I159"/>
    <mergeCell ref="A162:G163"/>
    <mergeCell ref="A164:G164"/>
    <mergeCell ref="A165:I165"/>
    <mergeCell ref="A190:G190"/>
    <mergeCell ref="A191:I191"/>
    <mergeCell ref="A194:G195"/>
    <mergeCell ref="A196:G196"/>
    <mergeCell ref="A197:I197"/>
    <mergeCell ref="A200:G201"/>
    <mergeCell ref="A178:G178"/>
    <mergeCell ref="A181:G182"/>
    <mergeCell ref="A183:G183"/>
    <mergeCell ref="A184:I184"/>
    <mergeCell ref="A185:I185"/>
    <mergeCell ref="A188:G189"/>
    <mergeCell ref="A216:G217"/>
    <mergeCell ref="A218:G218"/>
    <mergeCell ref="A219:I219"/>
    <mergeCell ref="A222:G223"/>
    <mergeCell ref="A224:G224"/>
    <mergeCell ref="A225:I225"/>
    <mergeCell ref="A202:G202"/>
    <mergeCell ref="A205:G206"/>
    <mergeCell ref="A207:G207"/>
    <mergeCell ref="A208:I208"/>
    <mergeCell ref="A211:G212"/>
    <mergeCell ref="A213:G213"/>
    <mergeCell ref="A241:G241"/>
    <mergeCell ref="A242:I242"/>
    <mergeCell ref="A245:G246"/>
    <mergeCell ref="A247:G247"/>
    <mergeCell ref="A250:G251"/>
    <mergeCell ref="A252:G252"/>
    <mergeCell ref="A228:G229"/>
    <mergeCell ref="A230:G230"/>
    <mergeCell ref="A231:I231"/>
    <mergeCell ref="A234:G235"/>
    <mergeCell ref="A236:G236"/>
    <mergeCell ref="A239:G240"/>
    <mergeCell ref="A265:I265"/>
    <mergeCell ref="A266:I266"/>
    <mergeCell ref="A267:I267"/>
    <mergeCell ref="A268:I268"/>
    <mergeCell ref="A269:I269"/>
    <mergeCell ref="A270:I270"/>
    <mergeCell ref="A253:I253"/>
    <mergeCell ref="A256:G257"/>
    <mergeCell ref="A258:G258"/>
    <mergeCell ref="A259:I259"/>
    <mergeCell ref="A262:G263"/>
    <mergeCell ref="A264:G264"/>
    <mergeCell ref="A280:I280"/>
    <mergeCell ref="A281:I281"/>
    <mergeCell ref="A284:G285"/>
    <mergeCell ref="A286:G286"/>
    <mergeCell ref="A287:I287"/>
    <mergeCell ref="A288:I288"/>
    <mergeCell ref="A273:G274"/>
    <mergeCell ref="A275:G275"/>
    <mergeCell ref="A276:I276"/>
    <mergeCell ref="A277:I277"/>
    <mergeCell ref="A278:I278"/>
    <mergeCell ref="A279:I279"/>
    <mergeCell ref="A304:G304"/>
    <mergeCell ref="A305:I305"/>
    <mergeCell ref="A306:I306"/>
    <mergeCell ref="A309:G310"/>
    <mergeCell ref="A311:G311"/>
    <mergeCell ref="A312:I312"/>
    <mergeCell ref="A291:G292"/>
    <mergeCell ref="A293:G293"/>
    <mergeCell ref="A296:G297"/>
    <mergeCell ref="A298:G298"/>
    <mergeCell ref="A299:I299"/>
    <mergeCell ref="A302:G303"/>
    <mergeCell ref="A328:G328"/>
    <mergeCell ref="A329:I329"/>
    <mergeCell ref="A332:G333"/>
    <mergeCell ref="A334:G334"/>
    <mergeCell ref="A335:I335"/>
    <mergeCell ref="A338:G339"/>
    <mergeCell ref="A315:G316"/>
    <mergeCell ref="A317:G317"/>
    <mergeCell ref="A320:G321"/>
    <mergeCell ref="A322:G322"/>
    <mergeCell ref="A323:I323"/>
    <mergeCell ref="A326:G327"/>
    <mergeCell ref="A352:G352"/>
    <mergeCell ref="A353:I353"/>
    <mergeCell ref="A356:G357"/>
    <mergeCell ref="A358:G358"/>
    <mergeCell ref="A359:I359"/>
    <mergeCell ref="A362:G363"/>
    <mergeCell ref="A340:G340"/>
    <mergeCell ref="A341:I341"/>
    <mergeCell ref="A344:G345"/>
    <mergeCell ref="A346:G346"/>
    <mergeCell ref="A347:I347"/>
    <mergeCell ref="A350:G351"/>
    <mergeCell ref="A379:G379"/>
    <mergeCell ref="A382:G383"/>
    <mergeCell ref="A384:G384"/>
    <mergeCell ref="A387:G388"/>
    <mergeCell ref="A389:G389"/>
    <mergeCell ref="A392:G393"/>
    <mergeCell ref="A364:G364"/>
    <mergeCell ref="A367:G368"/>
    <mergeCell ref="A369:G369"/>
    <mergeCell ref="A372:G373"/>
    <mergeCell ref="A374:G374"/>
    <mergeCell ref="A377:G378"/>
    <mergeCell ref="A409:G409"/>
    <mergeCell ref="A412:G413"/>
    <mergeCell ref="A414:G414"/>
    <mergeCell ref="A417:G418"/>
    <mergeCell ref="A419:G419"/>
    <mergeCell ref="A422:G423"/>
    <mergeCell ref="A394:G394"/>
    <mergeCell ref="A397:G398"/>
    <mergeCell ref="A399:G399"/>
    <mergeCell ref="A402:G403"/>
    <mergeCell ref="A404:G404"/>
    <mergeCell ref="A407:G408"/>
    <mergeCell ref="A439:G439"/>
    <mergeCell ref="A442:G443"/>
    <mergeCell ref="A444:G444"/>
    <mergeCell ref="A447:G448"/>
    <mergeCell ref="A449:G449"/>
    <mergeCell ref="A452:G453"/>
    <mergeCell ref="A424:G424"/>
    <mergeCell ref="A427:G428"/>
    <mergeCell ref="A429:G429"/>
    <mergeCell ref="A432:G433"/>
    <mergeCell ref="A434:G434"/>
    <mergeCell ref="A437:G438"/>
    <mergeCell ref="A469:G469"/>
    <mergeCell ref="A472:G473"/>
    <mergeCell ref="A474:G474"/>
    <mergeCell ref="A477:G478"/>
    <mergeCell ref="A479:G479"/>
    <mergeCell ref="A482:G483"/>
    <mergeCell ref="A454:G454"/>
    <mergeCell ref="A457:G458"/>
    <mergeCell ref="A459:G459"/>
    <mergeCell ref="A462:G463"/>
    <mergeCell ref="A464:G464"/>
    <mergeCell ref="A467:G468"/>
    <mergeCell ref="A496:I496"/>
    <mergeCell ref="A499:G500"/>
    <mergeCell ref="A501:G501"/>
    <mergeCell ref="A502:I502"/>
    <mergeCell ref="A505:G506"/>
    <mergeCell ref="A507:G507"/>
    <mergeCell ref="A484:G484"/>
    <mergeCell ref="A487:G488"/>
    <mergeCell ref="A489:G489"/>
    <mergeCell ref="A490:I490"/>
    <mergeCell ref="A493:G494"/>
    <mergeCell ref="A495:G495"/>
    <mergeCell ref="A525:G526"/>
    <mergeCell ref="A527:G527"/>
    <mergeCell ref="A530:G531"/>
    <mergeCell ref="A532:G532"/>
    <mergeCell ref="A535:G536"/>
    <mergeCell ref="A537:G537"/>
    <mergeCell ref="A510:G511"/>
    <mergeCell ref="A512:G512"/>
    <mergeCell ref="A515:G516"/>
    <mergeCell ref="A517:G517"/>
    <mergeCell ref="A520:G521"/>
    <mergeCell ref="A522:G522"/>
    <mergeCell ref="A555:G556"/>
    <mergeCell ref="A557:G557"/>
    <mergeCell ref="A560:G561"/>
    <mergeCell ref="A562:G562"/>
    <mergeCell ref="A565:G566"/>
    <mergeCell ref="A567:G567"/>
    <mergeCell ref="A540:G541"/>
    <mergeCell ref="A542:G542"/>
    <mergeCell ref="A545:G546"/>
    <mergeCell ref="A547:G547"/>
    <mergeCell ref="A550:G551"/>
    <mergeCell ref="A552:G552"/>
    <mergeCell ref="A600:G601"/>
    <mergeCell ref="A602:G602"/>
    <mergeCell ref="A585:G586"/>
    <mergeCell ref="A587:G587"/>
    <mergeCell ref="A590:G591"/>
    <mergeCell ref="A592:G592"/>
    <mergeCell ref="A595:G596"/>
    <mergeCell ref="A597:G597"/>
    <mergeCell ref="A570:G571"/>
    <mergeCell ref="A572:G572"/>
    <mergeCell ref="A575:G576"/>
    <mergeCell ref="A577:G577"/>
    <mergeCell ref="A580:G581"/>
    <mergeCell ref="A582:G582"/>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13" manualBreakCount="13">
    <brk id="46" max="16383" man="1"/>
    <brk id="91" max="16383" man="1"/>
    <brk id="133" max="16383" man="1"/>
    <brk id="178" max="16383" man="1"/>
    <brk id="219" max="16383" man="1"/>
    <brk id="259" max="16383" man="1"/>
    <brk id="299" max="16383" man="1"/>
    <brk id="341" max="16383" man="1"/>
    <brk id="384" max="16383" man="1"/>
    <brk id="429" max="16383" man="1"/>
    <brk id="474" max="16383" man="1"/>
    <brk id="517" max="16383" man="1"/>
    <brk id="562"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4967-4F47-4856-BD19-06C5B6C3C1F1}">
  <sheetPr>
    <tabColor rgb="FF92D050"/>
  </sheetPr>
  <dimension ref="A1:T467"/>
  <sheetViews>
    <sheetView topLeftCell="A451" workbookViewId="0">
      <selection activeCell="E469" sqref="E469"/>
    </sheetView>
  </sheetViews>
  <sheetFormatPr defaultRowHeight="14.4" outlineLevelCol="1" x14ac:dyDescent="0.3"/>
  <cols>
    <col min="1" max="1" width="0.33203125" style="1" customWidth="1"/>
    <col min="2" max="2" width="5.77734375" style="2" customWidth="1"/>
    <col min="3" max="3" width="25.33203125" style="3" customWidth="1"/>
    <col min="4" max="4" width="10.33203125" style="5" customWidth="1"/>
    <col min="5" max="6" width="10.77734375" customWidth="1"/>
    <col min="7" max="7" width="10.77734375" style="30" customWidth="1"/>
    <col min="8" max="8" width="10.77734375" style="38" customWidth="1"/>
    <col min="9" max="9" width="10.777343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84</v>
      </c>
      <c r="B4" s="98"/>
      <c r="C4" s="98"/>
      <c r="D4" s="98"/>
      <c r="E4" s="98"/>
      <c r="F4" s="98"/>
      <c r="G4" s="98"/>
      <c r="H4" s="98"/>
      <c r="I4" s="98"/>
    </row>
    <row r="5" spans="1:19" ht="15" thickBot="1" x14ac:dyDescent="0.35">
      <c r="A5" s="82" t="s">
        <v>303</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304</v>
      </c>
      <c r="D12" s="13" t="s">
        <v>29</v>
      </c>
      <c r="E12" s="14"/>
      <c r="F12" s="14"/>
      <c r="G12" s="41">
        <v>1</v>
      </c>
      <c r="H12" s="71">
        <v>3956.2</v>
      </c>
      <c r="I12" s="32">
        <f>G12*H12</f>
        <v>3956.2</v>
      </c>
      <c r="J12">
        <v>1</v>
      </c>
    </row>
    <row r="13" spans="1:19" x14ac:dyDescent="0.3">
      <c r="D13" s="15" t="str">
        <f>SUBSTITUTE("Sp.mat: 0.00%",".",IF(VALUE("1.2")=1.2,".",","),2)</f>
        <v>Sp.mat: 0.00%</v>
      </c>
      <c r="F13" s="15" t="str">
        <f>SUBSTITUTE("Sp.man: 0.00%",".",IF(VALUE("1.2")=1.2,".",","),2)</f>
        <v>Sp.man: 0.00%</v>
      </c>
      <c r="G13" s="35" t="str">
        <f>SUBSTITUTE("Sp.uti: 0.00%",".",IF(VALUE("1.2")=1.2,".",","),2)</f>
        <v>Sp.uti: 0.00%</v>
      </c>
      <c r="H13" s="38">
        <v>187.4</v>
      </c>
      <c r="I13" s="29">
        <f>G12*H13</f>
        <v>187.4</v>
      </c>
      <c r="J13">
        <v>2</v>
      </c>
    </row>
    <row r="14" spans="1:19" x14ac:dyDescent="0.3">
      <c r="A14" s="88" t="s">
        <v>305</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96" t="s">
        <v>27</v>
      </c>
      <c r="B16" s="97"/>
      <c r="C16" s="97"/>
      <c r="D16" s="97"/>
      <c r="E16" s="97"/>
      <c r="F16" s="97"/>
      <c r="G16" s="97"/>
      <c r="H16" s="36">
        <f>H12+H13+H14+H15</f>
        <v>4143.5999999999995</v>
      </c>
      <c r="I16" s="74">
        <f>I12+I13+I14+I15</f>
        <v>4143.5999999999995</v>
      </c>
      <c r="J16">
        <v>5</v>
      </c>
    </row>
    <row r="17" spans="1:19" x14ac:dyDescent="0.3">
      <c r="B17" s="2">
        <v>2</v>
      </c>
      <c r="C17" s="3" t="s">
        <v>304</v>
      </c>
      <c r="D17" s="5" t="s">
        <v>29</v>
      </c>
      <c r="G17" s="30">
        <v>1</v>
      </c>
      <c r="H17" s="38">
        <v>668.54</v>
      </c>
      <c r="I17" s="29">
        <f>G17*H17</f>
        <v>668.54</v>
      </c>
      <c r="J17">
        <v>1</v>
      </c>
    </row>
    <row r="18" spans="1:19" x14ac:dyDescent="0.3">
      <c r="D18" s="15" t="str">
        <f>SUBSTITUTE("Sp.mat: 0.00%",".",IF(VALUE("1.2")=1.2,".",","),2)</f>
        <v>Sp.mat: 0.00%</v>
      </c>
      <c r="F18" s="15" t="str">
        <f>SUBSTITUTE("Sp.man: 0.00%",".",IF(VALUE("1.2")=1.2,".",","),2)</f>
        <v>Sp.man: 0.00%</v>
      </c>
      <c r="G18" s="35" t="str">
        <f>SUBSTITUTE("Sp.uti: 0.00%",".",IF(VALUE("1.2")=1.2,".",","),2)</f>
        <v>Sp.uti: 0.00%</v>
      </c>
      <c r="H18" s="38">
        <v>144.15</v>
      </c>
      <c r="I18" s="29">
        <f>G17*H18</f>
        <v>144.15</v>
      </c>
      <c r="J18">
        <v>2</v>
      </c>
    </row>
    <row r="19" spans="1:19" x14ac:dyDescent="0.3">
      <c r="A19" s="88" t="s">
        <v>305</v>
      </c>
      <c r="B19" s="98"/>
      <c r="C19" s="98"/>
      <c r="D19" s="98"/>
      <c r="E19" s="98"/>
      <c r="F19" s="98"/>
      <c r="G19" s="98"/>
      <c r="H19" s="38">
        <f>(1+IF(OR(ISERR(FIND(":",G18)),ISERR(FIND("%",G18))),0,MID(G18,FIND(":",G18)+2,FIND("%",G18)-FIND(":",G18)-2)/100))*0</f>
        <v>0</v>
      </c>
      <c r="I19" s="29">
        <f>G17*H19</f>
        <v>0</v>
      </c>
      <c r="J19">
        <v>3</v>
      </c>
      <c r="K19" s="4">
        <v>0</v>
      </c>
      <c r="L19" s="4">
        <v>0</v>
      </c>
      <c r="M19" s="4">
        <f>I19-K19-L19</f>
        <v>0</v>
      </c>
    </row>
    <row r="20" spans="1:19" x14ac:dyDescent="0.3">
      <c r="A20" s="98"/>
      <c r="B20" s="98"/>
      <c r="C20" s="98"/>
      <c r="D20" s="98"/>
      <c r="E20" s="98"/>
      <c r="F20" s="98"/>
      <c r="G20" s="98"/>
      <c r="H20" s="38">
        <f>0</f>
        <v>0</v>
      </c>
      <c r="I20" s="29">
        <f>G17*H20</f>
        <v>0</v>
      </c>
      <c r="J20">
        <v>4</v>
      </c>
      <c r="N20" s="4">
        <f>IF(ISERR(SEARCH("TRA* 82",C17)),IF(Q20+R20+S20=0,0,I20*(Q20/(Q20+R20+S20))),I20)</f>
        <v>0</v>
      </c>
      <c r="O20" s="4">
        <f>IF(ISERR(SEARCH("TRA* 82",C17)),IF(Q20+R20+S20=0,0,I20*(R20/(Q20+R20+S20))),0)</f>
        <v>0</v>
      </c>
      <c r="P20" s="4">
        <f>IF(ISERR(SEARCH("TRA* 82",C17)),I20-N20-O20,0)</f>
        <v>0</v>
      </c>
      <c r="Q20" s="4">
        <v>0</v>
      </c>
      <c r="R20" s="4">
        <v>0</v>
      </c>
      <c r="S20" s="4">
        <v>0</v>
      </c>
    </row>
    <row r="21" spans="1:19" x14ac:dyDescent="0.3">
      <c r="A21" s="96" t="s">
        <v>27</v>
      </c>
      <c r="B21" s="97"/>
      <c r="C21" s="97"/>
      <c r="D21" s="97"/>
      <c r="E21" s="97"/>
      <c r="F21" s="97"/>
      <c r="G21" s="97"/>
      <c r="H21" s="36">
        <f>H17+H18+H19+H20</f>
        <v>812.68999999999994</v>
      </c>
      <c r="I21" s="74">
        <f>I17+I18+I19+I20</f>
        <v>812.68999999999994</v>
      </c>
      <c r="J21">
        <v>5</v>
      </c>
    </row>
    <row r="22" spans="1:19" x14ac:dyDescent="0.3">
      <c r="B22" s="2">
        <v>3</v>
      </c>
      <c r="C22" s="3" t="s">
        <v>306</v>
      </c>
      <c r="D22" s="5" t="s">
        <v>29</v>
      </c>
      <c r="G22" s="30">
        <v>1</v>
      </c>
      <c r="H22" s="38">
        <v>4025.61</v>
      </c>
      <c r="I22" s="29">
        <f>G22*H22</f>
        <v>4025.61</v>
      </c>
      <c r="J22">
        <v>1</v>
      </c>
    </row>
    <row r="23" spans="1:19" x14ac:dyDescent="0.3">
      <c r="D23" s="15" t="str">
        <f>SUBSTITUTE("Sp.mat: 0.00%",".",IF(VALUE("1.2")=1.2,".",","),2)</f>
        <v>Sp.mat: 0.00%</v>
      </c>
      <c r="F23" s="15" t="str">
        <f>SUBSTITUTE("Sp.man: 0.00%",".",IF(VALUE("1.2")=1.2,".",","),2)</f>
        <v>Sp.man: 0.00%</v>
      </c>
      <c r="G23" s="35" t="str">
        <f>SUBSTITUTE("Sp.uti: 0.00%",".",IF(VALUE("1.2")=1.2,".",","),2)</f>
        <v>Sp.uti: 0.00%</v>
      </c>
      <c r="H23" s="38">
        <v>153.76</v>
      </c>
      <c r="I23" s="29">
        <f>G22*H23</f>
        <v>153.76</v>
      </c>
      <c r="J23">
        <v>2</v>
      </c>
    </row>
    <row r="24" spans="1:19" x14ac:dyDescent="0.3">
      <c r="A24" s="88" t="s">
        <v>307</v>
      </c>
      <c r="B24" s="98"/>
      <c r="C24" s="98"/>
      <c r="D24" s="98"/>
      <c r="E24" s="98"/>
      <c r="F24" s="98"/>
      <c r="G24" s="98"/>
      <c r="H24" s="38">
        <f>(1+IF(OR(ISERR(FIND(":",G23)),ISERR(FIND("%",G23))),0,MID(G23,FIND(":",G23)+2,FIND("%",G23)-FIND(":",G23)-2)/100))*0</f>
        <v>0</v>
      </c>
      <c r="I24" s="29">
        <f>G22*H24</f>
        <v>0</v>
      </c>
      <c r="J24">
        <v>3</v>
      </c>
      <c r="K24" s="4">
        <v>0</v>
      </c>
      <c r="L24" s="4">
        <v>0</v>
      </c>
      <c r="M24" s="4">
        <f>I24-K24-L24</f>
        <v>0</v>
      </c>
    </row>
    <row r="25" spans="1:19" x14ac:dyDescent="0.3">
      <c r="A25" s="98"/>
      <c r="B25" s="98"/>
      <c r="C25" s="98"/>
      <c r="D25" s="98"/>
      <c r="E25" s="98"/>
      <c r="F25" s="98"/>
      <c r="G25" s="98"/>
      <c r="H25" s="38">
        <f>0</f>
        <v>0</v>
      </c>
      <c r="I25" s="29">
        <f>G22*H25</f>
        <v>0</v>
      </c>
      <c r="J25">
        <v>4</v>
      </c>
      <c r="N25" s="4">
        <f>IF(ISERR(SEARCH("TRA* 82",C22)),IF(Q25+R25+S25=0,0,I25*(Q25/(Q25+R25+S25))),I25)</f>
        <v>0</v>
      </c>
      <c r="O25" s="4">
        <f>IF(ISERR(SEARCH("TRA* 82",C22)),IF(Q25+R25+S25=0,0,I25*(R25/(Q25+R25+S25))),0)</f>
        <v>0</v>
      </c>
      <c r="P25" s="4">
        <f>IF(ISERR(SEARCH("TRA* 82",C22)),I25-N25-O25,0)</f>
        <v>0</v>
      </c>
      <c r="Q25" s="4">
        <v>0</v>
      </c>
      <c r="R25" s="4">
        <v>0</v>
      </c>
      <c r="S25" s="4">
        <v>0</v>
      </c>
    </row>
    <row r="26" spans="1:19" x14ac:dyDescent="0.3">
      <c r="A26" s="96" t="s">
        <v>27</v>
      </c>
      <c r="B26" s="97"/>
      <c r="C26" s="97"/>
      <c r="D26" s="97"/>
      <c r="E26" s="97"/>
      <c r="F26" s="97"/>
      <c r="G26" s="97"/>
      <c r="H26" s="36">
        <f>H22+H23+H24+H25</f>
        <v>4179.37</v>
      </c>
      <c r="I26" s="74">
        <f>I22+I23+I24+I25</f>
        <v>4179.37</v>
      </c>
      <c r="J26">
        <v>5</v>
      </c>
    </row>
    <row r="27" spans="1:19" x14ac:dyDescent="0.3">
      <c r="B27" s="2">
        <v>4</v>
      </c>
      <c r="C27" s="3" t="s">
        <v>306</v>
      </c>
      <c r="D27" s="5" t="s">
        <v>29</v>
      </c>
      <c r="G27" s="30">
        <v>1</v>
      </c>
      <c r="H27" s="38">
        <v>4025.61</v>
      </c>
      <c r="I27" s="29">
        <f>G27*H27</f>
        <v>4025.61</v>
      </c>
      <c r="J27">
        <v>1</v>
      </c>
    </row>
    <row r="28" spans="1:19" x14ac:dyDescent="0.3">
      <c r="D28" s="15" t="str">
        <f>SUBSTITUTE("Sp.mat: 0.00%",".",IF(VALUE("1.2")=1.2,".",","),2)</f>
        <v>Sp.mat: 0.00%</v>
      </c>
      <c r="F28" s="15" t="str">
        <f>SUBSTITUTE("Sp.man: 0.00%",".",IF(VALUE("1.2")=1.2,".",","),2)</f>
        <v>Sp.man: 0.00%</v>
      </c>
      <c r="G28" s="35" t="str">
        <f>SUBSTITUTE("Sp.uti: 0.00%",".",IF(VALUE("1.2")=1.2,".",","),2)</f>
        <v>Sp.uti: 0.00%</v>
      </c>
      <c r="H28" s="38">
        <v>153.76</v>
      </c>
      <c r="I28" s="29">
        <f>G27*H28</f>
        <v>153.76</v>
      </c>
      <c r="J28">
        <v>2</v>
      </c>
    </row>
    <row r="29" spans="1:19" x14ac:dyDescent="0.3">
      <c r="A29" s="88" t="s">
        <v>307</v>
      </c>
      <c r="B29" s="98"/>
      <c r="C29" s="98"/>
      <c r="D29" s="98"/>
      <c r="E29" s="98"/>
      <c r="F29" s="98"/>
      <c r="G29" s="98"/>
      <c r="H29" s="38">
        <f>(1+IF(OR(ISERR(FIND(":",G28)),ISERR(FIND("%",G28))),0,MID(G28,FIND(":",G28)+2,FIND("%",G28)-FIND(":",G28)-2)/100))*0</f>
        <v>0</v>
      </c>
      <c r="I29" s="29">
        <f>G27*H29</f>
        <v>0</v>
      </c>
      <c r="J29">
        <v>3</v>
      </c>
      <c r="K29" s="4">
        <v>0</v>
      </c>
      <c r="L29" s="4">
        <v>0</v>
      </c>
      <c r="M29" s="4">
        <f>I29-K29-L29</f>
        <v>0</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96" t="s">
        <v>27</v>
      </c>
      <c r="B31" s="97"/>
      <c r="C31" s="97"/>
      <c r="D31" s="97"/>
      <c r="E31" s="97"/>
      <c r="F31" s="97"/>
      <c r="G31" s="97"/>
      <c r="H31" s="36">
        <f>H27+H28+H29+H30</f>
        <v>4179.37</v>
      </c>
      <c r="I31" s="74">
        <f>I27+I28+I29+I30</f>
        <v>4179.37</v>
      </c>
      <c r="J31">
        <v>5</v>
      </c>
    </row>
    <row r="32" spans="1:19" x14ac:dyDescent="0.3">
      <c r="B32" s="2">
        <v>5</v>
      </c>
      <c r="C32" s="3" t="s">
        <v>308</v>
      </c>
      <c r="D32" s="5" t="s">
        <v>29</v>
      </c>
      <c r="G32" s="30">
        <v>1</v>
      </c>
      <c r="H32" s="38">
        <v>5709.93</v>
      </c>
      <c r="I32" s="29">
        <f>G32*H32</f>
        <v>5709.93</v>
      </c>
      <c r="J32">
        <v>1</v>
      </c>
    </row>
    <row r="33" spans="1:19" x14ac:dyDescent="0.3">
      <c r="D33" s="15" t="str">
        <f>SUBSTITUTE("Sp.mat: 0.00%",".",IF(VALUE("1.2")=1.2,".",","),2)</f>
        <v>Sp.mat: 0.00%</v>
      </c>
      <c r="F33" s="15" t="str">
        <f>SUBSTITUTE("Sp.man: 0.00%",".",IF(VALUE("1.2")=1.2,".",","),2)</f>
        <v>Sp.man: 0.00%</v>
      </c>
      <c r="G33" s="35" t="str">
        <f>SUBSTITUTE("Sp.uti: 0.00%",".",IF(VALUE("1.2")=1.2,".",","),2)</f>
        <v>Sp.uti: 0.00%</v>
      </c>
      <c r="H33" s="38">
        <v>140.31</v>
      </c>
      <c r="I33" s="29">
        <f>G32*H33</f>
        <v>140.31</v>
      </c>
      <c r="J33">
        <v>2</v>
      </c>
    </row>
    <row r="34" spans="1:19" x14ac:dyDescent="0.3">
      <c r="A34" s="88" t="s">
        <v>309</v>
      </c>
      <c r="B34" s="98"/>
      <c r="C34" s="98"/>
      <c r="D34" s="98"/>
      <c r="E34" s="98"/>
      <c r="F34" s="98"/>
      <c r="G34" s="98"/>
      <c r="H34" s="38">
        <f>(1+IF(OR(ISERR(FIND(":",G33)),ISERR(FIND("%",G33))),0,MID(G33,FIND(":",G33)+2,FIND("%",G33)-FIND(":",G33)-2)/100))*0</f>
        <v>0</v>
      </c>
      <c r="I34" s="29">
        <f>G32*H34</f>
        <v>0</v>
      </c>
      <c r="J34">
        <v>3</v>
      </c>
      <c r="K34" s="4">
        <v>0</v>
      </c>
      <c r="L34" s="4">
        <v>0</v>
      </c>
      <c r="M34" s="4">
        <f>I34-K34-L34</f>
        <v>0</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96" t="s">
        <v>27</v>
      </c>
      <c r="B36" s="97"/>
      <c r="C36" s="97"/>
      <c r="D36" s="97"/>
      <c r="E36" s="97"/>
      <c r="F36" s="97"/>
      <c r="G36" s="97"/>
      <c r="H36" s="36">
        <f>H32+H33+H34+H35</f>
        <v>5850.2400000000007</v>
      </c>
      <c r="I36" s="74">
        <f>I32+I33+I34+I35</f>
        <v>5850.2400000000007</v>
      </c>
      <c r="J36">
        <v>5</v>
      </c>
    </row>
    <row r="37" spans="1:19" x14ac:dyDescent="0.3">
      <c r="B37" s="2">
        <v>6</v>
      </c>
      <c r="C37" s="3" t="s">
        <v>310</v>
      </c>
      <c r="D37" s="5" t="s">
        <v>29</v>
      </c>
      <c r="G37" s="30">
        <v>1</v>
      </c>
      <c r="H37" s="38">
        <v>310.62</v>
      </c>
      <c r="I37" s="29">
        <f>G37*H37</f>
        <v>310.62</v>
      </c>
      <c r="J37">
        <v>1</v>
      </c>
    </row>
    <row r="38" spans="1:19" x14ac:dyDescent="0.3">
      <c r="D38" s="15" t="str">
        <f>SUBSTITUTE("Sp.mat: 0.00%",".",IF(VALUE("1.2")=1.2,".",","),2)</f>
        <v>Sp.mat: 0.00%</v>
      </c>
      <c r="F38" s="15" t="str">
        <f>SUBSTITUTE("Sp.man: 0.00%",".",IF(VALUE("1.2")=1.2,".",","),2)</f>
        <v>Sp.man: 0.00%</v>
      </c>
      <c r="G38" s="35" t="str">
        <f>SUBSTITUTE("Sp.uti: 0.00%",".",IF(VALUE("1.2")=1.2,".",","),2)</f>
        <v>Sp.uti: 0.00%</v>
      </c>
      <c r="H38" s="38">
        <v>20.02</v>
      </c>
      <c r="I38" s="29">
        <f>G37*H38</f>
        <v>20.02</v>
      </c>
      <c r="J38">
        <v>2</v>
      </c>
    </row>
    <row r="39" spans="1:19" x14ac:dyDescent="0.3">
      <c r="A39" s="88" t="s">
        <v>311</v>
      </c>
      <c r="B39" s="98"/>
      <c r="C39" s="98"/>
      <c r="D39" s="98"/>
      <c r="E39" s="98"/>
      <c r="F39" s="98"/>
      <c r="G39" s="98"/>
      <c r="H39" s="38">
        <f>(1+IF(OR(ISERR(FIND(":",G38)),ISERR(FIND("%",G38))),0,MID(G38,FIND(":",G38)+2,FIND("%",G38)-FIND(":",G38)-2)/100))*0</f>
        <v>0</v>
      </c>
      <c r="I39" s="29">
        <f>G37*H39</f>
        <v>0</v>
      </c>
      <c r="J39">
        <v>3</v>
      </c>
      <c r="K39" s="4">
        <v>0</v>
      </c>
      <c r="L39" s="4">
        <v>0</v>
      </c>
      <c r="M39" s="4">
        <f>I39-K39-L39</f>
        <v>0</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96" t="s">
        <v>87</v>
      </c>
      <c r="B41" s="97"/>
      <c r="C41" s="97"/>
      <c r="D41" s="97"/>
      <c r="E41" s="97"/>
      <c r="F41" s="97"/>
      <c r="G41" s="97"/>
      <c r="H41" s="36">
        <f>H37+H38+H39+H40</f>
        <v>330.64</v>
      </c>
      <c r="I41" s="74">
        <f>I37+I38+I39+I40</f>
        <v>330.64</v>
      </c>
      <c r="J41">
        <v>5</v>
      </c>
    </row>
    <row r="42" spans="1:19" x14ac:dyDescent="0.3">
      <c r="B42" s="2">
        <v>7</v>
      </c>
      <c r="C42" s="3" t="s">
        <v>312</v>
      </c>
      <c r="D42" s="5" t="s">
        <v>29</v>
      </c>
      <c r="G42" s="30">
        <v>2</v>
      </c>
      <c r="H42" s="38">
        <f>939.11/G42</f>
        <v>469.55500000000001</v>
      </c>
      <c r="I42" s="29">
        <f>G42*H42</f>
        <v>939.11</v>
      </c>
      <c r="J42">
        <v>1</v>
      </c>
    </row>
    <row r="43" spans="1:19" x14ac:dyDescent="0.3">
      <c r="D43" s="15" t="str">
        <f>SUBSTITUTE("Sp.mat: 0.00%",".",IF(VALUE("1.2")=1.2,".",","),2)</f>
        <v>Sp.mat: 0.00%</v>
      </c>
      <c r="F43" s="15" t="str">
        <f>SUBSTITUTE("Sp.man: 0.00%",".",IF(VALUE("1.2")=1.2,".",","),2)</f>
        <v>Sp.man: 0.00%</v>
      </c>
      <c r="G43" s="35" t="str">
        <f>SUBSTITUTE("Sp.uti: 0.00%",".",IF(VALUE("1.2")=1.2,".",","),2)</f>
        <v>Sp.uti: 0.00%</v>
      </c>
      <c r="H43" s="38">
        <f>43.25/G42</f>
        <v>21.625</v>
      </c>
      <c r="I43" s="29">
        <f>G42*H43</f>
        <v>43.25</v>
      </c>
      <c r="J43">
        <v>2</v>
      </c>
    </row>
    <row r="44" spans="1:19" x14ac:dyDescent="0.3">
      <c r="A44" s="88" t="s">
        <v>313</v>
      </c>
      <c r="B44" s="98"/>
      <c r="C44" s="98"/>
      <c r="D44" s="98"/>
      <c r="E44" s="98"/>
      <c r="F44" s="98"/>
      <c r="G44" s="98"/>
      <c r="H44" s="38">
        <f>(1+IF(OR(ISERR(FIND(":",G43)),ISERR(FIND("%",G43))),0,MID(G43,FIND(":",G43)+2,FIND("%",G43)-FIND(":",G43)-2)/100))*0</f>
        <v>0</v>
      </c>
      <c r="I44" s="29">
        <f>G42*H44</f>
        <v>0</v>
      </c>
      <c r="J44">
        <v>3</v>
      </c>
      <c r="K44" s="4">
        <v>0</v>
      </c>
      <c r="L44" s="4">
        <v>0</v>
      </c>
      <c r="M44" s="4">
        <f>I44-K44-L44</f>
        <v>0</v>
      </c>
    </row>
    <row r="45" spans="1:19" x14ac:dyDescent="0.3">
      <c r="A45" s="98"/>
      <c r="B45" s="98"/>
      <c r="C45" s="98"/>
      <c r="D45" s="98"/>
      <c r="E45" s="98"/>
      <c r="F45" s="98"/>
      <c r="G45" s="98"/>
      <c r="H45" s="38">
        <f>0</f>
        <v>0</v>
      </c>
      <c r="I45" s="29">
        <f>G42*H45</f>
        <v>0</v>
      </c>
      <c r="J45">
        <v>4</v>
      </c>
      <c r="N45" s="4">
        <f>IF(ISERR(SEARCH("TRA* 82",C42)),IF(Q45+R45+S45=0,0,I45*(Q45/(Q45+R45+S45))),I45)</f>
        <v>0</v>
      </c>
      <c r="O45" s="4">
        <f>IF(ISERR(SEARCH("TRA* 82",C42)),IF(Q45+R45+S45=0,0,I45*(R45/(Q45+R45+S45))),0)</f>
        <v>0</v>
      </c>
      <c r="P45" s="4">
        <f>IF(ISERR(SEARCH("TRA* 82",C42)),I45-N45-O45,0)</f>
        <v>0</v>
      </c>
      <c r="Q45" s="4">
        <v>0</v>
      </c>
      <c r="R45" s="4">
        <v>0</v>
      </c>
      <c r="S45" s="4">
        <v>0</v>
      </c>
    </row>
    <row r="46" spans="1:19" x14ac:dyDescent="0.3">
      <c r="A46" s="96" t="s">
        <v>87</v>
      </c>
      <c r="B46" s="97"/>
      <c r="C46" s="97"/>
      <c r="D46" s="97"/>
      <c r="E46" s="97"/>
      <c r="F46" s="97"/>
      <c r="G46" s="97"/>
      <c r="H46" s="36">
        <f>H42+H43+H44+H45</f>
        <v>491.18</v>
      </c>
      <c r="I46" s="74">
        <f>I42+I43+I44+I45</f>
        <v>982.36</v>
      </c>
      <c r="J46">
        <v>5</v>
      </c>
    </row>
    <row r="47" spans="1:19" x14ac:dyDescent="0.3">
      <c r="B47" s="2">
        <v>8</v>
      </c>
      <c r="C47" s="3" t="s">
        <v>312</v>
      </c>
      <c r="D47" s="5" t="s">
        <v>29</v>
      </c>
      <c r="G47" s="30">
        <v>1</v>
      </c>
      <c r="H47" s="38">
        <v>640.32000000000005</v>
      </c>
      <c r="I47" s="29">
        <f>G47*H47</f>
        <v>640.32000000000005</v>
      </c>
      <c r="J47">
        <v>1</v>
      </c>
    </row>
    <row r="48" spans="1:19" x14ac:dyDescent="0.3">
      <c r="D48" s="15" t="str">
        <f>SUBSTITUTE("Sp.mat: 0.00%",".",IF(VALUE("1.2")=1.2,".",","),2)</f>
        <v>Sp.mat: 0.00%</v>
      </c>
      <c r="F48" s="15" t="str">
        <f>SUBSTITUTE("Sp.man: 0.00%",".",IF(VALUE("1.2")=1.2,".",","),2)</f>
        <v>Sp.man: 0.00%</v>
      </c>
      <c r="G48" s="35" t="str">
        <f>SUBSTITUTE("Sp.uti: 0.00%",".",IF(VALUE("1.2")=1.2,".",","),2)</f>
        <v>Sp.uti: 0.00%</v>
      </c>
      <c r="H48" s="38">
        <v>21.62</v>
      </c>
      <c r="I48" s="29">
        <f>G47*H48</f>
        <v>21.62</v>
      </c>
      <c r="J48">
        <v>2</v>
      </c>
    </row>
    <row r="49" spans="1:19" x14ac:dyDescent="0.3">
      <c r="A49" s="88" t="s">
        <v>314</v>
      </c>
      <c r="B49" s="98"/>
      <c r="C49" s="98"/>
      <c r="D49" s="98"/>
      <c r="E49" s="98"/>
      <c r="F49" s="98"/>
      <c r="G49" s="98"/>
      <c r="H49" s="38">
        <f>(1+IF(OR(ISERR(FIND(":",G48)),ISERR(FIND("%",G48))),0,MID(G48,FIND(":",G48)+2,FIND("%",G48)-FIND(":",G48)-2)/100))*0</f>
        <v>0</v>
      </c>
      <c r="I49" s="29">
        <f>G47*H49</f>
        <v>0</v>
      </c>
      <c r="J49">
        <v>3</v>
      </c>
      <c r="K49" s="4">
        <v>0</v>
      </c>
      <c r="L49" s="4">
        <v>0</v>
      </c>
      <c r="M49" s="4">
        <f>I49-K49-L49</f>
        <v>0</v>
      </c>
    </row>
    <row r="50" spans="1:19" x14ac:dyDescent="0.3">
      <c r="A50" s="98"/>
      <c r="B50" s="98"/>
      <c r="C50" s="98"/>
      <c r="D50" s="98"/>
      <c r="E50" s="98"/>
      <c r="F50" s="98"/>
      <c r="G50" s="98"/>
      <c r="H50" s="38">
        <f>0</f>
        <v>0</v>
      </c>
      <c r="I50" s="29">
        <f>G47*H50</f>
        <v>0</v>
      </c>
      <c r="J50">
        <v>4</v>
      </c>
      <c r="N50" s="4">
        <f>IF(ISERR(SEARCH("TRA* 82",C47)),IF(Q50+R50+S50=0,0,I50*(Q50/(Q50+R50+S50))),I50)</f>
        <v>0</v>
      </c>
      <c r="O50" s="4">
        <f>IF(ISERR(SEARCH("TRA* 82",C47)),IF(Q50+R50+S50=0,0,I50*(R50/(Q50+R50+S50))),0)</f>
        <v>0</v>
      </c>
      <c r="P50" s="4">
        <f>IF(ISERR(SEARCH("TRA* 82",C47)),I50-N50-O50,0)</f>
        <v>0</v>
      </c>
      <c r="Q50" s="4">
        <v>0</v>
      </c>
      <c r="R50" s="4">
        <v>0</v>
      </c>
      <c r="S50" s="4">
        <v>0</v>
      </c>
    </row>
    <row r="51" spans="1:19" x14ac:dyDescent="0.3">
      <c r="A51" s="96" t="s">
        <v>87</v>
      </c>
      <c r="B51" s="97"/>
      <c r="C51" s="97"/>
      <c r="D51" s="97"/>
      <c r="E51" s="97"/>
      <c r="F51" s="97"/>
      <c r="G51" s="97"/>
      <c r="H51" s="36">
        <f>H47+H48+H49+H50</f>
        <v>661.94</v>
      </c>
      <c r="I51" s="74">
        <f>I47+I48+I49+I50</f>
        <v>661.94</v>
      </c>
      <c r="J51">
        <v>5</v>
      </c>
    </row>
    <row r="52" spans="1:19" x14ac:dyDescent="0.3">
      <c r="B52" s="2">
        <v>9</v>
      </c>
      <c r="C52" s="3" t="s">
        <v>315</v>
      </c>
      <c r="D52" s="5" t="s">
        <v>29</v>
      </c>
      <c r="G52" s="30">
        <v>2</v>
      </c>
      <c r="H52" s="38">
        <v>1361.98</v>
      </c>
      <c r="I52" s="29">
        <f>G52*H52</f>
        <v>2723.96</v>
      </c>
      <c r="J52">
        <v>1</v>
      </c>
    </row>
    <row r="53" spans="1:19" x14ac:dyDescent="0.3">
      <c r="D53" s="15" t="str">
        <f>SUBSTITUTE("Sp.mat: 0.00%",".",IF(VALUE("1.2")=1.2,".",","),2)</f>
        <v>Sp.mat: 0.00%</v>
      </c>
      <c r="F53" s="15" t="str">
        <f>SUBSTITUTE("Sp.man: 0.00%",".",IF(VALUE("1.2")=1.2,".",","),2)</f>
        <v>Sp.man: 0.00%</v>
      </c>
      <c r="G53" s="35" t="str">
        <f>SUBSTITUTE("Sp.uti: 0.00%",".",IF(VALUE("1.2")=1.2,".",","),2)</f>
        <v>Sp.uti: 0.00%</v>
      </c>
      <c r="H53" s="38">
        <v>25.63</v>
      </c>
      <c r="I53" s="29">
        <f>G52*H53</f>
        <v>51.26</v>
      </c>
      <c r="J53">
        <v>2</v>
      </c>
    </row>
    <row r="54" spans="1:19" x14ac:dyDescent="0.3">
      <c r="A54" s="88" t="s">
        <v>316</v>
      </c>
      <c r="B54" s="98"/>
      <c r="C54" s="98"/>
      <c r="D54" s="98"/>
      <c r="E54" s="98"/>
      <c r="F54" s="98"/>
      <c r="G54" s="98"/>
      <c r="H54" s="38">
        <f>(1+IF(OR(ISERR(FIND(":",G53)),ISERR(FIND("%",G53))),0,MID(G53,FIND(":",G53)+2,FIND("%",G53)-FIND(":",G53)-2)/100))*0</f>
        <v>0</v>
      </c>
      <c r="I54" s="29">
        <f>G52*H54</f>
        <v>0</v>
      </c>
      <c r="J54">
        <v>3</v>
      </c>
      <c r="K54" s="4">
        <v>0</v>
      </c>
      <c r="L54" s="4">
        <v>0</v>
      </c>
      <c r="M54" s="4">
        <f>I54-K54-L54</f>
        <v>0</v>
      </c>
    </row>
    <row r="55" spans="1:19" x14ac:dyDescent="0.3">
      <c r="A55" s="98"/>
      <c r="B55" s="98"/>
      <c r="C55" s="98"/>
      <c r="D55" s="98"/>
      <c r="E55" s="98"/>
      <c r="F55" s="98"/>
      <c r="G55" s="98"/>
      <c r="H55" s="38">
        <f>0</f>
        <v>0</v>
      </c>
      <c r="I55" s="29">
        <f>G52*H55</f>
        <v>0</v>
      </c>
      <c r="J55">
        <v>4</v>
      </c>
      <c r="N55" s="4">
        <f>IF(ISERR(SEARCH("TRA* 82",C52)),IF(Q55+R55+S55=0,0,I55*(Q55/(Q55+R55+S55))),I55)</f>
        <v>0</v>
      </c>
      <c r="O55" s="4">
        <f>IF(ISERR(SEARCH("TRA* 82",C52)),IF(Q55+R55+S55=0,0,I55*(R55/(Q55+R55+S55))),0)</f>
        <v>0</v>
      </c>
      <c r="P55" s="4">
        <f>IF(ISERR(SEARCH("TRA* 82",C52)),I55-N55-O55,0)</f>
        <v>0</v>
      </c>
      <c r="Q55" s="4">
        <v>0</v>
      </c>
      <c r="R55" s="4">
        <v>0</v>
      </c>
      <c r="S55" s="4">
        <v>0</v>
      </c>
    </row>
    <row r="56" spans="1:19" x14ac:dyDescent="0.3">
      <c r="A56" s="96" t="s">
        <v>87</v>
      </c>
      <c r="B56" s="97"/>
      <c r="C56" s="97"/>
      <c r="D56" s="97"/>
      <c r="E56" s="97"/>
      <c r="F56" s="97"/>
      <c r="G56" s="97"/>
      <c r="H56" s="36">
        <f>H52+H53+H54+H55</f>
        <v>1387.6100000000001</v>
      </c>
      <c r="I56" s="74">
        <f>I52+I53+I54+I55</f>
        <v>2775.2200000000003</v>
      </c>
      <c r="J56">
        <v>5</v>
      </c>
    </row>
    <row r="57" spans="1:19" x14ac:dyDescent="0.3">
      <c r="B57" s="2">
        <v>10</v>
      </c>
      <c r="C57" s="3" t="s">
        <v>310</v>
      </c>
      <c r="D57" s="5" t="s">
        <v>29</v>
      </c>
      <c r="G57" s="30">
        <v>4</v>
      </c>
      <c r="H57" s="38">
        <f>1242.49/G57</f>
        <v>310.6225</v>
      </c>
      <c r="I57" s="29">
        <f>G57*H57</f>
        <v>1242.49</v>
      </c>
      <c r="J57">
        <v>1</v>
      </c>
    </row>
    <row r="58" spans="1:19" x14ac:dyDescent="0.3">
      <c r="D58" s="15" t="str">
        <f>SUBSTITUTE("Sp.mat: 0.00%",".",IF(VALUE("1.2")=1.2,".",","),2)</f>
        <v>Sp.mat: 0.00%</v>
      </c>
      <c r="F58" s="15" t="str">
        <f>SUBSTITUTE("Sp.man: 0.00%",".",IF(VALUE("1.2")=1.2,".",","),2)</f>
        <v>Sp.man: 0.00%</v>
      </c>
      <c r="G58" s="35" t="str">
        <f>SUBSTITUTE("Sp.uti: 0.00%",".",IF(VALUE("1.2")=1.2,".",","),2)</f>
        <v>Sp.uti: 0.00%</v>
      </c>
      <c r="H58" s="38">
        <f>80.09/G57</f>
        <v>20.022500000000001</v>
      </c>
      <c r="I58" s="29">
        <f>G57*H58</f>
        <v>80.09</v>
      </c>
      <c r="J58">
        <v>2</v>
      </c>
    </row>
    <row r="59" spans="1:19" x14ac:dyDescent="0.3">
      <c r="A59" s="88" t="s">
        <v>311</v>
      </c>
      <c r="B59" s="98"/>
      <c r="C59" s="98"/>
      <c r="D59" s="98"/>
      <c r="E59" s="98"/>
      <c r="F59" s="98"/>
      <c r="G59" s="98"/>
      <c r="H59" s="38">
        <f>(1+IF(OR(ISERR(FIND(":",G58)),ISERR(FIND("%",G58))),0,MID(G58,FIND(":",G58)+2,FIND("%",G58)-FIND(":",G58)-2)/100))*0</f>
        <v>0</v>
      </c>
      <c r="I59" s="29">
        <f>G57*H59</f>
        <v>0</v>
      </c>
      <c r="J59">
        <v>3</v>
      </c>
      <c r="K59" s="4">
        <v>0</v>
      </c>
      <c r="L59" s="4">
        <v>0</v>
      </c>
      <c r="M59" s="4">
        <f>I59-K59-L59</f>
        <v>0</v>
      </c>
    </row>
    <row r="60" spans="1:19" x14ac:dyDescent="0.3">
      <c r="A60" s="98"/>
      <c r="B60" s="98"/>
      <c r="C60" s="98"/>
      <c r="D60" s="98"/>
      <c r="E60" s="98"/>
      <c r="F60" s="98"/>
      <c r="G60" s="98"/>
      <c r="H60" s="38">
        <f>0</f>
        <v>0</v>
      </c>
      <c r="I60" s="29">
        <f>G57*H60</f>
        <v>0</v>
      </c>
      <c r="J60">
        <v>4</v>
      </c>
      <c r="N60" s="4">
        <f>IF(ISERR(SEARCH("TRA* 82",C57)),IF(Q60+R60+S60=0,0,I60*(Q60/(Q60+R60+S60))),I60)</f>
        <v>0</v>
      </c>
      <c r="O60" s="4">
        <f>IF(ISERR(SEARCH("TRA* 82",C57)),IF(Q60+R60+S60=0,0,I60*(R60/(Q60+R60+S60))),0)</f>
        <v>0</v>
      </c>
      <c r="P60" s="4">
        <f>IF(ISERR(SEARCH("TRA* 82",C57)),I60-N60-O60,0)</f>
        <v>0</v>
      </c>
      <c r="Q60" s="4">
        <v>0</v>
      </c>
      <c r="R60" s="4">
        <v>0</v>
      </c>
      <c r="S60" s="4">
        <v>0</v>
      </c>
    </row>
    <row r="61" spans="1:19" x14ac:dyDescent="0.3">
      <c r="A61" s="96" t="s">
        <v>87</v>
      </c>
      <c r="B61" s="97"/>
      <c r="C61" s="97"/>
      <c r="D61" s="97"/>
      <c r="E61" s="97"/>
      <c r="F61" s="97"/>
      <c r="G61" s="97"/>
      <c r="H61" s="36">
        <f>H57+H58+H59+H60</f>
        <v>330.64499999999998</v>
      </c>
      <c r="I61" s="74">
        <f>I57+I58+I59+I60</f>
        <v>1322.58</v>
      </c>
      <c r="J61">
        <v>5</v>
      </c>
    </row>
    <row r="62" spans="1:19" x14ac:dyDescent="0.3">
      <c r="B62" s="2">
        <v>11</v>
      </c>
      <c r="C62" s="3" t="s">
        <v>312</v>
      </c>
      <c r="D62" s="5" t="s">
        <v>29</v>
      </c>
      <c r="G62" s="30">
        <v>1</v>
      </c>
      <c r="H62" s="38">
        <v>469.55</v>
      </c>
      <c r="I62" s="29">
        <f>G62*H62</f>
        <v>469.55</v>
      </c>
      <c r="J62">
        <v>1</v>
      </c>
    </row>
    <row r="63" spans="1:19" x14ac:dyDescent="0.3">
      <c r="D63" s="15" t="str">
        <f>SUBSTITUTE("Sp.mat: 0.00%",".",IF(VALUE("1.2")=1.2,".",","),2)</f>
        <v>Sp.mat: 0.00%</v>
      </c>
      <c r="F63" s="15" t="str">
        <f>SUBSTITUTE("Sp.man: 0.00%",".",IF(VALUE("1.2")=1.2,".",","),2)</f>
        <v>Sp.man: 0.00%</v>
      </c>
      <c r="G63" s="35" t="str">
        <f>SUBSTITUTE("Sp.uti: 0.00%",".",IF(VALUE("1.2")=1.2,".",","),2)</f>
        <v>Sp.uti: 0.00%</v>
      </c>
      <c r="H63" s="38">
        <v>21.62</v>
      </c>
      <c r="I63" s="29">
        <f>G62*H63</f>
        <v>21.62</v>
      </c>
      <c r="J63">
        <v>2</v>
      </c>
    </row>
    <row r="64" spans="1:19" x14ac:dyDescent="0.3">
      <c r="A64" s="88" t="s">
        <v>314</v>
      </c>
      <c r="B64" s="98"/>
      <c r="C64" s="98"/>
      <c r="D64" s="98"/>
      <c r="E64" s="98"/>
      <c r="F64" s="98"/>
      <c r="G64" s="98"/>
      <c r="H64" s="38">
        <f>(1+IF(OR(ISERR(FIND(":",G63)),ISERR(FIND("%",G63))),0,MID(G63,FIND(":",G63)+2,FIND("%",G63)-FIND(":",G63)-2)/100))*0</f>
        <v>0</v>
      </c>
      <c r="I64" s="29">
        <f>G62*H64</f>
        <v>0</v>
      </c>
      <c r="J64">
        <v>3</v>
      </c>
      <c r="K64" s="4">
        <v>0</v>
      </c>
      <c r="L64" s="4">
        <v>0</v>
      </c>
      <c r="M64" s="4">
        <f>I64-K64-L64</f>
        <v>0</v>
      </c>
    </row>
    <row r="65" spans="1:19" x14ac:dyDescent="0.3">
      <c r="A65" s="98"/>
      <c r="B65" s="98"/>
      <c r="C65" s="98"/>
      <c r="D65" s="98"/>
      <c r="E65" s="98"/>
      <c r="F65" s="98"/>
      <c r="G65" s="98"/>
      <c r="H65" s="38">
        <f>0</f>
        <v>0</v>
      </c>
      <c r="I65" s="29">
        <f>G62*H65</f>
        <v>0</v>
      </c>
      <c r="J65">
        <v>4</v>
      </c>
      <c r="N65" s="4">
        <f>IF(ISERR(SEARCH("TRA* 82",C62)),IF(Q65+R65+S65=0,0,I65*(Q65/(Q65+R65+S65))),I65)</f>
        <v>0</v>
      </c>
      <c r="O65" s="4">
        <f>IF(ISERR(SEARCH("TRA* 82",C62)),IF(Q65+R65+S65=0,0,I65*(R65/(Q65+R65+S65))),0)</f>
        <v>0</v>
      </c>
      <c r="P65" s="4">
        <f>IF(ISERR(SEARCH("TRA* 82",C62)),I65-N65-O65,0)</f>
        <v>0</v>
      </c>
      <c r="Q65" s="4">
        <v>0</v>
      </c>
      <c r="R65" s="4">
        <v>0</v>
      </c>
      <c r="S65" s="4">
        <v>0</v>
      </c>
    </row>
    <row r="66" spans="1:19" x14ac:dyDescent="0.3">
      <c r="A66" s="96" t="s">
        <v>87</v>
      </c>
      <c r="B66" s="97"/>
      <c r="C66" s="97"/>
      <c r="D66" s="97"/>
      <c r="E66" s="97"/>
      <c r="F66" s="97"/>
      <c r="G66" s="97"/>
      <c r="H66" s="36">
        <f>H62+H63+H64+H65</f>
        <v>491.17</v>
      </c>
      <c r="I66" s="74">
        <f>I62+I63+I64+I65</f>
        <v>491.17</v>
      </c>
      <c r="J66">
        <v>5</v>
      </c>
    </row>
    <row r="67" spans="1:19" x14ac:dyDescent="0.3">
      <c r="B67" s="2">
        <v>12</v>
      </c>
      <c r="C67" s="3" t="s">
        <v>312</v>
      </c>
      <c r="D67" s="5" t="s">
        <v>29</v>
      </c>
      <c r="G67" s="30">
        <v>1</v>
      </c>
      <c r="H67" s="38">
        <v>640.32000000000005</v>
      </c>
      <c r="I67" s="29">
        <f>G67*H67</f>
        <v>640.32000000000005</v>
      </c>
      <c r="J67">
        <v>1</v>
      </c>
    </row>
    <row r="68" spans="1:19" x14ac:dyDescent="0.3">
      <c r="D68" s="15" t="str">
        <f>SUBSTITUTE("Sp.mat: 0.00%",".",IF(VALUE("1.2")=1.2,".",","),2)</f>
        <v>Sp.mat: 0.00%</v>
      </c>
      <c r="F68" s="15" t="str">
        <f>SUBSTITUTE("Sp.man: 0.00%",".",IF(VALUE("1.2")=1.2,".",","),2)</f>
        <v>Sp.man: 0.00%</v>
      </c>
      <c r="G68" s="35" t="str">
        <f>SUBSTITUTE("Sp.uti: 0.00%",".",IF(VALUE("1.2")=1.2,".",","),2)</f>
        <v>Sp.uti: 0.00%</v>
      </c>
      <c r="H68" s="38">
        <v>21.62</v>
      </c>
      <c r="I68" s="29">
        <f>G67*H68</f>
        <v>21.62</v>
      </c>
      <c r="J68">
        <v>2</v>
      </c>
    </row>
    <row r="69" spans="1:19" x14ac:dyDescent="0.3">
      <c r="A69" s="88" t="s">
        <v>314</v>
      </c>
      <c r="B69" s="98"/>
      <c r="C69" s="98"/>
      <c r="D69" s="98"/>
      <c r="E69" s="98"/>
      <c r="F69" s="98"/>
      <c r="G69" s="98"/>
      <c r="H69" s="38">
        <f>(1+IF(OR(ISERR(FIND(":",G68)),ISERR(FIND("%",G68))),0,MID(G68,FIND(":",G68)+2,FIND("%",G68)-FIND(":",G68)-2)/100))*0</f>
        <v>0</v>
      </c>
      <c r="I69" s="29">
        <f>G67*H69</f>
        <v>0</v>
      </c>
      <c r="J69">
        <v>3</v>
      </c>
      <c r="K69" s="4">
        <v>0</v>
      </c>
      <c r="L69" s="4">
        <v>0</v>
      </c>
      <c r="M69" s="4">
        <f>I69-K69-L69</f>
        <v>0</v>
      </c>
    </row>
    <row r="70" spans="1:19" x14ac:dyDescent="0.3">
      <c r="A70" s="98"/>
      <c r="B70" s="98"/>
      <c r="C70" s="98"/>
      <c r="D70" s="98"/>
      <c r="E70" s="98"/>
      <c r="F70" s="98"/>
      <c r="G70" s="98"/>
      <c r="H70" s="38">
        <f>0</f>
        <v>0</v>
      </c>
      <c r="I70" s="29">
        <f>G67*H70</f>
        <v>0</v>
      </c>
      <c r="J70">
        <v>4</v>
      </c>
      <c r="N70" s="4">
        <f>IF(ISERR(SEARCH("TRA* 82",C67)),IF(Q70+R70+S70=0,0,I70*(Q70/(Q70+R70+S70))),I70)</f>
        <v>0</v>
      </c>
      <c r="O70" s="4">
        <f>IF(ISERR(SEARCH("TRA* 82",C67)),IF(Q70+R70+S70=0,0,I70*(R70/(Q70+R70+S70))),0)</f>
        <v>0</v>
      </c>
      <c r="P70" s="4">
        <f>IF(ISERR(SEARCH("TRA* 82",C67)),I70-N70-O70,0)</f>
        <v>0</v>
      </c>
      <c r="Q70" s="4">
        <v>0</v>
      </c>
      <c r="R70" s="4">
        <v>0</v>
      </c>
      <c r="S70" s="4">
        <v>0</v>
      </c>
    </row>
    <row r="71" spans="1:19" x14ac:dyDescent="0.3">
      <c r="A71" s="96" t="s">
        <v>87</v>
      </c>
      <c r="B71" s="97"/>
      <c r="C71" s="97"/>
      <c r="D71" s="97"/>
      <c r="E71" s="97"/>
      <c r="F71" s="97"/>
      <c r="G71" s="97"/>
      <c r="H71" s="36">
        <f>H67+H68+H69+H70</f>
        <v>661.94</v>
      </c>
      <c r="I71" s="74">
        <f>I67+I68+I69+I70</f>
        <v>661.94</v>
      </c>
      <c r="J71">
        <v>5</v>
      </c>
    </row>
    <row r="72" spans="1:19" x14ac:dyDescent="0.3">
      <c r="B72" s="2">
        <v>13</v>
      </c>
      <c r="C72" s="3" t="s">
        <v>317</v>
      </c>
      <c r="D72" s="5" t="s">
        <v>29</v>
      </c>
      <c r="G72" s="30">
        <v>1</v>
      </c>
      <c r="H72" s="38">
        <v>173.05</v>
      </c>
      <c r="I72" s="29">
        <f>G72*H72</f>
        <v>173.05</v>
      </c>
      <c r="J72">
        <v>1</v>
      </c>
    </row>
    <row r="73" spans="1:19" x14ac:dyDescent="0.3">
      <c r="D73" s="15" t="str">
        <f>SUBSTITUTE("Sp.mat: 0.00%",".",IF(VALUE("1.2")=1.2,".",","),2)</f>
        <v>Sp.mat: 0.00%</v>
      </c>
      <c r="F73" s="15" t="str">
        <f>SUBSTITUTE("Sp.man: 0.00%",".",IF(VALUE("1.2")=1.2,".",","),2)</f>
        <v>Sp.man: 0.00%</v>
      </c>
      <c r="G73" s="35" t="str">
        <f>SUBSTITUTE("Sp.uti: 0.00%",".",IF(VALUE("1.2")=1.2,".",","),2)</f>
        <v>Sp.uti: 0.00%</v>
      </c>
      <c r="H73" s="38">
        <v>3.68</v>
      </c>
      <c r="I73" s="29">
        <f>G72*H73</f>
        <v>3.68</v>
      </c>
      <c r="J73">
        <v>2</v>
      </c>
    </row>
    <row r="74" spans="1:19" x14ac:dyDescent="0.3">
      <c r="A74" s="88" t="s">
        <v>318</v>
      </c>
      <c r="B74" s="98"/>
      <c r="C74" s="98"/>
      <c r="D74" s="98"/>
      <c r="E74" s="98"/>
      <c r="F74" s="98"/>
      <c r="G74" s="98"/>
      <c r="H74" s="38">
        <f>(1+IF(OR(ISERR(FIND(":",G73)),ISERR(FIND("%",G73))),0,MID(G73,FIND(":",G73)+2,FIND("%",G73)-FIND(":",G73)-2)/100))*0</f>
        <v>0</v>
      </c>
      <c r="I74" s="29">
        <f>G72*H74</f>
        <v>0</v>
      </c>
      <c r="J74">
        <v>3</v>
      </c>
      <c r="K74" s="4">
        <v>0</v>
      </c>
      <c r="L74" s="4">
        <v>0</v>
      </c>
      <c r="M74" s="4">
        <f>I74-K74-L74</f>
        <v>0</v>
      </c>
    </row>
    <row r="75" spans="1:19" x14ac:dyDescent="0.3">
      <c r="A75" s="98"/>
      <c r="B75" s="98"/>
      <c r="C75" s="98"/>
      <c r="D75" s="98"/>
      <c r="E75" s="98"/>
      <c r="F75" s="98"/>
      <c r="G75" s="98"/>
      <c r="H75" s="38">
        <f>0</f>
        <v>0</v>
      </c>
      <c r="I75" s="29">
        <f>G72*H75</f>
        <v>0</v>
      </c>
      <c r="J75">
        <v>4</v>
      </c>
      <c r="N75" s="4">
        <f>IF(ISERR(SEARCH("TRA* 82",C72)),IF(Q75+R75+S75=0,0,I75*(Q75/(Q75+R75+S75))),I75)</f>
        <v>0</v>
      </c>
      <c r="O75" s="4">
        <f>IF(ISERR(SEARCH("TRA* 82",C72)),IF(Q75+R75+S75=0,0,I75*(R75/(Q75+R75+S75))),0)</f>
        <v>0</v>
      </c>
      <c r="P75" s="4">
        <f>IF(ISERR(SEARCH("TRA* 82",C72)),I75-N75-O75,0)</f>
        <v>0</v>
      </c>
      <c r="Q75" s="4">
        <v>0</v>
      </c>
      <c r="R75" s="4">
        <v>0</v>
      </c>
      <c r="S75" s="4">
        <v>0</v>
      </c>
    </row>
    <row r="76" spans="1:19" x14ac:dyDescent="0.3">
      <c r="A76" s="100" t="s">
        <v>27</v>
      </c>
      <c r="B76" s="101"/>
      <c r="C76" s="101"/>
      <c r="D76" s="101"/>
      <c r="E76" s="101"/>
      <c r="F76" s="101"/>
      <c r="G76" s="101"/>
      <c r="H76" s="33">
        <f>H72+H73+H74+H75</f>
        <v>176.73000000000002</v>
      </c>
      <c r="I76" s="37">
        <f>I72+I73+I74+I75</f>
        <v>176.73000000000002</v>
      </c>
      <c r="J76">
        <v>5</v>
      </c>
    </row>
    <row r="77" spans="1:19" x14ac:dyDescent="0.3">
      <c r="A77" s="102" t="s">
        <v>319</v>
      </c>
      <c r="B77" s="102"/>
      <c r="C77" s="102"/>
      <c r="D77" s="102"/>
      <c r="E77" s="102"/>
      <c r="F77" s="102"/>
      <c r="G77" s="102"/>
      <c r="H77" s="102"/>
      <c r="I77" s="102"/>
    </row>
    <row r="78" spans="1:19" x14ac:dyDescent="0.3">
      <c r="A78" s="98" t="s">
        <v>320</v>
      </c>
      <c r="B78" s="98"/>
      <c r="C78" s="98"/>
      <c r="D78" s="98"/>
      <c r="E78" s="98"/>
      <c r="F78" s="98"/>
      <c r="G78" s="98"/>
      <c r="H78" s="98"/>
      <c r="I78" s="98"/>
    </row>
    <row r="79" spans="1:19" x14ac:dyDescent="0.3">
      <c r="A79" s="97" t="s">
        <v>321</v>
      </c>
      <c r="B79" s="97"/>
      <c r="C79" s="97"/>
      <c r="D79" s="97"/>
      <c r="E79" s="97"/>
      <c r="F79" s="97"/>
      <c r="G79" s="97"/>
      <c r="H79" s="97"/>
      <c r="I79" s="97"/>
    </row>
    <row r="80" spans="1:19" x14ac:dyDescent="0.3">
      <c r="B80" s="2">
        <v>14</v>
      </c>
      <c r="C80" s="3" t="s">
        <v>322</v>
      </c>
      <c r="D80" s="5" t="s">
        <v>29</v>
      </c>
      <c r="G80" s="30">
        <v>2</v>
      </c>
      <c r="H80" s="38">
        <v>1375.24</v>
      </c>
      <c r="I80" s="29">
        <f>G80*H80</f>
        <v>2750.48</v>
      </c>
      <c r="J80">
        <v>1</v>
      </c>
    </row>
    <row r="81" spans="1:19" x14ac:dyDescent="0.3">
      <c r="D81" s="15" t="str">
        <f>SUBSTITUTE("Sp.mat: 0.00%",".",IF(VALUE("1.2")=1.2,".",","),2)</f>
        <v>Sp.mat: 0.00%</v>
      </c>
      <c r="F81" s="15" t="str">
        <f>SUBSTITUTE("Sp.man: 0.00%",".",IF(VALUE("1.2")=1.2,".",","),2)</f>
        <v>Sp.man: 0.00%</v>
      </c>
      <c r="G81" s="35" t="str">
        <f>SUBSTITUTE("Sp.uti: 0.00%",".",IF(VALUE("1.2")=1.2,".",","),2)</f>
        <v>Sp.uti: 0.00%</v>
      </c>
      <c r="H81" s="38">
        <f>441.11/G80</f>
        <v>220.55500000000001</v>
      </c>
      <c r="I81" s="29">
        <f>G80*H81</f>
        <v>441.11</v>
      </c>
      <c r="J81">
        <v>2</v>
      </c>
    </row>
    <row r="82" spans="1:19" x14ac:dyDescent="0.3">
      <c r="A82" s="88" t="s">
        <v>323</v>
      </c>
      <c r="B82" s="98"/>
      <c r="C82" s="98"/>
      <c r="D82" s="98"/>
      <c r="E82" s="98"/>
      <c r="F82" s="98"/>
      <c r="G82" s="98"/>
      <c r="H82" s="38">
        <f>(1+IF(OR(ISERR(FIND(":",G81)),ISERR(FIND("%",G81))),0,MID(G81,FIND(":",G81)+2,FIND("%",G81)-FIND(":",G81)-2)/100))*0</f>
        <v>0</v>
      </c>
      <c r="I82" s="29">
        <f>G80*H82</f>
        <v>0</v>
      </c>
      <c r="J82">
        <v>3</v>
      </c>
      <c r="K82" s="4">
        <v>0</v>
      </c>
      <c r="L82" s="4">
        <v>0</v>
      </c>
      <c r="M82" s="4">
        <f>I82-K82-L82</f>
        <v>0</v>
      </c>
    </row>
    <row r="83" spans="1:19" x14ac:dyDescent="0.3">
      <c r="A83" s="98"/>
      <c r="B83" s="98"/>
      <c r="C83" s="98"/>
      <c r="D83" s="98"/>
      <c r="E83" s="98"/>
      <c r="F83" s="98"/>
      <c r="G83" s="98"/>
      <c r="H83" s="38">
        <f>0</f>
        <v>0</v>
      </c>
      <c r="I83" s="29">
        <f>G80*H83</f>
        <v>0</v>
      </c>
      <c r="J83">
        <v>4</v>
      </c>
      <c r="N83" s="4">
        <f>IF(ISERR(SEARCH("TRA* 82",C80)),IF(Q83+R83+S83=0,0,I83*(Q83/(Q83+R83+S83))),I83)</f>
        <v>0</v>
      </c>
      <c r="O83" s="4">
        <f>IF(ISERR(SEARCH("TRA* 82",C80)),IF(Q83+R83+S83=0,0,I83*(R83/(Q83+R83+S83))),0)</f>
        <v>0</v>
      </c>
      <c r="P83" s="4">
        <f>IF(ISERR(SEARCH("TRA* 82",C80)),I83-N83-O83,0)</f>
        <v>0</v>
      </c>
      <c r="Q83" s="4">
        <v>0</v>
      </c>
      <c r="R83" s="4">
        <v>0</v>
      </c>
      <c r="S83" s="4">
        <v>0</v>
      </c>
    </row>
    <row r="84" spans="1:19" x14ac:dyDescent="0.3">
      <c r="A84" s="100" t="s">
        <v>27</v>
      </c>
      <c r="B84" s="101"/>
      <c r="C84" s="101"/>
      <c r="D84" s="101"/>
      <c r="E84" s="101"/>
      <c r="F84" s="101"/>
      <c r="G84" s="101"/>
      <c r="H84" s="33">
        <f>H80+H81+H82+H83</f>
        <v>1595.7950000000001</v>
      </c>
      <c r="I84" s="37">
        <f>I80+I81+I82+I83</f>
        <v>3191.59</v>
      </c>
      <c r="J84">
        <v>5</v>
      </c>
    </row>
    <row r="85" spans="1:19" x14ac:dyDescent="0.3">
      <c r="A85" s="99" t="s">
        <v>324</v>
      </c>
      <c r="B85" s="99"/>
      <c r="C85" s="99"/>
      <c r="D85" s="99"/>
      <c r="E85" s="99"/>
      <c r="F85" s="99"/>
      <c r="G85" s="99"/>
      <c r="H85" s="99"/>
      <c r="I85" s="99"/>
    </row>
    <row r="86" spans="1:19" x14ac:dyDescent="0.3">
      <c r="B86" s="2">
        <v>15</v>
      </c>
      <c r="C86" s="3" t="s">
        <v>325</v>
      </c>
      <c r="D86" s="5" t="s">
        <v>29</v>
      </c>
      <c r="G86" s="30">
        <v>31</v>
      </c>
      <c r="H86" s="38">
        <f>12071.9/G86</f>
        <v>389.41612903225803</v>
      </c>
      <c r="I86" s="29">
        <f>G86*H86</f>
        <v>12071.9</v>
      </c>
      <c r="J86">
        <v>1</v>
      </c>
    </row>
    <row r="87" spans="1:19" x14ac:dyDescent="0.3">
      <c r="D87" s="15" t="str">
        <f>SUBSTITUTE("Sp.mat: 0.00%",".",IF(VALUE("1.2")=1.2,".",","),2)</f>
        <v>Sp.mat: 0.00%</v>
      </c>
      <c r="F87" s="15" t="str">
        <f>SUBSTITUTE("Sp.man: 0.00%",".",IF(VALUE("1.2")=1.2,".",","),2)</f>
        <v>Sp.man: 0.00%</v>
      </c>
      <c r="G87" s="35" t="str">
        <f>SUBSTITUTE("Sp.uti: 0.00%",".",IF(VALUE("1.2")=1.2,".",","),2)</f>
        <v>Sp.uti: 0.00%</v>
      </c>
      <c r="H87" s="38">
        <v>15.055999999999999</v>
      </c>
      <c r="I87" s="29">
        <f>G86*H87</f>
        <v>466.73599999999999</v>
      </c>
      <c r="J87">
        <v>2</v>
      </c>
    </row>
    <row r="88" spans="1:19" x14ac:dyDescent="0.3">
      <c r="A88" s="88" t="s">
        <v>326</v>
      </c>
      <c r="B88" s="98"/>
      <c r="C88" s="98"/>
      <c r="D88" s="98"/>
      <c r="E88" s="98"/>
      <c r="F88" s="98"/>
      <c r="G88" s="98"/>
      <c r="H88" s="38">
        <f>(1+IF(OR(ISERR(FIND(":",G87)),ISERR(FIND("%",G87))),0,MID(G87,FIND(":",G87)+2,FIND("%",G87)-FIND(":",G87)-2)/100))*0</f>
        <v>0</v>
      </c>
      <c r="I88" s="29">
        <f>G86*H88</f>
        <v>0</v>
      </c>
      <c r="J88">
        <v>3</v>
      </c>
      <c r="K88" s="4">
        <v>0</v>
      </c>
      <c r="L88" s="4">
        <v>0</v>
      </c>
      <c r="M88" s="4">
        <f>I88-K88-L88</f>
        <v>0</v>
      </c>
    </row>
    <row r="89" spans="1:19" x14ac:dyDescent="0.3">
      <c r="A89" s="98"/>
      <c r="B89" s="98"/>
      <c r="C89" s="98"/>
      <c r="D89" s="98"/>
      <c r="E89" s="98"/>
      <c r="F89" s="98"/>
      <c r="G89" s="98"/>
      <c r="H89" s="38">
        <f>0</f>
        <v>0</v>
      </c>
      <c r="I89" s="29">
        <f>G86*H89</f>
        <v>0</v>
      </c>
      <c r="J89">
        <v>4</v>
      </c>
      <c r="N89" s="4">
        <f>IF(ISERR(SEARCH("TRA* 82",C86)),IF(Q89+R89+S89=0,0,I89*(Q89/(Q89+R89+S89))),I89)</f>
        <v>0</v>
      </c>
      <c r="O89" s="4">
        <f>IF(ISERR(SEARCH("TRA* 82",C86)),IF(Q89+R89+S89=0,0,I89*(R89/(Q89+R89+S89))),0)</f>
        <v>0</v>
      </c>
      <c r="P89" s="4">
        <f>IF(ISERR(SEARCH("TRA* 82",C86)),I89-N89-O89,0)</f>
        <v>0</v>
      </c>
      <c r="Q89" s="4">
        <v>0</v>
      </c>
      <c r="R89" s="4">
        <v>0</v>
      </c>
      <c r="S89" s="4">
        <v>0</v>
      </c>
    </row>
    <row r="90" spans="1:19" x14ac:dyDescent="0.3">
      <c r="A90" s="96" t="s">
        <v>27</v>
      </c>
      <c r="B90" s="97"/>
      <c r="C90" s="97"/>
      <c r="D90" s="97"/>
      <c r="E90" s="97"/>
      <c r="F90" s="97"/>
      <c r="G90" s="97"/>
      <c r="H90" s="36">
        <f>H86+H87+H88+H89</f>
        <v>404.47212903225801</v>
      </c>
      <c r="I90" s="74">
        <f>I86+I87+I88+I89</f>
        <v>12538.636</v>
      </c>
      <c r="J90">
        <v>5</v>
      </c>
    </row>
    <row r="91" spans="1:19" x14ac:dyDescent="0.3">
      <c r="B91" s="2">
        <v>16</v>
      </c>
      <c r="C91" s="3" t="s">
        <v>327</v>
      </c>
      <c r="D91" s="5" t="s">
        <v>29</v>
      </c>
      <c r="G91" s="30">
        <v>6</v>
      </c>
      <c r="H91" s="38">
        <v>538.44000000000005</v>
      </c>
      <c r="I91" s="29">
        <f>G91*H91</f>
        <v>3230.6400000000003</v>
      </c>
      <c r="J91">
        <v>1</v>
      </c>
    </row>
    <row r="92" spans="1:19" x14ac:dyDescent="0.3">
      <c r="D92" s="15" t="str">
        <f>SUBSTITUTE("Sp.mat: 0.00%",".",IF(VALUE("1.2")=1.2,".",","),2)</f>
        <v>Sp.mat: 0.00%</v>
      </c>
      <c r="F92" s="15" t="str">
        <f>SUBSTITUTE("Sp.man: 0.00%",".",IF(VALUE("1.2")=1.2,".",","),2)</f>
        <v>Sp.man: 0.00%</v>
      </c>
      <c r="G92" s="35" t="str">
        <f>SUBSTITUTE("Sp.uti: 0.00%",".",IF(VALUE("1.2")=1.2,".",","),2)</f>
        <v>Sp.uti: 0.00%</v>
      </c>
      <c r="H92" s="38">
        <v>15.055999999999999</v>
      </c>
      <c r="I92" s="29">
        <f>G91*H92</f>
        <v>90.335999999999999</v>
      </c>
      <c r="J92">
        <v>2</v>
      </c>
    </row>
    <row r="93" spans="1:19" x14ac:dyDescent="0.3">
      <c r="A93" s="88" t="s">
        <v>328</v>
      </c>
      <c r="B93" s="98"/>
      <c r="C93" s="98"/>
      <c r="D93" s="98"/>
      <c r="E93" s="98"/>
      <c r="F93" s="98"/>
      <c r="G93" s="98"/>
      <c r="H93" s="38">
        <f>(1+IF(OR(ISERR(FIND(":",G92)),ISERR(FIND("%",G92))),0,MID(G92,FIND(":",G92)+2,FIND("%",G92)-FIND(":",G92)-2)/100))*0</f>
        <v>0</v>
      </c>
      <c r="I93" s="29">
        <f>G91*H93</f>
        <v>0</v>
      </c>
      <c r="J93">
        <v>3</v>
      </c>
      <c r="K93" s="4">
        <v>0</v>
      </c>
      <c r="L93" s="4">
        <v>0</v>
      </c>
      <c r="M93" s="4">
        <f>I93-K93-L93</f>
        <v>0</v>
      </c>
    </row>
    <row r="94" spans="1:19" x14ac:dyDescent="0.3">
      <c r="A94" s="98"/>
      <c r="B94" s="98"/>
      <c r="C94" s="98"/>
      <c r="D94" s="98"/>
      <c r="E94" s="98"/>
      <c r="F94" s="98"/>
      <c r="G94" s="98"/>
      <c r="H94" s="38">
        <f>0</f>
        <v>0</v>
      </c>
      <c r="I94" s="29">
        <f>G91*H94</f>
        <v>0</v>
      </c>
      <c r="J94">
        <v>4</v>
      </c>
      <c r="N94" s="4">
        <f>IF(ISERR(SEARCH("TRA* 82",C91)),IF(Q94+R94+S94=0,0,I94*(Q94/(Q94+R94+S94))),I94)</f>
        <v>0</v>
      </c>
      <c r="O94" s="4">
        <f>IF(ISERR(SEARCH("TRA* 82",C91)),IF(Q94+R94+S94=0,0,I94*(R94/(Q94+R94+S94))),0)</f>
        <v>0</v>
      </c>
      <c r="P94" s="4">
        <f>IF(ISERR(SEARCH("TRA* 82",C91)),I94-N94-O94,0)</f>
        <v>0</v>
      </c>
      <c r="Q94" s="4">
        <v>0</v>
      </c>
      <c r="R94" s="4">
        <v>0</v>
      </c>
      <c r="S94" s="4">
        <v>0</v>
      </c>
    </row>
    <row r="95" spans="1:19" x14ac:dyDescent="0.3">
      <c r="A95" s="96" t="s">
        <v>27</v>
      </c>
      <c r="B95" s="97"/>
      <c r="C95" s="97"/>
      <c r="D95" s="97"/>
      <c r="E95" s="97"/>
      <c r="F95" s="97"/>
      <c r="G95" s="97"/>
      <c r="H95" s="36">
        <f>H91+H92+H93+H94</f>
        <v>553.49600000000009</v>
      </c>
      <c r="I95" s="74">
        <f>I91+I92+I93+I94</f>
        <v>3320.9760000000001</v>
      </c>
      <c r="J95">
        <v>5</v>
      </c>
    </row>
    <row r="96" spans="1:19" x14ac:dyDescent="0.3">
      <c r="B96" s="2">
        <v>17</v>
      </c>
      <c r="C96" s="3" t="s">
        <v>329</v>
      </c>
      <c r="D96" s="5" t="s">
        <v>29</v>
      </c>
      <c r="G96" s="30">
        <v>6</v>
      </c>
      <c r="H96" s="38">
        <f>3985.22/G96</f>
        <v>664.20333333333326</v>
      </c>
      <c r="I96" s="29">
        <f>G96*H96</f>
        <v>3985.2199999999993</v>
      </c>
      <c r="J96">
        <v>1</v>
      </c>
    </row>
    <row r="97" spans="1:19" x14ac:dyDescent="0.3">
      <c r="D97" s="15" t="str">
        <f>SUBSTITUTE("Sp.mat: 0.00%",".",IF(VALUE("1.2")=1.2,".",","),2)</f>
        <v>Sp.mat: 0.00%</v>
      </c>
      <c r="F97" s="15" t="str">
        <f>SUBSTITUTE("Sp.man: 0.00%",".",IF(VALUE("1.2")=1.2,".",","),2)</f>
        <v>Sp.man: 0.00%</v>
      </c>
      <c r="G97" s="35" t="str">
        <f>SUBSTITUTE("Sp.uti: 0.00%",".",IF(VALUE("1.2")=1.2,".",","),2)</f>
        <v>Sp.uti: 0.00%</v>
      </c>
      <c r="H97" s="38">
        <f>120.13/G96</f>
        <v>20.021666666666665</v>
      </c>
      <c r="I97" s="29">
        <f>G96*H97</f>
        <v>120.13</v>
      </c>
      <c r="J97">
        <v>2</v>
      </c>
    </row>
    <row r="98" spans="1:19" x14ac:dyDescent="0.3">
      <c r="A98" s="88" t="s">
        <v>330</v>
      </c>
      <c r="B98" s="98"/>
      <c r="C98" s="98"/>
      <c r="D98" s="98"/>
      <c r="E98" s="98"/>
      <c r="F98" s="98"/>
      <c r="G98" s="98"/>
      <c r="H98" s="38">
        <f>(1+IF(OR(ISERR(FIND(":",G97)),ISERR(FIND("%",G97))),0,MID(G97,FIND(":",G97)+2,FIND("%",G97)-FIND(":",G97)-2)/100))*0</f>
        <v>0</v>
      </c>
      <c r="I98" s="29">
        <f>G96*H98</f>
        <v>0</v>
      </c>
      <c r="J98">
        <v>3</v>
      </c>
      <c r="K98" s="4">
        <v>0</v>
      </c>
      <c r="L98" s="4">
        <v>0</v>
      </c>
      <c r="M98" s="4">
        <f>I98-K98-L98</f>
        <v>0</v>
      </c>
    </row>
    <row r="99" spans="1:19" x14ac:dyDescent="0.3">
      <c r="A99" s="98"/>
      <c r="B99" s="98"/>
      <c r="C99" s="98"/>
      <c r="D99" s="98"/>
      <c r="E99" s="98"/>
      <c r="F99" s="98"/>
      <c r="G99" s="98"/>
      <c r="H99" s="38">
        <f>0</f>
        <v>0</v>
      </c>
      <c r="I99" s="29">
        <f>G96*H99</f>
        <v>0</v>
      </c>
      <c r="J99">
        <v>4</v>
      </c>
      <c r="N99" s="4">
        <f>IF(ISERR(SEARCH("TRA* 82",C96)),IF(Q99+R99+S99=0,0,I99*(Q99/(Q99+R99+S99))),I99)</f>
        <v>0</v>
      </c>
      <c r="O99" s="4">
        <f>IF(ISERR(SEARCH("TRA* 82",C96)),IF(Q99+R99+S99=0,0,I99*(R99/(Q99+R99+S99))),0)</f>
        <v>0</v>
      </c>
      <c r="P99" s="4">
        <f>IF(ISERR(SEARCH("TRA* 82",C96)),I99-N99-O99,0)</f>
        <v>0</v>
      </c>
      <c r="Q99" s="4">
        <v>0</v>
      </c>
      <c r="R99" s="4">
        <v>0</v>
      </c>
      <c r="S99" s="4">
        <v>0</v>
      </c>
    </row>
    <row r="100" spans="1:19" x14ac:dyDescent="0.3">
      <c r="A100" s="96" t="s">
        <v>27</v>
      </c>
      <c r="B100" s="97"/>
      <c r="C100" s="97"/>
      <c r="D100" s="97"/>
      <c r="E100" s="97"/>
      <c r="F100" s="97"/>
      <c r="G100" s="97"/>
      <c r="H100" s="36">
        <f>H96+H97+H98+H99</f>
        <v>684.22499999999991</v>
      </c>
      <c r="I100" s="74">
        <f>I96+I97+I98+I99</f>
        <v>4105.3499999999995</v>
      </c>
      <c r="J100">
        <v>5</v>
      </c>
    </row>
    <row r="101" spans="1:19" x14ac:dyDescent="0.3">
      <c r="B101" s="2">
        <v>18</v>
      </c>
      <c r="C101" s="3" t="s">
        <v>329</v>
      </c>
      <c r="D101" s="5" t="s">
        <v>29</v>
      </c>
      <c r="G101" s="30">
        <v>8</v>
      </c>
      <c r="H101" s="38">
        <v>778.84</v>
      </c>
      <c r="I101" s="29">
        <f>G101*H101</f>
        <v>6230.72</v>
      </c>
      <c r="J101">
        <v>1</v>
      </c>
    </row>
    <row r="102" spans="1:19" x14ac:dyDescent="0.3">
      <c r="D102" s="15" t="str">
        <f>SUBSTITUTE("Sp.mat: 0.00%",".",IF(VALUE("1.2")=1.2,".",","),2)</f>
        <v>Sp.mat: 0.00%</v>
      </c>
      <c r="F102" s="15" t="str">
        <f>SUBSTITUTE("Sp.man: 0.00%",".",IF(VALUE("1.2")=1.2,".",","),2)</f>
        <v>Sp.man: 0.00%</v>
      </c>
      <c r="G102" s="35" t="str">
        <f>SUBSTITUTE("Sp.uti: 0.00%",".",IF(VALUE("1.2")=1.2,".",","),2)</f>
        <v>Sp.uti: 0.00%</v>
      </c>
      <c r="H102" s="38">
        <v>20.02</v>
      </c>
      <c r="I102" s="29">
        <f>G101*H102</f>
        <v>160.16</v>
      </c>
      <c r="J102">
        <v>2</v>
      </c>
    </row>
    <row r="103" spans="1:19" x14ac:dyDescent="0.3">
      <c r="A103" s="88" t="s">
        <v>330</v>
      </c>
      <c r="B103" s="98"/>
      <c r="C103" s="98"/>
      <c r="D103" s="98"/>
      <c r="E103" s="98"/>
      <c r="F103" s="98"/>
      <c r="G103" s="98"/>
      <c r="H103" s="38">
        <f>(1+IF(OR(ISERR(FIND(":",G102)),ISERR(FIND("%",G102))),0,MID(G102,FIND(":",G102)+2,FIND("%",G102)-FIND(":",G102)-2)/100))*0</f>
        <v>0</v>
      </c>
      <c r="I103" s="29">
        <f>G101*H103</f>
        <v>0</v>
      </c>
      <c r="J103">
        <v>3</v>
      </c>
      <c r="K103" s="4">
        <v>0</v>
      </c>
      <c r="L103" s="4">
        <v>0</v>
      </c>
      <c r="M103" s="4">
        <f>I103-K103-L103</f>
        <v>0</v>
      </c>
    </row>
    <row r="104" spans="1:19" x14ac:dyDescent="0.3">
      <c r="A104" s="98"/>
      <c r="B104" s="98"/>
      <c r="C104" s="98"/>
      <c r="D104" s="98"/>
      <c r="E104" s="98"/>
      <c r="F104" s="98"/>
      <c r="G104" s="98"/>
      <c r="H104" s="38">
        <f>0</f>
        <v>0</v>
      </c>
      <c r="I104" s="29">
        <f>G101*H104</f>
        <v>0</v>
      </c>
      <c r="J104">
        <v>4</v>
      </c>
      <c r="N104" s="4">
        <f>IF(ISERR(SEARCH("TRA* 82",C101)),IF(Q104+R104+S104=0,0,I104*(Q104/(Q104+R104+S104))),I104)</f>
        <v>0</v>
      </c>
      <c r="O104" s="4">
        <f>IF(ISERR(SEARCH("TRA* 82",C101)),IF(Q104+R104+S104=0,0,I104*(R104/(Q104+R104+S104))),0)</f>
        <v>0</v>
      </c>
      <c r="P104" s="4">
        <f>IF(ISERR(SEARCH("TRA* 82",C101)),I104-N104-O104,0)</f>
        <v>0</v>
      </c>
      <c r="Q104" s="4">
        <v>0</v>
      </c>
      <c r="R104" s="4">
        <v>0</v>
      </c>
      <c r="S104" s="4">
        <v>0</v>
      </c>
    </row>
    <row r="105" spans="1:19" x14ac:dyDescent="0.3">
      <c r="A105" s="96" t="s">
        <v>27</v>
      </c>
      <c r="B105" s="97"/>
      <c r="C105" s="97"/>
      <c r="D105" s="97"/>
      <c r="E105" s="97"/>
      <c r="F105" s="97"/>
      <c r="G105" s="97"/>
      <c r="H105" s="36">
        <f>H101+H102+H103+H104</f>
        <v>798.86</v>
      </c>
      <c r="I105" s="74">
        <f>I101+I102+I103+I104</f>
        <v>6390.88</v>
      </c>
      <c r="J105">
        <v>5</v>
      </c>
    </row>
    <row r="106" spans="1:19" x14ac:dyDescent="0.3">
      <c r="B106" s="2">
        <v>19</v>
      </c>
      <c r="C106" s="3" t="s">
        <v>331</v>
      </c>
      <c r="D106" s="5" t="s">
        <v>29</v>
      </c>
      <c r="G106" s="30">
        <v>4</v>
      </c>
      <c r="H106" s="38">
        <v>8.6549999999999994</v>
      </c>
      <c r="I106" s="29">
        <f>G106*H106</f>
        <v>34.619999999999997</v>
      </c>
      <c r="J106">
        <v>1</v>
      </c>
    </row>
    <row r="107" spans="1:19" x14ac:dyDescent="0.3">
      <c r="D107" s="15" t="str">
        <f>SUBSTITUTE("Sp.mat: 0.00%",".",IF(VALUE("1.2")=1.2,".",","),2)</f>
        <v>Sp.mat: 0.00%</v>
      </c>
      <c r="F107" s="15" t="str">
        <f>SUBSTITUTE("Sp.man: 0.00%",".",IF(VALUE("1.2")=1.2,".",","),2)</f>
        <v>Sp.man: 0.00%</v>
      </c>
      <c r="G107" s="35" t="str">
        <f>SUBSTITUTE("Sp.uti: 0.00%",".",IF(VALUE("1.2")=1.2,".",","),2)</f>
        <v>Sp.uti: 0.00%</v>
      </c>
      <c r="H107" s="38">
        <f>16.02/G106</f>
        <v>4.0049999999999999</v>
      </c>
      <c r="I107" s="29">
        <f>G106*H107</f>
        <v>16.02</v>
      </c>
      <c r="J107">
        <v>2</v>
      </c>
    </row>
    <row r="108" spans="1:19" x14ac:dyDescent="0.3">
      <c r="A108" s="88" t="s">
        <v>332</v>
      </c>
      <c r="B108" s="98"/>
      <c r="C108" s="98"/>
      <c r="D108" s="98"/>
      <c r="E108" s="98"/>
      <c r="F108" s="98"/>
      <c r="G108" s="98"/>
      <c r="H108" s="38">
        <f>(1+IF(OR(ISERR(FIND(":",G107)),ISERR(FIND("%",G107))),0,MID(G107,FIND(":",G107)+2,FIND("%",G107)-FIND(":",G107)-2)/100))*0</f>
        <v>0</v>
      </c>
      <c r="I108" s="29">
        <f>G106*H108</f>
        <v>0</v>
      </c>
      <c r="J108">
        <v>3</v>
      </c>
      <c r="K108" s="4">
        <v>0</v>
      </c>
      <c r="L108" s="4">
        <v>0</v>
      </c>
      <c r="M108" s="4">
        <f>I108-K108-L108</f>
        <v>0</v>
      </c>
    </row>
    <row r="109" spans="1:19" x14ac:dyDescent="0.3">
      <c r="A109" s="98"/>
      <c r="B109" s="98"/>
      <c r="C109" s="98"/>
      <c r="D109" s="98"/>
      <c r="E109" s="98"/>
      <c r="F109" s="98"/>
      <c r="G109" s="98"/>
      <c r="H109" s="38">
        <f>0</f>
        <v>0</v>
      </c>
      <c r="I109" s="29">
        <f>G106*H109</f>
        <v>0</v>
      </c>
      <c r="J109">
        <v>4</v>
      </c>
      <c r="N109" s="4">
        <f>IF(ISERR(SEARCH("TRA* 82",C106)),IF(Q109+R109+S109=0,0,I109*(Q109/(Q109+R109+S109))),I109)</f>
        <v>0</v>
      </c>
      <c r="O109" s="4">
        <f>IF(ISERR(SEARCH("TRA* 82",C106)),IF(Q109+R109+S109=0,0,I109*(R109/(Q109+R109+S109))),0)</f>
        <v>0</v>
      </c>
      <c r="P109" s="4">
        <f>IF(ISERR(SEARCH("TRA* 82",C106)),I109-N109-O109,0)</f>
        <v>0</v>
      </c>
      <c r="Q109" s="4">
        <v>0</v>
      </c>
      <c r="R109" s="4">
        <v>0</v>
      </c>
      <c r="S109" s="4">
        <v>0</v>
      </c>
    </row>
    <row r="110" spans="1:19" x14ac:dyDescent="0.3">
      <c r="A110" s="100" t="s">
        <v>27</v>
      </c>
      <c r="B110" s="101"/>
      <c r="C110" s="101"/>
      <c r="D110" s="101"/>
      <c r="E110" s="101"/>
      <c r="F110" s="101"/>
      <c r="G110" s="101"/>
      <c r="H110" s="33">
        <f>H106+H107+H108+H109</f>
        <v>12.66</v>
      </c>
      <c r="I110" s="37">
        <f>I106+I107+I108+I109</f>
        <v>50.64</v>
      </c>
      <c r="J110">
        <v>5</v>
      </c>
    </row>
    <row r="111" spans="1:19" x14ac:dyDescent="0.3">
      <c r="A111" s="99" t="s">
        <v>333</v>
      </c>
      <c r="B111" s="99"/>
      <c r="C111" s="99"/>
      <c r="D111" s="99"/>
      <c r="E111" s="99"/>
      <c r="F111" s="99"/>
      <c r="G111" s="99"/>
      <c r="H111" s="99"/>
      <c r="I111" s="99"/>
    </row>
    <row r="112" spans="1:19" x14ac:dyDescent="0.3">
      <c r="B112" s="2">
        <v>20</v>
      </c>
      <c r="C112" s="3" t="s">
        <v>331</v>
      </c>
      <c r="D112" s="5" t="s">
        <v>29</v>
      </c>
      <c r="G112" s="30">
        <v>9</v>
      </c>
      <c r="H112" s="38">
        <f>110.54/G112</f>
        <v>12.282222222222224</v>
      </c>
      <c r="I112" s="29">
        <f>G112*H112</f>
        <v>110.54000000000002</v>
      </c>
      <c r="J112">
        <v>1</v>
      </c>
    </row>
    <row r="113" spans="1:19" x14ac:dyDescent="0.3">
      <c r="D113" s="15" t="str">
        <f>SUBSTITUTE("Sp.mat: 0.00%",".",IF(VALUE("1.2")=1.2,".",","),2)</f>
        <v>Sp.mat: 0.00%</v>
      </c>
      <c r="F113" s="15" t="str">
        <f>SUBSTITUTE("Sp.man: 0.00%",".",IF(VALUE("1.2")=1.2,".",","),2)</f>
        <v>Sp.man: 0.00%</v>
      </c>
      <c r="G113" s="35" t="str">
        <f>SUBSTITUTE("Sp.uti: 0.00%",".",IF(VALUE("1.2")=1.2,".",","),2)</f>
        <v>Sp.uti: 0.00%</v>
      </c>
      <c r="H113" s="38">
        <f>36.04/G112</f>
        <v>4.0044444444444443</v>
      </c>
      <c r="I113" s="29">
        <f>G112*H113</f>
        <v>36.04</v>
      </c>
      <c r="J113">
        <v>2</v>
      </c>
    </row>
    <row r="114" spans="1:19" x14ac:dyDescent="0.3">
      <c r="A114" s="88" t="s">
        <v>332</v>
      </c>
      <c r="B114" s="98"/>
      <c r="C114" s="98"/>
      <c r="D114" s="98"/>
      <c r="E114" s="98"/>
      <c r="F114" s="98"/>
      <c r="G114" s="98"/>
      <c r="H114" s="38">
        <f>(1+IF(OR(ISERR(FIND(":",G113)),ISERR(FIND("%",G113))),0,MID(G113,FIND(":",G113)+2,FIND("%",G113)-FIND(":",G113)-2)/100))*0</f>
        <v>0</v>
      </c>
      <c r="I114" s="29">
        <f>G112*H114</f>
        <v>0</v>
      </c>
      <c r="J114">
        <v>3</v>
      </c>
      <c r="K114" s="4">
        <v>0</v>
      </c>
      <c r="L114" s="4">
        <v>0</v>
      </c>
      <c r="M114" s="4">
        <f>I114-K114-L114</f>
        <v>0</v>
      </c>
    </row>
    <row r="115" spans="1:19" x14ac:dyDescent="0.3">
      <c r="A115" s="98"/>
      <c r="B115" s="98"/>
      <c r="C115" s="98"/>
      <c r="D115" s="98"/>
      <c r="E115" s="98"/>
      <c r="F115" s="98"/>
      <c r="G115" s="98"/>
      <c r="H115" s="38">
        <f>0</f>
        <v>0</v>
      </c>
      <c r="I115" s="29">
        <f>G112*H115</f>
        <v>0</v>
      </c>
      <c r="J115">
        <v>4</v>
      </c>
      <c r="N115" s="4">
        <f>IF(ISERR(SEARCH("TRA* 82",C112)),IF(Q115+R115+S115=0,0,I115*(Q115/(Q115+R115+S115))),I115)</f>
        <v>0</v>
      </c>
      <c r="O115" s="4">
        <f>IF(ISERR(SEARCH("TRA* 82",C112)),IF(Q115+R115+S115=0,0,I115*(R115/(Q115+R115+S115))),0)</f>
        <v>0</v>
      </c>
      <c r="P115" s="4">
        <f>IF(ISERR(SEARCH("TRA* 82",C112)),I115-N115-O115,0)</f>
        <v>0</v>
      </c>
      <c r="Q115" s="4">
        <v>0</v>
      </c>
      <c r="R115" s="4">
        <v>0</v>
      </c>
      <c r="S115" s="4">
        <v>0</v>
      </c>
    </row>
    <row r="116" spans="1:19" x14ac:dyDescent="0.3">
      <c r="A116" s="100" t="s">
        <v>27</v>
      </c>
      <c r="B116" s="101"/>
      <c r="C116" s="101"/>
      <c r="D116" s="101"/>
      <c r="E116" s="101"/>
      <c r="F116" s="101"/>
      <c r="G116" s="101"/>
      <c r="H116" s="33">
        <f>H112+H113+H114+H115</f>
        <v>16.286666666666669</v>
      </c>
      <c r="I116" s="37">
        <f>I112+I113+I114+I115</f>
        <v>146.58000000000001</v>
      </c>
      <c r="J116">
        <v>5</v>
      </c>
    </row>
    <row r="117" spans="1:19" x14ac:dyDescent="0.3">
      <c r="A117" s="99" t="s">
        <v>334</v>
      </c>
      <c r="B117" s="99"/>
      <c r="C117" s="99"/>
      <c r="D117" s="99"/>
      <c r="E117" s="99"/>
      <c r="F117" s="99"/>
      <c r="G117" s="99"/>
      <c r="H117" s="99"/>
      <c r="I117" s="99"/>
    </row>
    <row r="118" spans="1:19" x14ac:dyDescent="0.3">
      <c r="B118" s="2">
        <v>21</v>
      </c>
      <c r="C118" s="3" t="s">
        <v>335</v>
      </c>
      <c r="D118" s="5" t="s">
        <v>29</v>
      </c>
      <c r="G118" s="30">
        <v>7</v>
      </c>
      <c r="H118" s="38">
        <v>18.100000000000001</v>
      </c>
      <c r="I118" s="29">
        <f>G118*H118</f>
        <v>126.70000000000002</v>
      </c>
      <c r="J118">
        <v>1</v>
      </c>
    </row>
    <row r="119" spans="1:19" x14ac:dyDescent="0.3">
      <c r="D119" s="15" t="str">
        <f>SUBSTITUTE("Sp.mat: 0.00%",".",IF(VALUE("1.2")=1.2,".",","),2)</f>
        <v>Sp.mat: 0.00%</v>
      </c>
      <c r="F119" s="15" t="str">
        <f>SUBSTITUTE("Sp.man: 0.00%",".",IF(VALUE("1.2")=1.2,".",","),2)</f>
        <v>Sp.man: 0.00%</v>
      </c>
      <c r="G119" s="35" t="str">
        <f>SUBSTITUTE("Sp.uti: 0.00%",".",IF(VALUE("1.2")=1.2,".",","),2)</f>
        <v>Sp.uti: 0.00%</v>
      </c>
      <c r="H119" s="38">
        <v>5.61</v>
      </c>
      <c r="I119" s="29">
        <f>G118*H119</f>
        <v>39.270000000000003</v>
      </c>
      <c r="J119">
        <v>2</v>
      </c>
    </row>
    <row r="120" spans="1:19" x14ac:dyDescent="0.3">
      <c r="A120" s="88" t="s">
        <v>336</v>
      </c>
      <c r="B120" s="98"/>
      <c r="C120" s="98"/>
      <c r="D120" s="98"/>
      <c r="E120" s="98"/>
      <c r="F120" s="98"/>
      <c r="G120" s="98"/>
      <c r="H120" s="38">
        <f>(1+IF(OR(ISERR(FIND(":",G119)),ISERR(FIND("%",G119))),0,MID(G119,FIND(":",G119)+2,FIND("%",G119)-FIND(":",G119)-2)/100))*0</f>
        <v>0</v>
      </c>
      <c r="I120" s="29">
        <f>G118*H120</f>
        <v>0</v>
      </c>
      <c r="J120">
        <v>3</v>
      </c>
      <c r="K120" s="4">
        <v>0</v>
      </c>
      <c r="L120" s="4">
        <v>0</v>
      </c>
      <c r="M120" s="4">
        <f>I120-K120-L120</f>
        <v>0</v>
      </c>
    </row>
    <row r="121" spans="1:19" x14ac:dyDescent="0.3">
      <c r="A121" s="98"/>
      <c r="B121" s="98"/>
      <c r="C121" s="98"/>
      <c r="D121" s="98"/>
      <c r="E121" s="98"/>
      <c r="F121" s="98"/>
      <c r="G121" s="98"/>
      <c r="H121" s="38">
        <f>0</f>
        <v>0</v>
      </c>
      <c r="I121" s="29">
        <f>G118*H121</f>
        <v>0</v>
      </c>
      <c r="J121">
        <v>4</v>
      </c>
      <c r="N121" s="4">
        <f>IF(ISERR(SEARCH("TRA* 82",C118)),IF(Q121+R121+S121=0,0,I121*(Q121/(Q121+R121+S121))),I121)</f>
        <v>0</v>
      </c>
      <c r="O121" s="4">
        <f>IF(ISERR(SEARCH("TRA* 82",C118)),IF(Q121+R121+S121=0,0,I121*(R121/(Q121+R121+S121))),0)</f>
        <v>0</v>
      </c>
      <c r="P121" s="4">
        <f>IF(ISERR(SEARCH("TRA* 82",C118)),I121-N121-O121,0)</f>
        <v>0</v>
      </c>
      <c r="Q121" s="4">
        <v>0</v>
      </c>
      <c r="R121" s="4">
        <v>0</v>
      </c>
      <c r="S121" s="4">
        <v>0</v>
      </c>
    </row>
    <row r="122" spans="1:19" x14ac:dyDescent="0.3">
      <c r="A122" s="100" t="s">
        <v>27</v>
      </c>
      <c r="B122" s="101"/>
      <c r="C122" s="101"/>
      <c r="D122" s="101"/>
      <c r="E122" s="101"/>
      <c r="F122" s="101"/>
      <c r="G122" s="101"/>
      <c r="H122" s="33">
        <f>H118+H119+H120+H121</f>
        <v>23.71</v>
      </c>
      <c r="I122" s="37">
        <f>I118+I119+I120+I121</f>
        <v>165.97000000000003</v>
      </c>
      <c r="J122">
        <v>5</v>
      </c>
    </row>
    <row r="123" spans="1:19" x14ac:dyDescent="0.3">
      <c r="A123" s="99" t="s">
        <v>337</v>
      </c>
      <c r="B123" s="99"/>
      <c r="C123" s="99"/>
      <c r="D123" s="99"/>
      <c r="E123" s="99"/>
      <c r="F123" s="99"/>
      <c r="G123" s="99"/>
      <c r="H123" s="99"/>
      <c r="I123" s="99"/>
    </row>
    <row r="124" spans="1:19" x14ac:dyDescent="0.3">
      <c r="B124" s="2">
        <v>22</v>
      </c>
      <c r="C124" s="3" t="s">
        <v>338</v>
      </c>
      <c r="D124" s="5" t="s">
        <v>29</v>
      </c>
      <c r="G124" s="30">
        <v>7</v>
      </c>
      <c r="H124" s="38">
        <f>245.8/G124</f>
        <v>35.114285714285714</v>
      </c>
      <c r="I124" s="29">
        <f>G124*H124</f>
        <v>245.8</v>
      </c>
      <c r="J124">
        <v>1</v>
      </c>
    </row>
    <row r="125" spans="1:19" x14ac:dyDescent="0.3">
      <c r="D125" s="15" t="str">
        <f>SUBSTITUTE("Sp.mat: 0.00%",".",IF(VALUE("1.2")=1.2,".",","),2)</f>
        <v>Sp.mat: 0.00%</v>
      </c>
      <c r="F125" s="15" t="str">
        <f>SUBSTITUTE("Sp.man: 0.00%",".",IF(VALUE("1.2")=1.2,".",","),2)</f>
        <v>Sp.man: 0.00%</v>
      </c>
      <c r="G125" s="35" t="str">
        <f>SUBSTITUTE("Sp.uti: 0.00%",".",IF(VALUE("1.2")=1.2,".",","),2)</f>
        <v>Sp.uti: 0.00%</v>
      </c>
      <c r="H125" s="38">
        <v>8.81</v>
      </c>
      <c r="I125" s="29">
        <f>G124*H125</f>
        <v>61.67</v>
      </c>
      <c r="J125">
        <v>2</v>
      </c>
    </row>
    <row r="126" spans="1:19" x14ac:dyDescent="0.3">
      <c r="A126" s="88" t="s">
        <v>339</v>
      </c>
      <c r="B126" s="98"/>
      <c r="C126" s="98"/>
      <c r="D126" s="98"/>
      <c r="E126" s="98"/>
      <c r="F126" s="98"/>
      <c r="G126" s="98"/>
      <c r="H126" s="38">
        <f>(1+IF(OR(ISERR(FIND(":",G125)),ISERR(FIND("%",G125))),0,MID(G125,FIND(":",G125)+2,FIND("%",G125)-FIND(":",G125)-2)/100))*0</f>
        <v>0</v>
      </c>
      <c r="I126" s="29">
        <f>G124*H126</f>
        <v>0</v>
      </c>
      <c r="J126">
        <v>3</v>
      </c>
      <c r="K126" s="4">
        <v>0</v>
      </c>
      <c r="L126" s="4">
        <v>0</v>
      </c>
      <c r="M126" s="4">
        <f>I126-K126-L126</f>
        <v>0</v>
      </c>
    </row>
    <row r="127" spans="1:19" x14ac:dyDescent="0.3">
      <c r="A127" s="98"/>
      <c r="B127" s="98"/>
      <c r="C127" s="98"/>
      <c r="D127" s="98"/>
      <c r="E127" s="98"/>
      <c r="F127" s="98"/>
      <c r="G127" s="98"/>
      <c r="H127" s="38">
        <f>0</f>
        <v>0</v>
      </c>
      <c r="I127" s="29">
        <f>G124*H127</f>
        <v>0</v>
      </c>
      <c r="J127">
        <v>4</v>
      </c>
      <c r="N127" s="4">
        <f>IF(ISERR(SEARCH("TRA* 82",C124)),IF(Q127+R127+S127=0,0,I127*(Q127/(Q127+R127+S127))),I127)</f>
        <v>0</v>
      </c>
      <c r="O127" s="4">
        <f>IF(ISERR(SEARCH("TRA* 82",C124)),IF(Q127+R127+S127=0,0,I127*(R127/(Q127+R127+S127))),0)</f>
        <v>0</v>
      </c>
      <c r="P127" s="4">
        <f>IF(ISERR(SEARCH("TRA* 82",C124)),I127-N127-O127,0)</f>
        <v>0</v>
      </c>
      <c r="Q127" s="4">
        <v>0</v>
      </c>
      <c r="R127" s="4">
        <v>0</v>
      </c>
      <c r="S127" s="4">
        <v>0</v>
      </c>
    </row>
    <row r="128" spans="1:19" x14ac:dyDescent="0.3">
      <c r="A128" s="100" t="s">
        <v>27</v>
      </c>
      <c r="B128" s="101"/>
      <c r="C128" s="101"/>
      <c r="D128" s="101"/>
      <c r="E128" s="101"/>
      <c r="F128" s="101"/>
      <c r="G128" s="101"/>
      <c r="H128" s="33">
        <f>H124+H125+H126+H127</f>
        <v>43.924285714285716</v>
      </c>
      <c r="I128" s="37">
        <f>I124+I125+I126+I127</f>
        <v>307.47000000000003</v>
      </c>
      <c r="J128">
        <v>5</v>
      </c>
    </row>
    <row r="129" spans="1:19" x14ac:dyDescent="0.3">
      <c r="A129" s="99" t="s">
        <v>340</v>
      </c>
      <c r="B129" s="99"/>
      <c r="C129" s="99"/>
      <c r="D129" s="99"/>
      <c r="E129" s="99"/>
      <c r="F129" s="99"/>
      <c r="G129" s="99"/>
      <c r="H129" s="99"/>
      <c r="I129" s="99"/>
    </row>
    <row r="130" spans="1:19" x14ac:dyDescent="0.3">
      <c r="B130" s="2">
        <v>23</v>
      </c>
      <c r="C130" s="3" t="s">
        <v>338</v>
      </c>
      <c r="D130" s="5" t="s">
        <v>29</v>
      </c>
      <c r="G130" s="30">
        <v>15</v>
      </c>
      <c r="H130" s="38">
        <f>765.33/G130</f>
        <v>51.022000000000006</v>
      </c>
      <c r="I130" s="29">
        <f>G130*H130</f>
        <v>765.33</v>
      </c>
      <c r="J130">
        <v>1</v>
      </c>
    </row>
    <row r="131" spans="1:19" x14ac:dyDescent="0.3">
      <c r="D131" s="15" t="str">
        <f>SUBSTITUTE("Sp.mat: 0.00%",".",IF(VALUE("1.2")=1.2,".",","),2)</f>
        <v>Sp.mat: 0.00%</v>
      </c>
      <c r="F131" s="15" t="str">
        <f>SUBSTITUTE("Sp.man: 0.00%",".",IF(VALUE("1.2")=1.2,".",","),2)</f>
        <v>Sp.man: 0.00%</v>
      </c>
      <c r="G131" s="35" t="str">
        <f>SUBSTITUTE("Sp.uti: 0.00%",".",IF(VALUE("1.2")=1.2,".",","),2)</f>
        <v>Sp.uti: 0.00%</v>
      </c>
      <c r="H131" s="38">
        <v>8.81</v>
      </c>
      <c r="I131" s="29">
        <f>G130*H131</f>
        <v>132.15</v>
      </c>
      <c r="J131">
        <v>2</v>
      </c>
    </row>
    <row r="132" spans="1:19" x14ac:dyDescent="0.3">
      <c r="A132" s="88" t="s">
        <v>339</v>
      </c>
      <c r="B132" s="98"/>
      <c r="C132" s="98"/>
      <c r="D132" s="98"/>
      <c r="E132" s="98"/>
      <c r="F132" s="98"/>
      <c r="G132" s="98"/>
      <c r="H132" s="38">
        <f>(1+IF(OR(ISERR(FIND(":",G131)),ISERR(FIND("%",G131))),0,MID(G131,FIND(":",G131)+2,FIND("%",G131)-FIND(":",G131)-2)/100))*0</f>
        <v>0</v>
      </c>
      <c r="I132" s="29">
        <f>G130*H132</f>
        <v>0</v>
      </c>
      <c r="J132">
        <v>3</v>
      </c>
      <c r="K132" s="4">
        <v>0</v>
      </c>
      <c r="L132" s="4">
        <v>0</v>
      </c>
      <c r="M132" s="4">
        <f>I132-K132-L132</f>
        <v>0</v>
      </c>
    </row>
    <row r="133" spans="1:19" x14ac:dyDescent="0.3">
      <c r="A133" s="98"/>
      <c r="B133" s="98"/>
      <c r="C133" s="98"/>
      <c r="D133" s="98"/>
      <c r="E133" s="98"/>
      <c r="F133" s="98"/>
      <c r="G133" s="98"/>
      <c r="H133" s="38">
        <f>0</f>
        <v>0</v>
      </c>
      <c r="I133" s="29">
        <f>G130*H133</f>
        <v>0</v>
      </c>
      <c r="J133">
        <v>4</v>
      </c>
      <c r="N133" s="4">
        <f>IF(ISERR(SEARCH("TRA* 82",C130)),IF(Q133+R133+S133=0,0,I133*(Q133/(Q133+R133+S133))),I133)</f>
        <v>0</v>
      </c>
      <c r="O133" s="4">
        <f>IF(ISERR(SEARCH("TRA* 82",C130)),IF(Q133+R133+S133=0,0,I133*(R133/(Q133+R133+S133))),0)</f>
        <v>0</v>
      </c>
      <c r="P133" s="4">
        <f>IF(ISERR(SEARCH("TRA* 82",C130)),I133-N133-O133,0)</f>
        <v>0</v>
      </c>
      <c r="Q133" s="4">
        <v>0</v>
      </c>
      <c r="R133" s="4">
        <v>0</v>
      </c>
      <c r="S133" s="4">
        <v>0</v>
      </c>
    </row>
    <row r="134" spans="1:19" x14ac:dyDescent="0.3">
      <c r="A134" s="100" t="s">
        <v>27</v>
      </c>
      <c r="B134" s="101"/>
      <c r="C134" s="101"/>
      <c r="D134" s="101"/>
      <c r="E134" s="101"/>
      <c r="F134" s="101"/>
      <c r="G134" s="101"/>
      <c r="H134" s="33">
        <f>H130+H131+H132+H133</f>
        <v>59.832000000000008</v>
      </c>
      <c r="I134" s="37">
        <f>I130+I131+I132+I133</f>
        <v>897.48</v>
      </c>
      <c r="J134">
        <v>5</v>
      </c>
    </row>
    <row r="135" spans="1:19" x14ac:dyDescent="0.3">
      <c r="A135" s="99" t="s">
        <v>341</v>
      </c>
      <c r="B135" s="99"/>
      <c r="C135" s="99"/>
      <c r="D135" s="99"/>
      <c r="E135" s="99"/>
      <c r="F135" s="99"/>
      <c r="G135" s="99"/>
      <c r="H135" s="99"/>
      <c r="I135" s="99"/>
    </row>
    <row r="136" spans="1:19" x14ac:dyDescent="0.3">
      <c r="B136" s="2">
        <v>24</v>
      </c>
      <c r="C136" s="3" t="s">
        <v>342</v>
      </c>
      <c r="D136" s="5" t="s">
        <v>29</v>
      </c>
      <c r="G136" s="30">
        <v>10</v>
      </c>
      <c r="H136" s="38">
        <v>78.986999999999995</v>
      </c>
      <c r="I136" s="29">
        <f>G136*H136</f>
        <v>789.86999999999989</v>
      </c>
      <c r="J136">
        <v>1</v>
      </c>
    </row>
    <row r="137" spans="1:19" x14ac:dyDescent="0.3">
      <c r="D137" s="15" t="str">
        <f>SUBSTITUTE("Sp.mat: 0.00%",".",IF(VALUE("1.2")=1.2,".",","),2)</f>
        <v>Sp.mat: 0.00%</v>
      </c>
      <c r="F137" s="15" t="str">
        <f>SUBSTITUTE("Sp.man: 0.00%",".",IF(VALUE("1.2")=1.2,".",","),2)</f>
        <v>Sp.man: 0.00%</v>
      </c>
      <c r="G137" s="35" t="str">
        <f>SUBSTITUTE("Sp.uti: 0.00%",".",IF(VALUE("1.2")=1.2,".",","),2)</f>
        <v>Sp.uti: 0.00%</v>
      </c>
      <c r="H137" s="38">
        <f>120.13/G136</f>
        <v>12.013</v>
      </c>
      <c r="I137" s="29">
        <f>G136*H137</f>
        <v>120.13</v>
      </c>
      <c r="J137">
        <v>2</v>
      </c>
    </row>
    <row r="138" spans="1:19" x14ac:dyDescent="0.3">
      <c r="A138" s="88" t="s">
        <v>343</v>
      </c>
      <c r="B138" s="98"/>
      <c r="C138" s="98"/>
      <c r="D138" s="98"/>
      <c r="E138" s="98"/>
      <c r="F138" s="98"/>
      <c r="G138" s="98"/>
      <c r="H138" s="38">
        <f>(1+IF(OR(ISERR(FIND(":",G137)),ISERR(FIND("%",G137))),0,MID(G137,FIND(":",G137)+2,FIND("%",G137)-FIND(":",G137)-2)/100))*0</f>
        <v>0</v>
      </c>
      <c r="I138" s="29">
        <f>G136*H138</f>
        <v>0</v>
      </c>
      <c r="J138">
        <v>3</v>
      </c>
      <c r="K138" s="4">
        <v>0</v>
      </c>
      <c r="L138" s="4">
        <v>0</v>
      </c>
      <c r="M138" s="4">
        <f>I138-K138-L138</f>
        <v>0</v>
      </c>
    </row>
    <row r="139" spans="1:19" x14ac:dyDescent="0.3">
      <c r="A139" s="98"/>
      <c r="B139" s="98"/>
      <c r="C139" s="98"/>
      <c r="D139" s="98"/>
      <c r="E139" s="98"/>
      <c r="F139" s="98"/>
      <c r="G139" s="98"/>
      <c r="H139" s="38">
        <f>0</f>
        <v>0</v>
      </c>
      <c r="I139" s="29">
        <f>G136*H139</f>
        <v>0</v>
      </c>
      <c r="J139">
        <v>4</v>
      </c>
      <c r="N139" s="4">
        <f>IF(ISERR(SEARCH("TRA* 82",C136)),IF(Q139+R139+S139=0,0,I139*(Q139/(Q139+R139+S139))),I139)</f>
        <v>0</v>
      </c>
      <c r="O139" s="4">
        <f>IF(ISERR(SEARCH("TRA* 82",C136)),IF(Q139+R139+S139=0,0,I139*(R139/(Q139+R139+S139))),0)</f>
        <v>0</v>
      </c>
      <c r="P139" s="4">
        <f>IF(ISERR(SEARCH("TRA* 82",C136)),I139-N139-O139,0)</f>
        <v>0</v>
      </c>
      <c r="Q139" s="4">
        <v>0</v>
      </c>
      <c r="R139" s="4">
        <v>0</v>
      </c>
      <c r="S139" s="4">
        <v>0</v>
      </c>
    </row>
    <row r="140" spans="1:19" x14ac:dyDescent="0.3">
      <c r="A140" s="100" t="s">
        <v>27</v>
      </c>
      <c r="B140" s="101"/>
      <c r="C140" s="101"/>
      <c r="D140" s="101"/>
      <c r="E140" s="101"/>
      <c r="F140" s="101"/>
      <c r="G140" s="101"/>
      <c r="H140" s="33">
        <f>H136+H137+H138+H139</f>
        <v>91</v>
      </c>
      <c r="I140" s="37">
        <f>I136+I137+I138+I139</f>
        <v>909.99999999999989</v>
      </c>
      <c r="J140">
        <v>5</v>
      </c>
    </row>
    <row r="141" spans="1:19" x14ac:dyDescent="0.3">
      <c r="A141" s="99" t="s">
        <v>344</v>
      </c>
      <c r="B141" s="99"/>
      <c r="C141" s="99"/>
      <c r="D141" s="99"/>
      <c r="E141" s="99"/>
      <c r="F141" s="99"/>
      <c r="G141" s="99"/>
      <c r="H141" s="99"/>
      <c r="I141" s="99"/>
    </row>
    <row r="142" spans="1:19" x14ac:dyDescent="0.3">
      <c r="B142" s="2">
        <v>25</v>
      </c>
      <c r="C142" s="3" t="s">
        <v>345</v>
      </c>
      <c r="D142" s="5" t="s">
        <v>29</v>
      </c>
      <c r="G142" s="30">
        <v>2</v>
      </c>
      <c r="H142" s="38">
        <v>20.03</v>
      </c>
      <c r="I142" s="29">
        <f>G142*H142</f>
        <v>40.06</v>
      </c>
      <c r="J142">
        <v>1</v>
      </c>
    </row>
    <row r="143" spans="1:19" x14ac:dyDescent="0.3">
      <c r="D143" s="15" t="str">
        <f>SUBSTITUTE("Sp.mat: 0.00%",".",IF(VALUE("1.2")=1.2,".",","),2)</f>
        <v>Sp.mat: 0.00%</v>
      </c>
      <c r="F143" s="15" t="str">
        <f>SUBSTITUTE("Sp.man: 0.00%",".",IF(VALUE("1.2")=1.2,".",","),2)</f>
        <v>Sp.man: 0.00%</v>
      </c>
      <c r="G143" s="35" t="str">
        <f>SUBSTITUTE("Sp.uti: 0.00%",".",IF(VALUE("1.2")=1.2,".",","),2)</f>
        <v>Sp.uti: 0.00%</v>
      </c>
      <c r="H143" s="38">
        <f>7.05/G142</f>
        <v>3.5249999999999999</v>
      </c>
      <c r="I143" s="29">
        <f>G142*H143</f>
        <v>7.05</v>
      </c>
      <c r="J143">
        <v>2</v>
      </c>
    </row>
    <row r="144" spans="1:19" x14ac:dyDescent="0.3">
      <c r="A144" s="88" t="s">
        <v>346</v>
      </c>
      <c r="B144" s="98"/>
      <c r="C144" s="98"/>
      <c r="D144" s="98"/>
      <c r="E144" s="98"/>
      <c r="F144" s="98"/>
      <c r="G144" s="98"/>
      <c r="H144" s="38">
        <f>(1+IF(OR(ISERR(FIND(":",G143)),ISERR(FIND("%",G143))),0,MID(G143,FIND(":",G143)+2,FIND("%",G143)-FIND(":",G143)-2)/100))*0</f>
        <v>0</v>
      </c>
      <c r="I144" s="29">
        <f>G142*H144</f>
        <v>0</v>
      </c>
      <c r="J144">
        <v>3</v>
      </c>
      <c r="K144" s="4">
        <v>0</v>
      </c>
      <c r="L144" s="4">
        <v>0</v>
      </c>
      <c r="M144" s="4">
        <f>I144-K144-L144</f>
        <v>0</v>
      </c>
    </row>
    <row r="145" spans="1:19" x14ac:dyDescent="0.3">
      <c r="A145" s="98"/>
      <c r="B145" s="98"/>
      <c r="C145" s="98"/>
      <c r="D145" s="98"/>
      <c r="E145" s="98"/>
      <c r="F145" s="98"/>
      <c r="G145" s="98"/>
      <c r="H145" s="38">
        <f>0</f>
        <v>0</v>
      </c>
      <c r="I145" s="29">
        <f>G142*H145</f>
        <v>0</v>
      </c>
      <c r="J145">
        <v>4</v>
      </c>
      <c r="N145" s="4">
        <f>IF(ISERR(SEARCH("TRA* 82",C142)),IF(Q145+R145+S145=0,0,I145*(Q145/(Q145+R145+S145))),I145)</f>
        <v>0</v>
      </c>
      <c r="O145" s="4">
        <f>IF(ISERR(SEARCH("TRA* 82",C142)),IF(Q145+R145+S145=0,0,I145*(R145/(Q145+R145+S145))),0)</f>
        <v>0</v>
      </c>
      <c r="P145" s="4">
        <f>IF(ISERR(SEARCH("TRA* 82",C142)),I145-N145-O145,0)</f>
        <v>0</v>
      </c>
      <c r="Q145" s="4">
        <v>0</v>
      </c>
      <c r="R145" s="4">
        <v>0</v>
      </c>
      <c r="S145" s="4">
        <v>0</v>
      </c>
    </row>
    <row r="146" spans="1:19" x14ac:dyDescent="0.3">
      <c r="A146" s="100" t="s">
        <v>87</v>
      </c>
      <c r="B146" s="101"/>
      <c r="C146" s="101"/>
      <c r="D146" s="101"/>
      <c r="E146" s="101"/>
      <c r="F146" s="101"/>
      <c r="G146" s="101"/>
      <c r="H146" s="33">
        <f>H142+H143+H144+H145</f>
        <v>23.555</v>
      </c>
      <c r="I146" s="37">
        <f>I142+I143+I144+I145</f>
        <v>47.11</v>
      </c>
      <c r="J146">
        <v>5</v>
      </c>
    </row>
    <row r="147" spans="1:19" x14ac:dyDescent="0.3">
      <c r="A147" s="99" t="s">
        <v>347</v>
      </c>
      <c r="B147" s="99"/>
      <c r="C147" s="99"/>
      <c r="D147" s="99"/>
      <c r="E147" s="99"/>
      <c r="F147" s="99"/>
      <c r="G147" s="99"/>
      <c r="H147" s="99"/>
      <c r="I147" s="99"/>
    </row>
    <row r="148" spans="1:19" x14ac:dyDescent="0.3">
      <c r="B148" s="2">
        <v>26</v>
      </c>
      <c r="C148" s="3" t="s">
        <v>348</v>
      </c>
      <c r="D148" s="5" t="s">
        <v>29</v>
      </c>
      <c r="G148" s="30">
        <v>1</v>
      </c>
      <c r="H148" s="38">
        <v>1425.76</v>
      </c>
      <c r="I148" s="29">
        <f>G148*H148</f>
        <v>1425.76</v>
      </c>
      <c r="J148">
        <v>1</v>
      </c>
    </row>
    <row r="149" spans="1:19" x14ac:dyDescent="0.3">
      <c r="D149" s="15" t="str">
        <f>SUBSTITUTE("Sp.mat: 0.00%",".",IF(VALUE("1.2")=1.2,".",","),2)</f>
        <v>Sp.mat: 0.00%</v>
      </c>
      <c r="F149" s="15" t="str">
        <f>SUBSTITUTE("Sp.man: 0.00%",".",IF(VALUE("1.2")=1.2,".",","),2)</f>
        <v>Sp.man: 0.00%</v>
      </c>
      <c r="G149" s="35" t="str">
        <f>SUBSTITUTE("Sp.uti: 0.00%",".",IF(VALUE("1.2")=1.2,".",","),2)</f>
        <v>Sp.uti: 0.00%</v>
      </c>
      <c r="H149" s="38">
        <v>15.06</v>
      </c>
      <c r="I149" s="29">
        <f>G148*H149</f>
        <v>15.06</v>
      </c>
      <c r="J149">
        <v>2</v>
      </c>
    </row>
    <row r="150" spans="1:19" x14ac:dyDescent="0.3">
      <c r="A150" s="88" t="s">
        <v>349</v>
      </c>
      <c r="B150" s="98"/>
      <c r="C150" s="98"/>
      <c r="D150" s="98"/>
      <c r="E150" s="98"/>
      <c r="F150" s="98"/>
      <c r="G150" s="98"/>
      <c r="H150" s="38">
        <f>(1+IF(OR(ISERR(FIND(":",G149)),ISERR(FIND("%",G149))),0,MID(G149,FIND(":",G149)+2,FIND("%",G149)-FIND(":",G149)-2)/100))*0</f>
        <v>0</v>
      </c>
      <c r="I150" s="29">
        <f>G148*H150</f>
        <v>0</v>
      </c>
      <c r="J150">
        <v>3</v>
      </c>
      <c r="K150" s="4">
        <v>0</v>
      </c>
      <c r="L150" s="4">
        <v>0</v>
      </c>
      <c r="M150" s="4">
        <f>I150-K150-L150</f>
        <v>0</v>
      </c>
    </row>
    <row r="151" spans="1:19" x14ac:dyDescent="0.3">
      <c r="A151" s="98"/>
      <c r="B151" s="98"/>
      <c r="C151" s="98"/>
      <c r="D151" s="98"/>
      <c r="E151" s="98"/>
      <c r="F151" s="98"/>
      <c r="G151" s="98"/>
      <c r="H151" s="38">
        <f>0</f>
        <v>0</v>
      </c>
      <c r="I151" s="29">
        <f>G148*H151</f>
        <v>0</v>
      </c>
      <c r="J151">
        <v>4</v>
      </c>
      <c r="N151" s="4">
        <f>IF(ISERR(SEARCH("TRA* 82",C148)),IF(Q151+R151+S151=0,0,I151*(Q151/(Q151+R151+S151))),I151)</f>
        <v>0</v>
      </c>
      <c r="O151" s="4">
        <f>IF(ISERR(SEARCH("TRA* 82",C148)),IF(Q151+R151+S151=0,0,I151*(R151/(Q151+R151+S151))),0)</f>
        <v>0</v>
      </c>
      <c r="P151" s="4">
        <f>IF(ISERR(SEARCH("TRA* 82",C148)),I151-N151-O151,0)</f>
        <v>0</v>
      </c>
      <c r="Q151" s="4">
        <v>0</v>
      </c>
      <c r="R151" s="4">
        <v>0</v>
      </c>
      <c r="S151" s="4">
        <v>0</v>
      </c>
    </row>
    <row r="152" spans="1:19" x14ac:dyDescent="0.3">
      <c r="A152" s="100" t="s">
        <v>87</v>
      </c>
      <c r="B152" s="101"/>
      <c r="C152" s="101"/>
      <c r="D152" s="101"/>
      <c r="E152" s="101"/>
      <c r="F152" s="101"/>
      <c r="G152" s="101"/>
      <c r="H152" s="33">
        <f>H148+H149+H150+H151</f>
        <v>1440.82</v>
      </c>
      <c r="I152" s="37">
        <f>I148+I149+I150+I151</f>
        <v>1440.82</v>
      </c>
      <c r="J152">
        <v>5</v>
      </c>
    </row>
    <row r="153" spans="1:19" x14ac:dyDescent="0.3">
      <c r="A153" s="99" t="s">
        <v>350</v>
      </c>
      <c r="B153" s="99"/>
      <c r="C153" s="99"/>
      <c r="D153" s="99"/>
      <c r="E153" s="99"/>
      <c r="F153" s="99"/>
      <c r="G153" s="99"/>
      <c r="H153" s="99"/>
      <c r="I153" s="99"/>
    </row>
    <row r="154" spans="1:19" x14ac:dyDescent="0.3">
      <c r="B154" s="2">
        <v>27</v>
      </c>
      <c r="C154" s="3" t="s">
        <v>351</v>
      </c>
      <c r="D154" s="5" t="s">
        <v>29</v>
      </c>
      <c r="G154" s="30">
        <v>1</v>
      </c>
      <c r="H154" s="38">
        <v>1012.45</v>
      </c>
      <c r="I154" s="29">
        <f>G154*H154</f>
        <v>1012.45</v>
      </c>
      <c r="J154">
        <v>1</v>
      </c>
    </row>
    <row r="155" spans="1:19" x14ac:dyDescent="0.3">
      <c r="D155" s="15" t="str">
        <f>SUBSTITUTE("Sp.mat: 0.00%",".",IF(VALUE("1.2")=1.2,".",","),2)</f>
        <v>Sp.mat: 0.00%</v>
      </c>
      <c r="F155" s="15" t="str">
        <f>SUBSTITUTE("Sp.man: 0.00%",".",IF(VALUE("1.2")=1.2,".",","),2)</f>
        <v>Sp.man: 0.00%</v>
      </c>
      <c r="G155" s="35" t="str">
        <f>SUBSTITUTE("Sp.uti: 0.00%",".",IF(VALUE("1.2")=1.2,".",","),2)</f>
        <v>Sp.uti: 0.00%</v>
      </c>
      <c r="H155" s="38">
        <v>22.9</v>
      </c>
      <c r="I155" s="29">
        <f>G154*H155</f>
        <v>22.9</v>
      </c>
      <c r="J155">
        <v>2</v>
      </c>
    </row>
    <row r="156" spans="1:19" x14ac:dyDescent="0.3">
      <c r="A156" s="88" t="s">
        <v>352</v>
      </c>
      <c r="B156" s="98"/>
      <c r="C156" s="98"/>
      <c r="D156" s="98"/>
      <c r="E156" s="98"/>
      <c r="F156" s="98"/>
      <c r="G156" s="98"/>
      <c r="H156" s="38">
        <f>(1+IF(OR(ISERR(FIND(":",G155)),ISERR(FIND("%",G155))),0,MID(G155,FIND(":",G155)+2,FIND("%",G155)-FIND(":",G155)-2)/100))*0</f>
        <v>0</v>
      </c>
      <c r="I156" s="29">
        <f>G154*H156</f>
        <v>0</v>
      </c>
      <c r="J156">
        <v>3</v>
      </c>
      <c r="K156" s="4">
        <v>0</v>
      </c>
      <c r="L156" s="4">
        <v>0</v>
      </c>
      <c r="M156" s="4">
        <f>I156-K156-L156</f>
        <v>0</v>
      </c>
    </row>
    <row r="157" spans="1:19" x14ac:dyDescent="0.3">
      <c r="A157" s="98"/>
      <c r="B157" s="98"/>
      <c r="C157" s="98"/>
      <c r="D157" s="98"/>
      <c r="E157" s="98"/>
      <c r="F157" s="98"/>
      <c r="G157" s="98"/>
      <c r="H157" s="38">
        <f>0</f>
        <v>0</v>
      </c>
      <c r="I157" s="29">
        <f>G154*H157</f>
        <v>0</v>
      </c>
      <c r="J157">
        <v>4</v>
      </c>
      <c r="N157" s="4">
        <f>IF(ISERR(SEARCH("TRA* 82",C154)),IF(Q157+R157+S157=0,0,I157*(Q157/(Q157+R157+S157))),I157)</f>
        <v>0</v>
      </c>
      <c r="O157" s="4">
        <f>IF(ISERR(SEARCH("TRA* 82",C154)),IF(Q157+R157+S157=0,0,I157*(R157/(Q157+R157+S157))),0)</f>
        <v>0</v>
      </c>
      <c r="P157" s="4">
        <f>IF(ISERR(SEARCH("TRA* 82",C154)),I157-N157-O157,0)</f>
        <v>0</v>
      </c>
      <c r="Q157" s="4">
        <v>0</v>
      </c>
      <c r="R157" s="4">
        <v>0</v>
      </c>
      <c r="S157" s="4">
        <v>0</v>
      </c>
    </row>
    <row r="158" spans="1:19" x14ac:dyDescent="0.3">
      <c r="A158" s="96" t="s">
        <v>87</v>
      </c>
      <c r="B158" s="97"/>
      <c r="C158" s="97"/>
      <c r="D158" s="97"/>
      <c r="E158" s="97"/>
      <c r="F158" s="97"/>
      <c r="G158" s="97"/>
      <c r="H158" s="36">
        <f>H154+H155+H156+H157</f>
        <v>1035.3500000000001</v>
      </c>
      <c r="I158" s="74">
        <f>I154+I155+I156+I157</f>
        <v>1035.3500000000001</v>
      </c>
      <c r="J158">
        <v>5</v>
      </c>
    </row>
    <row r="159" spans="1:19" x14ac:dyDescent="0.3">
      <c r="B159" s="2">
        <v>28</v>
      </c>
      <c r="C159" s="3" t="s">
        <v>353</v>
      </c>
      <c r="D159" s="5" t="s">
        <v>29</v>
      </c>
      <c r="G159" s="30">
        <v>2</v>
      </c>
      <c r="H159" s="38">
        <v>15.68</v>
      </c>
      <c r="I159" s="29">
        <f>G159*H159</f>
        <v>31.36</v>
      </c>
      <c r="J159">
        <v>1</v>
      </c>
    </row>
    <row r="160" spans="1:19" x14ac:dyDescent="0.3">
      <c r="D160" s="15" t="str">
        <f>SUBSTITUTE("Sp.mat: 0.00%",".",IF(VALUE("1.2")=1.2,".",","),2)</f>
        <v>Sp.mat: 0.00%</v>
      </c>
      <c r="F160" s="15" t="str">
        <f>SUBSTITUTE("Sp.man: 0.00%",".",IF(VALUE("1.2")=1.2,".",","),2)</f>
        <v>Sp.man: 0.00%</v>
      </c>
      <c r="G160" s="35" t="str">
        <f>SUBSTITUTE("Sp.uti: 0.00%",".",IF(VALUE("1.2")=1.2,".",","),2)</f>
        <v>Sp.uti: 0.00%</v>
      </c>
      <c r="H160" s="38">
        <f>8.01/G159</f>
        <v>4.0049999999999999</v>
      </c>
      <c r="I160" s="29">
        <f>G159*H160</f>
        <v>8.01</v>
      </c>
      <c r="J160">
        <v>2</v>
      </c>
    </row>
    <row r="161" spans="1:19" x14ac:dyDescent="0.3">
      <c r="A161" s="88" t="s">
        <v>354</v>
      </c>
      <c r="B161" s="98"/>
      <c r="C161" s="98"/>
      <c r="D161" s="98"/>
      <c r="E161" s="98"/>
      <c r="F161" s="98"/>
      <c r="G161" s="98"/>
      <c r="H161" s="38">
        <f>(1+IF(OR(ISERR(FIND(":",G160)),ISERR(FIND("%",G160))),0,MID(G160,FIND(":",G160)+2,FIND("%",G160)-FIND(":",G160)-2)/100))*0</f>
        <v>0</v>
      </c>
      <c r="I161" s="29">
        <f>G159*H161</f>
        <v>0</v>
      </c>
      <c r="J161">
        <v>3</v>
      </c>
      <c r="K161" s="4">
        <v>0</v>
      </c>
      <c r="L161" s="4">
        <v>0</v>
      </c>
      <c r="M161" s="4">
        <f>I161-K161-L161</f>
        <v>0</v>
      </c>
    </row>
    <row r="162" spans="1:19" x14ac:dyDescent="0.3">
      <c r="A162" s="98"/>
      <c r="B162" s="98"/>
      <c r="C162" s="98"/>
      <c r="D162" s="98"/>
      <c r="E162" s="98"/>
      <c r="F162" s="98"/>
      <c r="G162" s="98"/>
      <c r="H162" s="38">
        <f>0</f>
        <v>0</v>
      </c>
      <c r="I162" s="29">
        <f>G159*H162</f>
        <v>0</v>
      </c>
      <c r="J162">
        <v>4</v>
      </c>
      <c r="N162" s="4">
        <f>IF(ISERR(SEARCH("TRA* 82",C159)),IF(Q162+R162+S162=0,0,I162*(Q162/(Q162+R162+S162))),I162)</f>
        <v>0</v>
      </c>
      <c r="O162" s="4">
        <f>IF(ISERR(SEARCH("TRA* 82",C159)),IF(Q162+R162+S162=0,0,I162*(R162/(Q162+R162+S162))),0)</f>
        <v>0</v>
      </c>
      <c r="P162" s="4">
        <f>IF(ISERR(SEARCH("TRA* 82",C159)),I162-N162-O162,0)</f>
        <v>0</v>
      </c>
      <c r="Q162" s="4">
        <v>0</v>
      </c>
      <c r="R162" s="4">
        <v>0</v>
      </c>
      <c r="S162" s="4">
        <v>0</v>
      </c>
    </row>
    <row r="163" spans="1:19" x14ac:dyDescent="0.3">
      <c r="A163" s="96" t="s">
        <v>27</v>
      </c>
      <c r="B163" s="97"/>
      <c r="C163" s="97"/>
      <c r="D163" s="97"/>
      <c r="E163" s="97"/>
      <c r="F163" s="97"/>
      <c r="G163" s="97"/>
      <c r="H163" s="36">
        <f>H159+H160+H161+H162</f>
        <v>19.684999999999999</v>
      </c>
      <c r="I163" s="74">
        <f>I159+I160+I161+I162</f>
        <v>39.369999999999997</v>
      </c>
      <c r="J163">
        <v>5</v>
      </c>
    </row>
    <row r="164" spans="1:19" x14ac:dyDescent="0.3">
      <c r="B164" s="2">
        <v>29</v>
      </c>
      <c r="C164" s="3" t="s">
        <v>355</v>
      </c>
      <c r="D164" s="5" t="s">
        <v>29</v>
      </c>
      <c r="G164" s="30">
        <v>6</v>
      </c>
      <c r="H164" s="38">
        <v>44.92</v>
      </c>
      <c r="I164" s="29">
        <f>G164*H164</f>
        <v>269.52</v>
      </c>
      <c r="J164">
        <v>1</v>
      </c>
    </row>
    <row r="165" spans="1:19" x14ac:dyDescent="0.3">
      <c r="D165" s="15" t="str">
        <f>SUBSTITUTE("Sp.mat: 0.00%",".",IF(VALUE("1.2")=1.2,".",","),2)</f>
        <v>Sp.mat: 0.00%</v>
      </c>
      <c r="F165" s="15" t="str">
        <f>SUBSTITUTE("Sp.man: 0.00%",".",IF(VALUE("1.2")=1.2,".",","),2)</f>
        <v>Sp.man: 0.00%</v>
      </c>
      <c r="G165" s="35" t="str">
        <f>SUBSTITUTE("Sp.uti: 0.00%",".",IF(VALUE("1.2")=1.2,".",","),2)</f>
        <v>Sp.uti: 0.00%</v>
      </c>
      <c r="H165" s="38">
        <v>6.41</v>
      </c>
      <c r="I165" s="29">
        <f>G164*H165</f>
        <v>38.46</v>
      </c>
      <c r="J165">
        <v>2</v>
      </c>
    </row>
    <row r="166" spans="1:19" x14ac:dyDescent="0.3">
      <c r="A166" s="88" t="s">
        <v>356</v>
      </c>
      <c r="B166" s="98"/>
      <c r="C166" s="98"/>
      <c r="D166" s="98"/>
      <c r="E166" s="98"/>
      <c r="F166" s="98"/>
      <c r="G166" s="98"/>
      <c r="H166" s="38">
        <f>(1+IF(OR(ISERR(FIND(":",G165)),ISERR(FIND("%",G165))),0,MID(G165,FIND(":",G165)+2,FIND("%",G165)-FIND(":",G165)-2)/100))*0</f>
        <v>0</v>
      </c>
      <c r="I166" s="29">
        <f>G164*H166</f>
        <v>0</v>
      </c>
      <c r="J166">
        <v>3</v>
      </c>
      <c r="K166" s="4">
        <v>0</v>
      </c>
      <c r="L166" s="4">
        <v>0</v>
      </c>
      <c r="M166" s="4">
        <f>I166-K166-L166</f>
        <v>0</v>
      </c>
    </row>
    <row r="167" spans="1:19" x14ac:dyDescent="0.3">
      <c r="A167" s="98"/>
      <c r="B167" s="98"/>
      <c r="C167" s="98"/>
      <c r="D167" s="98"/>
      <c r="E167" s="98"/>
      <c r="F167" s="98"/>
      <c r="G167" s="98"/>
      <c r="H167" s="38">
        <f>0</f>
        <v>0</v>
      </c>
      <c r="I167" s="29">
        <f>G164*H167</f>
        <v>0</v>
      </c>
      <c r="J167">
        <v>4</v>
      </c>
      <c r="N167" s="4">
        <f>IF(ISERR(SEARCH("TRA* 82",C164)),IF(Q167+R167+S167=0,0,I167*(Q167/(Q167+R167+S167))),I167)</f>
        <v>0</v>
      </c>
      <c r="O167" s="4">
        <f>IF(ISERR(SEARCH("TRA* 82",C164)),IF(Q167+R167+S167=0,0,I167*(R167/(Q167+R167+S167))),0)</f>
        <v>0</v>
      </c>
      <c r="P167" s="4">
        <f>IF(ISERR(SEARCH("TRA* 82",C164)),I167-N167-O167,0)</f>
        <v>0</v>
      </c>
      <c r="Q167" s="4">
        <v>0</v>
      </c>
      <c r="R167" s="4">
        <v>0</v>
      </c>
      <c r="S167" s="4">
        <v>0</v>
      </c>
    </row>
    <row r="168" spans="1:19" x14ac:dyDescent="0.3">
      <c r="A168" s="96" t="s">
        <v>27</v>
      </c>
      <c r="B168" s="97"/>
      <c r="C168" s="97"/>
      <c r="D168" s="97"/>
      <c r="E168" s="97"/>
      <c r="F168" s="97"/>
      <c r="G168" s="97"/>
      <c r="H168" s="36">
        <f>H164+H165+H166+H167</f>
        <v>51.33</v>
      </c>
      <c r="I168" s="74">
        <f>I164+I165+I166+I167</f>
        <v>307.97999999999996</v>
      </c>
      <c r="J168">
        <v>5</v>
      </c>
    </row>
    <row r="169" spans="1:19" x14ac:dyDescent="0.3">
      <c r="B169" s="2">
        <v>30</v>
      </c>
      <c r="C169" s="3" t="s">
        <v>357</v>
      </c>
      <c r="D169" s="5" t="s">
        <v>29</v>
      </c>
      <c r="G169" s="30">
        <v>4</v>
      </c>
      <c r="H169" s="38">
        <v>167.72</v>
      </c>
      <c r="I169" s="29">
        <f>G169*H169</f>
        <v>670.88</v>
      </c>
      <c r="J169">
        <v>1</v>
      </c>
    </row>
    <row r="170" spans="1:19" x14ac:dyDescent="0.3">
      <c r="D170" s="15" t="str">
        <f>SUBSTITUTE("Sp.mat: 0.00%",".",IF(VALUE("1.2")=1.2,".",","),2)</f>
        <v>Sp.mat: 0.00%</v>
      </c>
      <c r="F170" s="15" t="str">
        <f>SUBSTITUTE("Sp.man: 0.00%",".",IF(VALUE("1.2")=1.2,".",","),2)</f>
        <v>Sp.man: 0.00%</v>
      </c>
      <c r="G170" s="35" t="str">
        <f>SUBSTITUTE("Sp.uti: 0.00%",".",IF(VALUE("1.2")=1.2,".",","),2)</f>
        <v>Sp.uti: 0.00%</v>
      </c>
      <c r="H170" s="38">
        <f>46.13/G169</f>
        <v>11.532500000000001</v>
      </c>
      <c r="I170" s="29">
        <f>G169*H170</f>
        <v>46.13</v>
      </c>
      <c r="J170">
        <v>2</v>
      </c>
    </row>
    <row r="171" spans="1:19" x14ac:dyDescent="0.3">
      <c r="A171" s="88" t="s">
        <v>358</v>
      </c>
      <c r="B171" s="98"/>
      <c r="C171" s="98"/>
      <c r="D171" s="98"/>
      <c r="E171" s="98"/>
      <c r="F171" s="98"/>
      <c r="G171" s="98"/>
      <c r="H171" s="38">
        <f>(1+IF(OR(ISERR(FIND(":",G170)),ISERR(FIND("%",G170))),0,MID(G170,FIND(":",G170)+2,FIND("%",G170)-FIND(":",G170)-2)/100))*0</f>
        <v>0</v>
      </c>
      <c r="I171" s="29">
        <f>G169*H171</f>
        <v>0</v>
      </c>
      <c r="J171">
        <v>3</v>
      </c>
      <c r="K171" s="4">
        <v>0</v>
      </c>
      <c r="L171" s="4">
        <v>0</v>
      </c>
      <c r="M171" s="4">
        <f>I171-K171-L171</f>
        <v>0</v>
      </c>
    </row>
    <row r="172" spans="1:19" x14ac:dyDescent="0.3">
      <c r="A172" s="98"/>
      <c r="B172" s="98"/>
      <c r="C172" s="98"/>
      <c r="D172" s="98"/>
      <c r="E172" s="98"/>
      <c r="F172" s="98"/>
      <c r="G172" s="98"/>
      <c r="H172" s="38">
        <f>0</f>
        <v>0</v>
      </c>
      <c r="I172" s="29">
        <f>G169*H172</f>
        <v>0</v>
      </c>
      <c r="J172">
        <v>4</v>
      </c>
      <c r="N172" s="4">
        <f>IF(ISERR(SEARCH("TRA* 82",C169)),IF(Q172+R172+S172=0,0,I172*(Q172/(Q172+R172+S172))),I172)</f>
        <v>0</v>
      </c>
      <c r="O172" s="4">
        <f>IF(ISERR(SEARCH("TRA* 82",C169)),IF(Q172+R172+S172=0,0,I172*(R172/(Q172+R172+S172))),0)</f>
        <v>0</v>
      </c>
      <c r="P172" s="4">
        <f>IF(ISERR(SEARCH("TRA* 82",C169)),I172-N172-O172,0)</f>
        <v>0</v>
      </c>
      <c r="Q172" s="4">
        <v>0</v>
      </c>
      <c r="R172" s="4">
        <v>0</v>
      </c>
      <c r="S172" s="4">
        <v>0</v>
      </c>
    </row>
    <row r="173" spans="1:19" x14ac:dyDescent="0.3">
      <c r="A173" s="96" t="s">
        <v>27</v>
      </c>
      <c r="B173" s="97"/>
      <c r="C173" s="97"/>
      <c r="D173" s="97"/>
      <c r="E173" s="97"/>
      <c r="F173" s="97"/>
      <c r="G173" s="97"/>
      <c r="H173" s="36">
        <f>H169+H170+H171+H172</f>
        <v>179.2525</v>
      </c>
      <c r="I173" s="74">
        <f>I169+I170+I171+I172</f>
        <v>717.01</v>
      </c>
      <c r="J173">
        <v>5</v>
      </c>
    </row>
    <row r="174" spans="1:19" x14ac:dyDescent="0.3">
      <c r="B174" s="2">
        <v>31</v>
      </c>
      <c r="C174" s="3" t="s">
        <v>359</v>
      </c>
      <c r="D174" s="5" t="s">
        <v>29</v>
      </c>
      <c r="G174" s="30">
        <v>10</v>
      </c>
      <c r="H174" s="38">
        <v>396.4</v>
      </c>
      <c r="I174" s="29">
        <f>G174*H174</f>
        <v>3964</v>
      </c>
      <c r="J174">
        <v>1</v>
      </c>
    </row>
    <row r="175" spans="1:19" x14ac:dyDescent="0.3">
      <c r="D175" s="15" t="str">
        <f>SUBSTITUTE("Sp.mat: 0.00%",".",IF(VALUE("1.2")=1.2,".",","),2)</f>
        <v>Sp.mat: 0.00%</v>
      </c>
      <c r="F175" s="15" t="str">
        <f>SUBSTITUTE("Sp.man: 0.00%",".",IF(VALUE("1.2")=1.2,".",","),2)</f>
        <v>Sp.man: 0.00%</v>
      </c>
      <c r="G175" s="35" t="str">
        <f>SUBSTITUTE("Sp.uti: 0.00%",".",IF(VALUE("1.2")=1.2,".",","),2)</f>
        <v>Sp.uti: 0.00%</v>
      </c>
      <c r="H175" s="38">
        <v>14.26</v>
      </c>
      <c r="I175" s="29">
        <f>G174*H175</f>
        <v>142.6</v>
      </c>
      <c r="J175">
        <v>2</v>
      </c>
    </row>
    <row r="176" spans="1:19" x14ac:dyDescent="0.3">
      <c r="A176" s="88" t="s">
        <v>360</v>
      </c>
      <c r="B176" s="98"/>
      <c r="C176" s="98"/>
      <c r="D176" s="98"/>
      <c r="E176" s="98"/>
      <c r="F176" s="98"/>
      <c r="G176" s="98"/>
      <c r="H176" s="38">
        <f>(1+IF(OR(ISERR(FIND(":",G175)),ISERR(FIND("%",G175))),0,MID(G175,FIND(":",G175)+2,FIND("%",G175)-FIND(":",G175)-2)/100))*0</f>
        <v>0</v>
      </c>
      <c r="I176" s="29">
        <f>G174*H176</f>
        <v>0</v>
      </c>
      <c r="J176">
        <v>3</v>
      </c>
      <c r="K176" s="4">
        <v>0</v>
      </c>
      <c r="L176" s="4">
        <v>0</v>
      </c>
      <c r="M176" s="4">
        <f>I176-K176-L176</f>
        <v>0</v>
      </c>
    </row>
    <row r="177" spans="1:19" x14ac:dyDescent="0.3">
      <c r="A177" s="98"/>
      <c r="B177" s="98"/>
      <c r="C177" s="98"/>
      <c r="D177" s="98"/>
      <c r="E177" s="98"/>
      <c r="F177" s="98"/>
      <c r="G177" s="98"/>
      <c r="H177" s="38">
        <f>0</f>
        <v>0</v>
      </c>
      <c r="I177" s="29">
        <f>G174*H177</f>
        <v>0</v>
      </c>
      <c r="J177">
        <v>4</v>
      </c>
      <c r="N177" s="4">
        <f>IF(ISERR(SEARCH("TRA* 82",C174)),IF(Q177+R177+S177=0,0,I177*(Q177/(Q177+R177+S177))),I177)</f>
        <v>0</v>
      </c>
      <c r="O177" s="4">
        <f>IF(ISERR(SEARCH("TRA* 82",C174)),IF(Q177+R177+S177=0,0,I177*(R177/(Q177+R177+S177))),0)</f>
        <v>0</v>
      </c>
      <c r="P177" s="4">
        <f>IF(ISERR(SEARCH("TRA* 82",C174)),I177-N177-O177,0)</f>
        <v>0</v>
      </c>
      <c r="Q177" s="4">
        <v>0</v>
      </c>
      <c r="R177" s="4">
        <v>0</v>
      </c>
      <c r="S177" s="4">
        <v>0</v>
      </c>
    </row>
    <row r="178" spans="1:19" x14ac:dyDescent="0.3">
      <c r="A178" s="96" t="s">
        <v>361</v>
      </c>
      <c r="B178" s="97"/>
      <c r="C178" s="97"/>
      <c r="D178" s="97"/>
      <c r="E178" s="97"/>
      <c r="F178" s="97"/>
      <c r="G178" s="97"/>
      <c r="H178" s="36">
        <f>H174+H175+H176+H177</f>
        <v>410.65999999999997</v>
      </c>
      <c r="I178" s="74">
        <f>I174+I175+I176+I177</f>
        <v>4106.6000000000004</v>
      </c>
      <c r="J178">
        <v>5</v>
      </c>
    </row>
    <row r="179" spans="1:19" x14ac:dyDescent="0.3">
      <c r="B179" s="2">
        <v>32</v>
      </c>
      <c r="C179" s="3" t="s">
        <v>362</v>
      </c>
      <c r="D179" s="5" t="s">
        <v>29</v>
      </c>
      <c r="G179" s="30">
        <v>2</v>
      </c>
      <c r="H179" s="38">
        <v>631.24</v>
      </c>
      <c r="I179" s="29">
        <f>G179*H179</f>
        <v>1262.48</v>
      </c>
      <c r="J179">
        <v>1</v>
      </c>
    </row>
    <row r="180" spans="1:19" x14ac:dyDescent="0.3">
      <c r="D180" s="15" t="str">
        <f>SUBSTITUTE("Sp.mat: 0.00%",".",IF(VALUE("1.2")=1.2,".",","),2)</f>
        <v>Sp.mat: 0.00%</v>
      </c>
      <c r="F180" s="15" t="str">
        <f>SUBSTITUTE("Sp.man: 0.00%",".",IF(VALUE("1.2")=1.2,".",","),2)</f>
        <v>Sp.man: 0.00%</v>
      </c>
      <c r="G180" s="35" t="str">
        <f>SUBSTITUTE("Sp.uti: 0.00%",".",IF(VALUE("1.2")=1.2,".",","),2)</f>
        <v>Sp.uti: 0.00%</v>
      </c>
      <c r="H180" s="38">
        <v>20.02</v>
      </c>
      <c r="I180" s="29">
        <f>G179*H180</f>
        <v>40.04</v>
      </c>
      <c r="J180">
        <v>2</v>
      </c>
    </row>
    <row r="181" spans="1:19" x14ac:dyDescent="0.3">
      <c r="A181" s="88" t="s">
        <v>363</v>
      </c>
      <c r="B181" s="98"/>
      <c r="C181" s="98"/>
      <c r="D181" s="98"/>
      <c r="E181" s="98"/>
      <c r="F181" s="98"/>
      <c r="G181" s="98"/>
      <c r="H181" s="38">
        <f>(1+IF(OR(ISERR(FIND(":",G180)),ISERR(FIND("%",G180))),0,MID(G180,FIND(":",G180)+2,FIND("%",G180)-FIND(":",G180)-2)/100))*0</f>
        <v>0</v>
      </c>
      <c r="I181" s="29">
        <f>G179*H181</f>
        <v>0</v>
      </c>
      <c r="J181">
        <v>3</v>
      </c>
      <c r="K181" s="4">
        <v>0</v>
      </c>
      <c r="L181" s="4">
        <v>0</v>
      </c>
      <c r="M181" s="4">
        <f>I181-K181-L181</f>
        <v>0</v>
      </c>
    </row>
    <row r="182" spans="1:19" x14ac:dyDescent="0.3">
      <c r="A182" s="98"/>
      <c r="B182" s="98"/>
      <c r="C182" s="98"/>
      <c r="D182" s="98"/>
      <c r="E182" s="98"/>
      <c r="F182" s="98"/>
      <c r="G182" s="98"/>
      <c r="H182" s="38">
        <f>0</f>
        <v>0</v>
      </c>
      <c r="I182" s="29">
        <f>G179*H182</f>
        <v>0</v>
      </c>
      <c r="J182">
        <v>4</v>
      </c>
      <c r="N182" s="4">
        <f>IF(ISERR(SEARCH("TRA* 82",C179)),IF(Q182+R182+S182=0,0,I182*(Q182/(Q182+R182+S182))),I182)</f>
        <v>0</v>
      </c>
      <c r="O182" s="4">
        <f>IF(ISERR(SEARCH("TRA* 82",C179)),IF(Q182+R182+S182=0,0,I182*(R182/(Q182+R182+S182))),0)</f>
        <v>0</v>
      </c>
      <c r="P182" s="4">
        <f>IF(ISERR(SEARCH("TRA* 82",C179)),I182-N182-O182,0)</f>
        <v>0</v>
      </c>
      <c r="Q182" s="4">
        <v>0</v>
      </c>
      <c r="R182" s="4">
        <v>0</v>
      </c>
      <c r="S182" s="4">
        <v>0</v>
      </c>
    </row>
    <row r="183" spans="1:19" x14ac:dyDescent="0.3">
      <c r="A183" s="96" t="s">
        <v>27</v>
      </c>
      <c r="B183" s="97"/>
      <c r="C183" s="97"/>
      <c r="D183" s="97"/>
      <c r="E183" s="97"/>
      <c r="F183" s="97"/>
      <c r="G183" s="97"/>
      <c r="H183" s="36">
        <f>H179+H180+H181+H182</f>
        <v>651.26</v>
      </c>
      <c r="I183" s="74">
        <f>I179+I180+I181+I182</f>
        <v>1302.52</v>
      </c>
      <c r="J183">
        <v>5</v>
      </c>
    </row>
    <row r="184" spans="1:19" x14ac:dyDescent="0.3">
      <c r="B184" s="2">
        <v>33</v>
      </c>
      <c r="C184" s="3" t="s">
        <v>364</v>
      </c>
      <c r="D184" s="5" t="s">
        <v>29</v>
      </c>
      <c r="G184" s="30">
        <v>1</v>
      </c>
      <c r="H184" s="38">
        <v>66.47</v>
      </c>
      <c r="I184" s="29">
        <f>G184*H184</f>
        <v>66.47</v>
      </c>
      <c r="J184">
        <v>1</v>
      </c>
    </row>
    <row r="185" spans="1:19" x14ac:dyDescent="0.3">
      <c r="D185" s="15" t="str">
        <f>SUBSTITUTE("Sp.mat: 0.00%",".",IF(VALUE("1.2")=1.2,".",","),2)</f>
        <v>Sp.mat: 0.00%</v>
      </c>
      <c r="F185" s="15" t="str">
        <f>SUBSTITUTE("Sp.man: 0.00%",".",IF(VALUE("1.2")=1.2,".",","),2)</f>
        <v>Sp.man: 0.00%</v>
      </c>
      <c r="G185" s="35" t="str">
        <f>SUBSTITUTE("Sp.uti: 0.00%",".",IF(VALUE("1.2")=1.2,".",","),2)</f>
        <v>Sp.uti: 0.00%</v>
      </c>
      <c r="H185" s="38">
        <v>3.52</v>
      </c>
      <c r="I185" s="29">
        <f>G184*H185</f>
        <v>3.52</v>
      </c>
      <c r="J185">
        <v>2</v>
      </c>
    </row>
    <row r="186" spans="1:19" x14ac:dyDescent="0.3">
      <c r="A186" s="88" t="s">
        <v>365</v>
      </c>
      <c r="B186" s="98"/>
      <c r="C186" s="98"/>
      <c r="D186" s="98"/>
      <c r="E186" s="98"/>
      <c r="F186" s="98"/>
      <c r="G186" s="98"/>
      <c r="H186" s="38">
        <f>(1+IF(OR(ISERR(FIND(":",G185)),ISERR(FIND("%",G185))),0,MID(G185,FIND(":",G185)+2,FIND("%",G185)-FIND(":",G185)-2)/100))*0</f>
        <v>0</v>
      </c>
      <c r="I186" s="29">
        <f>G184*H186</f>
        <v>0</v>
      </c>
      <c r="J186">
        <v>3</v>
      </c>
      <c r="K186" s="4">
        <v>0</v>
      </c>
      <c r="L186" s="4">
        <v>0</v>
      </c>
      <c r="M186" s="4">
        <f>I186-K186-L186</f>
        <v>0</v>
      </c>
    </row>
    <row r="187" spans="1:19" x14ac:dyDescent="0.3">
      <c r="A187" s="98"/>
      <c r="B187" s="98"/>
      <c r="C187" s="98"/>
      <c r="D187" s="98"/>
      <c r="E187" s="98"/>
      <c r="F187" s="98"/>
      <c r="G187" s="98"/>
      <c r="H187" s="38">
        <f>0</f>
        <v>0</v>
      </c>
      <c r="I187" s="29">
        <f>G184*H187</f>
        <v>0</v>
      </c>
      <c r="J187">
        <v>4</v>
      </c>
      <c r="N187" s="4">
        <f>IF(ISERR(SEARCH("TRA* 82",C184)),IF(Q187+R187+S187=0,0,I187*(Q187/(Q187+R187+S187))),I187)</f>
        <v>0</v>
      </c>
      <c r="O187" s="4">
        <f>IF(ISERR(SEARCH("TRA* 82",C184)),IF(Q187+R187+S187=0,0,I187*(R187/(Q187+R187+S187))),0)</f>
        <v>0</v>
      </c>
      <c r="P187" s="4">
        <f>IF(ISERR(SEARCH("TRA* 82",C184)),I187-N187-O187,0)</f>
        <v>0</v>
      </c>
      <c r="Q187" s="4">
        <v>0</v>
      </c>
      <c r="R187" s="4">
        <v>0</v>
      </c>
      <c r="S187" s="4">
        <v>0</v>
      </c>
    </row>
    <row r="188" spans="1:19" x14ac:dyDescent="0.3">
      <c r="A188" s="96" t="s">
        <v>27</v>
      </c>
      <c r="B188" s="97"/>
      <c r="C188" s="97"/>
      <c r="D188" s="97"/>
      <c r="E188" s="97"/>
      <c r="F188" s="97"/>
      <c r="G188" s="97"/>
      <c r="H188" s="36">
        <f>H184+H185+H186+H187</f>
        <v>69.989999999999995</v>
      </c>
      <c r="I188" s="74">
        <f>I184+I185+I186+I187</f>
        <v>69.989999999999995</v>
      </c>
      <c r="J188">
        <v>5</v>
      </c>
    </row>
    <row r="189" spans="1:19" x14ac:dyDescent="0.3">
      <c r="B189" s="2">
        <v>34</v>
      </c>
      <c r="C189" s="3" t="s">
        <v>366</v>
      </c>
      <c r="D189" s="5" t="s">
        <v>29</v>
      </c>
      <c r="G189" s="30">
        <v>1</v>
      </c>
      <c r="H189" s="38">
        <v>189.63</v>
      </c>
      <c r="I189" s="29">
        <f>G189*H189</f>
        <v>189.63</v>
      </c>
      <c r="J189">
        <v>1</v>
      </c>
    </row>
    <row r="190" spans="1:19" x14ac:dyDescent="0.3">
      <c r="D190" s="15" t="str">
        <f>SUBSTITUTE("Sp.mat: 0.00%",".",IF(VALUE("1.2")=1.2,".",","),2)</f>
        <v>Sp.mat: 0.00%</v>
      </c>
      <c r="F190" s="15" t="str">
        <f>SUBSTITUTE("Sp.man: 0.00%",".",IF(VALUE("1.2")=1.2,".",","),2)</f>
        <v>Sp.man: 0.00%</v>
      </c>
      <c r="G190" s="35" t="str">
        <f>SUBSTITUTE("Sp.uti: 0.00%",".",IF(VALUE("1.2")=1.2,".",","),2)</f>
        <v>Sp.uti: 0.00%</v>
      </c>
      <c r="H190" s="38">
        <v>9.61</v>
      </c>
      <c r="I190" s="29">
        <f>G189*H190</f>
        <v>9.61</v>
      </c>
      <c r="J190">
        <v>2</v>
      </c>
    </row>
    <row r="191" spans="1:19" x14ac:dyDescent="0.3">
      <c r="A191" s="88" t="s">
        <v>367</v>
      </c>
      <c r="B191" s="98"/>
      <c r="C191" s="98"/>
      <c r="D191" s="98"/>
      <c r="E191" s="98"/>
      <c r="F191" s="98"/>
      <c r="G191" s="98"/>
      <c r="H191" s="38">
        <f>(1+IF(OR(ISERR(FIND(":",G190)),ISERR(FIND("%",G190))),0,MID(G190,FIND(":",G190)+2,FIND("%",G190)-FIND(":",G190)-2)/100))*0</f>
        <v>0</v>
      </c>
      <c r="I191" s="29">
        <f>G189*H191</f>
        <v>0</v>
      </c>
      <c r="J191">
        <v>3</v>
      </c>
      <c r="K191" s="4">
        <v>0</v>
      </c>
      <c r="L191" s="4">
        <v>0</v>
      </c>
      <c r="M191" s="4">
        <f>I191-K191-L191</f>
        <v>0</v>
      </c>
    </row>
    <row r="192" spans="1:19" x14ac:dyDescent="0.3">
      <c r="A192" s="98"/>
      <c r="B192" s="98"/>
      <c r="C192" s="98"/>
      <c r="D192" s="98"/>
      <c r="E192" s="98"/>
      <c r="F192" s="98"/>
      <c r="G192" s="98"/>
      <c r="H192" s="38">
        <f>0</f>
        <v>0</v>
      </c>
      <c r="I192" s="29">
        <f>G189*H192</f>
        <v>0</v>
      </c>
      <c r="J192">
        <v>4</v>
      </c>
      <c r="N192" s="4">
        <f>IF(ISERR(SEARCH("TRA* 82",C189)),IF(Q192+R192+S192=0,0,I192*(Q192/(Q192+R192+S192))),I192)</f>
        <v>0</v>
      </c>
      <c r="O192" s="4">
        <f>IF(ISERR(SEARCH("TRA* 82",C189)),IF(Q192+R192+S192=0,0,I192*(R192/(Q192+R192+S192))),0)</f>
        <v>0</v>
      </c>
      <c r="P192" s="4">
        <f>IF(ISERR(SEARCH("TRA* 82",C189)),I192-N192-O192,0)</f>
        <v>0</v>
      </c>
      <c r="Q192" s="4">
        <v>0</v>
      </c>
      <c r="R192" s="4">
        <v>0</v>
      </c>
      <c r="S192" s="4">
        <v>0</v>
      </c>
    </row>
    <row r="193" spans="1:19" x14ac:dyDescent="0.3">
      <c r="A193" s="96" t="s">
        <v>27</v>
      </c>
      <c r="B193" s="97"/>
      <c r="C193" s="97"/>
      <c r="D193" s="97"/>
      <c r="E193" s="97"/>
      <c r="F193" s="97"/>
      <c r="G193" s="97"/>
      <c r="H193" s="36">
        <f>H189+H190+H191+H192</f>
        <v>199.24</v>
      </c>
      <c r="I193" s="74">
        <f>I189+I190+I191+I192</f>
        <v>199.24</v>
      </c>
      <c r="J193">
        <v>5</v>
      </c>
    </row>
    <row r="194" spans="1:19" x14ac:dyDescent="0.3">
      <c r="B194" s="2">
        <v>35</v>
      </c>
      <c r="C194" s="3" t="s">
        <v>325</v>
      </c>
      <c r="D194" s="5" t="s">
        <v>29</v>
      </c>
      <c r="G194" s="30">
        <v>2</v>
      </c>
      <c r="H194" s="38">
        <f>1885.81/G194</f>
        <v>942.90499999999997</v>
      </c>
      <c r="I194" s="29">
        <f>G194*H194</f>
        <v>1885.81</v>
      </c>
      <c r="J194">
        <v>1</v>
      </c>
    </row>
    <row r="195" spans="1:19" x14ac:dyDescent="0.3">
      <c r="D195" s="15" t="str">
        <f>SUBSTITUTE("Sp.mat: 0.00%",".",IF(VALUE("1.2")=1.2,".",","),2)</f>
        <v>Sp.mat: 0.00%</v>
      </c>
      <c r="F195" s="15" t="str">
        <f>SUBSTITUTE("Sp.man: 0.00%",".",IF(VALUE("1.2")=1.2,".",","),2)</f>
        <v>Sp.man: 0.00%</v>
      </c>
      <c r="G195" s="35" t="str">
        <f>SUBSTITUTE("Sp.uti: 0.00%",".",IF(VALUE("1.2")=1.2,".",","),2)</f>
        <v>Sp.uti: 0.00%</v>
      </c>
      <c r="H195" s="38">
        <v>15.06</v>
      </c>
      <c r="I195" s="29">
        <f>G194*H195</f>
        <v>30.12</v>
      </c>
      <c r="J195">
        <v>2</v>
      </c>
    </row>
    <row r="196" spans="1:19" x14ac:dyDescent="0.3">
      <c r="A196" s="88" t="s">
        <v>326</v>
      </c>
      <c r="B196" s="98"/>
      <c r="C196" s="98"/>
      <c r="D196" s="98"/>
      <c r="E196" s="98"/>
      <c r="F196" s="98"/>
      <c r="G196" s="98"/>
      <c r="H196" s="38">
        <f>(1+IF(OR(ISERR(FIND(":",G195)),ISERR(FIND("%",G195))),0,MID(G195,FIND(":",G195)+2,FIND("%",G195)-FIND(":",G195)-2)/100))*0</f>
        <v>0</v>
      </c>
      <c r="I196" s="29">
        <f>G194*H196</f>
        <v>0</v>
      </c>
      <c r="J196">
        <v>3</v>
      </c>
      <c r="K196" s="4">
        <v>0</v>
      </c>
      <c r="L196" s="4">
        <v>0</v>
      </c>
      <c r="M196" s="4">
        <f>I196-K196-L196</f>
        <v>0</v>
      </c>
    </row>
    <row r="197" spans="1:19" x14ac:dyDescent="0.3">
      <c r="A197" s="98"/>
      <c r="B197" s="98"/>
      <c r="C197" s="98"/>
      <c r="D197" s="98"/>
      <c r="E197" s="98"/>
      <c r="F197" s="98"/>
      <c r="G197" s="98"/>
      <c r="H197" s="38">
        <f>0</f>
        <v>0</v>
      </c>
      <c r="I197" s="29">
        <f>G194*H197</f>
        <v>0</v>
      </c>
      <c r="J197">
        <v>4</v>
      </c>
      <c r="N197" s="4">
        <f>IF(ISERR(SEARCH("TRA* 82",C194)),IF(Q197+R197+S197=0,0,I197*(Q197/(Q197+R197+S197))),I197)</f>
        <v>0</v>
      </c>
      <c r="O197" s="4">
        <f>IF(ISERR(SEARCH("TRA* 82",C194)),IF(Q197+R197+S197=0,0,I197*(R197/(Q197+R197+S197))),0)</f>
        <v>0</v>
      </c>
      <c r="P197" s="4">
        <f>IF(ISERR(SEARCH("TRA* 82",C194)),I197-N197-O197,0)</f>
        <v>0</v>
      </c>
      <c r="Q197" s="4">
        <v>0</v>
      </c>
      <c r="R197" s="4">
        <v>0</v>
      </c>
      <c r="S197" s="4">
        <v>0</v>
      </c>
    </row>
    <row r="198" spans="1:19" x14ac:dyDescent="0.3">
      <c r="A198" s="96" t="s">
        <v>27</v>
      </c>
      <c r="B198" s="97"/>
      <c r="C198" s="97"/>
      <c r="D198" s="97"/>
      <c r="E198" s="97"/>
      <c r="F198" s="97"/>
      <c r="G198" s="97"/>
      <c r="H198" s="36">
        <f>H194+H195+H196+H197</f>
        <v>957.96499999999992</v>
      </c>
      <c r="I198" s="74">
        <f>I194+I195+I196+I197</f>
        <v>1915.9299999999998</v>
      </c>
      <c r="J198">
        <v>5</v>
      </c>
    </row>
    <row r="199" spans="1:19" x14ac:dyDescent="0.3">
      <c r="B199" s="2">
        <v>36</v>
      </c>
      <c r="C199" s="3" t="s">
        <v>368</v>
      </c>
      <c r="D199" s="5" t="s">
        <v>29</v>
      </c>
      <c r="G199" s="30">
        <v>1</v>
      </c>
      <c r="H199" s="38">
        <v>2522.92</v>
      </c>
      <c r="I199" s="29">
        <f>G199*H199</f>
        <v>2522.92</v>
      </c>
      <c r="J199">
        <v>1</v>
      </c>
    </row>
    <row r="200" spans="1:19" x14ac:dyDescent="0.3">
      <c r="D200" s="15" t="str">
        <f>SUBSTITUTE("Sp.mat: 0.00%",".",IF(VALUE("1.2")=1.2,".",","),2)</f>
        <v>Sp.mat: 0.00%</v>
      </c>
      <c r="F200" s="15" t="str">
        <f>SUBSTITUTE("Sp.man: 0.00%",".",IF(VALUE("1.2")=1.2,".",","),2)</f>
        <v>Sp.man: 0.00%</v>
      </c>
      <c r="G200" s="35" t="str">
        <f>SUBSTITUTE("Sp.uti: 0.00%",".",IF(VALUE("1.2")=1.2,".",","),2)</f>
        <v>Sp.uti: 0.00%</v>
      </c>
      <c r="H200" s="38">
        <v>22.9</v>
      </c>
      <c r="I200" s="29">
        <f>G199*H200</f>
        <v>22.9</v>
      </c>
      <c r="J200">
        <v>2</v>
      </c>
    </row>
    <row r="201" spans="1:19" x14ac:dyDescent="0.3">
      <c r="A201" s="88" t="s">
        <v>369</v>
      </c>
      <c r="B201" s="98"/>
      <c r="C201" s="98"/>
      <c r="D201" s="98"/>
      <c r="E201" s="98"/>
      <c r="F201" s="98"/>
      <c r="G201" s="98"/>
      <c r="H201" s="38">
        <f>(1+IF(OR(ISERR(FIND(":",G200)),ISERR(FIND("%",G200))),0,MID(G200,FIND(":",G200)+2,FIND("%",G200)-FIND(":",G200)-2)/100))*0</f>
        <v>0</v>
      </c>
      <c r="I201" s="29">
        <f>G199*H201</f>
        <v>0</v>
      </c>
      <c r="J201">
        <v>3</v>
      </c>
      <c r="K201" s="4">
        <v>0</v>
      </c>
      <c r="L201" s="4">
        <v>0</v>
      </c>
      <c r="M201" s="4">
        <f>I201-K201-L201</f>
        <v>0</v>
      </c>
    </row>
    <row r="202" spans="1:19" x14ac:dyDescent="0.3">
      <c r="A202" s="98"/>
      <c r="B202" s="98"/>
      <c r="C202" s="98"/>
      <c r="D202" s="98"/>
      <c r="E202" s="98"/>
      <c r="F202" s="98"/>
      <c r="G202" s="98"/>
      <c r="H202" s="38">
        <f>0</f>
        <v>0</v>
      </c>
      <c r="I202" s="29">
        <f>G199*H202</f>
        <v>0</v>
      </c>
      <c r="J202">
        <v>4</v>
      </c>
      <c r="N202" s="4">
        <f>IF(ISERR(SEARCH("TRA* 82",C199)),IF(Q202+R202+S202=0,0,I202*(Q202/(Q202+R202+S202))),I202)</f>
        <v>0</v>
      </c>
      <c r="O202" s="4">
        <f>IF(ISERR(SEARCH("TRA* 82",C199)),IF(Q202+R202+S202=0,0,I202*(R202/(Q202+R202+S202))),0)</f>
        <v>0</v>
      </c>
      <c r="P202" s="4">
        <f>IF(ISERR(SEARCH("TRA* 82",C199)),I202-N202-O202,0)</f>
        <v>0</v>
      </c>
      <c r="Q202" s="4">
        <v>0</v>
      </c>
      <c r="R202" s="4">
        <v>0</v>
      </c>
      <c r="S202" s="4">
        <v>0</v>
      </c>
    </row>
    <row r="203" spans="1:19" x14ac:dyDescent="0.3">
      <c r="A203" s="96" t="s">
        <v>27</v>
      </c>
      <c r="B203" s="97"/>
      <c r="C203" s="97"/>
      <c r="D203" s="97"/>
      <c r="E203" s="97"/>
      <c r="F203" s="97"/>
      <c r="G203" s="97"/>
      <c r="H203" s="36">
        <f>H199+H200+H201+H202</f>
        <v>2545.8200000000002</v>
      </c>
      <c r="I203" s="74">
        <f>I199+I200+I201+I202</f>
        <v>2545.8200000000002</v>
      </c>
      <c r="J203">
        <v>5</v>
      </c>
    </row>
    <row r="204" spans="1:19" x14ac:dyDescent="0.3">
      <c r="B204" s="2">
        <v>37</v>
      </c>
      <c r="C204" s="3" t="s">
        <v>331</v>
      </c>
      <c r="D204" s="5" t="s">
        <v>29</v>
      </c>
      <c r="G204" s="30">
        <v>27</v>
      </c>
      <c r="H204" s="38">
        <v>17.93</v>
      </c>
      <c r="I204" s="29">
        <f>G204*H204</f>
        <v>484.11</v>
      </c>
      <c r="J204">
        <v>1</v>
      </c>
    </row>
    <row r="205" spans="1:19" x14ac:dyDescent="0.3">
      <c r="D205" s="15" t="str">
        <f>SUBSTITUTE("Sp.mat: 0.00%",".",IF(VALUE("1.2")=1.2,".",","),2)</f>
        <v>Sp.mat: 0.00%</v>
      </c>
      <c r="F205" s="15" t="str">
        <f>SUBSTITUTE("Sp.man: 0.00%",".",IF(VALUE("1.2")=1.2,".",","),2)</f>
        <v>Sp.man: 0.00%</v>
      </c>
      <c r="G205" s="35" t="str">
        <f>SUBSTITUTE("Sp.uti: 0.00%",".",IF(VALUE("1.2")=1.2,".",","),2)</f>
        <v>Sp.uti: 0.00%</v>
      </c>
      <c r="H205" s="38">
        <f>108.11/G204</f>
        <v>4.0040740740740741</v>
      </c>
      <c r="I205" s="29">
        <f>G204*H205</f>
        <v>108.11</v>
      </c>
      <c r="J205">
        <v>2</v>
      </c>
    </row>
    <row r="206" spans="1:19" x14ac:dyDescent="0.3">
      <c r="A206" s="88" t="s">
        <v>332</v>
      </c>
      <c r="B206" s="98"/>
      <c r="C206" s="98"/>
      <c r="D206" s="98"/>
      <c r="E206" s="98"/>
      <c r="F206" s="98"/>
      <c r="G206" s="98"/>
      <c r="H206" s="38">
        <f>(1+IF(OR(ISERR(FIND(":",G205)),ISERR(FIND("%",G205))),0,MID(G205,FIND(":",G205)+2,FIND("%",G205)-FIND(":",G205)-2)/100))*0</f>
        <v>0</v>
      </c>
      <c r="I206" s="29">
        <f>G204*H206</f>
        <v>0</v>
      </c>
      <c r="J206">
        <v>3</v>
      </c>
      <c r="K206" s="4">
        <v>0</v>
      </c>
      <c r="L206" s="4">
        <v>0</v>
      </c>
      <c r="M206" s="4">
        <f>I206-K206-L206</f>
        <v>0</v>
      </c>
    </row>
    <row r="207" spans="1:19" x14ac:dyDescent="0.3">
      <c r="A207" s="98"/>
      <c r="B207" s="98"/>
      <c r="C207" s="98"/>
      <c r="D207" s="98"/>
      <c r="E207" s="98"/>
      <c r="F207" s="98"/>
      <c r="G207" s="98"/>
      <c r="H207" s="38">
        <f>0</f>
        <v>0</v>
      </c>
      <c r="I207" s="29">
        <f>G204*H207</f>
        <v>0</v>
      </c>
      <c r="J207">
        <v>4</v>
      </c>
      <c r="N207" s="4">
        <f>IF(ISERR(SEARCH("TRA* 82",C204)),IF(Q207+R207+S207=0,0,I207*(Q207/(Q207+R207+S207))),I207)</f>
        <v>0</v>
      </c>
      <c r="O207" s="4">
        <f>IF(ISERR(SEARCH("TRA* 82",C204)),IF(Q207+R207+S207=0,0,I207*(R207/(Q207+R207+S207))),0)</f>
        <v>0</v>
      </c>
      <c r="P207" s="4">
        <f>IF(ISERR(SEARCH("TRA* 82",C204)),I207-N207-O207,0)</f>
        <v>0</v>
      </c>
      <c r="Q207" s="4">
        <v>0</v>
      </c>
      <c r="R207" s="4">
        <v>0</v>
      </c>
      <c r="S207" s="4">
        <v>0</v>
      </c>
    </row>
    <row r="208" spans="1:19" x14ac:dyDescent="0.3">
      <c r="A208" s="100" t="s">
        <v>87</v>
      </c>
      <c r="B208" s="101"/>
      <c r="C208" s="101"/>
      <c r="D208" s="101"/>
      <c r="E208" s="101"/>
      <c r="F208" s="101"/>
      <c r="G208" s="101"/>
      <c r="H208" s="33">
        <f>H204+H205+H206+H207</f>
        <v>21.934074074074076</v>
      </c>
      <c r="I208" s="37">
        <f>I204+I205+I206+I207</f>
        <v>592.22</v>
      </c>
      <c r="J208">
        <v>5</v>
      </c>
    </row>
    <row r="209" spans="1:19" x14ac:dyDescent="0.3">
      <c r="A209" s="99" t="s">
        <v>370</v>
      </c>
      <c r="B209" s="99"/>
      <c r="C209" s="99"/>
      <c r="D209" s="99"/>
      <c r="E209" s="99"/>
      <c r="F209" s="99"/>
      <c r="G209" s="99"/>
      <c r="H209" s="99"/>
      <c r="I209" s="99"/>
    </row>
    <row r="210" spans="1:19" x14ac:dyDescent="0.3">
      <c r="B210" s="2">
        <v>38</v>
      </c>
      <c r="C210" s="3" t="s">
        <v>331</v>
      </c>
      <c r="D210" s="5" t="s">
        <v>29</v>
      </c>
      <c r="G210" s="30">
        <v>5</v>
      </c>
      <c r="H210" s="38">
        <v>24.04</v>
      </c>
      <c r="I210" s="29">
        <f>G210*H210</f>
        <v>120.19999999999999</v>
      </c>
      <c r="J210">
        <v>1</v>
      </c>
    </row>
    <row r="211" spans="1:19" x14ac:dyDescent="0.3">
      <c r="D211" s="15" t="str">
        <f>SUBSTITUTE("Sp.mat: 0.00%",".",IF(VALUE("1.2")=1.2,".",","),2)</f>
        <v>Sp.mat: 0.00%</v>
      </c>
      <c r="F211" s="15" t="str">
        <f>SUBSTITUTE("Sp.man: 0.00%",".",IF(VALUE("1.2")=1.2,".",","),2)</f>
        <v>Sp.man: 0.00%</v>
      </c>
      <c r="G211" s="35" t="str">
        <f>SUBSTITUTE("Sp.uti: 0.00%",".",IF(VALUE("1.2")=1.2,".",","),2)</f>
        <v>Sp.uti: 0.00%</v>
      </c>
      <c r="H211" s="38">
        <f>20.02/G210</f>
        <v>4.0039999999999996</v>
      </c>
      <c r="I211" s="29">
        <f>G210*H211</f>
        <v>20.019999999999996</v>
      </c>
      <c r="J211">
        <v>2</v>
      </c>
    </row>
    <row r="212" spans="1:19" x14ac:dyDescent="0.3">
      <c r="A212" s="88" t="s">
        <v>332</v>
      </c>
      <c r="B212" s="98"/>
      <c r="C212" s="98"/>
      <c r="D212" s="98"/>
      <c r="E212" s="98"/>
      <c r="F212" s="98"/>
      <c r="G212" s="98"/>
      <c r="H212" s="38">
        <f>(1+IF(OR(ISERR(FIND(":",G211)),ISERR(FIND("%",G211))),0,MID(G211,FIND(":",G211)+2,FIND("%",G211)-FIND(":",G211)-2)/100))*0</f>
        <v>0</v>
      </c>
      <c r="I212" s="29">
        <f>G210*H212</f>
        <v>0</v>
      </c>
      <c r="J212">
        <v>3</v>
      </c>
      <c r="K212" s="4">
        <v>0</v>
      </c>
      <c r="L212" s="4">
        <v>0</v>
      </c>
      <c r="M212" s="4">
        <f>I212-K212-L212</f>
        <v>0</v>
      </c>
    </row>
    <row r="213" spans="1:19" x14ac:dyDescent="0.3">
      <c r="A213" s="98"/>
      <c r="B213" s="98"/>
      <c r="C213" s="98"/>
      <c r="D213" s="98"/>
      <c r="E213" s="98"/>
      <c r="F213" s="98"/>
      <c r="G213" s="98"/>
      <c r="H213" s="38">
        <f>0</f>
        <v>0</v>
      </c>
      <c r="I213" s="29">
        <f>G210*H213</f>
        <v>0</v>
      </c>
      <c r="J213">
        <v>4</v>
      </c>
      <c r="N213" s="4">
        <f>IF(ISERR(SEARCH("TRA* 82",C210)),IF(Q213+R213+S213=0,0,I213*(Q213/(Q213+R213+S213))),I213)</f>
        <v>0</v>
      </c>
      <c r="O213" s="4">
        <f>IF(ISERR(SEARCH("TRA* 82",C210)),IF(Q213+R213+S213=0,0,I213*(R213/(Q213+R213+S213))),0)</f>
        <v>0</v>
      </c>
      <c r="P213" s="4">
        <f>IF(ISERR(SEARCH("TRA* 82",C210)),I213-N213-O213,0)</f>
        <v>0</v>
      </c>
      <c r="Q213" s="4">
        <v>0</v>
      </c>
      <c r="R213" s="4">
        <v>0</v>
      </c>
      <c r="S213" s="4">
        <v>0</v>
      </c>
    </row>
    <row r="214" spans="1:19" x14ac:dyDescent="0.3">
      <c r="A214" s="100" t="s">
        <v>27</v>
      </c>
      <c r="B214" s="101"/>
      <c r="C214" s="101"/>
      <c r="D214" s="101"/>
      <c r="E214" s="101"/>
      <c r="F214" s="101"/>
      <c r="G214" s="101"/>
      <c r="H214" s="33">
        <f>H210+H211+H212+H213</f>
        <v>28.043999999999997</v>
      </c>
      <c r="I214" s="37">
        <f>I210+I211+I212+I213</f>
        <v>140.21999999999997</v>
      </c>
      <c r="J214">
        <v>5</v>
      </c>
    </row>
    <row r="215" spans="1:19" x14ac:dyDescent="0.3">
      <c r="A215" s="99" t="s">
        <v>371</v>
      </c>
      <c r="B215" s="99"/>
      <c r="C215" s="99"/>
      <c r="D215" s="99"/>
      <c r="E215" s="99"/>
      <c r="F215" s="99"/>
      <c r="G215" s="99"/>
      <c r="H215" s="99"/>
      <c r="I215" s="99"/>
    </row>
    <row r="216" spans="1:19" x14ac:dyDescent="0.3">
      <c r="B216" s="2">
        <v>39</v>
      </c>
      <c r="C216" s="3" t="s">
        <v>372</v>
      </c>
      <c r="D216" s="5" t="s">
        <v>29</v>
      </c>
      <c r="G216" s="30">
        <v>22</v>
      </c>
      <c r="H216" s="38">
        <v>20.21</v>
      </c>
      <c r="I216" s="29">
        <f>G216*H216</f>
        <v>444.62</v>
      </c>
      <c r="J216">
        <v>1</v>
      </c>
    </row>
    <row r="217" spans="1:19" x14ac:dyDescent="0.3">
      <c r="D217" s="15" t="str">
        <f>SUBSTITUTE("Sp.mat: 0.00%",".",IF(VALUE("1.2")=1.2,".",","),2)</f>
        <v>Sp.mat: 0.00%</v>
      </c>
      <c r="F217" s="15" t="str">
        <f>SUBSTITUTE("Sp.man: 0.00%",".",IF(VALUE("1.2")=1.2,".",","),2)</f>
        <v>Sp.man: 0.00%</v>
      </c>
      <c r="G217" s="35" t="str">
        <f>SUBSTITUTE("Sp.uti: 0.00%",".",IF(VALUE("1.2")=1.2,".",","),2)</f>
        <v>Sp.uti: 0.00%</v>
      </c>
      <c r="H217" s="38">
        <f>88.09/G216</f>
        <v>4.0040909090909089</v>
      </c>
      <c r="I217" s="29">
        <f>G216*H217</f>
        <v>88.09</v>
      </c>
      <c r="J217">
        <v>2</v>
      </c>
    </row>
    <row r="218" spans="1:19" x14ac:dyDescent="0.3">
      <c r="A218" s="88" t="s">
        <v>373</v>
      </c>
      <c r="B218" s="98"/>
      <c r="C218" s="98"/>
      <c r="D218" s="98"/>
      <c r="E218" s="98"/>
      <c r="F218" s="98"/>
      <c r="G218" s="98"/>
      <c r="H218" s="38">
        <f>(1+IF(OR(ISERR(FIND(":",G217)),ISERR(FIND("%",G217))),0,MID(G217,FIND(":",G217)+2,FIND("%",G217)-FIND(":",G217)-2)/100))*0</f>
        <v>0</v>
      </c>
      <c r="I218" s="29">
        <f>G216*H218</f>
        <v>0</v>
      </c>
      <c r="J218">
        <v>3</v>
      </c>
      <c r="K218" s="4">
        <v>0</v>
      </c>
      <c r="L218" s="4">
        <v>0</v>
      </c>
      <c r="M218" s="4">
        <f>I218-K218-L218</f>
        <v>0</v>
      </c>
    </row>
    <row r="219" spans="1:19" x14ac:dyDescent="0.3">
      <c r="A219" s="98"/>
      <c r="B219" s="98"/>
      <c r="C219" s="98"/>
      <c r="D219" s="98"/>
      <c r="E219" s="98"/>
      <c r="F219" s="98"/>
      <c r="G219" s="98"/>
      <c r="H219" s="38">
        <f>0</f>
        <v>0</v>
      </c>
      <c r="I219" s="29">
        <f>G216*H219</f>
        <v>0</v>
      </c>
      <c r="J219">
        <v>4</v>
      </c>
      <c r="N219" s="4">
        <f>IF(ISERR(SEARCH("TRA* 82",C216)),IF(Q219+R219+S219=0,0,I219*(Q219/(Q219+R219+S219))),I219)</f>
        <v>0</v>
      </c>
      <c r="O219" s="4">
        <f>IF(ISERR(SEARCH("TRA* 82",C216)),IF(Q219+R219+S219=0,0,I219*(R219/(Q219+R219+S219))),0)</f>
        <v>0</v>
      </c>
      <c r="P219" s="4">
        <f>IF(ISERR(SEARCH("TRA* 82",C216)),I219-N219-O219,0)</f>
        <v>0</v>
      </c>
      <c r="Q219" s="4">
        <v>0</v>
      </c>
      <c r="R219" s="4">
        <v>0</v>
      </c>
      <c r="S219" s="4">
        <v>0</v>
      </c>
    </row>
    <row r="220" spans="1:19" x14ac:dyDescent="0.3">
      <c r="A220" s="100" t="s">
        <v>87</v>
      </c>
      <c r="B220" s="101"/>
      <c r="C220" s="101"/>
      <c r="D220" s="101"/>
      <c r="E220" s="101"/>
      <c r="F220" s="101"/>
      <c r="G220" s="101"/>
      <c r="H220" s="33">
        <f>H216+H217+H218+H219</f>
        <v>24.21409090909091</v>
      </c>
      <c r="I220" s="37">
        <f>I216+I217+I218+I219</f>
        <v>532.71</v>
      </c>
      <c r="J220">
        <v>5</v>
      </c>
    </row>
    <row r="221" spans="1:19" x14ac:dyDescent="0.3">
      <c r="A221" s="99" t="s">
        <v>374</v>
      </c>
      <c r="B221" s="99"/>
      <c r="C221" s="99"/>
      <c r="D221" s="99"/>
      <c r="E221" s="99"/>
      <c r="F221" s="99"/>
      <c r="G221" s="99"/>
      <c r="H221" s="99"/>
      <c r="I221" s="99"/>
    </row>
    <row r="222" spans="1:19" x14ac:dyDescent="0.3">
      <c r="B222" s="2">
        <v>40</v>
      </c>
      <c r="C222" s="3" t="s">
        <v>375</v>
      </c>
      <c r="D222" s="5" t="s">
        <v>29</v>
      </c>
      <c r="G222" s="30">
        <v>5</v>
      </c>
      <c r="H222" s="38">
        <v>40.57</v>
      </c>
      <c r="I222" s="29">
        <f>G222*H222</f>
        <v>202.85</v>
      </c>
      <c r="J222">
        <v>1</v>
      </c>
    </row>
    <row r="223" spans="1:19" x14ac:dyDescent="0.3">
      <c r="D223" s="15" t="str">
        <f>SUBSTITUTE("Sp.mat: 0.00%",".",IF(VALUE("1.2")=1.2,".",","),2)</f>
        <v>Sp.mat: 0.00%</v>
      </c>
      <c r="F223" s="15" t="str">
        <f>SUBSTITUTE("Sp.man: 0.00%",".",IF(VALUE("1.2")=1.2,".",","),2)</f>
        <v>Sp.man: 0.00%</v>
      </c>
      <c r="G223" s="35" t="str">
        <f>SUBSTITUTE("Sp.uti: 0.00%",".",IF(VALUE("1.2")=1.2,".",","),2)</f>
        <v>Sp.uti: 0.00%</v>
      </c>
      <c r="H223" s="38">
        <v>6.41</v>
      </c>
      <c r="I223" s="29">
        <f>G222*H223</f>
        <v>32.049999999999997</v>
      </c>
      <c r="J223">
        <v>2</v>
      </c>
    </row>
    <row r="224" spans="1:19" x14ac:dyDescent="0.3">
      <c r="A224" s="88" t="s">
        <v>376</v>
      </c>
      <c r="B224" s="98"/>
      <c r="C224" s="98"/>
      <c r="D224" s="98"/>
      <c r="E224" s="98"/>
      <c r="F224" s="98"/>
      <c r="G224" s="98"/>
      <c r="H224" s="38">
        <f>(1+IF(OR(ISERR(FIND(":",G223)),ISERR(FIND("%",G223))),0,MID(G223,FIND(":",G223)+2,FIND("%",G223)-FIND(":",G223)-2)/100))*0</f>
        <v>0</v>
      </c>
      <c r="I224" s="29">
        <f>G222*H224</f>
        <v>0</v>
      </c>
      <c r="J224">
        <v>3</v>
      </c>
      <c r="K224" s="4">
        <v>0</v>
      </c>
      <c r="L224" s="4">
        <v>0</v>
      </c>
      <c r="M224" s="4">
        <f>I224-K224-L224</f>
        <v>0</v>
      </c>
    </row>
    <row r="225" spans="1:19" x14ac:dyDescent="0.3">
      <c r="A225" s="98"/>
      <c r="B225" s="98"/>
      <c r="C225" s="98"/>
      <c r="D225" s="98"/>
      <c r="E225" s="98"/>
      <c r="F225" s="98"/>
      <c r="G225" s="98"/>
      <c r="H225" s="38">
        <f>0</f>
        <v>0</v>
      </c>
      <c r="I225" s="29">
        <f>G222*H225</f>
        <v>0</v>
      </c>
      <c r="J225">
        <v>4</v>
      </c>
      <c r="N225" s="4">
        <f>IF(ISERR(SEARCH("TRA* 82",C222)),IF(Q225+R225+S225=0,0,I225*(Q225/(Q225+R225+S225))),I225)</f>
        <v>0</v>
      </c>
      <c r="O225" s="4">
        <f>IF(ISERR(SEARCH("TRA* 82",C222)),IF(Q225+R225+S225=0,0,I225*(R225/(Q225+R225+S225))),0)</f>
        <v>0</v>
      </c>
      <c r="P225" s="4">
        <f>IF(ISERR(SEARCH("TRA* 82",C222)),I225-N225-O225,0)</f>
        <v>0</v>
      </c>
      <c r="Q225" s="4">
        <v>0</v>
      </c>
      <c r="R225" s="4">
        <v>0</v>
      </c>
      <c r="S225" s="4">
        <v>0</v>
      </c>
    </row>
    <row r="226" spans="1:19" x14ac:dyDescent="0.3">
      <c r="A226" s="100" t="s">
        <v>87</v>
      </c>
      <c r="B226" s="101"/>
      <c r="C226" s="101"/>
      <c r="D226" s="101"/>
      <c r="E226" s="101"/>
      <c r="F226" s="101"/>
      <c r="G226" s="101"/>
      <c r="H226" s="33">
        <f>H222+H223+H224+H225</f>
        <v>46.980000000000004</v>
      </c>
      <c r="I226" s="37">
        <f>I222+I223+I224+I225</f>
        <v>234.89999999999998</v>
      </c>
      <c r="J226">
        <v>5</v>
      </c>
    </row>
    <row r="227" spans="1:19" x14ac:dyDescent="0.3">
      <c r="A227" s="99" t="s">
        <v>377</v>
      </c>
      <c r="B227" s="99"/>
      <c r="C227" s="99"/>
      <c r="D227" s="99"/>
      <c r="E227" s="99"/>
      <c r="F227" s="99"/>
      <c r="G227" s="99"/>
      <c r="H227" s="99"/>
      <c r="I227" s="99"/>
    </row>
    <row r="228" spans="1:19" x14ac:dyDescent="0.3">
      <c r="B228" s="2">
        <v>41</v>
      </c>
      <c r="C228" s="3" t="s">
        <v>378</v>
      </c>
      <c r="D228" s="5" t="s">
        <v>29</v>
      </c>
      <c r="G228" s="30">
        <v>21</v>
      </c>
      <c r="H228" s="38">
        <f>1486.43/G228</f>
        <v>70.782380952380962</v>
      </c>
      <c r="I228" s="29">
        <f>G228*H228</f>
        <v>1486.4300000000003</v>
      </c>
      <c r="J228">
        <v>1</v>
      </c>
    </row>
    <row r="229" spans="1:19" x14ac:dyDescent="0.3">
      <c r="D229" s="15" t="str">
        <f>SUBSTITUTE("Sp.mat: 0.00%",".",IF(VALUE("1.2")=1.2,".",","),2)</f>
        <v>Sp.mat: 0.00%</v>
      </c>
      <c r="F229" s="15" t="str">
        <f>SUBSTITUTE("Sp.man: 0.00%",".",IF(VALUE("1.2")=1.2,".",","),2)</f>
        <v>Sp.man: 0.00%</v>
      </c>
      <c r="G229" s="35" t="str">
        <f>SUBSTITUTE("Sp.uti: 0.00%",".",IF(VALUE("1.2")=1.2,".",","),2)</f>
        <v>Sp.uti: 0.00%</v>
      </c>
      <c r="H229" s="38">
        <f>3027.21/G228</f>
        <v>144.15285714285716</v>
      </c>
      <c r="I229" s="29">
        <f>G228*H229</f>
        <v>3027.2100000000005</v>
      </c>
      <c r="J229">
        <v>2</v>
      </c>
    </row>
    <row r="230" spans="1:19" x14ac:dyDescent="0.3">
      <c r="A230" s="88" t="s">
        <v>379</v>
      </c>
      <c r="B230" s="98"/>
      <c r="C230" s="98"/>
      <c r="D230" s="98"/>
      <c r="E230" s="98"/>
      <c r="F230" s="98"/>
      <c r="G230" s="98"/>
      <c r="H230" s="38">
        <v>300.32</v>
      </c>
      <c r="I230" s="29">
        <f>G228*H230</f>
        <v>6306.72</v>
      </c>
      <c r="J230">
        <v>3</v>
      </c>
      <c r="K230" s="4">
        <v>11812.5</v>
      </c>
      <c r="L230" s="4">
        <v>0</v>
      </c>
      <c r="M230" s="4">
        <f>I230-K230-L230</f>
        <v>-5505.78</v>
      </c>
    </row>
    <row r="231" spans="1:19" x14ac:dyDescent="0.3">
      <c r="A231" s="98"/>
      <c r="B231" s="98"/>
      <c r="C231" s="98"/>
      <c r="D231" s="98"/>
      <c r="E231" s="98"/>
      <c r="F231" s="98"/>
      <c r="G231" s="98"/>
      <c r="H231" s="38">
        <f>0</f>
        <v>0</v>
      </c>
      <c r="I231" s="29">
        <f>G228*H231</f>
        <v>0</v>
      </c>
      <c r="J231">
        <v>4</v>
      </c>
      <c r="N231" s="4">
        <f>IF(ISERR(SEARCH("TRA* 82",C228)),IF(Q231+R231+S231=0,0,I231*(Q231/(Q231+R231+S231))),I231)</f>
        <v>0</v>
      </c>
      <c r="O231" s="4">
        <f>IF(ISERR(SEARCH("TRA* 82",C228)),IF(Q231+R231+S231=0,0,I231*(R231/(Q231+R231+S231))),0)</f>
        <v>0</v>
      </c>
      <c r="P231" s="4">
        <f>IF(ISERR(SEARCH("TRA* 82",C228)),I231-N231-O231,0)</f>
        <v>0</v>
      </c>
      <c r="Q231" s="4">
        <v>0</v>
      </c>
      <c r="R231" s="4">
        <v>0</v>
      </c>
      <c r="S231" s="4">
        <v>0</v>
      </c>
    </row>
    <row r="232" spans="1:19" x14ac:dyDescent="0.3">
      <c r="A232" s="96" t="s">
        <v>27</v>
      </c>
      <c r="B232" s="97"/>
      <c r="C232" s="97"/>
      <c r="D232" s="97"/>
      <c r="E232" s="97"/>
      <c r="F232" s="97"/>
      <c r="G232" s="97"/>
      <c r="H232" s="36">
        <f>H228+H229+H230+H231</f>
        <v>515.25523809523816</v>
      </c>
      <c r="I232" s="74">
        <f>I228+I229+I230+I231</f>
        <v>10820.36</v>
      </c>
      <c r="J232">
        <v>5</v>
      </c>
    </row>
    <row r="233" spans="1:19" x14ac:dyDescent="0.3">
      <c r="B233" s="2">
        <v>42</v>
      </c>
      <c r="C233" s="3" t="s">
        <v>378</v>
      </c>
      <c r="D233" s="5" t="s">
        <v>29</v>
      </c>
      <c r="G233" s="30">
        <v>1</v>
      </c>
      <c r="H233" s="38">
        <v>318.51</v>
      </c>
      <c r="I233" s="29">
        <f>G233*H233</f>
        <v>318.51</v>
      </c>
      <c r="J233">
        <v>1</v>
      </c>
    </row>
    <row r="234" spans="1:19" x14ac:dyDescent="0.3">
      <c r="D234" s="15" t="str">
        <f>SUBSTITUTE("Sp.mat: 0.00%",".",IF(VALUE("1.2")=1.2,".",","),2)</f>
        <v>Sp.mat: 0.00%</v>
      </c>
      <c r="F234" s="15" t="str">
        <f>SUBSTITUTE("Sp.man: 0.00%",".",IF(VALUE("1.2")=1.2,".",","),2)</f>
        <v>Sp.man: 0.00%</v>
      </c>
      <c r="G234" s="35" t="str">
        <f>SUBSTITUTE("Sp.uti: 0.00%",".",IF(VALUE("1.2")=1.2,".",","),2)</f>
        <v>Sp.uti: 0.00%</v>
      </c>
      <c r="H234" s="38">
        <v>144.15</v>
      </c>
      <c r="I234" s="29">
        <f>G233*H234</f>
        <v>144.15</v>
      </c>
      <c r="J234">
        <v>2</v>
      </c>
    </row>
    <row r="235" spans="1:19" x14ac:dyDescent="0.3">
      <c r="A235" s="88" t="s">
        <v>379</v>
      </c>
      <c r="B235" s="98"/>
      <c r="C235" s="98"/>
      <c r="D235" s="98"/>
      <c r="E235" s="98"/>
      <c r="F235" s="98"/>
      <c r="G235" s="98"/>
      <c r="H235" s="38">
        <v>300.32</v>
      </c>
      <c r="I235" s="29">
        <f>G233*H235</f>
        <v>300.32</v>
      </c>
      <c r="J235">
        <v>3</v>
      </c>
      <c r="K235" s="4">
        <v>562.5</v>
      </c>
      <c r="L235" s="4">
        <v>0</v>
      </c>
      <c r="M235" s="4">
        <f>I235-K235-L235</f>
        <v>-262.18</v>
      </c>
    </row>
    <row r="236" spans="1:19" x14ac:dyDescent="0.3">
      <c r="A236" s="98"/>
      <c r="B236" s="98"/>
      <c r="C236" s="98"/>
      <c r="D236" s="98"/>
      <c r="E236" s="98"/>
      <c r="F236" s="98"/>
      <c r="G236" s="98"/>
      <c r="H236" s="38">
        <f>0</f>
        <v>0</v>
      </c>
      <c r="I236" s="29">
        <f>G233*H236</f>
        <v>0</v>
      </c>
      <c r="J236">
        <v>4</v>
      </c>
      <c r="N236" s="4">
        <f>IF(ISERR(SEARCH("TRA* 82",C233)),IF(Q236+R236+S236=0,0,I236*(Q236/(Q236+R236+S236))),I236)</f>
        <v>0</v>
      </c>
      <c r="O236" s="4">
        <f>IF(ISERR(SEARCH("TRA* 82",C233)),IF(Q236+R236+S236=0,0,I236*(R236/(Q236+R236+S236))),0)</f>
        <v>0</v>
      </c>
      <c r="P236" s="4">
        <f>IF(ISERR(SEARCH("TRA* 82",C233)),I236-N236-O236,0)</f>
        <v>0</v>
      </c>
      <c r="Q236" s="4">
        <v>0</v>
      </c>
      <c r="R236" s="4">
        <v>0</v>
      </c>
      <c r="S236" s="4">
        <v>0</v>
      </c>
    </row>
    <row r="237" spans="1:19" x14ac:dyDescent="0.3">
      <c r="A237" s="96" t="s">
        <v>27</v>
      </c>
      <c r="B237" s="97"/>
      <c r="C237" s="97"/>
      <c r="D237" s="97"/>
      <c r="E237" s="97"/>
      <c r="F237" s="97"/>
      <c r="G237" s="97"/>
      <c r="H237" s="36">
        <f>H233+H234+H235+H236</f>
        <v>762.98</v>
      </c>
      <c r="I237" s="74">
        <f>I233+I234+I235+I236</f>
        <v>762.98</v>
      </c>
      <c r="J237">
        <v>5</v>
      </c>
    </row>
    <row r="238" spans="1:19" x14ac:dyDescent="0.3">
      <c r="B238" s="2">
        <v>43</v>
      </c>
      <c r="C238" s="3" t="s">
        <v>380</v>
      </c>
      <c r="D238" s="5" t="s">
        <v>29</v>
      </c>
      <c r="G238" s="30">
        <v>36</v>
      </c>
      <c r="H238" s="38">
        <v>39.42</v>
      </c>
      <c r="I238" s="29">
        <f>G238*H238</f>
        <v>1419.1200000000001</v>
      </c>
      <c r="J238">
        <v>1</v>
      </c>
    </row>
    <row r="239" spans="1:19" x14ac:dyDescent="0.3">
      <c r="D239" s="15" t="str">
        <f>SUBSTITUTE("Sp.mat: 0.00%",".",IF(VALUE("1.2")=1.2,".",","),2)</f>
        <v>Sp.mat: 0.00%</v>
      </c>
      <c r="F239" s="15" t="str">
        <f>SUBSTITUTE("Sp.man: 0.00%",".",IF(VALUE("1.2")=1.2,".",","),2)</f>
        <v>Sp.man: 0.00%</v>
      </c>
      <c r="G239" s="35" t="str">
        <f>SUBSTITUTE("Sp.uti: 0.00%",".",IF(VALUE("1.2")=1.2,".",","),2)</f>
        <v>Sp.uti: 0.00%</v>
      </c>
      <c r="H239" s="38">
        <v>6.09</v>
      </c>
      <c r="I239" s="29">
        <f>G238*H239</f>
        <v>219.24</v>
      </c>
      <c r="J239">
        <v>2</v>
      </c>
    </row>
    <row r="240" spans="1:19" x14ac:dyDescent="0.3">
      <c r="A240" s="88" t="s">
        <v>381</v>
      </c>
      <c r="B240" s="98"/>
      <c r="C240" s="98"/>
      <c r="D240" s="98"/>
      <c r="E240" s="98"/>
      <c r="F240" s="98"/>
      <c r="G240" s="98"/>
      <c r="H240" s="38">
        <f>(1+IF(OR(ISERR(FIND(":",G239)),ISERR(FIND("%",G239))),0,MID(G239,FIND(":",G239)+2,FIND("%",G239)-FIND(":",G239)-2)/100))*0</f>
        <v>0</v>
      </c>
      <c r="I240" s="29">
        <f>G238*H240</f>
        <v>0</v>
      </c>
      <c r="J240">
        <v>3</v>
      </c>
      <c r="K240" s="4">
        <v>0</v>
      </c>
      <c r="L240" s="4">
        <v>0</v>
      </c>
      <c r="M240" s="4">
        <f>I240-K240-L240</f>
        <v>0</v>
      </c>
    </row>
    <row r="241" spans="1:19" x14ac:dyDescent="0.3">
      <c r="A241" s="98"/>
      <c r="B241" s="98"/>
      <c r="C241" s="98"/>
      <c r="D241" s="98"/>
      <c r="E241" s="98"/>
      <c r="F241" s="98"/>
      <c r="G241" s="98"/>
      <c r="H241" s="38">
        <f>0</f>
        <v>0</v>
      </c>
      <c r="I241" s="29">
        <f>G238*H241</f>
        <v>0</v>
      </c>
      <c r="J241">
        <v>4</v>
      </c>
      <c r="N241" s="4">
        <f>IF(ISERR(SEARCH("TRA* 82",C238)),IF(Q241+R241+S241=0,0,I241*(Q241/(Q241+R241+S241))),I241)</f>
        <v>0</v>
      </c>
      <c r="O241" s="4">
        <f>IF(ISERR(SEARCH("TRA* 82",C238)),IF(Q241+R241+S241=0,0,I241*(R241/(Q241+R241+S241))),0)</f>
        <v>0</v>
      </c>
      <c r="P241" s="4">
        <f>IF(ISERR(SEARCH("TRA* 82",C238)),I241-N241-O241,0)</f>
        <v>0</v>
      </c>
      <c r="Q241" s="4">
        <v>0</v>
      </c>
      <c r="R241" s="4">
        <v>0</v>
      </c>
      <c r="S241" s="4">
        <v>0</v>
      </c>
    </row>
    <row r="242" spans="1:19" x14ac:dyDescent="0.3">
      <c r="A242" s="96" t="s">
        <v>27</v>
      </c>
      <c r="B242" s="97"/>
      <c r="C242" s="97"/>
      <c r="D242" s="97"/>
      <c r="E242" s="97"/>
      <c r="F242" s="97"/>
      <c r="G242" s="97"/>
      <c r="H242" s="36">
        <f>H238+H239+H240+H241</f>
        <v>45.510000000000005</v>
      </c>
      <c r="I242" s="74">
        <f>I238+I239+I240+I241</f>
        <v>1638.3600000000001</v>
      </c>
      <c r="J242">
        <v>5</v>
      </c>
    </row>
    <row r="243" spans="1:19" x14ac:dyDescent="0.3">
      <c r="B243" s="2">
        <v>44</v>
      </c>
      <c r="C243" s="3" t="s">
        <v>382</v>
      </c>
      <c r="D243" s="5" t="s">
        <v>29</v>
      </c>
      <c r="G243" s="30">
        <v>34</v>
      </c>
      <c r="H243" s="38">
        <v>17.09</v>
      </c>
      <c r="I243" s="29">
        <f>G243*H243</f>
        <v>581.05999999999995</v>
      </c>
      <c r="J243">
        <v>1</v>
      </c>
    </row>
    <row r="244" spans="1:19" x14ac:dyDescent="0.3">
      <c r="D244" s="15" t="str">
        <f>SUBSTITUTE("Sp.mat: 0.00%",".",IF(VALUE("1.2")=1.2,".",","),2)</f>
        <v>Sp.mat: 0.00%</v>
      </c>
      <c r="F244" s="15" t="str">
        <f>SUBSTITUTE("Sp.man: 0.00%",".",IF(VALUE("1.2")=1.2,".",","),2)</f>
        <v>Sp.man: 0.00%</v>
      </c>
      <c r="G244" s="35" t="str">
        <f>SUBSTITUTE("Sp.uti: 0.00%",".",IF(VALUE("1.2")=1.2,".",","),2)</f>
        <v>Sp.uti: 0.00%</v>
      </c>
      <c r="H244" s="38">
        <f>70.8/G243</f>
        <v>2.0823529411764703</v>
      </c>
      <c r="I244" s="29">
        <f>G243*H244</f>
        <v>70.799999999999983</v>
      </c>
      <c r="J244">
        <v>2</v>
      </c>
    </row>
    <row r="245" spans="1:19" x14ac:dyDescent="0.3">
      <c r="A245" s="88" t="s">
        <v>383</v>
      </c>
      <c r="B245" s="98"/>
      <c r="C245" s="98"/>
      <c r="D245" s="98"/>
      <c r="E245" s="98"/>
      <c r="F245" s="98"/>
      <c r="G245" s="98"/>
      <c r="H245" s="38">
        <f>(1+IF(OR(ISERR(FIND(":",G244)),ISERR(FIND("%",G244))),0,MID(G244,FIND(":",G244)+2,FIND("%",G244)-FIND(":",G244)-2)/100))*0</f>
        <v>0</v>
      </c>
      <c r="I245" s="29">
        <f>G243*H245</f>
        <v>0</v>
      </c>
      <c r="J245">
        <v>3</v>
      </c>
      <c r="K245" s="4">
        <v>0</v>
      </c>
      <c r="L245" s="4">
        <v>0</v>
      </c>
      <c r="M245" s="4">
        <f>I245-K245-L245</f>
        <v>0</v>
      </c>
    </row>
    <row r="246" spans="1:19" x14ac:dyDescent="0.3">
      <c r="A246" s="98"/>
      <c r="B246" s="98"/>
      <c r="C246" s="98"/>
      <c r="D246" s="98"/>
      <c r="E246" s="98"/>
      <c r="F246" s="98"/>
      <c r="G246" s="98"/>
      <c r="H246" s="38">
        <f>0</f>
        <v>0</v>
      </c>
      <c r="I246" s="29">
        <f>G243*H246</f>
        <v>0</v>
      </c>
      <c r="J246">
        <v>4</v>
      </c>
      <c r="N246" s="4">
        <f>IF(ISERR(SEARCH("TRA* 82",C243)),IF(Q246+R246+S246=0,0,I246*(Q246/(Q246+R246+S246))),I246)</f>
        <v>0</v>
      </c>
      <c r="O246" s="4">
        <f>IF(ISERR(SEARCH("TRA* 82",C243)),IF(Q246+R246+S246=0,0,I246*(R246/(Q246+R246+S246))),0)</f>
        <v>0</v>
      </c>
      <c r="P246" s="4">
        <f>IF(ISERR(SEARCH("TRA* 82",C243)),I246-N246-O246,0)</f>
        <v>0</v>
      </c>
      <c r="Q246" s="4">
        <v>0</v>
      </c>
      <c r="R246" s="4">
        <v>0</v>
      </c>
      <c r="S246" s="4">
        <v>0</v>
      </c>
    </row>
    <row r="247" spans="1:19" x14ac:dyDescent="0.3">
      <c r="A247" s="96" t="s">
        <v>27</v>
      </c>
      <c r="B247" s="97"/>
      <c r="C247" s="97"/>
      <c r="D247" s="97"/>
      <c r="E247" s="97"/>
      <c r="F247" s="97"/>
      <c r="G247" s="97"/>
      <c r="H247" s="36">
        <f>H243+H244+H245+H246</f>
        <v>19.17235294117647</v>
      </c>
      <c r="I247" s="74">
        <f>I243+I244+I245+I246</f>
        <v>651.8599999999999</v>
      </c>
      <c r="J247">
        <v>5</v>
      </c>
    </row>
    <row r="248" spans="1:19" x14ac:dyDescent="0.3">
      <c r="B248" s="2">
        <v>45</v>
      </c>
      <c r="C248" s="3" t="s">
        <v>384</v>
      </c>
      <c r="D248" s="5" t="s">
        <v>29</v>
      </c>
      <c r="G248" s="30">
        <v>3</v>
      </c>
      <c r="H248" s="38">
        <v>28.6</v>
      </c>
      <c r="I248" s="29">
        <f>G248*H248</f>
        <v>85.800000000000011</v>
      </c>
      <c r="J248">
        <v>1</v>
      </c>
    </row>
    <row r="249" spans="1:19" x14ac:dyDescent="0.3">
      <c r="D249" s="15" t="str">
        <f>SUBSTITUTE("Sp.mat: 0.00%",".",IF(VALUE("1.2")=1.2,".",","),2)</f>
        <v>Sp.mat: 0.00%</v>
      </c>
      <c r="F249" s="15" t="str">
        <f>SUBSTITUTE("Sp.man: 0.00%",".",IF(VALUE("1.2")=1.2,".",","),2)</f>
        <v>Sp.man: 0.00%</v>
      </c>
      <c r="G249" s="35" t="str">
        <f>SUBSTITUTE("Sp.uti: 0.00%",".",IF(VALUE("1.2")=1.2,".",","),2)</f>
        <v>Sp.uti: 0.00%</v>
      </c>
      <c r="H249" s="38">
        <f>6.25/G248</f>
        <v>2.0833333333333335</v>
      </c>
      <c r="I249" s="29">
        <f>G248*H249</f>
        <v>6.25</v>
      </c>
      <c r="J249">
        <v>2</v>
      </c>
    </row>
    <row r="250" spans="1:19" x14ac:dyDescent="0.3">
      <c r="A250" s="88" t="s">
        <v>385</v>
      </c>
      <c r="B250" s="98"/>
      <c r="C250" s="98"/>
      <c r="D250" s="98"/>
      <c r="E250" s="98"/>
      <c r="F250" s="98"/>
      <c r="G250" s="98"/>
      <c r="H250" s="38">
        <f>(1+IF(OR(ISERR(FIND(":",G249)),ISERR(FIND("%",G249))),0,MID(G249,FIND(":",G249)+2,FIND("%",G249)-FIND(":",G249)-2)/100))*0</f>
        <v>0</v>
      </c>
      <c r="I250" s="29">
        <f>G248*H250</f>
        <v>0</v>
      </c>
      <c r="J250">
        <v>3</v>
      </c>
      <c r="K250" s="4">
        <v>0</v>
      </c>
      <c r="L250" s="4">
        <v>0</v>
      </c>
      <c r="M250" s="4">
        <f>I250-K250-L250</f>
        <v>0</v>
      </c>
    </row>
    <row r="251" spans="1:19" x14ac:dyDescent="0.3">
      <c r="A251" s="98"/>
      <c r="B251" s="98"/>
      <c r="C251" s="98"/>
      <c r="D251" s="98"/>
      <c r="E251" s="98"/>
      <c r="F251" s="98"/>
      <c r="G251" s="98"/>
      <c r="H251" s="38">
        <f>0</f>
        <v>0</v>
      </c>
      <c r="I251" s="29">
        <f>G248*H251</f>
        <v>0</v>
      </c>
      <c r="J251">
        <v>4</v>
      </c>
      <c r="N251" s="4">
        <f>IF(ISERR(SEARCH("TRA* 82",C248)),IF(Q251+R251+S251=0,0,I251*(Q251/(Q251+R251+S251))),I251)</f>
        <v>0</v>
      </c>
      <c r="O251" s="4">
        <f>IF(ISERR(SEARCH("TRA* 82",C248)),IF(Q251+R251+S251=0,0,I251*(R251/(Q251+R251+S251))),0)</f>
        <v>0</v>
      </c>
      <c r="P251" s="4">
        <f>IF(ISERR(SEARCH("TRA* 82",C248)),I251-N251-O251,0)</f>
        <v>0</v>
      </c>
      <c r="Q251" s="4">
        <v>0</v>
      </c>
      <c r="R251" s="4">
        <v>0</v>
      </c>
      <c r="S251" s="4">
        <v>0</v>
      </c>
    </row>
    <row r="252" spans="1:19" x14ac:dyDescent="0.3">
      <c r="A252" s="96" t="s">
        <v>386</v>
      </c>
      <c r="B252" s="97"/>
      <c r="C252" s="97"/>
      <c r="D252" s="97"/>
      <c r="E252" s="97"/>
      <c r="F252" s="97"/>
      <c r="G252" s="97"/>
      <c r="H252" s="36">
        <f>H248+H249+H250+H251</f>
        <v>30.683333333333334</v>
      </c>
      <c r="I252" s="74">
        <f>I248+I249+I250+I251</f>
        <v>92.050000000000011</v>
      </c>
      <c r="J252">
        <v>5</v>
      </c>
    </row>
    <row r="253" spans="1:19" x14ac:dyDescent="0.3">
      <c r="B253" s="2">
        <v>46</v>
      </c>
      <c r="C253" s="3" t="s">
        <v>387</v>
      </c>
      <c r="D253" s="5" t="s">
        <v>29</v>
      </c>
      <c r="G253" s="30">
        <v>3</v>
      </c>
      <c r="H253" s="38">
        <f>114.13/G253</f>
        <v>38.043333333333329</v>
      </c>
      <c r="I253" s="29">
        <f>G253*H253</f>
        <v>114.13</v>
      </c>
      <c r="J253">
        <v>1</v>
      </c>
    </row>
    <row r="254" spans="1:19" x14ac:dyDescent="0.3">
      <c r="D254" s="15" t="str">
        <f>SUBSTITUTE("Sp.mat: 0.00%",".",IF(VALUE("1.2")=1.2,".",","),2)</f>
        <v>Sp.mat: 0.00%</v>
      </c>
      <c r="F254" s="15" t="str">
        <f>SUBSTITUTE("Sp.man: 0.00%",".",IF(VALUE("1.2")=1.2,".",","),2)</f>
        <v>Sp.man: 0.00%</v>
      </c>
      <c r="G254" s="35" t="str">
        <f>SUBSTITUTE("Sp.uti: 0.00%",".",IF(VALUE("1.2")=1.2,".",","),2)</f>
        <v>Sp.uti: 0.00%</v>
      </c>
      <c r="H254" s="38">
        <f>6.25/G253</f>
        <v>2.0833333333333335</v>
      </c>
      <c r="I254" s="29">
        <f>G253*H254</f>
        <v>6.25</v>
      </c>
      <c r="J254">
        <v>2</v>
      </c>
    </row>
    <row r="255" spans="1:19" x14ac:dyDescent="0.3">
      <c r="A255" s="88" t="s">
        <v>388</v>
      </c>
      <c r="B255" s="98"/>
      <c r="C255" s="98"/>
      <c r="D255" s="98"/>
      <c r="E255" s="98"/>
      <c r="F255" s="98"/>
      <c r="G255" s="98"/>
      <c r="H255" s="38">
        <f>(1+IF(OR(ISERR(FIND(":",G254)),ISERR(FIND("%",G254))),0,MID(G254,FIND(":",G254)+2,FIND("%",G254)-FIND(":",G254)-2)/100))*0</f>
        <v>0</v>
      </c>
      <c r="I255" s="29">
        <f>G253*H255</f>
        <v>0</v>
      </c>
      <c r="J255">
        <v>3</v>
      </c>
      <c r="K255" s="4">
        <v>0</v>
      </c>
      <c r="L255" s="4">
        <v>0</v>
      </c>
      <c r="M255" s="4">
        <f>I255-K255-L255</f>
        <v>0</v>
      </c>
    </row>
    <row r="256" spans="1:19" x14ac:dyDescent="0.3">
      <c r="A256" s="98"/>
      <c r="B256" s="98"/>
      <c r="C256" s="98"/>
      <c r="D256" s="98"/>
      <c r="E256" s="98"/>
      <c r="F256" s="98"/>
      <c r="G256" s="98"/>
      <c r="H256" s="38">
        <f>0</f>
        <v>0</v>
      </c>
      <c r="I256" s="29">
        <f>G253*H256</f>
        <v>0</v>
      </c>
      <c r="J256">
        <v>4</v>
      </c>
      <c r="N256" s="4">
        <f>IF(ISERR(SEARCH("TRA* 82",C253)),IF(Q256+R256+S256=0,0,I256*(Q256/(Q256+R256+S256))),I256)</f>
        <v>0</v>
      </c>
      <c r="O256" s="4">
        <f>IF(ISERR(SEARCH("TRA* 82",C253)),IF(Q256+R256+S256=0,0,I256*(R256/(Q256+R256+S256))),0)</f>
        <v>0</v>
      </c>
      <c r="P256" s="4">
        <f>IF(ISERR(SEARCH("TRA* 82",C253)),I256-N256-O256,0)</f>
        <v>0</v>
      </c>
      <c r="Q256" s="4">
        <v>0</v>
      </c>
      <c r="R256" s="4">
        <v>0</v>
      </c>
      <c r="S256" s="4">
        <v>0</v>
      </c>
    </row>
    <row r="257" spans="1:19" x14ac:dyDescent="0.3">
      <c r="A257" s="96" t="s">
        <v>389</v>
      </c>
      <c r="B257" s="97"/>
      <c r="C257" s="97"/>
      <c r="D257" s="97"/>
      <c r="E257" s="97"/>
      <c r="F257" s="97"/>
      <c r="G257" s="97"/>
      <c r="H257" s="36">
        <f>H253+H254+H255+H256</f>
        <v>40.126666666666665</v>
      </c>
      <c r="I257" s="74">
        <f>I253+I254+I255+I256</f>
        <v>120.38</v>
      </c>
      <c r="J257">
        <v>5</v>
      </c>
    </row>
    <row r="258" spans="1:19" x14ac:dyDescent="0.3">
      <c r="B258" s="2">
        <v>47</v>
      </c>
      <c r="C258" s="3" t="s">
        <v>390</v>
      </c>
      <c r="D258" s="5" t="s">
        <v>29</v>
      </c>
      <c r="G258" s="30">
        <v>4</v>
      </c>
      <c r="H258" s="38">
        <v>183.77</v>
      </c>
      <c r="I258" s="29">
        <f>G258*H258</f>
        <v>735.08</v>
      </c>
      <c r="J258">
        <v>1</v>
      </c>
    </row>
    <row r="259" spans="1:19" x14ac:dyDescent="0.3">
      <c r="D259" s="15" t="str">
        <f>SUBSTITUTE("Sp.mat: 0.00%",".",IF(VALUE("1.2")=1.2,".",","),2)</f>
        <v>Sp.mat: 0.00%</v>
      </c>
      <c r="F259" s="15" t="str">
        <f>SUBSTITUTE("Sp.man: 0.00%",".",IF(VALUE("1.2")=1.2,".",","),2)</f>
        <v>Sp.man: 0.00%</v>
      </c>
      <c r="G259" s="35" t="str">
        <f>SUBSTITUTE("Sp.uti: 0.00%",".",IF(VALUE("1.2")=1.2,".",","),2)</f>
        <v>Sp.uti: 0.00%</v>
      </c>
      <c r="H259" s="38">
        <f>14.09/G258</f>
        <v>3.5225</v>
      </c>
      <c r="I259" s="29">
        <f>G258*H259</f>
        <v>14.09</v>
      </c>
      <c r="J259">
        <v>2</v>
      </c>
    </row>
    <row r="260" spans="1:19" x14ac:dyDescent="0.3">
      <c r="A260" s="88" t="s">
        <v>391</v>
      </c>
      <c r="B260" s="98"/>
      <c r="C260" s="98"/>
      <c r="D260" s="98"/>
      <c r="E260" s="98"/>
      <c r="F260" s="98"/>
      <c r="G260" s="98"/>
      <c r="H260" s="38">
        <f>(1+IF(OR(ISERR(FIND(":",G259)),ISERR(FIND("%",G259))),0,MID(G259,FIND(":",G259)+2,FIND("%",G259)-FIND(":",G259)-2)/100))*0</f>
        <v>0</v>
      </c>
      <c r="I260" s="29">
        <f>G258*H260</f>
        <v>0</v>
      </c>
      <c r="J260">
        <v>3</v>
      </c>
      <c r="K260" s="4">
        <v>0</v>
      </c>
      <c r="L260" s="4">
        <v>0</v>
      </c>
      <c r="M260" s="4">
        <f>I260-K260-L260</f>
        <v>0</v>
      </c>
    </row>
    <row r="261" spans="1:19" x14ac:dyDescent="0.3">
      <c r="A261" s="98"/>
      <c r="B261" s="98"/>
      <c r="C261" s="98"/>
      <c r="D261" s="98"/>
      <c r="E261" s="98"/>
      <c r="F261" s="98"/>
      <c r="G261" s="98"/>
      <c r="H261" s="38">
        <f>0</f>
        <v>0</v>
      </c>
      <c r="I261" s="29">
        <f>G258*H261</f>
        <v>0</v>
      </c>
      <c r="J261">
        <v>4</v>
      </c>
      <c r="N261" s="4">
        <f>IF(ISERR(SEARCH("TRA* 82",C258)),IF(Q261+R261+S261=0,0,I261*(Q261/(Q261+R261+S261))),I261)</f>
        <v>0</v>
      </c>
      <c r="O261" s="4">
        <f>IF(ISERR(SEARCH("TRA* 82",C258)),IF(Q261+R261+S261=0,0,I261*(R261/(Q261+R261+S261))),0)</f>
        <v>0</v>
      </c>
      <c r="P261" s="4">
        <f>IF(ISERR(SEARCH("TRA* 82",C258)),I261-N261-O261,0)</f>
        <v>0</v>
      </c>
      <c r="Q261" s="4">
        <v>0</v>
      </c>
      <c r="R261" s="4">
        <v>0</v>
      </c>
      <c r="S261" s="4">
        <v>0</v>
      </c>
    </row>
    <row r="262" spans="1:19" x14ac:dyDescent="0.3">
      <c r="A262" s="96" t="s">
        <v>392</v>
      </c>
      <c r="B262" s="97"/>
      <c r="C262" s="97"/>
      <c r="D262" s="97"/>
      <c r="E262" s="97"/>
      <c r="F262" s="97"/>
      <c r="G262" s="97"/>
      <c r="H262" s="36">
        <f>H258+H259+H260+H261</f>
        <v>187.29250000000002</v>
      </c>
      <c r="I262" s="74">
        <f>I258+I259+I260+I261</f>
        <v>749.17000000000007</v>
      </c>
      <c r="J262">
        <v>5</v>
      </c>
    </row>
    <row r="263" spans="1:19" x14ac:dyDescent="0.3">
      <c r="B263" s="2">
        <v>48</v>
      </c>
      <c r="C263" s="3" t="s">
        <v>393</v>
      </c>
      <c r="D263" s="5" t="s">
        <v>25</v>
      </c>
      <c r="G263" s="30">
        <v>30</v>
      </c>
      <c r="H263" s="38">
        <f>135.65/G263</f>
        <v>4.5216666666666665</v>
      </c>
      <c r="I263" s="29">
        <f>G263*H263</f>
        <v>135.65</v>
      </c>
      <c r="J263">
        <v>1</v>
      </c>
    </row>
    <row r="264" spans="1:19" x14ac:dyDescent="0.3">
      <c r="D264" s="15" t="str">
        <f>SUBSTITUTE("Sp.mat: 0.00%",".",IF(VALUE("1.2")=1.2,".",","),2)</f>
        <v>Sp.mat: 0.00%</v>
      </c>
      <c r="F264" s="15" t="str">
        <f>SUBSTITUTE("Sp.man: 0.00%",".",IF(VALUE("1.2")=1.2,".",","),2)</f>
        <v>Sp.man: 0.00%</v>
      </c>
      <c r="G264" s="35" t="str">
        <f>SUBSTITUTE("Sp.uti: 0.00%",".",IF(VALUE("1.2")=1.2,".",","),2)</f>
        <v>Sp.uti: 0.00%</v>
      </c>
      <c r="H264" s="38">
        <v>17.62</v>
      </c>
      <c r="I264" s="29">
        <f>G263*H264</f>
        <v>528.6</v>
      </c>
      <c r="J264">
        <v>2</v>
      </c>
    </row>
    <row r="265" spans="1:19" x14ac:dyDescent="0.3">
      <c r="A265" s="88" t="s">
        <v>394</v>
      </c>
      <c r="B265" s="98"/>
      <c r="C265" s="98"/>
      <c r="D265" s="98"/>
      <c r="E265" s="98"/>
      <c r="F265" s="98"/>
      <c r="G265" s="98"/>
      <c r="H265" s="38">
        <f>(1+IF(OR(ISERR(FIND(":",G264)),ISERR(FIND("%",G264))),0,MID(G264,FIND(":",G264)+2,FIND("%",G264)-FIND(":",G264)-2)/100))*0</f>
        <v>0</v>
      </c>
      <c r="I265" s="29">
        <f>G263*H265</f>
        <v>0</v>
      </c>
      <c r="J265">
        <v>3</v>
      </c>
      <c r="K265" s="4">
        <v>0</v>
      </c>
      <c r="L265" s="4">
        <v>0</v>
      </c>
      <c r="M265" s="4">
        <f>I265-K265-L265</f>
        <v>0</v>
      </c>
    </row>
    <row r="266" spans="1:19" x14ac:dyDescent="0.3">
      <c r="A266" s="98"/>
      <c r="B266" s="98"/>
      <c r="C266" s="98"/>
      <c r="D266" s="98"/>
      <c r="E266" s="98"/>
      <c r="F266" s="98"/>
      <c r="G266" s="98"/>
      <c r="H266" s="38">
        <f>0</f>
        <v>0</v>
      </c>
      <c r="I266" s="29">
        <f>G263*H266</f>
        <v>0</v>
      </c>
      <c r="J266">
        <v>4</v>
      </c>
      <c r="N266" s="4">
        <f>IF(ISERR(SEARCH("TRA* 82",C263)),IF(Q266+R266+S266=0,0,I266*(Q266/(Q266+R266+S266))),I266)</f>
        <v>0</v>
      </c>
      <c r="O266" s="4">
        <f>IF(ISERR(SEARCH("TRA* 82",C263)),IF(Q266+R266+S266=0,0,I266*(R266/(Q266+R266+S266))),0)</f>
        <v>0</v>
      </c>
      <c r="P266" s="4">
        <f>IF(ISERR(SEARCH("TRA* 82",C263)),I266-N266-O266,0)</f>
        <v>0</v>
      </c>
      <c r="Q266" s="4">
        <v>0</v>
      </c>
      <c r="R266" s="4">
        <v>0</v>
      </c>
      <c r="S266" s="4">
        <v>0</v>
      </c>
    </row>
    <row r="267" spans="1:19" x14ac:dyDescent="0.3">
      <c r="A267" s="100" t="s">
        <v>27</v>
      </c>
      <c r="B267" s="101"/>
      <c r="C267" s="101"/>
      <c r="D267" s="101"/>
      <c r="E267" s="101"/>
      <c r="F267" s="101"/>
      <c r="G267" s="101"/>
      <c r="H267" s="33">
        <f>H263+H264+H265+H266</f>
        <v>22.141666666666666</v>
      </c>
      <c r="I267" s="37">
        <f>I263+I264+I265+I266</f>
        <v>664.25</v>
      </c>
      <c r="J267">
        <v>5</v>
      </c>
    </row>
    <row r="268" spans="1:19" x14ac:dyDescent="0.3">
      <c r="A268" s="99" t="s">
        <v>395</v>
      </c>
      <c r="B268" s="99"/>
      <c r="C268" s="99"/>
      <c r="D268" s="99"/>
      <c r="E268" s="99"/>
      <c r="F268" s="99"/>
      <c r="G268" s="99"/>
      <c r="H268" s="99"/>
      <c r="I268" s="99"/>
    </row>
    <row r="269" spans="1:19" x14ac:dyDescent="0.3">
      <c r="B269" s="2">
        <v>49</v>
      </c>
      <c r="C269" s="3" t="s">
        <v>393</v>
      </c>
      <c r="D269" s="5" t="s">
        <v>25</v>
      </c>
      <c r="G269" s="30">
        <v>25</v>
      </c>
      <c r="H269" s="38">
        <v>5.45</v>
      </c>
      <c r="I269" s="29">
        <f>G269*H269</f>
        <v>136.25</v>
      </c>
      <c r="J269">
        <v>1</v>
      </c>
    </row>
    <row r="270" spans="1:19" x14ac:dyDescent="0.3">
      <c r="D270" s="15" t="str">
        <f>SUBSTITUTE("Sp.mat: 0.00%",".",IF(VALUE("1.2")=1.2,".",","),2)</f>
        <v>Sp.mat: 0.00%</v>
      </c>
      <c r="F270" s="15" t="str">
        <f>SUBSTITUTE("Sp.man: 0.00%",".",IF(VALUE("1.2")=1.2,".",","),2)</f>
        <v>Sp.man: 0.00%</v>
      </c>
      <c r="G270" s="35" t="str">
        <f>SUBSTITUTE("Sp.uti: 0.00%",".",IF(VALUE("1.2")=1.2,".",","),2)</f>
        <v>Sp.uti: 0.00%</v>
      </c>
      <c r="H270" s="38">
        <v>17.62</v>
      </c>
      <c r="I270" s="29">
        <f>G269*H270</f>
        <v>440.5</v>
      </c>
      <c r="J270">
        <v>2</v>
      </c>
    </row>
    <row r="271" spans="1:19" x14ac:dyDescent="0.3">
      <c r="A271" s="88" t="s">
        <v>394</v>
      </c>
      <c r="B271" s="98"/>
      <c r="C271" s="98"/>
      <c r="D271" s="98"/>
      <c r="E271" s="98"/>
      <c r="F271" s="98"/>
      <c r="G271" s="98"/>
      <c r="H271" s="38">
        <f>(1+IF(OR(ISERR(FIND(":",G270)),ISERR(FIND("%",G270))),0,MID(G270,FIND(":",G270)+2,FIND("%",G270)-FIND(":",G270)-2)/100))*0</f>
        <v>0</v>
      </c>
      <c r="I271" s="29">
        <f>G269*H271</f>
        <v>0</v>
      </c>
      <c r="J271">
        <v>3</v>
      </c>
      <c r="K271" s="4">
        <v>0</v>
      </c>
      <c r="L271" s="4">
        <v>0</v>
      </c>
      <c r="M271" s="4">
        <f>I271-K271-L271</f>
        <v>0</v>
      </c>
    </row>
    <row r="272" spans="1:19" x14ac:dyDescent="0.3">
      <c r="A272" s="98"/>
      <c r="B272" s="98"/>
      <c r="C272" s="98"/>
      <c r="D272" s="98"/>
      <c r="E272" s="98"/>
      <c r="F272" s="98"/>
      <c r="G272" s="98"/>
      <c r="H272" s="38">
        <f>0</f>
        <v>0</v>
      </c>
      <c r="I272" s="29">
        <f>G269*H272</f>
        <v>0</v>
      </c>
      <c r="J272">
        <v>4</v>
      </c>
      <c r="N272" s="4">
        <f>IF(ISERR(SEARCH("TRA* 82",C269)),IF(Q272+R272+S272=0,0,I272*(Q272/(Q272+R272+S272))),I272)</f>
        <v>0</v>
      </c>
      <c r="O272" s="4">
        <f>IF(ISERR(SEARCH("TRA* 82",C269)),IF(Q272+R272+S272=0,0,I272*(R272/(Q272+R272+S272))),0)</f>
        <v>0</v>
      </c>
      <c r="P272" s="4">
        <f>IF(ISERR(SEARCH("TRA* 82",C269)),I272-N272-O272,0)</f>
        <v>0</v>
      </c>
      <c r="Q272" s="4">
        <v>0</v>
      </c>
      <c r="R272" s="4">
        <v>0</v>
      </c>
      <c r="S272" s="4">
        <v>0</v>
      </c>
    </row>
    <row r="273" spans="1:19" x14ac:dyDescent="0.3">
      <c r="A273" s="100" t="s">
        <v>27</v>
      </c>
      <c r="B273" s="101"/>
      <c r="C273" s="101"/>
      <c r="D273" s="101"/>
      <c r="E273" s="101"/>
      <c r="F273" s="101"/>
      <c r="G273" s="101"/>
      <c r="H273" s="33">
        <f>H269+H270+H271+H272</f>
        <v>23.07</v>
      </c>
      <c r="I273" s="37">
        <f>I269+I270+I271+I272</f>
        <v>576.75</v>
      </c>
      <c r="J273">
        <v>5</v>
      </c>
    </row>
    <row r="274" spans="1:19" x14ac:dyDescent="0.3">
      <c r="A274" s="102" t="s">
        <v>396</v>
      </c>
      <c r="B274" s="102"/>
      <c r="C274" s="102"/>
      <c r="D274" s="102"/>
      <c r="E274" s="102"/>
      <c r="F274" s="102"/>
      <c r="G274" s="102"/>
      <c r="H274" s="102"/>
      <c r="I274" s="102"/>
    </row>
    <row r="275" spans="1:19" x14ac:dyDescent="0.3">
      <c r="A275" s="97" t="s">
        <v>397</v>
      </c>
      <c r="B275" s="97"/>
      <c r="C275" s="97"/>
      <c r="D275" s="97"/>
      <c r="E275" s="97"/>
      <c r="F275" s="97"/>
      <c r="G275" s="97"/>
      <c r="H275" s="97"/>
      <c r="I275" s="97"/>
    </row>
    <row r="276" spans="1:19" x14ac:dyDescent="0.3">
      <c r="B276" s="2">
        <v>50</v>
      </c>
      <c r="C276" s="3" t="s">
        <v>398</v>
      </c>
      <c r="D276" s="5" t="s">
        <v>25</v>
      </c>
      <c r="G276" s="30">
        <v>25</v>
      </c>
      <c r="H276" s="38">
        <v>8</v>
      </c>
      <c r="I276" s="29">
        <f>G276*H276</f>
        <v>200</v>
      </c>
      <c r="J276">
        <v>1</v>
      </c>
    </row>
    <row r="277" spans="1:19" x14ac:dyDescent="0.3">
      <c r="D277" s="15" t="str">
        <f>SUBSTITUTE("Sp.mat: 0.00%",".",IF(VALUE("1.2")=1.2,".",","),2)</f>
        <v>Sp.mat: 0.00%</v>
      </c>
      <c r="F277" s="15" t="str">
        <f>SUBSTITUTE("Sp.man: 0.00%",".",IF(VALUE("1.2")=1.2,".",","),2)</f>
        <v>Sp.man: 0.00%</v>
      </c>
      <c r="G277" s="35" t="str">
        <f>SUBSTITUTE("Sp.uti: 0.00%",".",IF(VALUE("1.2")=1.2,".",","),2)</f>
        <v>Sp.uti: 0.00%</v>
      </c>
      <c r="H277" s="38">
        <v>15.22</v>
      </c>
      <c r="I277" s="29">
        <f>G276*H277</f>
        <v>380.5</v>
      </c>
      <c r="J277">
        <v>2</v>
      </c>
    </row>
    <row r="278" spans="1:19" x14ac:dyDescent="0.3">
      <c r="A278" s="88" t="s">
        <v>399</v>
      </c>
      <c r="B278" s="98"/>
      <c r="C278" s="98"/>
      <c r="D278" s="98"/>
      <c r="E278" s="98"/>
      <c r="F278" s="98"/>
      <c r="G278" s="98"/>
      <c r="H278" s="38">
        <f>(1+IF(OR(ISERR(FIND(":",G277)),ISERR(FIND("%",G277))),0,MID(G277,FIND(":",G277)+2,FIND("%",G277)-FIND(":",G277)-2)/100))*0</f>
        <v>0</v>
      </c>
      <c r="I278" s="29">
        <f>G276*H278</f>
        <v>0</v>
      </c>
      <c r="J278">
        <v>3</v>
      </c>
      <c r="K278" s="4">
        <v>0</v>
      </c>
      <c r="L278" s="4">
        <v>0</v>
      </c>
      <c r="M278" s="4">
        <f>I278-K278-L278</f>
        <v>0</v>
      </c>
    </row>
    <row r="279" spans="1:19" x14ac:dyDescent="0.3">
      <c r="A279" s="98"/>
      <c r="B279" s="98"/>
      <c r="C279" s="98"/>
      <c r="D279" s="98"/>
      <c r="E279" s="98"/>
      <c r="F279" s="98"/>
      <c r="G279" s="98"/>
      <c r="H279" s="38">
        <f>0</f>
        <v>0</v>
      </c>
      <c r="I279" s="29">
        <f>G276*H279</f>
        <v>0</v>
      </c>
      <c r="J279">
        <v>4</v>
      </c>
      <c r="N279" s="4">
        <f>IF(ISERR(SEARCH("TRA* 82",C276)),IF(Q279+R279+S279=0,0,I279*(Q279/(Q279+R279+S279))),I279)</f>
        <v>0</v>
      </c>
      <c r="O279" s="4">
        <f>IF(ISERR(SEARCH("TRA* 82",C276)),IF(Q279+R279+S279=0,0,I279*(R279/(Q279+R279+S279))),0)</f>
        <v>0</v>
      </c>
      <c r="P279" s="4">
        <f>IF(ISERR(SEARCH("TRA* 82",C276)),I279-N279-O279,0)</f>
        <v>0</v>
      </c>
      <c r="Q279" s="4">
        <v>0</v>
      </c>
      <c r="R279" s="4">
        <v>0</v>
      </c>
      <c r="S279" s="4">
        <v>0</v>
      </c>
    </row>
    <row r="280" spans="1:19" x14ac:dyDescent="0.3">
      <c r="A280" s="100" t="s">
        <v>27</v>
      </c>
      <c r="B280" s="101"/>
      <c r="C280" s="101"/>
      <c r="D280" s="101"/>
      <c r="E280" s="101"/>
      <c r="F280" s="101"/>
      <c r="G280" s="101"/>
      <c r="H280" s="33">
        <f>H276+H277+H278+H279</f>
        <v>23.22</v>
      </c>
      <c r="I280" s="37">
        <f>I276+I277+I278+I279</f>
        <v>580.5</v>
      </c>
      <c r="J280">
        <v>5</v>
      </c>
    </row>
    <row r="281" spans="1:19" x14ac:dyDescent="0.3">
      <c r="A281" s="102" t="s">
        <v>400</v>
      </c>
      <c r="B281" s="102"/>
      <c r="C281" s="102"/>
      <c r="D281" s="102"/>
      <c r="E281" s="102"/>
      <c r="F281" s="102"/>
      <c r="G281" s="102"/>
      <c r="H281" s="102"/>
      <c r="I281" s="102"/>
    </row>
    <row r="282" spans="1:19" x14ac:dyDescent="0.3">
      <c r="A282" s="97" t="s">
        <v>397</v>
      </c>
      <c r="B282" s="97"/>
      <c r="C282" s="97"/>
      <c r="D282" s="97"/>
      <c r="E282" s="97"/>
      <c r="F282" s="97"/>
      <c r="G282" s="97"/>
      <c r="H282" s="97"/>
      <c r="I282" s="97"/>
    </row>
    <row r="283" spans="1:19" x14ac:dyDescent="0.3">
      <c r="B283" s="2">
        <v>51</v>
      </c>
      <c r="C283" s="3" t="s">
        <v>398</v>
      </c>
      <c r="D283" s="5" t="s">
        <v>25</v>
      </c>
      <c r="G283" s="30">
        <v>20</v>
      </c>
      <c r="H283" s="38">
        <v>10.83</v>
      </c>
      <c r="I283" s="29">
        <f>G283*H283</f>
        <v>216.6</v>
      </c>
      <c r="J283">
        <v>1</v>
      </c>
    </row>
    <row r="284" spans="1:19" x14ac:dyDescent="0.3">
      <c r="D284" s="15" t="str">
        <f>SUBSTITUTE("Sp.mat: 0.00%",".",IF(VALUE("1.2")=1.2,".",","),2)</f>
        <v>Sp.mat: 0.00%</v>
      </c>
      <c r="F284" s="15" t="str">
        <f>SUBSTITUTE("Sp.man: 0.00%",".",IF(VALUE("1.2")=1.2,".",","),2)</f>
        <v>Sp.man: 0.00%</v>
      </c>
      <c r="G284" s="35" t="str">
        <f>SUBSTITUTE("Sp.uti: 0.00%",".",IF(VALUE("1.2")=1.2,".",","),2)</f>
        <v>Sp.uti: 0.00%</v>
      </c>
      <c r="H284" s="38">
        <v>15.22</v>
      </c>
      <c r="I284" s="29">
        <f>G283*H284</f>
        <v>304.40000000000003</v>
      </c>
      <c r="J284">
        <v>2</v>
      </c>
    </row>
    <row r="285" spans="1:19" x14ac:dyDescent="0.3">
      <c r="A285" s="88" t="s">
        <v>399</v>
      </c>
      <c r="B285" s="98"/>
      <c r="C285" s="98"/>
      <c r="D285" s="98"/>
      <c r="E285" s="98"/>
      <c r="F285" s="98"/>
      <c r="G285" s="98"/>
      <c r="H285" s="38">
        <f>(1+IF(OR(ISERR(FIND(":",G284)),ISERR(FIND("%",G284))),0,MID(G284,FIND(":",G284)+2,FIND("%",G284)-FIND(":",G284)-2)/100))*0</f>
        <v>0</v>
      </c>
      <c r="I285" s="29">
        <f>G283*H285</f>
        <v>0</v>
      </c>
      <c r="J285">
        <v>3</v>
      </c>
      <c r="K285" s="4">
        <v>0</v>
      </c>
      <c r="L285" s="4">
        <v>0</v>
      </c>
      <c r="M285" s="4">
        <f>I285-K285-L285</f>
        <v>0</v>
      </c>
    </row>
    <row r="286" spans="1:19" x14ac:dyDescent="0.3">
      <c r="A286" s="98"/>
      <c r="B286" s="98"/>
      <c r="C286" s="98"/>
      <c r="D286" s="98"/>
      <c r="E286" s="98"/>
      <c r="F286" s="98"/>
      <c r="G286" s="98"/>
      <c r="H286" s="38">
        <f>0</f>
        <v>0</v>
      </c>
      <c r="I286" s="29">
        <f>G283*H286</f>
        <v>0</v>
      </c>
      <c r="J286">
        <v>4</v>
      </c>
      <c r="N286" s="4">
        <f>IF(ISERR(SEARCH("TRA* 82",C283)),IF(Q286+R286+S286=0,0,I286*(Q286/(Q286+R286+S286))),I286)</f>
        <v>0</v>
      </c>
      <c r="O286" s="4">
        <f>IF(ISERR(SEARCH("TRA* 82",C283)),IF(Q286+R286+S286=0,0,I286*(R286/(Q286+R286+S286))),0)</f>
        <v>0</v>
      </c>
      <c r="P286" s="4">
        <f>IF(ISERR(SEARCH("TRA* 82",C283)),I286-N286-O286,0)</f>
        <v>0</v>
      </c>
      <c r="Q286" s="4">
        <v>0</v>
      </c>
      <c r="R286" s="4">
        <v>0</v>
      </c>
      <c r="S286" s="4">
        <v>0</v>
      </c>
    </row>
    <row r="287" spans="1:19" x14ac:dyDescent="0.3">
      <c r="A287" s="100" t="s">
        <v>27</v>
      </c>
      <c r="B287" s="101"/>
      <c r="C287" s="101"/>
      <c r="D287" s="101"/>
      <c r="E287" s="101"/>
      <c r="F287" s="101"/>
      <c r="G287" s="101"/>
      <c r="H287" s="33">
        <f>H283+H284+H285+H286</f>
        <v>26.05</v>
      </c>
      <c r="I287" s="37">
        <f>I283+I284+I285+I286</f>
        <v>521</v>
      </c>
      <c r="J287">
        <v>5</v>
      </c>
    </row>
    <row r="288" spans="1:19" x14ac:dyDescent="0.3">
      <c r="A288" s="102" t="s">
        <v>401</v>
      </c>
      <c r="B288" s="102"/>
      <c r="C288" s="102"/>
      <c r="D288" s="102"/>
      <c r="E288" s="102"/>
      <c r="F288" s="102"/>
      <c r="G288" s="102"/>
      <c r="H288" s="102"/>
      <c r="I288" s="102"/>
    </row>
    <row r="289" spans="1:19" x14ac:dyDescent="0.3">
      <c r="A289" s="97" t="s">
        <v>402</v>
      </c>
      <c r="B289" s="97"/>
      <c r="C289" s="97"/>
      <c r="D289" s="97"/>
      <c r="E289" s="97"/>
      <c r="F289" s="97"/>
      <c r="G289" s="97"/>
      <c r="H289" s="97"/>
      <c r="I289" s="97"/>
    </row>
    <row r="290" spans="1:19" x14ac:dyDescent="0.3">
      <c r="B290" s="2">
        <v>52</v>
      </c>
      <c r="C290" s="3" t="s">
        <v>398</v>
      </c>
      <c r="D290" s="5" t="s">
        <v>25</v>
      </c>
      <c r="G290" s="30">
        <v>50</v>
      </c>
      <c r="H290" s="38">
        <f>563.05/G290</f>
        <v>11.260999999999999</v>
      </c>
      <c r="I290" s="29">
        <f>G290*H290</f>
        <v>563.04999999999995</v>
      </c>
      <c r="J290">
        <v>1</v>
      </c>
    </row>
    <row r="291" spans="1:19" x14ac:dyDescent="0.3">
      <c r="D291" s="15" t="str">
        <f>SUBSTITUTE("Sp.mat: 0.00%",".",IF(VALUE("1.2")=1.2,".",","),2)</f>
        <v>Sp.mat: 0.00%</v>
      </c>
      <c r="F291" s="15" t="str">
        <f>SUBSTITUTE("Sp.man: 0.00%",".",IF(VALUE("1.2")=1.2,".",","),2)</f>
        <v>Sp.man: 0.00%</v>
      </c>
      <c r="G291" s="35" t="str">
        <f>SUBSTITUTE("Sp.uti: 0.00%",".",IF(VALUE("1.2")=1.2,".",","),2)</f>
        <v>Sp.uti: 0.00%</v>
      </c>
      <c r="H291" s="38">
        <v>15.22</v>
      </c>
      <c r="I291" s="29">
        <f>G290*H291</f>
        <v>761</v>
      </c>
      <c r="J291">
        <v>2</v>
      </c>
    </row>
    <row r="292" spans="1:19" x14ac:dyDescent="0.3">
      <c r="A292" s="88" t="s">
        <v>399</v>
      </c>
      <c r="B292" s="98"/>
      <c r="C292" s="98"/>
      <c r="D292" s="98"/>
      <c r="E292" s="98"/>
      <c r="F292" s="98"/>
      <c r="G292" s="98"/>
      <c r="H292" s="38">
        <f>(1+IF(OR(ISERR(FIND(":",G291)),ISERR(FIND("%",G291))),0,MID(G291,FIND(":",G291)+2,FIND("%",G291)-FIND(":",G291)-2)/100))*0</f>
        <v>0</v>
      </c>
      <c r="I292" s="29">
        <f>G290*H292</f>
        <v>0</v>
      </c>
      <c r="J292">
        <v>3</v>
      </c>
      <c r="K292" s="4">
        <v>0</v>
      </c>
      <c r="L292" s="4">
        <v>0</v>
      </c>
      <c r="M292" s="4">
        <f>I292-K292-L292</f>
        <v>0</v>
      </c>
    </row>
    <row r="293" spans="1:19" x14ac:dyDescent="0.3">
      <c r="A293" s="98"/>
      <c r="B293" s="98"/>
      <c r="C293" s="98"/>
      <c r="D293" s="98"/>
      <c r="E293" s="98"/>
      <c r="F293" s="98"/>
      <c r="G293" s="98"/>
      <c r="H293" s="38">
        <f>0</f>
        <v>0</v>
      </c>
      <c r="I293" s="29">
        <f>G290*H293</f>
        <v>0</v>
      </c>
      <c r="J293">
        <v>4</v>
      </c>
      <c r="N293" s="4">
        <f>IF(ISERR(SEARCH("TRA* 82",C290)),IF(Q293+R293+S293=0,0,I293*(Q293/(Q293+R293+S293))),I293)</f>
        <v>0</v>
      </c>
      <c r="O293" s="4">
        <f>IF(ISERR(SEARCH("TRA* 82",C290)),IF(Q293+R293+S293=0,0,I293*(R293/(Q293+R293+S293))),0)</f>
        <v>0</v>
      </c>
      <c r="P293" s="4">
        <f>IF(ISERR(SEARCH("TRA* 82",C290)),I293-N293-O293,0)</f>
        <v>0</v>
      </c>
      <c r="Q293" s="4">
        <v>0</v>
      </c>
      <c r="R293" s="4">
        <v>0</v>
      </c>
      <c r="S293" s="4">
        <v>0</v>
      </c>
    </row>
    <row r="294" spans="1:19" x14ac:dyDescent="0.3">
      <c r="A294" s="100" t="s">
        <v>27</v>
      </c>
      <c r="B294" s="101"/>
      <c r="C294" s="101"/>
      <c r="D294" s="101"/>
      <c r="E294" s="101"/>
      <c r="F294" s="101"/>
      <c r="G294" s="101"/>
      <c r="H294" s="33">
        <f>H290+H291+H292+H293</f>
        <v>26.481000000000002</v>
      </c>
      <c r="I294" s="37">
        <f>I290+I291+I292+I293</f>
        <v>1324.05</v>
      </c>
      <c r="J294">
        <v>5</v>
      </c>
    </row>
    <row r="295" spans="1:19" x14ac:dyDescent="0.3">
      <c r="A295" s="102" t="s">
        <v>403</v>
      </c>
      <c r="B295" s="102"/>
      <c r="C295" s="102"/>
      <c r="D295" s="102"/>
      <c r="E295" s="102"/>
      <c r="F295" s="102"/>
      <c r="G295" s="102"/>
      <c r="H295" s="102"/>
      <c r="I295" s="102"/>
    </row>
    <row r="296" spans="1:19" x14ac:dyDescent="0.3">
      <c r="A296" s="97" t="s">
        <v>397</v>
      </c>
      <c r="B296" s="97"/>
      <c r="C296" s="97"/>
      <c r="D296" s="97"/>
      <c r="E296" s="97"/>
      <c r="F296" s="97"/>
      <c r="G296" s="97"/>
      <c r="H296" s="97"/>
      <c r="I296" s="97"/>
    </row>
    <row r="297" spans="1:19" x14ac:dyDescent="0.3">
      <c r="B297" s="2">
        <v>53</v>
      </c>
      <c r="C297" s="3" t="s">
        <v>404</v>
      </c>
      <c r="D297" s="5" t="s">
        <v>25</v>
      </c>
      <c r="G297" s="30">
        <v>30</v>
      </c>
      <c r="H297" s="38">
        <v>17.2</v>
      </c>
      <c r="I297" s="29">
        <f>G297*H297</f>
        <v>516</v>
      </c>
      <c r="J297">
        <v>1</v>
      </c>
    </row>
    <row r="298" spans="1:19" x14ac:dyDescent="0.3">
      <c r="D298" s="15" t="str">
        <f>SUBSTITUTE("Sp.mat: 0.00%",".",IF(VALUE("1.2")=1.2,".",","),2)</f>
        <v>Sp.mat: 0.00%</v>
      </c>
      <c r="F298" s="15" t="str">
        <f>SUBSTITUTE("Sp.man: 0.00%",".",IF(VALUE("1.2")=1.2,".",","),2)</f>
        <v>Sp.man: 0.00%</v>
      </c>
      <c r="G298" s="35" t="str">
        <f>SUBSTITUTE("Sp.uti: 0.00%",".",IF(VALUE("1.2")=1.2,".",","),2)</f>
        <v>Sp.uti: 0.00%</v>
      </c>
      <c r="H298" s="38">
        <v>16.82</v>
      </c>
      <c r="I298" s="29">
        <f>G297*H298</f>
        <v>504.6</v>
      </c>
      <c r="J298">
        <v>2</v>
      </c>
    </row>
    <row r="299" spans="1:19" x14ac:dyDescent="0.3">
      <c r="A299" s="88" t="s">
        <v>405</v>
      </c>
      <c r="B299" s="98"/>
      <c r="C299" s="98"/>
      <c r="D299" s="98"/>
      <c r="E299" s="98"/>
      <c r="F299" s="98"/>
      <c r="G299" s="98"/>
      <c r="H299" s="38">
        <f>(1+IF(OR(ISERR(FIND(":",G298)),ISERR(FIND("%",G298))),0,MID(G298,FIND(":",G298)+2,FIND("%",G298)-FIND(":",G298)-2)/100))*0</f>
        <v>0</v>
      </c>
      <c r="I299" s="29">
        <f>G297*H299</f>
        <v>0</v>
      </c>
      <c r="J299">
        <v>3</v>
      </c>
      <c r="K299" s="4">
        <v>0</v>
      </c>
      <c r="L299" s="4">
        <v>0</v>
      </c>
      <c r="M299" s="4">
        <f>I299-K299-L299</f>
        <v>0</v>
      </c>
    </row>
    <row r="300" spans="1:19" x14ac:dyDescent="0.3">
      <c r="A300" s="98"/>
      <c r="B300" s="98"/>
      <c r="C300" s="98"/>
      <c r="D300" s="98"/>
      <c r="E300" s="98"/>
      <c r="F300" s="98"/>
      <c r="G300" s="98"/>
      <c r="H300" s="38">
        <f>0</f>
        <v>0</v>
      </c>
      <c r="I300" s="29">
        <f>G297*H300</f>
        <v>0</v>
      </c>
      <c r="J300">
        <v>4</v>
      </c>
      <c r="N300" s="4">
        <f>IF(ISERR(SEARCH("TRA* 82",C297)),IF(Q300+R300+S300=0,0,I300*(Q300/(Q300+R300+S300))),I300)</f>
        <v>0</v>
      </c>
      <c r="O300" s="4">
        <f>IF(ISERR(SEARCH("TRA* 82",C297)),IF(Q300+R300+S300=0,0,I300*(R300/(Q300+R300+S300))),0)</f>
        <v>0</v>
      </c>
      <c r="P300" s="4">
        <f>IF(ISERR(SEARCH("TRA* 82",C297)),I300-N300-O300,0)</f>
        <v>0</v>
      </c>
      <c r="Q300" s="4">
        <v>0</v>
      </c>
      <c r="R300" s="4">
        <v>0</v>
      </c>
      <c r="S300" s="4">
        <v>0</v>
      </c>
    </row>
    <row r="301" spans="1:19" x14ac:dyDescent="0.3">
      <c r="A301" s="100" t="s">
        <v>27</v>
      </c>
      <c r="B301" s="101"/>
      <c r="C301" s="101"/>
      <c r="D301" s="101"/>
      <c r="E301" s="101"/>
      <c r="F301" s="101"/>
      <c r="G301" s="101"/>
      <c r="H301" s="33">
        <f>H297+H298+H299+H300</f>
        <v>34.019999999999996</v>
      </c>
      <c r="I301" s="37">
        <f>I297+I298+I299+I300</f>
        <v>1020.6</v>
      </c>
      <c r="J301">
        <v>5</v>
      </c>
    </row>
    <row r="302" spans="1:19" x14ac:dyDescent="0.3">
      <c r="A302" s="102" t="s">
        <v>406</v>
      </c>
      <c r="B302" s="102"/>
      <c r="C302" s="102"/>
      <c r="D302" s="102"/>
      <c r="E302" s="102"/>
      <c r="F302" s="102"/>
      <c r="G302" s="102"/>
      <c r="H302" s="102"/>
      <c r="I302" s="102"/>
    </row>
    <row r="303" spans="1:19" x14ac:dyDescent="0.3">
      <c r="A303" s="97" t="s">
        <v>397</v>
      </c>
      <c r="B303" s="97"/>
      <c r="C303" s="97"/>
      <c r="D303" s="97"/>
      <c r="E303" s="97"/>
      <c r="F303" s="97"/>
      <c r="G303" s="97"/>
      <c r="H303" s="97"/>
      <c r="I303" s="97"/>
    </row>
    <row r="304" spans="1:19" x14ac:dyDescent="0.3">
      <c r="B304" s="2">
        <v>54</v>
      </c>
      <c r="C304" s="3" t="s">
        <v>407</v>
      </c>
      <c r="D304" s="5" t="s">
        <v>25</v>
      </c>
      <c r="G304" s="30">
        <v>40</v>
      </c>
      <c r="H304" s="38">
        <v>28.49</v>
      </c>
      <c r="I304" s="29">
        <f>G304*H304</f>
        <v>1139.5999999999999</v>
      </c>
      <c r="J304">
        <v>1</v>
      </c>
    </row>
    <row r="305" spans="1:19" x14ac:dyDescent="0.3">
      <c r="D305" s="15" t="str">
        <f>SUBSTITUTE("Sp.mat: 0.00%",".",IF(VALUE("1.2")=1.2,".",","),2)</f>
        <v>Sp.mat: 0.00%</v>
      </c>
      <c r="F305" s="15" t="str">
        <f>SUBSTITUTE("Sp.man: 0.00%",".",IF(VALUE("1.2")=1.2,".",","),2)</f>
        <v>Sp.man: 0.00%</v>
      </c>
      <c r="G305" s="35" t="str">
        <f>SUBSTITUTE("Sp.uti: 0.00%",".",IF(VALUE("1.2")=1.2,".",","),2)</f>
        <v>Sp.uti: 0.00%</v>
      </c>
      <c r="H305" s="38">
        <v>18.420000000000002</v>
      </c>
      <c r="I305" s="29">
        <f>G304*H305</f>
        <v>736.80000000000007</v>
      </c>
      <c r="J305">
        <v>2</v>
      </c>
    </row>
    <row r="306" spans="1:19" x14ac:dyDescent="0.3">
      <c r="A306" s="88" t="s">
        <v>408</v>
      </c>
      <c r="B306" s="98"/>
      <c r="C306" s="98"/>
      <c r="D306" s="98"/>
      <c r="E306" s="98"/>
      <c r="F306" s="98"/>
      <c r="G306" s="98"/>
      <c r="H306" s="38">
        <f>(1+IF(OR(ISERR(FIND(":",G305)),ISERR(FIND("%",G305))),0,MID(G305,FIND(":",G305)+2,FIND("%",G305)-FIND(":",G305)-2)/100))*0</f>
        <v>0</v>
      </c>
      <c r="I306" s="29">
        <f>G304*H306</f>
        <v>0</v>
      </c>
      <c r="J306">
        <v>3</v>
      </c>
      <c r="K306" s="4">
        <v>0</v>
      </c>
      <c r="L306" s="4">
        <v>0</v>
      </c>
      <c r="M306" s="4">
        <f>I306-K306-L306</f>
        <v>0</v>
      </c>
    </row>
    <row r="307" spans="1:19" x14ac:dyDescent="0.3">
      <c r="A307" s="98"/>
      <c r="B307" s="98"/>
      <c r="C307" s="98"/>
      <c r="D307" s="98"/>
      <c r="E307" s="98"/>
      <c r="F307" s="98"/>
      <c r="G307" s="98"/>
      <c r="H307" s="38">
        <f>0</f>
        <v>0</v>
      </c>
      <c r="I307" s="29">
        <f>G304*H307</f>
        <v>0</v>
      </c>
      <c r="J307">
        <v>4</v>
      </c>
      <c r="N307" s="4">
        <f>IF(ISERR(SEARCH("TRA* 82",C304)),IF(Q307+R307+S307=0,0,I307*(Q307/(Q307+R307+S307))),I307)</f>
        <v>0</v>
      </c>
      <c r="O307" s="4">
        <f>IF(ISERR(SEARCH("TRA* 82",C304)),IF(Q307+R307+S307=0,0,I307*(R307/(Q307+R307+S307))),0)</f>
        <v>0</v>
      </c>
      <c r="P307" s="4">
        <f>IF(ISERR(SEARCH("TRA* 82",C304)),I307-N307-O307,0)</f>
        <v>0</v>
      </c>
      <c r="Q307" s="4">
        <v>0</v>
      </c>
      <c r="R307" s="4">
        <v>0</v>
      </c>
      <c r="S307" s="4">
        <v>0</v>
      </c>
    </row>
    <row r="308" spans="1:19" x14ac:dyDescent="0.3">
      <c r="A308" s="100" t="s">
        <v>27</v>
      </c>
      <c r="B308" s="101"/>
      <c r="C308" s="101"/>
      <c r="D308" s="101"/>
      <c r="E308" s="101"/>
      <c r="F308" s="101"/>
      <c r="G308" s="101"/>
      <c r="H308" s="33">
        <f>H304+H305+H306+H307</f>
        <v>46.91</v>
      </c>
      <c r="I308" s="37">
        <f>I304+I305+I306+I307</f>
        <v>1876.4</v>
      </c>
      <c r="J308">
        <v>5</v>
      </c>
    </row>
    <row r="309" spans="1:19" x14ac:dyDescent="0.3">
      <c r="A309" s="102" t="s">
        <v>409</v>
      </c>
      <c r="B309" s="102"/>
      <c r="C309" s="102"/>
      <c r="D309" s="102"/>
      <c r="E309" s="102"/>
      <c r="F309" s="102"/>
      <c r="G309" s="102"/>
      <c r="H309" s="102"/>
      <c r="I309" s="102"/>
    </row>
    <row r="310" spans="1:19" x14ac:dyDescent="0.3">
      <c r="A310" s="97" t="s">
        <v>410</v>
      </c>
      <c r="B310" s="97"/>
      <c r="C310" s="97"/>
      <c r="D310" s="97"/>
      <c r="E310" s="97"/>
      <c r="F310" s="97"/>
      <c r="G310" s="97"/>
      <c r="H310" s="97"/>
      <c r="I310" s="97"/>
    </row>
    <row r="311" spans="1:19" x14ac:dyDescent="0.3">
      <c r="B311" s="2">
        <v>55</v>
      </c>
      <c r="C311" s="3" t="s">
        <v>411</v>
      </c>
      <c r="D311" s="5" t="s">
        <v>25</v>
      </c>
      <c r="G311" s="30">
        <v>50</v>
      </c>
      <c r="H311" s="38">
        <v>37.89</v>
      </c>
      <c r="I311" s="29">
        <f>G311*H311</f>
        <v>1894.5</v>
      </c>
      <c r="J311">
        <v>1</v>
      </c>
    </row>
    <row r="312" spans="1:19" x14ac:dyDescent="0.3">
      <c r="D312" s="15" t="str">
        <f>SUBSTITUTE("Sp.mat: 0.00%",".",IF(VALUE("1.2")=1.2,".",","),2)</f>
        <v>Sp.mat: 0.00%</v>
      </c>
      <c r="F312" s="15" t="str">
        <f>SUBSTITUTE("Sp.man: 0.00%",".",IF(VALUE("1.2")=1.2,".",","),2)</f>
        <v>Sp.man: 0.00%</v>
      </c>
      <c r="G312" s="35" t="str">
        <f>SUBSTITUTE("Sp.uti: 0.00%",".",IF(VALUE("1.2")=1.2,".",","),2)</f>
        <v>Sp.uti: 0.00%</v>
      </c>
      <c r="H312" s="38">
        <f>1081.15/G311</f>
        <v>21.623000000000001</v>
      </c>
      <c r="I312" s="29">
        <f>G311*H312</f>
        <v>1081.1500000000001</v>
      </c>
      <c r="J312">
        <v>2</v>
      </c>
    </row>
    <row r="313" spans="1:19" x14ac:dyDescent="0.3">
      <c r="A313" s="88" t="s">
        <v>412</v>
      </c>
      <c r="B313" s="98"/>
      <c r="C313" s="98"/>
      <c r="D313" s="98"/>
      <c r="E313" s="98"/>
      <c r="F313" s="98"/>
      <c r="G313" s="98"/>
      <c r="H313" s="38">
        <f>(1+IF(OR(ISERR(FIND(":",G312)),ISERR(FIND("%",G312))),0,MID(G312,FIND(":",G312)+2,FIND("%",G312)-FIND(":",G312)-2)/100))*0</f>
        <v>0</v>
      </c>
      <c r="I313" s="29">
        <f>G311*H313</f>
        <v>0</v>
      </c>
      <c r="J313">
        <v>3</v>
      </c>
      <c r="K313" s="4">
        <v>0</v>
      </c>
      <c r="L313" s="4">
        <v>0</v>
      </c>
      <c r="M313" s="4">
        <f>I313-K313-L313</f>
        <v>0</v>
      </c>
    </row>
    <row r="314" spans="1:19" x14ac:dyDescent="0.3">
      <c r="A314" s="98"/>
      <c r="B314" s="98"/>
      <c r="C314" s="98"/>
      <c r="D314" s="98"/>
      <c r="E314" s="98"/>
      <c r="F314" s="98"/>
      <c r="G314" s="98"/>
      <c r="H314" s="38">
        <f>0</f>
        <v>0</v>
      </c>
      <c r="I314" s="29">
        <f>G311*H314</f>
        <v>0</v>
      </c>
      <c r="J314">
        <v>4</v>
      </c>
      <c r="N314" s="4">
        <f>IF(ISERR(SEARCH("TRA* 82",C311)),IF(Q314+R314+S314=0,0,I314*(Q314/(Q314+R314+S314))),I314)</f>
        <v>0</v>
      </c>
      <c r="O314" s="4">
        <f>IF(ISERR(SEARCH("TRA* 82",C311)),IF(Q314+R314+S314=0,0,I314*(R314/(Q314+R314+S314))),0)</f>
        <v>0</v>
      </c>
      <c r="P314" s="4">
        <f>IF(ISERR(SEARCH("TRA* 82",C311)),I314-N314-O314,0)</f>
        <v>0</v>
      </c>
      <c r="Q314" s="4">
        <v>0</v>
      </c>
      <c r="R314" s="4">
        <v>0</v>
      </c>
      <c r="S314" s="4">
        <v>0</v>
      </c>
    </row>
    <row r="315" spans="1:19" x14ac:dyDescent="0.3">
      <c r="A315" s="100" t="s">
        <v>27</v>
      </c>
      <c r="B315" s="101"/>
      <c r="C315" s="101"/>
      <c r="D315" s="101"/>
      <c r="E315" s="101"/>
      <c r="F315" s="101"/>
      <c r="G315" s="101"/>
      <c r="H315" s="33">
        <f>H311+H312+H313+H314</f>
        <v>59.513000000000005</v>
      </c>
      <c r="I315" s="37">
        <f>I311+I312+I313+I314</f>
        <v>2975.65</v>
      </c>
      <c r="J315">
        <v>5</v>
      </c>
    </row>
    <row r="316" spans="1:19" x14ac:dyDescent="0.3">
      <c r="A316" s="102" t="s">
        <v>413</v>
      </c>
      <c r="B316" s="102"/>
      <c r="C316" s="102"/>
      <c r="D316" s="102"/>
      <c r="E316" s="102"/>
      <c r="F316" s="102"/>
      <c r="G316" s="102"/>
      <c r="H316" s="102"/>
      <c r="I316" s="102"/>
    </row>
    <row r="317" spans="1:19" x14ac:dyDescent="0.3">
      <c r="A317" s="97" t="s">
        <v>410</v>
      </c>
      <c r="B317" s="97"/>
      <c r="C317" s="97"/>
      <c r="D317" s="97"/>
      <c r="E317" s="97"/>
      <c r="F317" s="97"/>
      <c r="G317" s="97"/>
      <c r="H317" s="97"/>
      <c r="I317" s="97"/>
    </row>
    <row r="318" spans="1:19" x14ac:dyDescent="0.3">
      <c r="B318" s="2">
        <v>56</v>
      </c>
      <c r="C318" s="3" t="s">
        <v>414</v>
      </c>
      <c r="D318" s="5" t="s">
        <v>25</v>
      </c>
      <c r="G318" s="30">
        <v>80</v>
      </c>
      <c r="H318" s="38">
        <f>13010.57/G318</f>
        <v>162.632125</v>
      </c>
      <c r="I318" s="29">
        <f>G318*H318</f>
        <v>13010.57</v>
      </c>
      <c r="J318">
        <v>1</v>
      </c>
    </row>
    <row r="319" spans="1:19" x14ac:dyDescent="0.3">
      <c r="D319" s="15" t="str">
        <f>SUBSTITUTE("Sp.mat: 0.00%",".",IF(VALUE("1.2")=1.2,".",","),2)</f>
        <v>Sp.mat: 0.00%</v>
      </c>
      <c r="F319" s="15" t="str">
        <f>SUBSTITUTE("Sp.man: 0.00%",".",IF(VALUE("1.2")=1.2,".",","),2)</f>
        <v>Sp.man: 0.00%</v>
      </c>
      <c r="G319" s="35" t="str">
        <f>SUBSTITUTE("Sp.uti: 0.00%",".",IF(VALUE("1.2")=1.2,".",","),2)</f>
        <v>Sp.uti: 0.00%</v>
      </c>
      <c r="H319" s="38">
        <f>3075.26/G318</f>
        <v>38.440750000000001</v>
      </c>
      <c r="I319" s="29">
        <f>G318*H319</f>
        <v>3075.26</v>
      </c>
      <c r="J319">
        <v>2</v>
      </c>
    </row>
    <row r="320" spans="1:19" x14ac:dyDescent="0.3">
      <c r="A320" s="88" t="s">
        <v>415</v>
      </c>
      <c r="B320" s="98"/>
      <c r="C320" s="98"/>
      <c r="D320" s="98"/>
      <c r="E320" s="98"/>
      <c r="F320" s="98"/>
      <c r="G320" s="98"/>
      <c r="H320" s="38">
        <f>(1+IF(OR(ISERR(FIND(":",G319)),ISERR(FIND("%",G319))),0,MID(G319,FIND(":",G319)+2,FIND("%",G319)-FIND(":",G319)-2)/100))*0</f>
        <v>0</v>
      </c>
      <c r="I320" s="29">
        <f>G318*H320</f>
        <v>0</v>
      </c>
      <c r="J320">
        <v>3</v>
      </c>
      <c r="K320" s="4">
        <v>0</v>
      </c>
      <c r="L320" s="4">
        <v>0</v>
      </c>
      <c r="M320" s="4">
        <f>I320-K320-L320</f>
        <v>0</v>
      </c>
    </row>
    <row r="321" spans="1:19" x14ac:dyDescent="0.3">
      <c r="A321" s="98"/>
      <c r="B321" s="98"/>
      <c r="C321" s="98"/>
      <c r="D321" s="98"/>
      <c r="E321" s="98"/>
      <c r="F321" s="98"/>
      <c r="G321" s="98"/>
      <c r="H321" s="38">
        <f>0</f>
        <v>0</v>
      </c>
      <c r="I321" s="29">
        <f>G318*H321</f>
        <v>0</v>
      </c>
      <c r="J321">
        <v>4</v>
      </c>
      <c r="N321" s="4">
        <f>IF(ISERR(SEARCH("TRA* 82",C318)),IF(Q321+R321+S321=0,0,I321*(Q321/(Q321+R321+S321))),I321)</f>
        <v>0</v>
      </c>
      <c r="O321" s="4">
        <f>IF(ISERR(SEARCH("TRA* 82",C318)),IF(Q321+R321+S321=0,0,I321*(R321/(Q321+R321+S321))),0)</f>
        <v>0</v>
      </c>
      <c r="P321" s="4">
        <f>IF(ISERR(SEARCH("TRA* 82",C318)),I321-N321-O321,0)</f>
        <v>0</v>
      </c>
      <c r="Q321" s="4">
        <v>0</v>
      </c>
      <c r="R321" s="4">
        <v>0</v>
      </c>
      <c r="S321" s="4">
        <v>0</v>
      </c>
    </row>
    <row r="322" spans="1:19" x14ac:dyDescent="0.3">
      <c r="A322" s="100" t="s">
        <v>27</v>
      </c>
      <c r="B322" s="101"/>
      <c r="C322" s="101"/>
      <c r="D322" s="101"/>
      <c r="E322" s="101"/>
      <c r="F322" s="101"/>
      <c r="G322" s="101"/>
      <c r="H322" s="33">
        <f>H318+H319+H320+H321</f>
        <v>201.07287500000001</v>
      </c>
      <c r="I322" s="37">
        <f>I318+I319+I320+I321</f>
        <v>16085.83</v>
      </c>
      <c r="J322">
        <v>5</v>
      </c>
    </row>
    <row r="323" spans="1:19" x14ac:dyDescent="0.3">
      <c r="A323" s="99" t="s">
        <v>416</v>
      </c>
      <c r="B323" s="99"/>
      <c r="C323" s="99"/>
      <c r="D323" s="99"/>
      <c r="E323" s="99"/>
      <c r="F323" s="99"/>
      <c r="G323" s="99"/>
      <c r="H323" s="99"/>
      <c r="I323" s="99"/>
    </row>
    <row r="324" spans="1:19" x14ac:dyDescent="0.3">
      <c r="B324" s="2">
        <v>57</v>
      </c>
      <c r="C324" s="3" t="s">
        <v>417</v>
      </c>
      <c r="D324" s="5" t="s">
        <v>25</v>
      </c>
      <c r="G324" s="30">
        <v>350</v>
      </c>
      <c r="H324" s="38">
        <f>(1+IF(OR(ISERR(FIND(":",D325)),ISERR(FIND("%",D325))),0,MID(D325,FIND(":",D325)+2,FIND("%",D325)-FIND(":",D325)-2)/100))*0</f>
        <v>0</v>
      </c>
      <c r="I324" s="29">
        <f>G324*H324</f>
        <v>0</v>
      </c>
      <c r="J324">
        <v>1</v>
      </c>
    </row>
    <row r="325" spans="1:19" x14ac:dyDescent="0.3">
      <c r="D325" s="15" t="str">
        <f>SUBSTITUTE("Sp.mat: 0.00%",".",IF(VALUE("1.2")=1.2,".",","),2)</f>
        <v>Sp.mat: 0.00%</v>
      </c>
      <c r="F325" s="15" t="str">
        <f>SUBSTITUTE("Sp.man: 0.00%",".",IF(VALUE("1.2")=1.2,".",","),2)</f>
        <v>Sp.man: 0.00%</v>
      </c>
      <c r="G325" s="35" t="str">
        <f>SUBSTITUTE("Sp.uti: 0.00%",".",IF(VALUE("1.2")=1.2,".",","),2)</f>
        <v>Sp.uti: 0.00%</v>
      </c>
      <c r="H325" s="38">
        <f>1939.66/G324</f>
        <v>5.5418857142857147</v>
      </c>
      <c r="I325" s="29">
        <f>G324*H325</f>
        <v>1939.66</v>
      </c>
      <c r="J325">
        <v>2</v>
      </c>
    </row>
    <row r="326" spans="1:19" x14ac:dyDescent="0.3">
      <c r="A326" s="88" t="s">
        <v>418</v>
      </c>
      <c r="B326" s="98"/>
      <c r="C326" s="98"/>
      <c r="D326" s="98"/>
      <c r="E326" s="98"/>
      <c r="F326" s="98"/>
      <c r="G326" s="98"/>
      <c r="H326" s="38">
        <f>(1+IF(OR(ISERR(FIND(":",G325)),ISERR(FIND("%",G325))),0,MID(G325,FIND(":",G325)+2,FIND("%",G325)-FIND(":",G325)-2)/100))*0</f>
        <v>0</v>
      </c>
      <c r="I326" s="29">
        <f>G324*H326</f>
        <v>0</v>
      </c>
      <c r="J326">
        <v>3</v>
      </c>
      <c r="K326" s="4">
        <v>0</v>
      </c>
      <c r="L326" s="4">
        <v>0</v>
      </c>
      <c r="M326" s="4">
        <f>I326-K326-L326</f>
        <v>0</v>
      </c>
    </row>
    <row r="327" spans="1:19" x14ac:dyDescent="0.3">
      <c r="A327" s="98"/>
      <c r="B327" s="98"/>
      <c r="C327" s="98"/>
      <c r="D327" s="98"/>
      <c r="E327" s="98"/>
      <c r="F327" s="98"/>
      <c r="G327" s="98"/>
      <c r="H327" s="38">
        <f>0</f>
        <v>0</v>
      </c>
      <c r="I327" s="29">
        <f>G324*H327</f>
        <v>0</v>
      </c>
      <c r="J327">
        <v>4</v>
      </c>
      <c r="N327" s="4">
        <f>IF(ISERR(SEARCH("TRA* 82",C324)),IF(Q327+R327+S327=0,0,I327*(Q327/(Q327+R327+S327))),I327)</f>
        <v>0</v>
      </c>
      <c r="O327" s="4">
        <f>IF(ISERR(SEARCH("TRA* 82",C324)),IF(Q327+R327+S327=0,0,I327*(R327/(Q327+R327+S327))),0)</f>
        <v>0</v>
      </c>
      <c r="P327" s="4">
        <f>IF(ISERR(SEARCH("TRA* 82",C324)),I327-N327-O327,0)</f>
        <v>0</v>
      </c>
      <c r="Q327" s="4">
        <v>0</v>
      </c>
      <c r="R327" s="4">
        <v>0</v>
      </c>
      <c r="S327" s="4">
        <v>0</v>
      </c>
    </row>
    <row r="328" spans="1:19" x14ac:dyDescent="0.3">
      <c r="A328" s="100" t="s">
        <v>419</v>
      </c>
      <c r="B328" s="101"/>
      <c r="C328" s="101"/>
      <c r="D328" s="101"/>
      <c r="E328" s="101"/>
      <c r="F328" s="101"/>
      <c r="G328" s="101"/>
      <c r="H328" s="33">
        <f>H324+H325+H326+H327</f>
        <v>5.5418857142857147</v>
      </c>
      <c r="I328" s="37">
        <f>I324+I325+I326+I327</f>
        <v>1939.66</v>
      </c>
      <c r="J328">
        <v>5</v>
      </c>
    </row>
    <row r="329" spans="1:19" x14ac:dyDescent="0.3">
      <c r="A329" s="99" t="s">
        <v>420</v>
      </c>
      <c r="B329" s="99"/>
      <c r="C329" s="99"/>
      <c r="D329" s="99"/>
      <c r="E329" s="99"/>
      <c r="F329" s="99"/>
      <c r="G329" s="99"/>
      <c r="H329" s="99"/>
      <c r="I329" s="99"/>
    </row>
    <row r="330" spans="1:19" x14ac:dyDescent="0.3">
      <c r="B330" s="2">
        <v>58</v>
      </c>
      <c r="C330" s="3" t="s">
        <v>421</v>
      </c>
      <c r="D330" s="5" t="s">
        <v>25</v>
      </c>
      <c r="G330" s="30">
        <v>30</v>
      </c>
      <c r="H330" s="38">
        <f>193.33/G330</f>
        <v>6.4443333333333337</v>
      </c>
      <c r="I330" s="29">
        <f>G330*H330</f>
        <v>193.33</v>
      </c>
      <c r="J330">
        <v>1</v>
      </c>
    </row>
    <row r="331" spans="1:19" x14ac:dyDescent="0.3">
      <c r="D331" s="15" t="str">
        <f>SUBSTITUTE("Sp.mat: 0.00%",".",IF(VALUE("1.2")=1.2,".",","),2)</f>
        <v>Sp.mat: 0.00%</v>
      </c>
      <c r="F331" s="15" t="str">
        <f>SUBSTITUTE("Sp.man: 0.00%",".",IF(VALUE("1.2")=1.2,".",","),2)</f>
        <v>Sp.man: 0.00%</v>
      </c>
      <c r="G331" s="35" t="str">
        <f>SUBSTITUTE("Sp.uti: 0.00%",".",IF(VALUE("1.2")=1.2,".",","),2)</f>
        <v>Sp.uti: 0.00%</v>
      </c>
      <c r="H331" s="38">
        <f>(1+IF(OR(ISERR(FIND(":",F331)),ISERR(FIND("%",F331))),0,MID(F331,FIND(":",F331)+2,FIND("%",F331)-FIND(":",F331)-2)/100))*0</f>
        <v>0</v>
      </c>
      <c r="I331" s="29">
        <f>G330*H331</f>
        <v>0</v>
      </c>
      <c r="J331">
        <v>2</v>
      </c>
    </row>
    <row r="332" spans="1:19" x14ac:dyDescent="0.3">
      <c r="A332" s="88" t="s">
        <v>422</v>
      </c>
      <c r="B332" s="98"/>
      <c r="C332" s="98"/>
      <c r="D332" s="98"/>
      <c r="E332" s="98"/>
      <c r="F332" s="98"/>
      <c r="G332" s="98"/>
      <c r="H332" s="38">
        <f>(1+IF(OR(ISERR(FIND(":",G331)),ISERR(FIND("%",G331))),0,MID(G331,FIND(":",G331)+2,FIND("%",G331)-FIND(":",G331)-2)/100))*0</f>
        <v>0</v>
      </c>
      <c r="I332" s="29">
        <f>G330*H332</f>
        <v>0</v>
      </c>
      <c r="J332">
        <v>3</v>
      </c>
      <c r="K332" s="4">
        <v>0</v>
      </c>
      <c r="L332" s="4">
        <v>0</v>
      </c>
      <c r="M332" s="4">
        <f>I332-K332-L332</f>
        <v>0</v>
      </c>
    </row>
    <row r="333" spans="1:19" x14ac:dyDescent="0.3">
      <c r="A333" s="98"/>
      <c r="B333" s="98"/>
      <c r="C333" s="98"/>
      <c r="D333" s="98"/>
      <c r="E333" s="98"/>
      <c r="F333" s="98"/>
      <c r="G333" s="98"/>
      <c r="H333" s="38">
        <f>0</f>
        <v>0</v>
      </c>
      <c r="I333" s="29">
        <f>G330*H333</f>
        <v>0</v>
      </c>
      <c r="J333">
        <v>4</v>
      </c>
      <c r="N333" s="4">
        <f>IF(ISERR(SEARCH("TRA* 82",C330)),IF(Q333+R333+S333=0,0,I333*(Q333/(Q333+R333+S333))),I333)</f>
        <v>0</v>
      </c>
      <c r="O333" s="4">
        <f>IF(ISERR(SEARCH("TRA* 82",C330)),IF(Q333+R333+S333=0,0,I333*(R333/(Q333+R333+S333))),0)</f>
        <v>0</v>
      </c>
      <c r="P333" s="4">
        <f>IF(ISERR(SEARCH("TRA* 82",C330)),I333-N333-O333,0)</f>
        <v>0</v>
      </c>
      <c r="Q333" s="4">
        <v>0</v>
      </c>
      <c r="R333" s="4">
        <v>0</v>
      </c>
      <c r="S333" s="4">
        <v>0</v>
      </c>
    </row>
    <row r="334" spans="1:19" x14ac:dyDescent="0.3">
      <c r="A334" s="96" t="s">
        <v>27</v>
      </c>
      <c r="B334" s="97"/>
      <c r="C334" s="97"/>
      <c r="D334" s="97"/>
      <c r="E334" s="97"/>
      <c r="F334" s="97"/>
      <c r="G334" s="97"/>
      <c r="H334" s="36">
        <f>H330+H331+H332+H333</f>
        <v>6.4443333333333337</v>
      </c>
      <c r="I334" s="74">
        <f>I330+I331+I332+I333</f>
        <v>193.33</v>
      </c>
      <c r="J334">
        <v>5</v>
      </c>
    </row>
    <row r="335" spans="1:19" x14ac:dyDescent="0.3">
      <c r="B335" s="2">
        <v>59</v>
      </c>
      <c r="C335" s="3" t="s">
        <v>423</v>
      </c>
      <c r="D335" s="5" t="s">
        <v>25</v>
      </c>
      <c r="G335" s="30">
        <v>25</v>
      </c>
      <c r="H335" s="38">
        <v>7.05</v>
      </c>
      <c r="I335" s="29">
        <f>G335*H335</f>
        <v>176.25</v>
      </c>
      <c r="J335">
        <v>1</v>
      </c>
    </row>
    <row r="336" spans="1:19" x14ac:dyDescent="0.3">
      <c r="D336" s="15" t="str">
        <f>SUBSTITUTE("Sp.mat: 0.00%",".",IF(VALUE("1.2")=1.2,".",","),2)</f>
        <v>Sp.mat: 0.00%</v>
      </c>
      <c r="F336" s="15" t="str">
        <f>SUBSTITUTE("Sp.man: 0.00%",".",IF(VALUE("1.2")=1.2,".",","),2)</f>
        <v>Sp.man: 0.00%</v>
      </c>
      <c r="G336" s="35" t="str">
        <f>SUBSTITUTE("Sp.uti: 0.00%",".",IF(VALUE("1.2")=1.2,".",","),2)</f>
        <v>Sp.uti: 0.00%</v>
      </c>
      <c r="H336" s="38">
        <f>(1+IF(OR(ISERR(FIND(":",F336)),ISERR(FIND("%",F336))),0,MID(F336,FIND(":",F336)+2,FIND("%",F336)-FIND(":",F336)-2)/100))*0</f>
        <v>0</v>
      </c>
      <c r="I336" s="29">
        <f>G335*H336</f>
        <v>0</v>
      </c>
      <c r="J336">
        <v>2</v>
      </c>
    </row>
    <row r="337" spans="1:19" x14ac:dyDescent="0.3">
      <c r="A337" s="88" t="s">
        <v>424</v>
      </c>
      <c r="B337" s="98"/>
      <c r="C337" s="98"/>
      <c r="D337" s="98"/>
      <c r="E337" s="98"/>
      <c r="F337" s="98"/>
      <c r="G337" s="98"/>
      <c r="H337" s="38">
        <f>(1+IF(OR(ISERR(FIND(":",G336)),ISERR(FIND("%",G336))),0,MID(G336,FIND(":",G336)+2,FIND("%",G336)-FIND(":",G336)-2)/100))*0</f>
        <v>0</v>
      </c>
      <c r="I337" s="29">
        <f>G335*H337</f>
        <v>0</v>
      </c>
      <c r="J337">
        <v>3</v>
      </c>
      <c r="K337" s="4">
        <v>0</v>
      </c>
      <c r="L337" s="4">
        <v>0</v>
      </c>
      <c r="M337" s="4">
        <f>I337-K337-L337</f>
        <v>0</v>
      </c>
    </row>
    <row r="338" spans="1:19" x14ac:dyDescent="0.3">
      <c r="A338" s="98"/>
      <c r="B338" s="98"/>
      <c r="C338" s="98"/>
      <c r="D338" s="98"/>
      <c r="E338" s="98"/>
      <c r="F338" s="98"/>
      <c r="G338" s="98"/>
      <c r="H338" s="38">
        <f>0</f>
        <v>0</v>
      </c>
      <c r="I338" s="29">
        <f>G335*H338</f>
        <v>0</v>
      </c>
      <c r="J338">
        <v>4</v>
      </c>
      <c r="N338" s="4">
        <f>IF(ISERR(SEARCH("TRA* 82",C335)),IF(Q338+R338+S338=0,0,I338*(Q338/(Q338+R338+S338))),I338)</f>
        <v>0</v>
      </c>
      <c r="O338" s="4">
        <f>IF(ISERR(SEARCH("TRA* 82",C335)),IF(Q338+R338+S338=0,0,I338*(R338/(Q338+R338+S338))),0)</f>
        <v>0</v>
      </c>
      <c r="P338" s="4">
        <f>IF(ISERR(SEARCH("TRA* 82",C335)),I338-N338-O338,0)</f>
        <v>0</v>
      </c>
      <c r="Q338" s="4">
        <v>0</v>
      </c>
      <c r="R338" s="4">
        <v>0</v>
      </c>
      <c r="S338" s="4">
        <v>0</v>
      </c>
    </row>
    <row r="339" spans="1:19" x14ac:dyDescent="0.3">
      <c r="A339" s="96" t="s">
        <v>27</v>
      </c>
      <c r="B339" s="97"/>
      <c r="C339" s="97"/>
      <c r="D339" s="97"/>
      <c r="E339" s="97"/>
      <c r="F339" s="97"/>
      <c r="G339" s="97"/>
      <c r="H339" s="36">
        <f>H335+H336+H337+H338</f>
        <v>7.05</v>
      </c>
      <c r="I339" s="74">
        <f>I335+I336+I337+I338</f>
        <v>176.25</v>
      </c>
      <c r="J339">
        <v>5</v>
      </c>
    </row>
    <row r="340" spans="1:19" x14ac:dyDescent="0.3">
      <c r="B340" s="2">
        <v>60</v>
      </c>
      <c r="C340" s="3" t="s">
        <v>425</v>
      </c>
      <c r="D340" s="5" t="s">
        <v>25</v>
      </c>
      <c r="G340" s="30">
        <v>25</v>
      </c>
      <c r="H340" s="38">
        <v>8.02</v>
      </c>
      <c r="I340" s="29">
        <f>G340*H340</f>
        <v>200.5</v>
      </c>
      <c r="J340">
        <v>1</v>
      </c>
    </row>
    <row r="341" spans="1:19" x14ac:dyDescent="0.3">
      <c r="D341" s="15" t="str">
        <f>SUBSTITUTE("Sp.mat: 0.00%",".",IF(VALUE("1.2")=1.2,".",","),2)</f>
        <v>Sp.mat: 0.00%</v>
      </c>
      <c r="F341" s="15" t="str">
        <f>SUBSTITUTE("Sp.man: 0.00%",".",IF(VALUE("1.2")=1.2,".",","),2)</f>
        <v>Sp.man: 0.00%</v>
      </c>
      <c r="G341" s="35" t="str">
        <f>SUBSTITUTE("Sp.uti: 0.00%",".",IF(VALUE("1.2")=1.2,".",","),2)</f>
        <v>Sp.uti: 0.00%</v>
      </c>
      <c r="H341" s="38">
        <f>(1+IF(OR(ISERR(FIND(":",F341)),ISERR(FIND("%",F341))),0,MID(F341,FIND(":",F341)+2,FIND("%",F341)-FIND(":",F341)-2)/100))*0</f>
        <v>0</v>
      </c>
      <c r="I341" s="29">
        <f>G340*H341</f>
        <v>0</v>
      </c>
      <c r="J341">
        <v>2</v>
      </c>
    </row>
    <row r="342" spans="1:19" x14ac:dyDescent="0.3">
      <c r="A342" s="88" t="s">
        <v>426</v>
      </c>
      <c r="B342" s="98"/>
      <c r="C342" s="98"/>
      <c r="D342" s="98"/>
      <c r="E342" s="98"/>
      <c r="F342" s="98"/>
      <c r="G342" s="98"/>
      <c r="H342" s="38">
        <f>(1+IF(OR(ISERR(FIND(":",G341)),ISERR(FIND("%",G341))),0,MID(G341,FIND(":",G341)+2,FIND("%",G341)-FIND(":",G341)-2)/100))*0</f>
        <v>0</v>
      </c>
      <c r="I342" s="29">
        <f>G340*H342</f>
        <v>0</v>
      </c>
      <c r="J342">
        <v>3</v>
      </c>
      <c r="K342" s="4">
        <v>0</v>
      </c>
      <c r="L342" s="4">
        <v>0</v>
      </c>
      <c r="M342" s="4">
        <f>I342-K342-L342</f>
        <v>0</v>
      </c>
    </row>
    <row r="343" spans="1:19" x14ac:dyDescent="0.3">
      <c r="A343" s="98"/>
      <c r="B343" s="98"/>
      <c r="C343" s="98"/>
      <c r="D343" s="98"/>
      <c r="E343" s="98"/>
      <c r="F343" s="98"/>
      <c r="G343" s="98"/>
      <c r="H343" s="38">
        <f>0</f>
        <v>0</v>
      </c>
      <c r="I343" s="29">
        <f>G340*H343</f>
        <v>0</v>
      </c>
      <c r="J343">
        <v>4</v>
      </c>
      <c r="N343" s="4">
        <f>IF(ISERR(SEARCH("TRA* 82",C340)),IF(Q343+R343+S343=0,0,I343*(Q343/(Q343+R343+S343))),I343)</f>
        <v>0</v>
      </c>
      <c r="O343" s="4">
        <f>IF(ISERR(SEARCH("TRA* 82",C340)),IF(Q343+R343+S343=0,0,I343*(R343/(Q343+R343+S343))),0)</f>
        <v>0</v>
      </c>
      <c r="P343" s="4">
        <f>IF(ISERR(SEARCH("TRA* 82",C340)),I343-N343-O343,0)</f>
        <v>0</v>
      </c>
      <c r="Q343" s="4">
        <v>0</v>
      </c>
      <c r="R343" s="4">
        <v>0</v>
      </c>
      <c r="S343" s="4">
        <v>0</v>
      </c>
    </row>
    <row r="344" spans="1:19" x14ac:dyDescent="0.3">
      <c r="A344" s="96" t="s">
        <v>27</v>
      </c>
      <c r="B344" s="97"/>
      <c r="C344" s="97"/>
      <c r="D344" s="97"/>
      <c r="E344" s="97"/>
      <c r="F344" s="97"/>
      <c r="G344" s="97"/>
      <c r="H344" s="36">
        <f>H340+H341+H342+H343</f>
        <v>8.02</v>
      </c>
      <c r="I344" s="74">
        <f>I340+I341+I342+I343</f>
        <v>200.5</v>
      </c>
      <c r="J344">
        <v>5</v>
      </c>
    </row>
    <row r="345" spans="1:19" x14ac:dyDescent="0.3">
      <c r="B345" s="2">
        <v>61</v>
      </c>
      <c r="C345" s="3" t="s">
        <v>427</v>
      </c>
      <c r="D345" s="5" t="s">
        <v>25</v>
      </c>
      <c r="G345" s="30">
        <v>20</v>
      </c>
      <c r="H345" s="38">
        <v>8.58</v>
      </c>
      <c r="I345" s="29">
        <f>G345*H345</f>
        <v>171.6</v>
      </c>
      <c r="J345">
        <v>1</v>
      </c>
    </row>
    <row r="346" spans="1:19" x14ac:dyDescent="0.3">
      <c r="D346" s="15" t="str">
        <f>SUBSTITUTE("Sp.mat: 0.00%",".",IF(VALUE("1.2")=1.2,".",","),2)</f>
        <v>Sp.mat: 0.00%</v>
      </c>
      <c r="F346" s="15" t="str">
        <f>SUBSTITUTE("Sp.man: 0.00%",".",IF(VALUE("1.2")=1.2,".",","),2)</f>
        <v>Sp.man: 0.00%</v>
      </c>
      <c r="G346" s="35" t="str">
        <f>SUBSTITUTE("Sp.uti: 0.00%",".",IF(VALUE("1.2")=1.2,".",","),2)</f>
        <v>Sp.uti: 0.00%</v>
      </c>
      <c r="H346" s="38">
        <f>(1+IF(OR(ISERR(FIND(":",F346)),ISERR(FIND("%",F346))),0,MID(F346,FIND(":",F346)+2,FIND("%",F346)-FIND(":",F346)-2)/100))*0</f>
        <v>0</v>
      </c>
      <c r="I346" s="29">
        <f>G345*H346</f>
        <v>0</v>
      </c>
      <c r="J346">
        <v>2</v>
      </c>
    </row>
    <row r="347" spans="1:19" x14ac:dyDescent="0.3">
      <c r="A347" s="88" t="s">
        <v>428</v>
      </c>
      <c r="B347" s="98"/>
      <c r="C347" s="98"/>
      <c r="D347" s="98"/>
      <c r="E347" s="98"/>
      <c r="F347" s="98"/>
      <c r="G347" s="98"/>
      <c r="H347" s="38">
        <f>(1+IF(OR(ISERR(FIND(":",G346)),ISERR(FIND("%",G346))),0,MID(G346,FIND(":",G346)+2,FIND("%",G346)-FIND(":",G346)-2)/100))*0</f>
        <v>0</v>
      </c>
      <c r="I347" s="29">
        <f>G345*H347</f>
        <v>0</v>
      </c>
      <c r="J347">
        <v>3</v>
      </c>
      <c r="K347" s="4">
        <v>0</v>
      </c>
      <c r="L347" s="4">
        <v>0</v>
      </c>
      <c r="M347" s="4">
        <f>I347-K347-L347</f>
        <v>0</v>
      </c>
    </row>
    <row r="348" spans="1:19" x14ac:dyDescent="0.3">
      <c r="A348" s="98"/>
      <c r="B348" s="98"/>
      <c r="C348" s="98"/>
      <c r="D348" s="98"/>
      <c r="E348" s="98"/>
      <c r="F348" s="98"/>
      <c r="G348" s="98"/>
      <c r="H348" s="38">
        <f>0</f>
        <v>0</v>
      </c>
      <c r="I348" s="29">
        <f>G345*H348</f>
        <v>0</v>
      </c>
      <c r="J348">
        <v>4</v>
      </c>
      <c r="N348" s="4">
        <f>IF(ISERR(SEARCH("TRA* 82",C345)),IF(Q348+R348+S348=0,0,I348*(Q348/(Q348+R348+S348))),I348)</f>
        <v>0</v>
      </c>
      <c r="O348" s="4">
        <f>IF(ISERR(SEARCH("TRA* 82",C345)),IF(Q348+R348+S348=0,0,I348*(R348/(Q348+R348+S348))),0)</f>
        <v>0</v>
      </c>
      <c r="P348" s="4">
        <f>IF(ISERR(SEARCH("TRA* 82",C345)),I348-N348-O348,0)</f>
        <v>0</v>
      </c>
      <c r="Q348" s="4">
        <v>0</v>
      </c>
      <c r="R348" s="4">
        <v>0</v>
      </c>
      <c r="S348" s="4">
        <v>0</v>
      </c>
    </row>
    <row r="349" spans="1:19" x14ac:dyDescent="0.3">
      <c r="A349" s="96" t="s">
        <v>27</v>
      </c>
      <c r="B349" s="97"/>
      <c r="C349" s="97"/>
      <c r="D349" s="97"/>
      <c r="E349" s="97"/>
      <c r="F349" s="97"/>
      <c r="G349" s="97"/>
      <c r="H349" s="36">
        <f>H345+H346+H347+H348</f>
        <v>8.58</v>
      </c>
      <c r="I349" s="74">
        <f>I345+I346+I347+I348</f>
        <v>171.6</v>
      </c>
      <c r="J349">
        <v>5</v>
      </c>
    </row>
    <row r="350" spans="1:19" x14ac:dyDescent="0.3">
      <c r="B350" s="2">
        <v>62</v>
      </c>
      <c r="C350" s="3" t="s">
        <v>429</v>
      </c>
      <c r="D350" s="5" t="s">
        <v>25</v>
      </c>
      <c r="G350" s="30">
        <v>50</v>
      </c>
      <c r="H350" s="38">
        <v>10.78</v>
      </c>
      <c r="I350" s="29">
        <f>G350*H350</f>
        <v>539</v>
      </c>
      <c r="J350">
        <v>1</v>
      </c>
    </row>
    <row r="351" spans="1:19" x14ac:dyDescent="0.3">
      <c r="D351" s="15" t="str">
        <f>SUBSTITUTE("Sp.mat: 0.00%",".",IF(VALUE("1.2")=1.2,".",","),2)</f>
        <v>Sp.mat: 0.00%</v>
      </c>
      <c r="F351" s="15" t="str">
        <f>SUBSTITUTE("Sp.man: 0.00%",".",IF(VALUE("1.2")=1.2,".",","),2)</f>
        <v>Sp.man: 0.00%</v>
      </c>
      <c r="G351" s="35" t="str">
        <f>SUBSTITUTE("Sp.uti: 0.00%",".",IF(VALUE("1.2")=1.2,".",","),2)</f>
        <v>Sp.uti: 0.00%</v>
      </c>
      <c r="H351" s="38">
        <f>(1+IF(OR(ISERR(FIND(":",F351)),ISERR(FIND("%",F351))),0,MID(F351,FIND(":",F351)+2,FIND("%",F351)-FIND(":",F351)-2)/100))*0</f>
        <v>0</v>
      </c>
      <c r="I351" s="29">
        <f>G350*H351</f>
        <v>0</v>
      </c>
      <c r="J351">
        <v>2</v>
      </c>
    </row>
    <row r="352" spans="1:19" x14ac:dyDescent="0.3">
      <c r="A352" s="88" t="s">
        <v>430</v>
      </c>
      <c r="B352" s="98"/>
      <c r="C352" s="98"/>
      <c r="D352" s="98"/>
      <c r="E352" s="98"/>
      <c r="F352" s="98"/>
      <c r="G352" s="98"/>
      <c r="H352" s="38">
        <f>(1+IF(OR(ISERR(FIND(":",G351)),ISERR(FIND("%",G351))),0,MID(G351,FIND(":",G351)+2,FIND("%",G351)-FIND(":",G351)-2)/100))*0</f>
        <v>0</v>
      </c>
      <c r="I352" s="29">
        <f>G350*H352</f>
        <v>0</v>
      </c>
      <c r="J352">
        <v>3</v>
      </c>
      <c r="K352" s="4">
        <v>0</v>
      </c>
      <c r="L352" s="4">
        <v>0</v>
      </c>
      <c r="M352" s="4">
        <f>I352-K352-L352</f>
        <v>0</v>
      </c>
    </row>
    <row r="353" spans="1:19" x14ac:dyDescent="0.3">
      <c r="A353" s="98"/>
      <c r="B353" s="98"/>
      <c r="C353" s="98"/>
      <c r="D353" s="98"/>
      <c r="E353" s="98"/>
      <c r="F353" s="98"/>
      <c r="G353" s="98"/>
      <c r="H353" s="38">
        <f>0</f>
        <v>0</v>
      </c>
      <c r="I353" s="29">
        <f>G350*H353</f>
        <v>0</v>
      </c>
      <c r="J353">
        <v>4</v>
      </c>
      <c r="N353" s="4">
        <f>IF(ISERR(SEARCH("TRA* 82",C350)),IF(Q353+R353+S353=0,0,I353*(Q353/(Q353+R353+S353))),I353)</f>
        <v>0</v>
      </c>
      <c r="O353" s="4">
        <f>IF(ISERR(SEARCH("TRA* 82",C350)),IF(Q353+R353+S353=0,0,I353*(R353/(Q353+R353+S353))),0)</f>
        <v>0</v>
      </c>
      <c r="P353" s="4">
        <f>IF(ISERR(SEARCH("TRA* 82",C350)),I353-N353-O353,0)</f>
        <v>0</v>
      </c>
      <c r="Q353" s="4">
        <v>0</v>
      </c>
      <c r="R353" s="4">
        <v>0</v>
      </c>
      <c r="S353" s="4">
        <v>0</v>
      </c>
    </row>
    <row r="354" spans="1:19" x14ac:dyDescent="0.3">
      <c r="A354" s="96" t="s">
        <v>27</v>
      </c>
      <c r="B354" s="97"/>
      <c r="C354" s="97"/>
      <c r="D354" s="97"/>
      <c r="E354" s="97"/>
      <c r="F354" s="97"/>
      <c r="G354" s="97"/>
      <c r="H354" s="36">
        <f>H350+H351+H352+H353</f>
        <v>10.78</v>
      </c>
      <c r="I354" s="74">
        <f>I350+I351+I352+I353</f>
        <v>539</v>
      </c>
      <c r="J354">
        <v>5</v>
      </c>
    </row>
    <row r="355" spans="1:19" x14ac:dyDescent="0.3">
      <c r="B355" s="2">
        <v>63</v>
      </c>
      <c r="C355" s="3" t="s">
        <v>431</v>
      </c>
      <c r="D355" s="5" t="s">
        <v>25</v>
      </c>
      <c r="G355" s="30">
        <v>30</v>
      </c>
      <c r="H355" s="38">
        <v>12.74</v>
      </c>
      <c r="I355" s="29">
        <f>G355*H355</f>
        <v>382.2</v>
      </c>
      <c r="J355">
        <v>1</v>
      </c>
    </row>
    <row r="356" spans="1:19" x14ac:dyDescent="0.3">
      <c r="D356" s="15" t="str">
        <f>SUBSTITUTE("Sp.mat: 0.00%",".",IF(VALUE("1.2")=1.2,".",","),2)</f>
        <v>Sp.mat: 0.00%</v>
      </c>
      <c r="F356" s="15" t="str">
        <f>SUBSTITUTE("Sp.man: 0.00%",".",IF(VALUE("1.2")=1.2,".",","),2)</f>
        <v>Sp.man: 0.00%</v>
      </c>
      <c r="G356" s="35" t="str">
        <f>SUBSTITUTE("Sp.uti: 0.00%",".",IF(VALUE("1.2")=1.2,".",","),2)</f>
        <v>Sp.uti: 0.00%</v>
      </c>
      <c r="H356" s="38">
        <f>(1+IF(OR(ISERR(FIND(":",F356)),ISERR(FIND("%",F356))),0,MID(F356,FIND(":",F356)+2,FIND("%",F356)-FIND(":",F356)-2)/100))*0</f>
        <v>0</v>
      </c>
      <c r="I356" s="29">
        <f>G355*H356</f>
        <v>0</v>
      </c>
      <c r="J356">
        <v>2</v>
      </c>
    </row>
    <row r="357" spans="1:19" x14ac:dyDescent="0.3">
      <c r="A357" s="88" t="s">
        <v>432</v>
      </c>
      <c r="B357" s="98"/>
      <c r="C357" s="98"/>
      <c r="D357" s="98"/>
      <c r="E357" s="98"/>
      <c r="F357" s="98"/>
      <c r="G357" s="98"/>
      <c r="H357" s="38">
        <f>(1+IF(OR(ISERR(FIND(":",G356)),ISERR(FIND("%",G356))),0,MID(G356,FIND(":",G356)+2,FIND("%",G356)-FIND(":",G356)-2)/100))*0</f>
        <v>0</v>
      </c>
      <c r="I357" s="29">
        <f>G355*H357</f>
        <v>0</v>
      </c>
      <c r="J357">
        <v>3</v>
      </c>
      <c r="K357" s="4">
        <v>0</v>
      </c>
      <c r="L357" s="4">
        <v>0</v>
      </c>
      <c r="M357" s="4">
        <f>I357-K357-L357</f>
        <v>0</v>
      </c>
    </row>
    <row r="358" spans="1:19" x14ac:dyDescent="0.3">
      <c r="A358" s="98"/>
      <c r="B358" s="98"/>
      <c r="C358" s="98"/>
      <c r="D358" s="98"/>
      <c r="E358" s="98"/>
      <c r="F358" s="98"/>
      <c r="G358" s="98"/>
      <c r="H358" s="38">
        <f>0</f>
        <v>0</v>
      </c>
      <c r="I358" s="29">
        <f>G355*H358</f>
        <v>0</v>
      </c>
      <c r="J358">
        <v>4</v>
      </c>
      <c r="N358" s="4">
        <f>IF(ISERR(SEARCH("TRA* 82",C355)),IF(Q358+R358+S358=0,0,I358*(Q358/(Q358+R358+S358))),I358)</f>
        <v>0</v>
      </c>
      <c r="O358" s="4">
        <f>IF(ISERR(SEARCH("TRA* 82",C355)),IF(Q358+R358+S358=0,0,I358*(R358/(Q358+R358+S358))),0)</f>
        <v>0</v>
      </c>
      <c r="P358" s="4">
        <f>IF(ISERR(SEARCH("TRA* 82",C355)),I358-N358-O358,0)</f>
        <v>0</v>
      </c>
      <c r="Q358" s="4">
        <v>0</v>
      </c>
      <c r="R358" s="4">
        <v>0</v>
      </c>
      <c r="S358" s="4">
        <v>0</v>
      </c>
    </row>
    <row r="359" spans="1:19" x14ac:dyDescent="0.3">
      <c r="A359" s="96" t="s">
        <v>27</v>
      </c>
      <c r="B359" s="97"/>
      <c r="C359" s="97"/>
      <c r="D359" s="97"/>
      <c r="E359" s="97"/>
      <c r="F359" s="97"/>
      <c r="G359" s="97"/>
      <c r="H359" s="36">
        <f>H355+H356+H357+H358</f>
        <v>12.74</v>
      </c>
      <c r="I359" s="74">
        <f>I355+I356+I357+I358</f>
        <v>382.2</v>
      </c>
      <c r="J359">
        <v>5</v>
      </c>
    </row>
    <row r="360" spans="1:19" x14ac:dyDescent="0.3">
      <c r="B360" s="2">
        <v>64</v>
      </c>
      <c r="C360" s="3" t="s">
        <v>433</v>
      </c>
      <c r="D360" s="5" t="s">
        <v>25</v>
      </c>
      <c r="G360" s="30">
        <v>40</v>
      </c>
      <c r="H360" s="38">
        <v>14.95</v>
      </c>
      <c r="I360" s="29">
        <f>G360*H360</f>
        <v>598</v>
      </c>
      <c r="J360">
        <v>1</v>
      </c>
    </row>
    <row r="361" spans="1:19" x14ac:dyDescent="0.3">
      <c r="D361" s="15" t="str">
        <f>SUBSTITUTE("Sp.mat: 0.00%",".",IF(VALUE("1.2")=1.2,".",","),2)</f>
        <v>Sp.mat: 0.00%</v>
      </c>
      <c r="F361" s="15" t="str">
        <f>SUBSTITUTE("Sp.man: 0.00%",".",IF(VALUE("1.2")=1.2,".",","),2)</f>
        <v>Sp.man: 0.00%</v>
      </c>
      <c r="G361" s="35" t="str">
        <f>SUBSTITUTE("Sp.uti: 0.00%",".",IF(VALUE("1.2")=1.2,".",","),2)</f>
        <v>Sp.uti: 0.00%</v>
      </c>
      <c r="H361" s="38">
        <f>(1+IF(OR(ISERR(FIND(":",F361)),ISERR(FIND("%",F361))),0,MID(F361,FIND(":",F361)+2,FIND("%",F361)-FIND(":",F361)-2)/100))*0</f>
        <v>0</v>
      </c>
      <c r="I361" s="29">
        <f>G360*H361</f>
        <v>0</v>
      </c>
      <c r="J361">
        <v>2</v>
      </c>
    </row>
    <row r="362" spans="1:19" x14ac:dyDescent="0.3">
      <c r="A362" s="88" t="s">
        <v>434</v>
      </c>
      <c r="B362" s="98"/>
      <c r="C362" s="98"/>
      <c r="D362" s="98"/>
      <c r="E362" s="98"/>
      <c r="F362" s="98"/>
      <c r="G362" s="98"/>
      <c r="H362" s="38">
        <f>(1+IF(OR(ISERR(FIND(":",G361)),ISERR(FIND("%",G361))),0,MID(G361,FIND(":",G361)+2,FIND("%",G361)-FIND(":",G361)-2)/100))*0</f>
        <v>0</v>
      </c>
      <c r="I362" s="29">
        <f>G360*H362</f>
        <v>0</v>
      </c>
      <c r="J362">
        <v>3</v>
      </c>
      <c r="K362" s="4">
        <v>0</v>
      </c>
      <c r="L362" s="4">
        <v>0</v>
      </c>
      <c r="M362" s="4">
        <f>I362-K362-L362</f>
        <v>0</v>
      </c>
    </row>
    <row r="363" spans="1:19" x14ac:dyDescent="0.3">
      <c r="A363" s="98"/>
      <c r="B363" s="98"/>
      <c r="C363" s="98"/>
      <c r="D363" s="98"/>
      <c r="E363" s="98"/>
      <c r="F363" s="98"/>
      <c r="G363" s="98"/>
      <c r="H363" s="38">
        <f>0</f>
        <v>0</v>
      </c>
      <c r="I363" s="29">
        <f>G360*H363</f>
        <v>0</v>
      </c>
      <c r="J363">
        <v>4</v>
      </c>
      <c r="N363" s="4">
        <f>IF(ISERR(SEARCH("TRA* 82",C360)),IF(Q363+R363+S363=0,0,I363*(Q363/(Q363+R363+S363))),I363)</f>
        <v>0</v>
      </c>
      <c r="O363" s="4">
        <f>IF(ISERR(SEARCH("TRA* 82",C360)),IF(Q363+R363+S363=0,0,I363*(R363/(Q363+R363+S363))),0)</f>
        <v>0</v>
      </c>
      <c r="P363" s="4">
        <f>IF(ISERR(SEARCH("TRA* 82",C360)),I363-N363-O363,0)</f>
        <v>0</v>
      </c>
      <c r="Q363" s="4">
        <v>0</v>
      </c>
      <c r="R363" s="4">
        <v>0</v>
      </c>
      <c r="S363" s="4">
        <v>0</v>
      </c>
    </row>
    <row r="364" spans="1:19" x14ac:dyDescent="0.3">
      <c r="A364" s="96" t="s">
        <v>27</v>
      </c>
      <c r="B364" s="97"/>
      <c r="C364" s="97"/>
      <c r="D364" s="97"/>
      <c r="E364" s="97"/>
      <c r="F364" s="97"/>
      <c r="G364" s="97"/>
      <c r="H364" s="36">
        <f>H360+H361+H362+H363</f>
        <v>14.95</v>
      </c>
      <c r="I364" s="74">
        <f>I360+I361+I362+I363</f>
        <v>598</v>
      </c>
      <c r="J364">
        <v>5</v>
      </c>
    </row>
    <row r="365" spans="1:19" x14ac:dyDescent="0.3">
      <c r="B365" s="2">
        <v>65</v>
      </c>
      <c r="C365" s="3" t="s">
        <v>435</v>
      </c>
      <c r="D365" s="5" t="s">
        <v>25</v>
      </c>
      <c r="G365" s="30">
        <v>50</v>
      </c>
      <c r="H365" s="38">
        <v>16.73</v>
      </c>
      <c r="I365" s="29">
        <f>G365*H365</f>
        <v>836.5</v>
      </c>
      <c r="J365">
        <v>1</v>
      </c>
    </row>
    <row r="366" spans="1:19" x14ac:dyDescent="0.3">
      <c r="D366" s="15" t="str">
        <f>SUBSTITUTE("Sp.mat: 0.00%",".",IF(VALUE("1.2")=1.2,".",","),2)</f>
        <v>Sp.mat: 0.00%</v>
      </c>
      <c r="F366" s="15" t="str">
        <f>SUBSTITUTE("Sp.man: 0.00%",".",IF(VALUE("1.2")=1.2,".",","),2)</f>
        <v>Sp.man: 0.00%</v>
      </c>
      <c r="G366" s="35" t="str">
        <f>SUBSTITUTE("Sp.uti: 0.00%",".",IF(VALUE("1.2")=1.2,".",","),2)</f>
        <v>Sp.uti: 0.00%</v>
      </c>
      <c r="H366" s="38">
        <f>(1+IF(OR(ISERR(FIND(":",F366)),ISERR(FIND("%",F366))),0,MID(F366,FIND(":",F366)+2,FIND("%",F366)-FIND(":",F366)-2)/100))*0</f>
        <v>0</v>
      </c>
      <c r="I366" s="29">
        <f>G365*H366</f>
        <v>0</v>
      </c>
      <c r="J366">
        <v>2</v>
      </c>
    </row>
    <row r="367" spans="1:19" x14ac:dyDescent="0.3">
      <c r="A367" s="88" t="s">
        <v>436</v>
      </c>
      <c r="B367" s="98"/>
      <c r="C367" s="98"/>
      <c r="D367" s="98"/>
      <c r="E367" s="98"/>
      <c r="F367" s="98"/>
      <c r="G367" s="98"/>
      <c r="H367" s="38">
        <f>(1+IF(OR(ISERR(FIND(":",G366)),ISERR(FIND("%",G366))),0,MID(G366,FIND(":",G366)+2,FIND("%",G366)-FIND(":",G366)-2)/100))*0</f>
        <v>0</v>
      </c>
      <c r="I367" s="29">
        <f>G365*H367</f>
        <v>0</v>
      </c>
      <c r="J367">
        <v>3</v>
      </c>
      <c r="K367" s="4">
        <v>0</v>
      </c>
      <c r="L367" s="4">
        <v>0</v>
      </c>
      <c r="M367" s="4">
        <f>I367-K367-L367</f>
        <v>0</v>
      </c>
    </row>
    <row r="368" spans="1:19" x14ac:dyDescent="0.3">
      <c r="A368" s="98"/>
      <c r="B368" s="98"/>
      <c r="C368" s="98"/>
      <c r="D368" s="98"/>
      <c r="E368" s="98"/>
      <c r="F368" s="98"/>
      <c r="G368" s="98"/>
      <c r="H368" s="38">
        <f>0</f>
        <v>0</v>
      </c>
      <c r="I368" s="29">
        <f>G365*H368</f>
        <v>0</v>
      </c>
      <c r="J368">
        <v>4</v>
      </c>
      <c r="N368" s="4">
        <f>IF(ISERR(SEARCH("TRA* 82",C365)),IF(Q368+R368+S368=0,0,I368*(Q368/(Q368+R368+S368))),I368)</f>
        <v>0</v>
      </c>
      <c r="O368" s="4">
        <f>IF(ISERR(SEARCH("TRA* 82",C365)),IF(Q368+R368+S368=0,0,I368*(R368/(Q368+R368+S368))),0)</f>
        <v>0</v>
      </c>
      <c r="P368" s="4">
        <f>IF(ISERR(SEARCH("TRA* 82",C365)),I368-N368-O368,0)</f>
        <v>0</v>
      </c>
      <c r="Q368" s="4">
        <v>0</v>
      </c>
      <c r="R368" s="4">
        <v>0</v>
      </c>
      <c r="S368" s="4">
        <v>0</v>
      </c>
    </row>
    <row r="369" spans="1:19" x14ac:dyDescent="0.3">
      <c r="A369" s="96" t="s">
        <v>27</v>
      </c>
      <c r="B369" s="97"/>
      <c r="C369" s="97"/>
      <c r="D369" s="97"/>
      <c r="E369" s="97"/>
      <c r="F369" s="97"/>
      <c r="G369" s="97"/>
      <c r="H369" s="36">
        <f>H365+H366+H367+H368</f>
        <v>16.73</v>
      </c>
      <c r="I369" s="74">
        <f>I365+I366+I367+I368</f>
        <v>836.5</v>
      </c>
      <c r="J369">
        <v>5</v>
      </c>
    </row>
    <row r="370" spans="1:19" x14ac:dyDescent="0.3">
      <c r="B370" s="2">
        <v>66</v>
      </c>
      <c r="C370" s="3" t="s">
        <v>437</v>
      </c>
      <c r="D370" s="5" t="s">
        <v>25</v>
      </c>
      <c r="G370" s="30">
        <v>80</v>
      </c>
      <c r="H370" s="38">
        <f>2285.09/G370</f>
        <v>28.563625000000002</v>
      </c>
      <c r="I370" s="29">
        <f>G370*H370</f>
        <v>2285.09</v>
      </c>
      <c r="J370">
        <v>1</v>
      </c>
    </row>
    <row r="371" spans="1:19" x14ac:dyDescent="0.3">
      <c r="D371" s="15" t="str">
        <f>SUBSTITUTE("Sp.mat: 0.00%",".",IF(VALUE("1.2")=1.2,".",","),2)</f>
        <v>Sp.mat: 0.00%</v>
      </c>
      <c r="F371" s="15" t="str">
        <f>SUBSTITUTE("Sp.man: 0.00%",".",IF(VALUE("1.2")=1.2,".",","),2)</f>
        <v>Sp.man: 0.00%</v>
      </c>
      <c r="G371" s="35" t="str">
        <f>SUBSTITUTE("Sp.uti: 0.00%",".",IF(VALUE("1.2")=1.2,".",","),2)</f>
        <v>Sp.uti: 0.00%</v>
      </c>
      <c r="H371" s="38">
        <f>(1+IF(OR(ISERR(FIND(":",F371)),ISERR(FIND("%",F371))),0,MID(F371,FIND(":",F371)+2,FIND("%",F371)-FIND(":",F371)-2)/100))*0</f>
        <v>0</v>
      </c>
      <c r="I371" s="29">
        <f>G370*H371</f>
        <v>0</v>
      </c>
      <c r="J371">
        <v>2</v>
      </c>
    </row>
    <row r="372" spans="1:19" x14ac:dyDescent="0.3">
      <c r="A372" s="88" t="s">
        <v>438</v>
      </c>
      <c r="B372" s="98"/>
      <c r="C372" s="98"/>
      <c r="D372" s="98"/>
      <c r="E372" s="98"/>
      <c r="F372" s="98"/>
      <c r="G372" s="98"/>
      <c r="H372" s="38">
        <f>(1+IF(OR(ISERR(FIND(":",G371)),ISERR(FIND("%",G371))),0,MID(G371,FIND(":",G371)+2,FIND("%",G371)-FIND(":",G371)-2)/100))*0</f>
        <v>0</v>
      </c>
      <c r="I372" s="29">
        <f>G370*H372</f>
        <v>0</v>
      </c>
      <c r="J372">
        <v>3</v>
      </c>
      <c r="K372" s="4">
        <v>0</v>
      </c>
      <c r="L372" s="4">
        <v>0</v>
      </c>
      <c r="M372" s="4">
        <f>I372-K372-L372</f>
        <v>0</v>
      </c>
    </row>
    <row r="373" spans="1:19" x14ac:dyDescent="0.3">
      <c r="A373" s="98"/>
      <c r="B373" s="98"/>
      <c r="C373" s="98"/>
      <c r="D373" s="98"/>
      <c r="E373" s="98"/>
      <c r="F373" s="98"/>
      <c r="G373" s="98"/>
      <c r="H373" s="38">
        <f>0</f>
        <v>0</v>
      </c>
      <c r="I373" s="29">
        <f>G370*H373</f>
        <v>0</v>
      </c>
      <c r="J373">
        <v>4</v>
      </c>
      <c r="N373" s="4">
        <f>IF(ISERR(SEARCH("TRA* 82",C370)),IF(Q373+R373+S373=0,0,I373*(Q373/(Q373+R373+S373))),I373)</f>
        <v>0</v>
      </c>
      <c r="O373" s="4">
        <f>IF(ISERR(SEARCH("TRA* 82",C370)),IF(Q373+R373+S373=0,0,I373*(R373/(Q373+R373+S373))),0)</f>
        <v>0</v>
      </c>
      <c r="P373" s="4">
        <f>IF(ISERR(SEARCH("TRA* 82",C370)),I373-N373-O373,0)</f>
        <v>0</v>
      </c>
      <c r="Q373" s="4">
        <v>0</v>
      </c>
      <c r="R373" s="4">
        <v>0</v>
      </c>
      <c r="S373" s="4">
        <v>0</v>
      </c>
    </row>
    <row r="374" spans="1:19" x14ac:dyDescent="0.3">
      <c r="A374" s="96" t="s">
        <v>27</v>
      </c>
      <c r="B374" s="97"/>
      <c r="C374" s="97"/>
      <c r="D374" s="97"/>
      <c r="E374" s="97"/>
      <c r="F374" s="97"/>
      <c r="G374" s="97"/>
      <c r="H374" s="36">
        <f>H370+H371+H372+H373</f>
        <v>28.563625000000002</v>
      </c>
      <c r="I374" s="74">
        <f>I370+I371+I372+I373</f>
        <v>2285.09</v>
      </c>
      <c r="J374">
        <v>5</v>
      </c>
    </row>
    <row r="375" spans="1:19" x14ac:dyDescent="0.3">
      <c r="B375" s="2">
        <v>67</v>
      </c>
      <c r="C375" s="3" t="s">
        <v>439</v>
      </c>
      <c r="D375" s="5" t="s">
        <v>29</v>
      </c>
      <c r="G375" s="30">
        <v>2</v>
      </c>
      <c r="H375" s="38">
        <v>60.15</v>
      </c>
      <c r="I375" s="29">
        <f>G375*H375</f>
        <v>120.3</v>
      </c>
      <c r="J375">
        <v>1</v>
      </c>
    </row>
    <row r="376" spans="1:19" x14ac:dyDescent="0.3">
      <c r="D376" s="15" t="str">
        <f>SUBSTITUTE("Sp.mat: 0.00%",".",IF(VALUE("1.2")=1.2,".",","),2)</f>
        <v>Sp.mat: 0.00%</v>
      </c>
      <c r="F376" s="15" t="str">
        <f>SUBSTITUTE("Sp.man: 0.00%",".",IF(VALUE("1.2")=1.2,".",","),2)</f>
        <v>Sp.man: 0.00%</v>
      </c>
      <c r="G376" s="35" t="str">
        <f>SUBSTITUTE("Sp.uti: 0.00%",".",IF(VALUE("1.2")=1.2,".",","),2)</f>
        <v>Sp.uti: 0.00%</v>
      </c>
      <c r="H376" s="38">
        <f>63.43/G375</f>
        <v>31.715</v>
      </c>
      <c r="I376" s="29">
        <f>G375*H376</f>
        <v>63.43</v>
      </c>
      <c r="J376">
        <v>2</v>
      </c>
    </row>
    <row r="377" spans="1:19" x14ac:dyDescent="0.3">
      <c r="A377" s="88" t="s">
        <v>440</v>
      </c>
      <c r="B377" s="98"/>
      <c r="C377" s="98"/>
      <c r="D377" s="98"/>
      <c r="E377" s="98"/>
      <c r="F377" s="98"/>
      <c r="G377" s="98"/>
      <c r="H377" s="38">
        <v>4.55</v>
      </c>
      <c r="I377" s="29">
        <f>G375*H377</f>
        <v>9.1</v>
      </c>
      <c r="J377">
        <v>3</v>
      </c>
      <c r="K377" s="4">
        <v>0</v>
      </c>
      <c r="L377" s="4">
        <v>16.8</v>
      </c>
      <c r="M377" s="4">
        <f>I377-K377-L377</f>
        <v>-7.7000000000000011</v>
      </c>
    </row>
    <row r="378" spans="1:19" x14ac:dyDescent="0.3">
      <c r="A378" s="98"/>
      <c r="B378" s="98"/>
      <c r="C378" s="98"/>
      <c r="D378" s="98"/>
      <c r="E378" s="98"/>
      <c r="F378" s="98"/>
      <c r="G378" s="98"/>
      <c r="H378" s="38">
        <f>0</f>
        <v>0</v>
      </c>
      <c r="I378" s="29">
        <f>G375*H378</f>
        <v>0</v>
      </c>
      <c r="J378">
        <v>4</v>
      </c>
      <c r="N378" s="4">
        <f>IF(ISERR(SEARCH("TRA* 82",C375)),IF(Q378+R378+S378=0,0,I378*(Q378/(Q378+R378+S378))),I378)</f>
        <v>0</v>
      </c>
      <c r="O378" s="4">
        <f>IF(ISERR(SEARCH("TRA* 82",C375)),IF(Q378+R378+S378=0,0,I378*(R378/(Q378+R378+S378))),0)</f>
        <v>0</v>
      </c>
      <c r="P378" s="4">
        <f>IF(ISERR(SEARCH("TRA* 82",C375)),I378-N378-O378,0)</f>
        <v>0</v>
      </c>
      <c r="Q378" s="4">
        <v>0</v>
      </c>
      <c r="R378" s="4">
        <v>0</v>
      </c>
      <c r="S378" s="4">
        <v>0</v>
      </c>
    </row>
    <row r="379" spans="1:19" x14ac:dyDescent="0.3">
      <c r="A379" s="100" t="s">
        <v>87</v>
      </c>
      <c r="B379" s="101"/>
      <c r="C379" s="101"/>
      <c r="D379" s="101"/>
      <c r="E379" s="101"/>
      <c r="F379" s="101"/>
      <c r="G379" s="101"/>
      <c r="H379" s="33">
        <f>H375+H376+H377+H378</f>
        <v>96.414999999999992</v>
      </c>
      <c r="I379" s="37">
        <f>I375+I376+I377+I378</f>
        <v>192.82999999999998</v>
      </c>
      <c r="J379">
        <v>5</v>
      </c>
    </row>
    <row r="380" spans="1:19" x14ac:dyDescent="0.3">
      <c r="A380" s="102" t="s">
        <v>441</v>
      </c>
      <c r="B380" s="102"/>
      <c r="C380" s="102"/>
      <c r="D380" s="102"/>
      <c r="E380" s="102"/>
      <c r="F380" s="102"/>
      <c r="G380" s="102"/>
      <c r="H380" s="102"/>
      <c r="I380" s="102"/>
    </row>
    <row r="381" spans="1:19" x14ac:dyDescent="0.3">
      <c r="A381" s="98" t="s">
        <v>442</v>
      </c>
      <c r="B381" s="98"/>
      <c r="C381" s="98"/>
      <c r="D381" s="98"/>
      <c r="E381" s="98"/>
      <c r="F381" s="98"/>
      <c r="G381" s="98"/>
      <c r="H381" s="98"/>
      <c r="I381" s="98"/>
    </row>
    <row r="382" spans="1:19" x14ac:dyDescent="0.3">
      <c r="A382" s="97" t="s">
        <v>443</v>
      </c>
      <c r="B382" s="97"/>
      <c r="C382" s="97"/>
      <c r="D382" s="97"/>
      <c r="E382" s="97"/>
      <c r="F382" s="97"/>
      <c r="G382" s="97"/>
      <c r="H382" s="97"/>
      <c r="I382" s="97"/>
    </row>
    <row r="383" spans="1:19" x14ac:dyDescent="0.3">
      <c r="B383" s="2">
        <v>68</v>
      </c>
      <c r="C383" s="3" t="s">
        <v>439</v>
      </c>
      <c r="D383" s="5" t="s">
        <v>29</v>
      </c>
      <c r="G383" s="30">
        <v>2</v>
      </c>
      <c r="H383" s="38">
        <f>109.37/G383</f>
        <v>54.685000000000002</v>
      </c>
      <c r="I383" s="29">
        <f>G383*H383</f>
        <v>109.37</v>
      </c>
      <c r="J383">
        <v>1</v>
      </c>
    </row>
    <row r="384" spans="1:19" x14ac:dyDescent="0.3">
      <c r="D384" s="15" t="str">
        <f>SUBSTITUTE("Sp.mat: 0.00%",".",IF(VALUE("1.2")=1.2,".",","),2)</f>
        <v>Sp.mat: 0.00%</v>
      </c>
      <c r="F384" s="15" t="str">
        <f>SUBSTITUTE("Sp.man: 0.00%",".",IF(VALUE("1.2")=1.2,".",","),2)</f>
        <v>Sp.man: 0.00%</v>
      </c>
      <c r="G384" s="35" t="str">
        <f>SUBSTITUTE("Sp.uti: 0.00%",".",IF(VALUE("1.2")=1.2,".",","),2)</f>
        <v>Sp.uti: 0.00%</v>
      </c>
      <c r="H384" s="38">
        <f>63.43/G383</f>
        <v>31.715</v>
      </c>
      <c r="I384" s="29">
        <f>G383*H384</f>
        <v>63.43</v>
      </c>
      <c r="J384">
        <v>2</v>
      </c>
    </row>
    <row r="385" spans="1:19" x14ac:dyDescent="0.3">
      <c r="A385" s="88" t="s">
        <v>440</v>
      </c>
      <c r="B385" s="98"/>
      <c r="C385" s="98"/>
      <c r="D385" s="98"/>
      <c r="E385" s="98"/>
      <c r="F385" s="98"/>
      <c r="G385" s="98"/>
      <c r="H385" s="38">
        <v>4.55</v>
      </c>
      <c r="I385" s="29">
        <f>G383*H385</f>
        <v>9.1</v>
      </c>
      <c r="J385">
        <v>3</v>
      </c>
      <c r="K385" s="4">
        <v>0</v>
      </c>
      <c r="L385" s="4">
        <v>16.8</v>
      </c>
      <c r="M385" s="4">
        <f>I385-K385-L385</f>
        <v>-7.7000000000000011</v>
      </c>
    </row>
    <row r="386" spans="1:19" x14ac:dyDescent="0.3">
      <c r="A386" s="98"/>
      <c r="B386" s="98"/>
      <c r="C386" s="98"/>
      <c r="D386" s="98"/>
      <c r="E386" s="98"/>
      <c r="F386" s="98"/>
      <c r="G386" s="98"/>
      <c r="H386" s="38">
        <f>0</f>
        <v>0</v>
      </c>
      <c r="I386" s="29">
        <f>G383*H386</f>
        <v>0</v>
      </c>
      <c r="J386">
        <v>4</v>
      </c>
      <c r="N386" s="4">
        <f>IF(ISERR(SEARCH("TRA* 82",C383)),IF(Q386+R386+S386=0,0,I386*(Q386/(Q386+R386+S386))),I386)</f>
        <v>0</v>
      </c>
      <c r="O386" s="4">
        <f>IF(ISERR(SEARCH("TRA* 82",C383)),IF(Q386+R386+S386=0,0,I386*(R386/(Q386+R386+S386))),0)</f>
        <v>0</v>
      </c>
      <c r="P386" s="4">
        <f>IF(ISERR(SEARCH("TRA* 82",C383)),I386-N386-O386,0)</f>
        <v>0</v>
      </c>
      <c r="Q386" s="4">
        <v>0</v>
      </c>
      <c r="R386" s="4">
        <v>0</v>
      </c>
      <c r="S386" s="4">
        <v>0</v>
      </c>
    </row>
    <row r="387" spans="1:19" x14ac:dyDescent="0.3">
      <c r="A387" s="100" t="s">
        <v>87</v>
      </c>
      <c r="B387" s="101"/>
      <c r="C387" s="101"/>
      <c r="D387" s="101"/>
      <c r="E387" s="101"/>
      <c r="F387" s="101"/>
      <c r="G387" s="101"/>
      <c r="H387" s="33">
        <f>H383+H384+H385+H386</f>
        <v>90.95</v>
      </c>
      <c r="I387" s="37">
        <f>I383+I384+I385+I386</f>
        <v>181.9</v>
      </c>
      <c r="J387">
        <v>5</v>
      </c>
    </row>
    <row r="388" spans="1:19" x14ac:dyDescent="0.3">
      <c r="A388" s="99" t="s">
        <v>444</v>
      </c>
      <c r="B388" s="99"/>
      <c r="C388" s="99"/>
      <c r="D388" s="99"/>
      <c r="E388" s="99"/>
      <c r="F388" s="99"/>
      <c r="G388" s="99"/>
      <c r="H388" s="99"/>
      <c r="I388" s="99"/>
    </row>
    <row r="389" spans="1:19" x14ac:dyDescent="0.3">
      <c r="B389" s="2">
        <v>69</v>
      </c>
      <c r="C389" s="3" t="s">
        <v>445</v>
      </c>
      <c r="D389" s="5" t="s">
        <v>133</v>
      </c>
      <c r="G389" s="30">
        <v>18</v>
      </c>
      <c r="H389" s="38">
        <f>(1+IF(OR(ISERR(FIND(":",D390)),ISERR(FIND("%",D390))),0,MID(D390,FIND(":",D390)+2,FIND("%",D390)-FIND(":",D390)-2)/100))*0</f>
        <v>0</v>
      </c>
      <c r="I389" s="29">
        <f>G389*H389</f>
        <v>0</v>
      </c>
      <c r="J389">
        <v>1</v>
      </c>
    </row>
    <row r="390" spans="1:19" x14ac:dyDescent="0.3">
      <c r="D390" s="15" t="str">
        <f>SUBSTITUTE("Sp.mat: 0.00%",".",IF(VALUE("1.2")=1.2,".",","),2)</f>
        <v>Sp.mat: 0.00%</v>
      </c>
      <c r="F390" s="15" t="str">
        <f>SUBSTITUTE("Sp.man: 0.00%",".",IF(VALUE("1.2")=1.2,".",","),2)</f>
        <v>Sp.man: 0.00%</v>
      </c>
      <c r="G390" s="35" t="str">
        <f>SUBSTITUTE("Sp.uti: 0.00%",".",IF(VALUE("1.2")=1.2,".",","),2)</f>
        <v>Sp.uti: 0.00%</v>
      </c>
      <c r="H390" s="38">
        <f>28.83/G389</f>
        <v>1.6016666666666666</v>
      </c>
      <c r="I390" s="29">
        <f>G389*H390</f>
        <v>28.83</v>
      </c>
      <c r="J390">
        <v>2</v>
      </c>
    </row>
    <row r="391" spans="1:19" x14ac:dyDescent="0.3">
      <c r="A391" s="88" t="s">
        <v>446</v>
      </c>
      <c r="B391" s="98"/>
      <c r="C391" s="98"/>
      <c r="D391" s="98"/>
      <c r="E391" s="98"/>
      <c r="F391" s="98"/>
      <c r="G391" s="98"/>
      <c r="H391" s="38">
        <f>(1+IF(OR(ISERR(FIND(":",G390)),ISERR(FIND("%",G390))),0,MID(G390,FIND(":",G390)+2,FIND("%",G390)-FIND(":",G390)-2)/100))*0</f>
        <v>0</v>
      </c>
      <c r="I391" s="29">
        <f>G389*H391</f>
        <v>0</v>
      </c>
      <c r="J391">
        <v>3</v>
      </c>
      <c r="K391" s="4">
        <v>0</v>
      </c>
      <c r="L391" s="4">
        <v>0</v>
      </c>
      <c r="M391" s="4">
        <f>I391-K391-L391</f>
        <v>0</v>
      </c>
    </row>
    <row r="392" spans="1:19" x14ac:dyDescent="0.3">
      <c r="A392" s="98"/>
      <c r="B392" s="98"/>
      <c r="C392" s="98"/>
      <c r="D392" s="98"/>
      <c r="E392" s="98"/>
      <c r="F392" s="98"/>
      <c r="G392" s="98"/>
      <c r="H392" s="38">
        <f>0</f>
        <v>0</v>
      </c>
      <c r="I392" s="29">
        <f>G389*H392</f>
        <v>0</v>
      </c>
      <c r="J392">
        <v>4</v>
      </c>
      <c r="N392" s="4">
        <f>IF(ISERR(SEARCH("TRA* 82",C389)),IF(Q392+R392+S392=0,0,I392*(Q392/(Q392+R392+S392))),I392)</f>
        <v>0</v>
      </c>
      <c r="O392" s="4">
        <f>IF(ISERR(SEARCH("TRA* 82",C389)),IF(Q392+R392+S392=0,0,I392*(R392/(Q392+R392+S392))),0)</f>
        <v>0</v>
      </c>
      <c r="P392" s="4">
        <f>IF(ISERR(SEARCH("TRA* 82",C389)),I392-N392-O392,0)</f>
        <v>0</v>
      </c>
      <c r="Q392" s="4">
        <v>0</v>
      </c>
      <c r="R392" s="4">
        <v>0</v>
      </c>
      <c r="S392" s="4">
        <v>0</v>
      </c>
    </row>
    <row r="393" spans="1:19" x14ac:dyDescent="0.3">
      <c r="A393" s="100" t="s">
        <v>87</v>
      </c>
      <c r="B393" s="101"/>
      <c r="C393" s="101"/>
      <c r="D393" s="101"/>
      <c r="E393" s="101"/>
      <c r="F393" s="101"/>
      <c r="G393" s="101"/>
      <c r="H393" s="33">
        <f>H389+H390+H391+H392</f>
        <v>1.6016666666666666</v>
      </c>
      <c r="I393" s="37">
        <f>I389+I390+I391+I392</f>
        <v>28.83</v>
      </c>
      <c r="J393">
        <v>5</v>
      </c>
    </row>
    <row r="394" spans="1:19" x14ac:dyDescent="0.3">
      <c r="A394" s="99" t="s">
        <v>447</v>
      </c>
      <c r="B394" s="99"/>
      <c r="C394" s="99"/>
      <c r="D394" s="99"/>
      <c r="E394" s="99"/>
      <c r="F394" s="99"/>
      <c r="G394" s="99"/>
      <c r="H394" s="99"/>
      <c r="I394" s="99"/>
    </row>
    <row r="395" spans="1:19" x14ac:dyDescent="0.3">
      <c r="B395" s="2">
        <v>70</v>
      </c>
      <c r="C395" s="3" t="s">
        <v>448</v>
      </c>
      <c r="D395" s="5" t="s">
        <v>133</v>
      </c>
      <c r="G395" s="30">
        <v>17</v>
      </c>
      <c r="H395" s="38">
        <f>(1+IF(OR(ISERR(FIND(":",D396)),ISERR(FIND("%",D396))),0,MID(D396,FIND(":",D396)+2,FIND("%",D396)-FIND(":",D396)-2)/100))*0</f>
        <v>0</v>
      </c>
      <c r="I395" s="29">
        <f>G395*H395</f>
        <v>0</v>
      </c>
      <c r="J395">
        <v>1</v>
      </c>
    </row>
    <row r="396" spans="1:19" x14ac:dyDescent="0.3">
      <c r="D396" s="15" t="str">
        <f>SUBSTITUTE("Sp.mat: 0.00%",".",IF(VALUE("1.2")=1.2,".",","),2)</f>
        <v>Sp.mat: 0.00%</v>
      </c>
      <c r="F396" s="15" t="str">
        <f>SUBSTITUTE("Sp.man: 0.00%",".",IF(VALUE("1.2")=1.2,".",","),2)</f>
        <v>Sp.man: 0.00%</v>
      </c>
      <c r="G396" s="35" t="str">
        <f>SUBSTITUTE("Sp.uti: 0.00%",".",IF(VALUE("1.2")=1.2,".",","),2)</f>
        <v>Sp.uti: 0.00%</v>
      </c>
      <c r="H396" s="38">
        <f>40.84/G395</f>
        <v>2.4023529411764706</v>
      </c>
      <c r="I396" s="29">
        <f>G395*H396</f>
        <v>40.840000000000003</v>
      </c>
      <c r="J396">
        <v>2</v>
      </c>
    </row>
    <row r="397" spans="1:19" x14ac:dyDescent="0.3">
      <c r="A397" s="88" t="s">
        <v>449</v>
      </c>
      <c r="B397" s="98"/>
      <c r="C397" s="98"/>
      <c r="D397" s="98"/>
      <c r="E397" s="98"/>
      <c r="F397" s="98"/>
      <c r="G397" s="98"/>
      <c r="H397" s="38">
        <f>(1+IF(OR(ISERR(FIND(":",G396)),ISERR(FIND("%",G396))),0,MID(G396,FIND(":",G396)+2,FIND("%",G396)-FIND(":",G396)-2)/100))*0</f>
        <v>0</v>
      </c>
      <c r="I397" s="29">
        <f>G395*H397</f>
        <v>0</v>
      </c>
      <c r="J397">
        <v>3</v>
      </c>
      <c r="K397" s="4">
        <v>0</v>
      </c>
      <c r="L397" s="4">
        <v>0</v>
      </c>
      <c r="M397" s="4">
        <f>I397-K397-L397</f>
        <v>0</v>
      </c>
    </row>
    <row r="398" spans="1:19" x14ac:dyDescent="0.3">
      <c r="A398" s="98"/>
      <c r="B398" s="98"/>
      <c r="C398" s="98"/>
      <c r="D398" s="98"/>
      <c r="E398" s="98"/>
      <c r="F398" s="98"/>
      <c r="G398" s="98"/>
      <c r="H398" s="38">
        <f>0</f>
        <v>0</v>
      </c>
      <c r="I398" s="29">
        <f>G395*H398</f>
        <v>0</v>
      </c>
      <c r="J398">
        <v>4</v>
      </c>
      <c r="N398" s="4">
        <f>IF(ISERR(SEARCH("TRA* 82",C395)),IF(Q398+R398+S398=0,0,I398*(Q398/(Q398+R398+S398))),I398)</f>
        <v>0</v>
      </c>
      <c r="O398" s="4">
        <f>IF(ISERR(SEARCH("TRA* 82",C395)),IF(Q398+R398+S398=0,0,I398*(R398/(Q398+R398+S398))),0)</f>
        <v>0</v>
      </c>
      <c r="P398" s="4">
        <f>IF(ISERR(SEARCH("TRA* 82",C395)),I398-N398-O398,0)</f>
        <v>0</v>
      </c>
      <c r="Q398" s="4">
        <v>0</v>
      </c>
      <c r="R398" s="4">
        <v>0</v>
      </c>
      <c r="S398" s="4">
        <v>0</v>
      </c>
    </row>
    <row r="399" spans="1:19" x14ac:dyDescent="0.3">
      <c r="A399" s="100" t="s">
        <v>87</v>
      </c>
      <c r="B399" s="101"/>
      <c r="C399" s="101"/>
      <c r="D399" s="101"/>
      <c r="E399" s="101"/>
      <c r="F399" s="101"/>
      <c r="G399" s="101"/>
      <c r="H399" s="33">
        <f>H395+H396+H397+H398</f>
        <v>2.4023529411764706</v>
      </c>
      <c r="I399" s="37">
        <f>I395+I396+I397+I398</f>
        <v>40.840000000000003</v>
      </c>
      <c r="J399">
        <v>5</v>
      </c>
    </row>
    <row r="400" spans="1:19" x14ac:dyDescent="0.3">
      <c r="A400" s="99" t="s">
        <v>447</v>
      </c>
      <c r="B400" s="99"/>
      <c r="C400" s="99"/>
      <c r="D400" s="99"/>
      <c r="E400" s="99"/>
      <c r="F400" s="99"/>
      <c r="G400" s="99"/>
      <c r="H400" s="99"/>
      <c r="I400" s="99"/>
    </row>
    <row r="401" spans="1:19" x14ac:dyDescent="0.3">
      <c r="B401" s="2">
        <v>71</v>
      </c>
      <c r="C401" s="3" t="s">
        <v>450</v>
      </c>
      <c r="D401" s="5" t="s">
        <v>25</v>
      </c>
      <c r="G401" s="30">
        <v>80</v>
      </c>
      <c r="H401" s="38">
        <f>(1+IF(OR(ISERR(FIND(":",D402)),ISERR(FIND("%",D402))),0,MID(D402,FIND(":",D402)+2,FIND("%",D402)-FIND(":",D402)-2)/100))*0</f>
        <v>0</v>
      </c>
      <c r="I401" s="29">
        <f>G401*H401</f>
        <v>0</v>
      </c>
      <c r="J401">
        <v>1</v>
      </c>
    </row>
    <row r="402" spans="1:19" x14ac:dyDescent="0.3">
      <c r="D402" s="15" t="str">
        <f>SUBSTITUTE("Sp.mat: 0.00%",".",IF(VALUE("1.2")=1.2,".",","),2)</f>
        <v>Sp.mat: 0.00%</v>
      </c>
      <c r="F402" s="15" t="str">
        <f>SUBSTITUTE("Sp.man: 0.00%",".",IF(VALUE("1.2")=1.2,".",","),2)</f>
        <v>Sp.man: 0.00%</v>
      </c>
      <c r="G402" s="35" t="str">
        <f>SUBSTITUTE("Sp.uti: 0.00%",".",IF(VALUE("1.2")=1.2,".",","),2)</f>
        <v>Sp.uti: 0.00%</v>
      </c>
      <c r="H402" s="38">
        <f>115.32/G401</f>
        <v>1.4415</v>
      </c>
      <c r="I402" s="29">
        <f>G401*H402</f>
        <v>115.32</v>
      </c>
      <c r="J402">
        <v>2</v>
      </c>
    </row>
    <row r="403" spans="1:19" x14ac:dyDescent="0.3">
      <c r="A403" s="88" t="s">
        <v>451</v>
      </c>
      <c r="B403" s="98"/>
      <c r="C403" s="98"/>
      <c r="D403" s="98"/>
      <c r="E403" s="98"/>
      <c r="F403" s="98"/>
      <c r="G403" s="98"/>
      <c r="H403" s="38">
        <v>0.26</v>
      </c>
      <c r="I403" s="29">
        <f>G401*H403</f>
        <v>20.8</v>
      </c>
      <c r="J403">
        <v>3</v>
      </c>
      <c r="K403" s="4">
        <v>0</v>
      </c>
      <c r="L403" s="4">
        <v>38.4</v>
      </c>
      <c r="M403" s="4">
        <f>I403-K403-L403</f>
        <v>-17.599999999999998</v>
      </c>
    </row>
    <row r="404" spans="1:19" x14ac:dyDescent="0.3">
      <c r="A404" s="98"/>
      <c r="B404" s="98"/>
      <c r="C404" s="98"/>
      <c r="D404" s="98"/>
      <c r="E404" s="98"/>
      <c r="F404" s="98"/>
      <c r="G404" s="98"/>
      <c r="H404" s="38">
        <f>0</f>
        <v>0</v>
      </c>
      <c r="I404" s="29">
        <f>G401*H404</f>
        <v>0</v>
      </c>
      <c r="J404">
        <v>4</v>
      </c>
      <c r="N404" s="4">
        <f>IF(ISERR(SEARCH("TRA* 82",C401)),IF(Q404+R404+S404=0,0,I404*(Q404/(Q404+R404+S404))),I404)</f>
        <v>0</v>
      </c>
      <c r="O404" s="4">
        <f>IF(ISERR(SEARCH("TRA* 82",C401)),IF(Q404+R404+S404=0,0,I404*(R404/(Q404+R404+S404))),0)</f>
        <v>0</v>
      </c>
      <c r="P404" s="4">
        <f>IF(ISERR(SEARCH("TRA* 82",C401)),I404-N404-O404,0)</f>
        <v>0</v>
      </c>
      <c r="Q404" s="4">
        <v>0</v>
      </c>
      <c r="R404" s="4">
        <v>0</v>
      </c>
      <c r="S404" s="4">
        <v>0</v>
      </c>
    </row>
    <row r="405" spans="1:19" x14ac:dyDescent="0.3">
      <c r="A405" s="96" t="s">
        <v>27</v>
      </c>
      <c r="B405" s="97"/>
      <c r="C405" s="97"/>
      <c r="D405" s="97"/>
      <c r="E405" s="97"/>
      <c r="F405" s="97"/>
      <c r="G405" s="97"/>
      <c r="H405" s="36">
        <f>H401+H402+H403+H404</f>
        <v>1.7015</v>
      </c>
      <c r="I405" s="74">
        <f>I401+I402+I403+I404</f>
        <v>136.12</v>
      </c>
      <c r="J405">
        <v>5</v>
      </c>
    </row>
    <row r="406" spans="1:19" x14ac:dyDescent="0.3">
      <c r="B406" s="2">
        <v>72</v>
      </c>
      <c r="C406" s="3" t="s">
        <v>452</v>
      </c>
      <c r="D406" s="5" t="s">
        <v>25</v>
      </c>
      <c r="G406" s="30">
        <v>100</v>
      </c>
      <c r="H406" s="38">
        <f>(1+IF(OR(ISERR(FIND(":",D407)),ISERR(FIND("%",D407))),0,MID(D407,FIND(":",D407)+2,FIND("%",D407)-FIND(":",D407)-2)/100))*0</f>
        <v>0</v>
      </c>
      <c r="I406" s="29">
        <f>G406*H406</f>
        <v>0</v>
      </c>
      <c r="J406">
        <v>1</v>
      </c>
    </row>
    <row r="407" spans="1:19" x14ac:dyDescent="0.3">
      <c r="D407" s="15" t="str">
        <f>SUBSTITUTE("Sp.mat: 0.00%",".",IF(VALUE("1.2")=1.2,".",","),2)</f>
        <v>Sp.mat: 0.00%</v>
      </c>
      <c r="F407" s="15" t="str">
        <f>SUBSTITUTE("Sp.man: 0.00%",".",IF(VALUE("1.2")=1.2,".",","),2)</f>
        <v>Sp.man: 0.00%</v>
      </c>
      <c r="G407" s="35" t="str">
        <f>SUBSTITUTE("Sp.uti: 0.00%",".",IF(VALUE("1.2")=1.2,".",","),2)</f>
        <v>Sp.uti: 0.00%</v>
      </c>
      <c r="H407" s="38">
        <f>176.19/G406</f>
        <v>1.7619</v>
      </c>
      <c r="I407" s="29">
        <f>G406*H407</f>
        <v>176.19</v>
      </c>
      <c r="J407">
        <v>2</v>
      </c>
    </row>
    <row r="408" spans="1:19" x14ac:dyDescent="0.3">
      <c r="A408" s="88" t="s">
        <v>453</v>
      </c>
      <c r="B408" s="98"/>
      <c r="C408" s="98"/>
      <c r="D408" s="98"/>
      <c r="E408" s="98"/>
      <c r="F408" s="98"/>
      <c r="G408" s="98"/>
      <c r="H408" s="38">
        <f>32.03/G406</f>
        <v>0.32030000000000003</v>
      </c>
      <c r="I408" s="29">
        <f>G406*H408</f>
        <v>32.03</v>
      </c>
      <c r="J408">
        <v>3</v>
      </c>
      <c r="K408" s="4">
        <v>0</v>
      </c>
      <c r="L408" s="4">
        <v>60</v>
      </c>
      <c r="M408" s="4">
        <f>I408-K408-L408</f>
        <v>-27.97</v>
      </c>
    </row>
    <row r="409" spans="1:19" x14ac:dyDescent="0.3">
      <c r="A409" s="98"/>
      <c r="B409" s="98"/>
      <c r="C409" s="98"/>
      <c r="D409" s="98"/>
      <c r="E409" s="98"/>
      <c r="F409" s="98"/>
      <c r="G409" s="98"/>
      <c r="H409" s="38">
        <f>0</f>
        <v>0</v>
      </c>
      <c r="I409" s="29">
        <f>G406*H409</f>
        <v>0</v>
      </c>
      <c r="J409">
        <v>4</v>
      </c>
      <c r="N409" s="4">
        <f>IF(ISERR(SEARCH("TRA* 82",C406)),IF(Q409+R409+S409=0,0,I409*(Q409/(Q409+R409+S409))),I409)</f>
        <v>0</v>
      </c>
      <c r="O409" s="4">
        <f>IF(ISERR(SEARCH("TRA* 82",C406)),IF(Q409+R409+S409=0,0,I409*(R409/(Q409+R409+S409))),0)</f>
        <v>0</v>
      </c>
      <c r="P409" s="4">
        <f>IF(ISERR(SEARCH("TRA* 82",C406)),I409-N409-O409,0)</f>
        <v>0</v>
      </c>
      <c r="Q409" s="4">
        <v>0</v>
      </c>
      <c r="R409" s="4">
        <v>0</v>
      </c>
      <c r="S409" s="4">
        <v>0</v>
      </c>
    </row>
    <row r="410" spans="1:19" x14ac:dyDescent="0.3">
      <c r="A410" s="96" t="s">
        <v>27</v>
      </c>
      <c r="B410" s="97"/>
      <c r="C410" s="97"/>
      <c r="D410" s="97"/>
      <c r="E410" s="97"/>
      <c r="F410" s="97"/>
      <c r="G410" s="97"/>
      <c r="H410" s="36">
        <f>H406+H407+H408+H409</f>
        <v>2.0822000000000003</v>
      </c>
      <c r="I410" s="74">
        <f>I406+I407+I408+I409</f>
        <v>208.22</v>
      </c>
      <c r="J410">
        <v>5</v>
      </c>
    </row>
    <row r="411" spans="1:19" x14ac:dyDescent="0.3">
      <c r="B411" s="2">
        <v>73</v>
      </c>
      <c r="C411" s="3" t="s">
        <v>454</v>
      </c>
      <c r="D411" s="5" t="s">
        <v>25</v>
      </c>
      <c r="G411" s="30">
        <v>40</v>
      </c>
      <c r="H411" s="38">
        <f>(1+IF(OR(ISERR(FIND(":",D412)),ISERR(FIND("%",D412))),0,MID(D412,FIND(":",D412)+2,FIND("%",D412)-FIND(":",D412)-2)/100))*0</f>
        <v>0</v>
      </c>
      <c r="I411" s="29">
        <f>G411*H411</f>
        <v>0</v>
      </c>
      <c r="J411">
        <v>1</v>
      </c>
    </row>
    <row r="412" spans="1:19" x14ac:dyDescent="0.3">
      <c r="D412" s="15" t="str">
        <f>SUBSTITUTE("Sp.mat: 0.00%",".",IF(VALUE("1.2")=1.2,".",","),2)</f>
        <v>Sp.mat: 0.00%</v>
      </c>
      <c r="F412" s="15" t="str">
        <f>SUBSTITUTE("Sp.man: 0.00%",".",IF(VALUE("1.2")=1.2,".",","),2)</f>
        <v>Sp.man: 0.00%</v>
      </c>
      <c r="G412" s="35" t="str">
        <f>SUBSTITUTE("Sp.uti: 0.00%",".",IF(VALUE("1.2")=1.2,".",","),2)</f>
        <v>Sp.uti: 0.00%</v>
      </c>
      <c r="H412" s="38">
        <f>83.29/G411</f>
        <v>2.0822500000000002</v>
      </c>
      <c r="I412" s="29">
        <f>G411*H412</f>
        <v>83.29</v>
      </c>
      <c r="J412">
        <v>2</v>
      </c>
    </row>
    <row r="413" spans="1:19" x14ac:dyDescent="0.3">
      <c r="A413" s="88" t="s">
        <v>455</v>
      </c>
      <c r="B413" s="98"/>
      <c r="C413" s="98"/>
      <c r="D413" s="98"/>
      <c r="E413" s="98"/>
      <c r="F413" s="98"/>
      <c r="G413" s="98"/>
      <c r="H413" s="38">
        <f>15.38/G411</f>
        <v>0.38450000000000001</v>
      </c>
      <c r="I413" s="29">
        <f>G411*H413</f>
        <v>15.38</v>
      </c>
      <c r="J413">
        <v>3</v>
      </c>
      <c r="K413" s="4">
        <v>0</v>
      </c>
      <c r="L413" s="4">
        <v>28.8</v>
      </c>
      <c r="M413" s="4">
        <f>I413-K413-L413</f>
        <v>-13.42</v>
      </c>
    </row>
    <row r="414" spans="1:19" x14ac:dyDescent="0.3">
      <c r="A414" s="98"/>
      <c r="B414" s="98"/>
      <c r="C414" s="98"/>
      <c r="D414" s="98"/>
      <c r="E414" s="98"/>
      <c r="F414" s="98"/>
      <c r="G414" s="98"/>
      <c r="H414" s="38">
        <f>0</f>
        <v>0</v>
      </c>
      <c r="I414" s="29">
        <f>G411*H414</f>
        <v>0</v>
      </c>
      <c r="J414">
        <v>4</v>
      </c>
      <c r="N414" s="4">
        <f>IF(ISERR(SEARCH("TRA* 82",C411)),IF(Q414+R414+S414=0,0,I414*(Q414/(Q414+R414+S414))),I414)</f>
        <v>0</v>
      </c>
      <c r="O414" s="4">
        <f>IF(ISERR(SEARCH("TRA* 82",C411)),IF(Q414+R414+S414=0,0,I414*(R414/(Q414+R414+S414))),0)</f>
        <v>0</v>
      </c>
      <c r="P414" s="4">
        <f>IF(ISERR(SEARCH("TRA* 82",C411)),I414-N414-O414,0)</f>
        <v>0</v>
      </c>
      <c r="Q414" s="4">
        <v>0</v>
      </c>
      <c r="R414" s="4">
        <v>0</v>
      </c>
      <c r="S414" s="4">
        <v>0</v>
      </c>
    </row>
    <row r="415" spans="1:19" x14ac:dyDescent="0.3">
      <c r="A415" s="96" t="s">
        <v>27</v>
      </c>
      <c r="B415" s="97"/>
      <c r="C415" s="97"/>
      <c r="D415" s="97"/>
      <c r="E415" s="97"/>
      <c r="F415" s="97"/>
      <c r="G415" s="97"/>
      <c r="H415" s="36">
        <f>H411+H412+H413+H414</f>
        <v>2.4667500000000002</v>
      </c>
      <c r="I415" s="74">
        <f>I411+I412+I413+I414</f>
        <v>98.67</v>
      </c>
      <c r="J415">
        <v>5</v>
      </c>
    </row>
    <row r="416" spans="1:19" x14ac:dyDescent="0.3">
      <c r="B416" s="2">
        <v>74</v>
      </c>
      <c r="C416" s="3" t="s">
        <v>456</v>
      </c>
      <c r="D416" s="5" t="s">
        <v>25</v>
      </c>
      <c r="G416" s="30">
        <v>50</v>
      </c>
      <c r="H416" s="38">
        <f>(1+IF(OR(ISERR(FIND(":",D417)),ISERR(FIND("%",D417))),0,MID(D417,FIND(":",D417)+2,FIND("%",D417)-FIND(":",D417)-2)/100))*0</f>
        <v>0</v>
      </c>
      <c r="I416" s="29">
        <f>G416*H416</f>
        <v>0</v>
      </c>
      <c r="J416">
        <v>1</v>
      </c>
    </row>
    <row r="417" spans="1:19" x14ac:dyDescent="0.3">
      <c r="D417" s="15" t="str">
        <f>SUBSTITUTE("Sp.mat: 0.00%",".",IF(VALUE("1.2")=1.2,".",","),2)</f>
        <v>Sp.mat: 0.00%</v>
      </c>
      <c r="F417" s="15" t="str">
        <f>SUBSTITUTE("Sp.man: 0.00%",".",IF(VALUE("1.2")=1.2,".",","),2)</f>
        <v>Sp.man: 0.00%</v>
      </c>
      <c r="G417" s="35" t="str">
        <f>SUBSTITUTE("Sp.uti: 0.00%",".",IF(VALUE("1.2")=1.2,".",","),2)</f>
        <v>Sp.uti: 0.00%</v>
      </c>
      <c r="H417" s="38">
        <f>120.13/G416</f>
        <v>2.4026000000000001</v>
      </c>
      <c r="I417" s="29">
        <f>G416*H417</f>
        <v>120.13000000000001</v>
      </c>
      <c r="J417">
        <v>2</v>
      </c>
    </row>
    <row r="418" spans="1:19" x14ac:dyDescent="0.3">
      <c r="A418" s="88" t="s">
        <v>457</v>
      </c>
      <c r="B418" s="98"/>
      <c r="C418" s="98"/>
      <c r="D418" s="98"/>
      <c r="E418" s="98"/>
      <c r="F418" s="98"/>
      <c r="G418" s="98"/>
      <c r="H418" s="38">
        <v>0.45</v>
      </c>
      <c r="I418" s="29">
        <f>G416*H418</f>
        <v>22.5</v>
      </c>
      <c r="J418">
        <v>3</v>
      </c>
      <c r="K418" s="4">
        <v>0</v>
      </c>
      <c r="L418" s="4">
        <v>42</v>
      </c>
      <c r="M418" s="4">
        <f>I418-K418-L418</f>
        <v>-19.5</v>
      </c>
    </row>
    <row r="419" spans="1:19" x14ac:dyDescent="0.3">
      <c r="A419" s="98"/>
      <c r="B419" s="98"/>
      <c r="C419" s="98"/>
      <c r="D419" s="98"/>
      <c r="E419" s="98"/>
      <c r="F419" s="98"/>
      <c r="G419" s="98"/>
      <c r="H419" s="38">
        <f>0</f>
        <v>0</v>
      </c>
      <c r="I419" s="29">
        <f>G416*H419</f>
        <v>0</v>
      </c>
      <c r="J419">
        <v>4</v>
      </c>
      <c r="N419" s="4">
        <f>IF(ISERR(SEARCH("TRA* 82",C416)),IF(Q419+R419+S419=0,0,I419*(Q419/(Q419+R419+S419))),I419)</f>
        <v>0</v>
      </c>
      <c r="O419" s="4">
        <f>IF(ISERR(SEARCH("TRA* 82",C416)),IF(Q419+R419+S419=0,0,I419*(R419/(Q419+R419+S419))),0)</f>
        <v>0</v>
      </c>
      <c r="P419" s="4">
        <f>IF(ISERR(SEARCH("TRA* 82",C416)),I419-N419-O419,0)</f>
        <v>0</v>
      </c>
      <c r="Q419" s="4">
        <v>0</v>
      </c>
      <c r="R419" s="4">
        <v>0</v>
      </c>
      <c r="S419" s="4">
        <v>0</v>
      </c>
    </row>
    <row r="420" spans="1:19" x14ac:dyDescent="0.3">
      <c r="A420" s="96" t="s">
        <v>27</v>
      </c>
      <c r="B420" s="97"/>
      <c r="C420" s="97"/>
      <c r="D420" s="97"/>
      <c r="E420" s="97"/>
      <c r="F420" s="97"/>
      <c r="G420" s="97"/>
      <c r="H420" s="36">
        <f>H416+H417+H418+H419</f>
        <v>2.8526000000000002</v>
      </c>
      <c r="I420" s="74">
        <f>I416+I417+I418+I419</f>
        <v>142.63</v>
      </c>
      <c r="J420">
        <v>5</v>
      </c>
    </row>
    <row r="421" spans="1:19" x14ac:dyDescent="0.3">
      <c r="B421" s="2">
        <v>75</v>
      </c>
      <c r="C421" s="3" t="s">
        <v>458</v>
      </c>
      <c r="D421" s="5" t="s">
        <v>25</v>
      </c>
      <c r="G421" s="30">
        <v>80</v>
      </c>
      <c r="H421" s="38">
        <f>(1+IF(OR(ISERR(FIND(":",D422)),ISERR(FIND("%",D422))),0,MID(D422,FIND(":",D422)+2,FIND("%",D422)-FIND(":",D422)-2)/100))*0</f>
        <v>0</v>
      </c>
      <c r="I421" s="29">
        <f>G421*H421</f>
        <v>0</v>
      </c>
      <c r="J421">
        <v>1</v>
      </c>
    </row>
    <row r="422" spans="1:19" x14ac:dyDescent="0.3">
      <c r="D422" s="15" t="str">
        <f>SUBSTITUTE("Sp.mat: 0.00%",".",IF(VALUE("1.2")=1.2,".",","),2)</f>
        <v>Sp.mat: 0.00%</v>
      </c>
      <c r="F422" s="15" t="str">
        <f>SUBSTITUTE("Sp.man: 0.00%",".",IF(VALUE("1.2")=1.2,".",","),2)</f>
        <v>Sp.man: 0.00%</v>
      </c>
      <c r="G422" s="35" t="str">
        <f>SUBSTITUTE("Sp.uti: 0.00%",".",IF(VALUE("1.2")=1.2,".",","),2)</f>
        <v>Sp.uti: 0.00%</v>
      </c>
      <c r="H422" s="38">
        <f>217.83/G421</f>
        <v>2.7228750000000002</v>
      </c>
      <c r="I422" s="29">
        <f>G421*H422</f>
        <v>217.83</v>
      </c>
      <c r="J422">
        <v>2</v>
      </c>
    </row>
    <row r="423" spans="1:19" x14ac:dyDescent="0.3">
      <c r="A423" s="88" t="s">
        <v>459</v>
      </c>
      <c r="B423" s="98"/>
      <c r="C423" s="98"/>
      <c r="D423" s="98"/>
      <c r="E423" s="98"/>
      <c r="F423" s="98"/>
      <c r="G423" s="98"/>
      <c r="H423" s="38">
        <f>41/G421</f>
        <v>0.51249999999999996</v>
      </c>
      <c r="I423" s="29">
        <f>G421*H423</f>
        <v>41</v>
      </c>
      <c r="J423">
        <v>3</v>
      </c>
      <c r="K423" s="4">
        <v>0</v>
      </c>
      <c r="L423" s="4">
        <v>76.8</v>
      </c>
      <c r="M423" s="4">
        <f>I423-K423-L423</f>
        <v>-35.799999999999997</v>
      </c>
    </row>
    <row r="424" spans="1:19" x14ac:dyDescent="0.3">
      <c r="A424" s="98"/>
      <c r="B424" s="98"/>
      <c r="C424" s="98"/>
      <c r="D424" s="98"/>
      <c r="E424" s="98"/>
      <c r="F424" s="98"/>
      <c r="G424" s="98"/>
      <c r="H424" s="38">
        <f>0</f>
        <v>0</v>
      </c>
      <c r="I424" s="29">
        <f>G421*H424</f>
        <v>0</v>
      </c>
      <c r="J424">
        <v>4</v>
      </c>
      <c r="N424" s="4">
        <f>IF(ISERR(SEARCH("TRA* 82",C421)),IF(Q424+R424+S424=0,0,I424*(Q424/(Q424+R424+S424))),I424)</f>
        <v>0</v>
      </c>
      <c r="O424" s="4">
        <f>IF(ISERR(SEARCH("TRA* 82",C421)),IF(Q424+R424+S424=0,0,I424*(R424/(Q424+R424+S424))),0)</f>
        <v>0</v>
      </c>
      <c r="P424" s="4">
        <f>IF(ISERR(SEARCH("TRA* 82",C421)),I424-N424-O424,0)</f>
        <v>0</v>
      </c>
      <c r="Q424" s="4">
        <v>0</v>
      </c>
      <c r="R424" s="4">
        <v>0</v>
      </c>
      <c r="S424" s="4">
        <v>0</v>
      </c>
    </row>
    <row r="425" spans="1:19" x14ac:dyDescent="0.3">
      <c r="A425" s="96" t="s">
        <v>27</v>
      </c>
      <c r="B425" s="97"/>
      <c r="C425" s="97"/>
      <c r="D425" s="97"/>
      <c r="E425" s="97"/>
      <c r="F425" s="97"/>
      <c r="G425" s="97"/>
      <c r="H425" s="36">
        <f>H421+H422+H423+H424</f>
        <v>3.2353750000000003</v>
      </c>
      <c r="I425" s="74">
        <f>I421+I422+I423+I424</f>
        <v>258.83000000000004</v>
      </c>
      <c r="J425">
        <v>5</v>
      </c>
    </row>
    <row r="426" spans="1:19" x14ac:dyDescent="0.3">
      <c r="B426" s="2">
        <v>76</v>
      </c>
      <c r="C426" s="3" t="s">
        <v>460</v>
      </c>
      <c r="D426" s="5" t="s">
        <v>25</v>
      </c>
      <c r="G426" s="30">
        <v>80</v>
      </c>
      <c r="H426" s="38">
        <f>(1+IF(OR(ISERR(FIND(":",D427)),ISERR(FIND("%",D427))),0,MID(D427,FIND(":",D427)+2,FIND("%",D427)-FIND(":",D427)-2)/100))*0</f>
        <v>0</v>
      </c>
      <c r="I426" s="29">
        <f>G426*H426</f>
        <v>0</v>
      </c>
      <c r="J426">
        <v>1</v>
      </c>
    </row>
    <row r="427" spans="1:19" x14ac:dyDescent="0.3">
      <c r="D427" s="15" t="str">
        <f>SUBSTITUTE("Sp.mat: 0.00%",".",IF(VALUE("1.2")=1.2,".",","),2)</f>
        <v>Sp.mat: 0.00%</v>
      </c>
      <c r="F427" s="15" t="str">
        <f>SUBSTITUTE("Sp.man: 0.00%",".",IF(VALUE("1.2")=1.2,".",","),2)</f>
        <v>Sp.man: 0.00%</v>
      </c>
      <c r="G427" s="35" t="str">
        <f>SUBSTITUTE("Sp.uti: 0.00%",".",IF(VALUE("1.2")=1.2,".",","),2)</f>
        <v>Sp.uti: 0.00%</v>
      </c>
      <c r="H427" s="38">
        <f>102.51/G426</f>
        <v>1.2813750000000002</v>
      </c>
      <c r="I427" s="29">
        <f>G426*H427</f>
        <v>102.51000000000002</v>
      </c>
      <c r="J427">
        <v>2</v>
      </c>
    </row>
    <row r="428" spans="1:19" x14ac:dyDescent="0.3">
      <c r="A428" s="88" t="s">
        <v>461</v>
      </c>
      <c r="B428" s="98"/>
      <c r="C428" s="98"/>
      <c r="D428" s="98"/>
      <c r="E428" s="98"/>
      <c r="F428" s="98"/>
      <c r="G428" s="98"/>
      <c r="H428" s="38">
        <f>(1+IF(OR(ISERR(FIND(":",G427)),ISERR(FIND("%",G427))),0,MID(G427,FIND(":",G427)+2,FIND("%",G427)-FIND(":",G427)-2)/100))*0</f>
        <v>0</v>
      </c>
      <c r="I428" s="29">
        <f>G426*H428</f>
        <v>0</v>
      </c>
      <c r="J428">
        <v>3</v>
      </c>
      <c r="K428" s="4">
        <v>0</v>
      </c>
      <c r="L428" s="4">
        <v>0</v>
      </c>
      <c r="M428" s="4">
        <f>I428-K428-L428</f>
        <v>0</v>
      </c>
    </row>
    <row r="429" spans="1:19" x14ac:dyDescent="0.3">
      <c r="A429" s="98"/>
      <c r="B429" s="98"/>
      <c r="C429" s="98"/>
      <c r="D429" s="98"/>
      <c r="E429" s="98"/>
      <c r="F429" s="98"/>
      <c r="G429" s="98"/>
      <c r="H429" s="38">
        <f>0</f>
        <v>0</v>
      </c>
      <c r="I429" s="29">
        <f>G426*H429</f>
        <v>0</v>
      </c>
      <c r="J429">
        <v>4</v>
      </c>
      <c r="N429" s="4">
        <f>IF(ISERR(SEARCH("TRA* 82",C426)),IF(Q429+R429+S429=0,0,I429*(Q429/(Q429+R429+S429))),I429)</f>
        <v>0</v>
      </c>
      <c r="O429" s="4">
        <f>IF(ISERR(SEARCH("TRA* 82",C426)),IF(Q429+R429+S429=0,0,I429*(R429/(Q429+R429+S429))),0)</f>
        <v>0</v>
      </c>
      <c r="P429" s="4">
        <f>IF(ISERR(SEARCH("TRA* 82",C426)),I429-N429-O429,0)</f>
        <v>0</v>
      </c>
      <c r="Q429" s="4">
        <v>0</v>
      </c>
      <c r="R429" s="4">
        <v>0</v>
      </c>
      <c r="S429" s="4">
        <v>0</v>
      </c>
    </row>
    <row r="430" spans="1:19" x14ac:dyDescent="0.3">
      <c r="A430" s="96" t="s">
        <v>27</v>
      </c>
      <c r="B430" s="97"/>
      <c r="C430" s="97"/>
      <c r="D430" s="97"/>
      <c r="E430" s="97"/>
      <c r="F430" s="97"/>
      <c r="G430" s="97"/>
      <c r="H430" s="36">
        <f>H426+H427+H428+H429</f>
        <v>1.2813750000000002</v>
      </c>
      <c r="I430" s="74">
        <f>I426+I427+I428+I429</f>
        <v>102.51000000000002</v>
      </c>
      <c r="J430">
        <v>5</v>
      </c>
    </row>
    <row r="431" spans="1:19" x14ac:dyDescent="0.3">
      <c r="B431" s="2">
        <v>77</v>
      </c>
      <c r="C431" s="3" t="s">
        <v>462</v>
      </c>
      <c r="D431" s="5" t="s">
        <v>25</v>
      </c>
      <c r="G431" s="30">
        <v>100</v>
      </c>
      <c r="H431" s="38">
        <f>(1+IF(OR(ISERR(FIND(":",D432)),ISERR(FIND("%",D432))),0,MID(D432,FIND(":",D432)+2,FIND("%",D432)-FIND(":",D432)-2)/100))*0</f>
        <v>0</v>
      </c>
      <c r="I431" s="29">
        <f>G431*H431</f>
        <v>0</v>
      </c>
      <c r="J431">
        <v>1</v>
      </c>
    </row>
    <row r="432" spans="1:19" x14ac:dyDescent="0.3">
      <c r="D432" s="15" t="str">
        <f>SUBSTITUTE("Sp.mat: 0.00%",".",IF(VALUE("1.2")=1.2,".",","),2)</f>
        <v>Sp.mat: 0.00%</v>
      </c>
      <c r="F432" s="15" t="str">
        <f>SUBSTITUTE("Sp.man: 0.00%",".",IF(VALUE("1.2")=1.2,".",","),2)</f>
        <v>Sp.man: 0.00%</v>
      </c>
      <c r="G432" s="35" t="str">
        <f>SUBSTITUTE("Sp.uti: 0.00%",".",IF(VALUE("1.2")=1.2,".",","),2)</f>
        <v>Sp.uti: 0.00%</v>
      </c>
      <c r="H432" s="38">
        <f>160.17/G431</f>
        <v>1.6016999999999999</v>
      </c>
      <c r="I432" s="29">
        <f>G431*H432</f>
        <v>160.16999999999999</v>
      </c>
      <c r="J432">
        <v>2</v>
      </c>
    </row>
    <row r="433" spans="1:19" x14ac:dyDescent="0.3">
      <c r="A433" s="88" t="s">
        <v>463</v>
      </c>
      <c r="B433" s="98"/>
      <c r="C433" s="98"/>
      <c r="D433" s="98"/>
      <c r="E433" s="98"/>
      <c r="F433" s="98"/>
      <c r="G433" s="98"/>
      <c r="H433" s="38">
        <f>(1+IF(OR(ISERR(FIND(":",G432)),ISERR(FIND("%",G432))),0,MID(G432,FIND(":",G432)+2,FIND("%",G432)-FIND(":",G432)-2)/100))*0</f>
        <v>0</v>
      </c>
      <c r="I433" s="29">
        <f>G431*H433</f>
        <v>0</v>
      </c>
      <c r="J433">
        <v>3</v>
      </c>
      <c r="K433" s="4">
        <v>0</v>
      </c>
      <c r="L433" s="4">
        <v>0</v>
      </c>
      <c r="M433" s="4">
        <f>I433-K433-L433</f>
        <v>0</v>
      </c>
    </row>
    <row r="434" spans="1:19" x14ac:dyDescent="0.3">
      <c r="A434" s="98"/>
      <c r="B434" s="98"/>
      <c r="C434" s="98"/>
      <c r="D434" s="98"/>
      <c r="E434" s="98"/>
      <c r="F434" s="98"/>
      <c r="G434" s="98"/>
      <c r="H434" s="38">
        <f>0</f>
        <v>0</v>
      </c>
      <c r="I434" s="29">
        <f>G431*H434</f>
        <v>0</v>
      </c>
      <c r="J434">
        <v>4</v>
      </c>
      <c r="N434" s="4">
        <f>IF(ISERR(SEARCH("TRA* 82",C431)),IF(Q434+R434+S434=0,0,I434*(Q434/(Q434+R434+S434))),I434)</f>
        <v>0</v>
      </c>
      <c r="O434" s="4">
        <f>IF(ISERR(SEARCH("TRA* 82",C431)),IF(Q434+R434+S434=0,0,I434*(R434/(Q434+R434+S434))),0)</f>
        <v>0</v>
      </c>
      <c r="P434" s="4">
        <f>IF(ISERR(SEARCH("TRA* 82",C431)),I434-N434-O434,0)</f>
        <v>0</v>
      </c>
      <c r="Q434" s="4">
        <v>0</v>
      </c>
      <c r="R434" s="4">
        <v>0</v>
      </c>
      <c r="S434" s="4">
        <v>0</v>
      </c>
    </row>
    <row r="435" spans="1:19" x14ac:dyDescent="0.3">
      <c r="A435" s="96" t="s">
        <v>27</v>
      </c>
      <c r="B435" s="97"/>
      <c r="C435" s="97"/>
      <c r="D435" s="97"/>
      <c r="E435" s="97"/>
      <c r="F435" s="97"/>
      <c r="G435" s="97"/>
      <c r="H435" s="36">
        <f>H431+H432+H433+H434</f>
        <v>1.6016999999999999</v>
      </c>
      <c r="I435" s="74">
        <f>I431+I432+I433+I434</f>
        <v>160.16999999999999</v>
      </c>
      <c r="J435">
        <v>5</v>
      </c>
    </row>
    <row r="436" spans="1:19" x14ac:dyDescent="0.3">
      <c r="B436" s="2">
        <v>78</v>
      </c>
      <c r="C436" s="3" t="s">
        <v>464</v>
      </c>
      <c r="D436" s="5" t="s">
        <v>25</v>
      </c>
      <c r="G436" s="30">
        <v>40</v>
      </c>
      <c r="H436" s="38">
        <f>(1+IF(OR(ISERR(FIND(":",D437)),ISERR(FIND("%",D437))),0,MID(D437,FIND(":",D437)+2,FIND("%",D437)-FIND(":",D437)-2)/100))*0</f>
        <v>0</v>
      </c>
      <c r="I436" s="29">
        <f>G436*H436</f>
        <v>0</v>
      </c>
      <c r="J436">
        <v>1</v>
      </c>
    </row>
    <row r="437" spans="1:19" x14ac:dyDescent="0.3">
      <c r="D437" s="15" t="str">
        <f>SUBSTITUTE("Sp.mat: 0.00%",".",IF(VALUE("1.2")=1.2,".",","),2)</f>
        <v>Sp.mat: 0.00%</v>
      </c>
      <c r="F437" s="15" t="str">
        <f>SUBSTITUTE("Sp.man: 0.00%",".",IF(VALUE("1.2")=1.2,".",","),2)</f>
        <v>Sp.man: 0.00%</v>
      </c>
      <c r="G437" s="35" t="str">
        <f>SUBSTITUTE("Sp.uti: 0.00%",".",IF(VALUE("1.2")=1.2,".",","),2)</f>
        <v>Sp.uti: 0.00%</v>
      </c>
      <c r="H437" s="38">
        <f>76.88/G436</f>
        <v>1.9219999999999999</v>
      </c>
      <c r="I437" s="29">
        <f>G436*H437</f>
        <v>76.88</v>
      </c>
      <c r="J437">
        <v>2</v>
      </c>
    </row>
    <row r="438" spans="1:19" x14ac:dyDescent="0.3">
      <c r="A438" s="88" t="s">
        <v>465</v>
      </c>
      <c r="B438" s="98"/>
      <c r="C438" s="98"/>
      <c r="D438" s="98"/>
      <c r="E438" s="98"/>
      <c r="F438" s="98"/>
      <c r="G438" s="98"/>
      <c r="H438" s="38">
        <f>(1+IF(OR(ISERR(FIND(":",G437)),ISERR(FIND("%",G437))),0,MID(G437,FIND(":",G437)+2,FIND("%",G437)-FIND(":",G437)-2)/100))*0</f>
        <v>0</v>
      </c>
      <c r="I438" s="29">
        <f>G436*H438</f>
        <v>0</v>
      </c>
      <c r="J438">
        <v>3</v>
      </c>
      <c r="K438" s="4">
        <v>0</v>
      </c>
      <c r="L438" s="4">
        <v>0</v>
      </c>
      <c r="M438" s="4">
        <f>I438-K438-L438</f>
        <v>0</v>
      </c>
    </row>
    <row r="439" spans="1:19" x14ac:dyDescent="0.3">
      <c r="A439" s="98"/>
      <c r="B439" s="98"/>
      <c r="C439" s="98"/>
      <c r="D439" s="98"/>
      <c r="E439" s="98"/>
      <c r="F439" s="98"/>
      <c r="G439" s="98"/>
      <c r="H439" s="38">
        <f>0</f>
        <v>0</v>
      </c>
      <c r="I439" s="29">
        <f>G436*H439</f>
        <v>0</v>
      </c>
      <c r="J439">
        <v>4</v>
      </c>
      <c r="N439" s="4">
        <f>IF(ISERR(SEARCH("TRA* 82",C436)),IF(Q439+R439+S439=0,0,I439*(Q439/(Q439+R439+S439))),I439)</f>
        <v>0</v>
      </c>
      <c r="O439" s="4">
        <f>IF(ISERR(SEARCH("TRA* 82",C436)),IF(Q439+R439+S439=0,0,I439*(R439/(Q439+R439+S439))),0)</f>
        <v>0</v>
      </c>
      <c r="P439" s="4">
        <f>IF(ISERR(SEARCH("TRA* 82",C436)),I439-N439-O439,0)</f>
        <v>0</v>
      </c>
      <c r="Q439" s="4">
        <v>0</v>
      </c>
      <c r="R439" s="4">
        <v>0</v>
      </c>
      <c r="S439" s="4">
        <v>0</v>
      </c>
    </row>
    <row r="440" spans="1:19" x14ac:dyDescent="0.3">
      <c r="A440" s="96" t="s">
        <v>27</v>
      </c>
      <c r="B440" s="97"/>
      <c r="C440" s="97"/>
      <c r="D440" s="97"/>
      <c r="E440" s="97"/>
      <c r="F440" s="97"/>
      <c r="G440" s="97"/>
      <c r="H440" s="36">
        <f>H436+H437+H438+H439</f>
        <v>1.9219999999999999</v>
      </c>
      <c r="I440" s="74">
        <f>I436+I437+I438+I439</f>
        <v>76.88</v>
      </c>
      <c r="J440">
        <v>5</v>
      </c>
    </row>
    <row r="441" spans="1:19" x14ac:dyDescent="0.3">
      <c r="B441" s="2">
        <v>79</v>
      </c>
      <c r="C441" s="3" t="s">
        <v>466</v>
      </c>
      <c r="D441" s="5" t="s">
        <v>25</v>
      </c>
      <c r="G441" s="30">
        <v>50</v>
      </c>
      <c r="H441" s="38">
        <f>(1+IF(OR(ISERR(FIND(":",D442)),ISERR(FIND("%",D442))),0,MID(D442,FIND(":",D442)+2,FIND("%",D442)-FIND(":",D442)-2)/100))*0</f>
        <v>0</v>
      </c>
      <c r="I441" s="29">
        <f>G441*H441</f>
        <v>0</v>
      </c>
      <c r="J441">
        <v>1</v>
      </c>
    </row>
    <row r="442" spans="1:19" x14ac:dyDescent="0.3">
      <c r="D442" s="15" t="str">
        <f>SUBSTITUTE("Sp.mat: 0.00%",".",IF(VALUE("1.2")=1.2,".",","),2)</f>
        <v>Sp.mat: 0.00%</v>
      </c>
      <c r="F442" s="15" t="str">
        <f>SUBSTITUTE("Sp.man: 0.00%",".",IF(VALUE("1.2")=1.2,".",","),2)</f>
        <v>Sp.man: 0.00%</v>
      </c>
      <c r="G442" s="35" t="str">
        <f>SUBSTITUTE("Sp.uti: 0.00%",".",IF(VALUE("1.2")=1.2,".",","),2)</f>
        <v>Sp.uti: 0.00%</v>
      </c>
      <c r="H442" s="38">
        <f>112.12/G441</f>
        <v>2.2423999999999999</v>
      </c>
      <c r="I442" s="29">
        <f>G441*H442</f>
        <v>112.12</v>
      </c>
      <c r="J442">
        <v>2</v>
      </c>
    </row>
    <row r="443" spans="1:19" x14ac:dyDescent="0.3">
      <c r="A443" s="88" t="s">
        <v>467</v>
      </c>
      <c r="B443" s="98"/>
      <c r="C443" s="98"/>
      <c r="D443" s="98"/>
      <c r="E443" s="98"/>
      <c r="F443" s="98"/>
      <c r="G443" s="98"/>
      <c r="H443" s="38">
        <f>(1+IF(OR(ISERR(FIND(":",G442)),ISERR(FIND("%",G442))),0,MID(G442,FIND(":",G442)+2,FIND("%",G442)-FIND(":",G442)-2)/100))*0</f>
        <v>0</v>
      </c>
      <c r="I443" s="29">
        <f>G441*H443</f>
        <v>0</v>
      </c>
      <c r="J443">
        <v>3</v>
      </c>
      <c r="K443" s="4">
        <v>0</v>
      </c>
      <c r="L443" s="4">
        <v>0</v>
      </c>
      <c r="M443" s="4">
        <f>I443-K443-L443</f>
        <v>0</v>
      </c>
    </row>
    <row r="444" spans="1:19" x14ac:dyDescent="0.3">
      <c r="A444" s="98"/>
      <c r="B444" s="98"/>
      <c r="C444" s="98"/>
      <c r="D444" s="98"/>
      <c r="E444" s="98"/>
      <c r="F444" s="98"/>
      <c r="G444" s="98"/>
      <c r="H444" s="38">
        <f>0</f>
        <v>0</v>
      </c>
      <c r="I444" s="29">
        <f>G441*H444</f>
        <v>0</v>
      </c>
      <c r="J444">
        <v>4</v>
      </c>
      <c r="N444" s="4">
        <f>IF(ISERR(SEARCH("TRA* 82",C441)),IF(Q444+R444+S444=0,0,I444*(Q444/(Q444+R444+S444))),I444)</f>
        <v>0</v>
      </c>
      <c r="O444" s="4">
        <f>IF(ISERR(SEARCH("TRA* 82",C441)),IF(Q444+R444+S444=0,0,I444*(R444/(Q444+R444+S444))),0)</f>
        <v>0</v>
      </c>
      <c r="P444" s="4">
        <f>IF(ISERR(SEARCH("TRA* 82",C441)),I444-N444-O444,0)</f>
        <v>0</v>
      </c>
      <c r="Q444" s="4">
        <v>0</v>
      </c>
      <c r="R444" s="4">
        <v>0</v>
      </c>
      <c r="S444" s="4">
        <v>0</v>
      </c>
    </row>
    <row r="445" spans="1:19" x14ac:dyDescent="0.3">
      <c r="A445" s="96" t="s">
        <v>27</v>
      </c>
      <c r="B445" s="97"/>
      <c r="C445" s="97"/>
      <c r="D445" s="97"/>
      <c r="E445" s="97"/>
      <c r="F445" s="97"/>
      <c r="G445" s="97"/>
      <c r="H445" s="36">
        <f>H441+H442+H443+H444</f>
        <v>2.2423999999999999</v>
      </c>
      <c r="I445" s="74">
        <f>I441+I442+I443+I444</f>
        <v>112.12</v>
      </c>
      <c r="J445">
        <v>5</v>
      </c>
    </row>
    <row r="446" spans="1:19" x14ac:dyDescent="0.3">
      <c r="B446" s="2">
        <v>80</v>
      </c>
      <c r="C446" s="3" t="s">
        <v>468</v>
      </c>
      <c r="D446" s="5" t="s">
        <v>25</v>
      </c>
      <c r="G446" s="30">
        <v>80</v>
      </c>
      <c r="H446" s="38">
        <f>(1+IF(OR(ISERR(FIND(":",D447)),ISERR(FIND("%",D447))),0,MID(D447,FIND(":",D447)+2,FIND("%",D447)-FIND(":",D447)-2)/100))*0</f>
        <v>0</v>
      </c>
      <c r="I446" s="29">
        <f>G446*H446</f>
        <v>0</v>
      </c>
      <c r="J446">
        <v>1</v>
      </c>
    </row>
    <row r="447" spans="1:19" x14ac:dyDescent="0.3">
      <c r="D447" s="15" t="str">
        <f>SUBSTITUTE("Sp.mat: 0.00%",".",IF(VALUE("1.2")=1.2,".",","),2)</f>
        <v>Sp.mat: 0.00%</v>
      </c>
      <c r="F447" s="15" t="str">
        <f>SUBSTITUTE("Sp.man: 0.00%",".",IF(VALUE("1.2")=1.2,".",","),2)</f>
        <v>Sp.man: 0.00%</v>
      </c>
      <c r="G447" s="35" t="str">
        <f>SUBSTITUTE("Sp.uti: 0.00%",".",IF(VALUE("1.2")=1.2,".",","),2)</f>
        <v>Sp.uti: 0.00%</v>
      </c>
      <c r="H447" s="38">
        <f>179.39/G446</f>
        <v>2.242375</v>
      </c>
      <c r="I447" s="29">
        <f>G446*H447</f>
        <v>179.39</v>
      </c>
      <c r="J447">
        <v>2</v>
      </c>
    </row>
    <row r="448" spans="1:19" x14ac:dyDescent="0.3">
      <c r="A448" s="88" t="s">
        <v>469</v>
      </c>
      <c r="B448" s="98"/>
      <c r="C448" s="98"/>
      <c r="D448" s="98"/>
      <c r="E448" s="98"/>
      <c r="F448" s="98"/>
      <c r="G448" s="98"/>
      <c r="H448" s="38">
        <f>(1+IF(OR(ISERR(FIND(":",G447)),ISERR(FIND("%",G447))),0,MID(G447,FIND(":",G447)+2,FIND("%",G447)-FIND(":",G447)-2)/100))*0</f>
        <v>0</v>
      </c>
      <c r="I448" s="29">
        <f>G446*H448</f>
        <v>0</v>
      </c>
      <c r="J448">
        <v>3</v>
      </c>
      <c r="K448" s="4">
        <v>0</v>
      </c>
      <c r="L448" s="4">
        <v>0</v>
      </c>
      <c r="M448" s="4">
        <f>I448-K448-L448</f>
        <v>0</v>
      </c>
    </row>
    <row r="449" spans="1:19" x14ac:dyDescent="0.3">
      <c r="A449" s="98"/>
      <c r="B449" s="98"/>
      <c r="C449" s="98"/>
      <c r="D449" s="98"/>
      <c r="E449" s="98"/>
      <c r="F449" s="98"/>
      <c r="G449" s="98"/>
      <c r="H449" s="38">
        <f>0</f>
        <v>0</v>
      </c>
      <c r="I449" s="29">
        <f>G446*H449</f>
        <v>0</v>
      </c>
      <c r="J449">
        <v>4</v>
      </c>
      <c r="N449" s="4">
        <f>IF(ISERR(SEARCH("TRA* 82",C446)),IF(Q449+R449+S449=0,0,I449*(Q449/(Q449+R449+S449))),I449)</f>
        <v>0</v>
      </c>
      <c r="O449" s="4">
        <f>IF(ISERR(SEARCH("TRA* 82",C446)),IF(Q449+R449+S449=0,0,I449*(R449/(Q449+R449+S449))),0)</f>
        <v>0</v>
      </c>
      <c r="P449" s="4">
        <f>IF(ISERR(SEARCH("TRA* 82",C446)),I449-N449-O449,0)</f>
        <v>0</v>
      </c>
      <c r="Q449" s="4">
        <v>0</v>
      </c>
      <c r="R449" s="4">
        <v>0</v>
      </c>
      <c r="S449" s="4">
        <v>0</v>
      </c>
    </row>
    <row r="450" spans="1:19" x14ac:dyDescent="0.3">
      <c r="A450" s="96" t="s">
        <v>27</v>
      </c>
      <c r="B450" s="97"/>
      <c r="C450" s="97"/>
      <c r="D450" s="97"/>
      <c r="E450" s="97"/>
      <c r="F450" s="97"/>
      <c r="G450" s="97"/>
      <c r="H450" s="36">
        <f>H446+H447+H448+H449</f>
        <v>2.242375</v>
      </c>
      <c r="I450" s="74">
        <f>I446+I447+I448+I449</f>
        <v>179.39</v>
      </c>
      <c r="J450">
        <v>5</v>
      </c>
    </row>
    <row r="451" spans="1:19" x14ac:dyDescent="0.3">
      <c r="B451" s="2">
        <v>81</v>
      </c>
      <c r="C451" s="3" t="s">
        <v>470</v>
      </c>
      <c r="D451" s="5" t="s">
        <v>40</v>
      </c>
      <c r="G451" s="30">
        <v>50</v>
      </c>
      <c r="H451" s="38">
        <f>262.12/G451</f>
        <v>5.2423999999999999</v>
      </c>
      <c r="I451" s="29">
        <f>G451*H451</f>
        <v>262.12</v>
      </c>
      <c r="J451">
        <v>1</v>
      </c>
    </row>
    <row r="452" spans="1:19" x14ac:dyDescent="0.3">
      <c r="D452" s="15" t="str">
        <f>SUBSTITUTE("Sp.mat: 0.00%",".",IF(VALUE("1.2")=1.2,".",","),2)</f>
        <v>Sp.mat: 0.00%</v>
      </c>
      <c r="F452" s="15" t="str">
        <f>SUBSTITUTE("Sp.man: 0.00%",".",IF(VALUE("1.2")=1.2,".",","),2)</f>
        <v>Sp.man: 0.00%</v>
      </c>
      <c r="G452" s="35" t="str">
        <f>SUBSTITUTE("Sp.uti: 0.00%",".",IF(VALUE("1.2")=1.2,".",","),2)</f>
        <v>Sp.uti: 0.00%</v>
      </c>
      <c r="H452" s="38">
        <f>440.47/G451</f>
        <v>8.8094000000000001</v>
      </c>
      <c r="I452" s="29">
        <f>G451*H452</f>
        <v>440.47</v>
      </c>
      <c r="J452">
        <v>2</v>
      </c>
    </row>
    <row r="453" spans="1:19" x14ac:dyDescent="0.3">
      <c r="A453" s="88" t="s">
        <v>471</v>
      </c>
      <c r="B453" s="98"/>
      <c r="C453" s="98"/>
      <c r="D453" s="98"/>
      <c r="E453" s="98"/>
      <c r="F453" s="98"/>
      <c r="G453" s="98"/>
      <c r="H453" s="38">
        <f>1.25/G451</f>
        <v>2.5000000000000001E-2</v>
      </c>
      <c r="I453" s="29">
        <f>G451*H453</f>
        <v>1.25</v>
      </c>
      <c r="J453">
        <v>3</v>
      </c>
      <c r="K453" s="4">
        <v>0</v>
      </c>
      <c r="L453" s="4">
        <v>0</v>
      </c>
      <c r="M453" s="4">
        <f>I453-K453-L453</f>
        <v>1.25</v>
      </c>
    </row>
    <row r="454" spans="1:19" x14ac:dyDescent="0.3">
      <c r="A454" s="98"/>
      <c r="B454" s="98"/>
      <c r="C454" s="98"/>
      <c r="D454" s="98"/>
      <c r="E454" s="98"/>
      <c r="F454" s="98"/>
      <c r="G454" s="98"/>
      <c r="H454" s="38">
        <f>0</f>
        <v>0</v>
      </c>
      <c r="I454" s="29">
        <f>G451*H454</f>
        <v>0</v>
      </c>
      <c r="J454">
        <v>4</v>
      </c>
      <c r="N454" s="4">
        <f>IF(ISERR(SEARCH("TRA* 82",C451)),IF(Q454+R454+S454=0,0,I454*(Q454/(Q454+R454+S454))),I454)</f>
        <v>0</v>
      </c>
      <c r="O454" s="4">
        <f>IF(ISERR(SEARCH("TRA* 82",C451)),IF(Q454+R454+S454=0,0,I454*(R454/(Q454+R454+S454))),0)</f>
        <v>0</v>
      </c>
      <c r="P454" s="4">
        <f>IF(ISERR(SEARCH("TRA* 82",C451)),I454-N454-O454,0)</f>
        <v>0</v>
      </c>
      <c r="Q454" s="4">
        <v>0</v>
      </c>
      <c r="R454" s="4">
        <v>0</v>
      </c>
      <c r="S454" s="4">
        <v>0</v>
      </c>
    </row>
    <row r="455" spans="1:19" x14ac:dyDescent="0.3">
      <c r="A455" s="96" t="s">
        <v>27</v>
      </c>
      <c r="B455" s="97"/>
      <c r="C455" s="97"/>
      <c r="D455" s="97"/>
      <c r="E455" s="97"/>
      <c r="F455" s="97"/>
      <c r="G455" s="97"/>
      <c r="H455" s="36">
        <f>H451+H452+H453+H454</f>
        <v>14.0768</v>
      </c>
      <c r="I455" s="74">
        <f>I451+I452+I453+I454</f>
        <v>703.84</v>
      </c>
      <c r="J455">
        <v>5</v>
      </c>
    </row>
    <row r="456" spans="1:19" x14ac:dyDescent="0.3">
      <c r="B456" s="2">
        <v>82</v>
      </c>
      <c r="C456" s="3" t="s">
        <v>472</v>
      </c>
      <c r="D456" s="5" t="s">
        <v>40</v>
      </c>
      <c r="G456" s="30">
        <v>50</v>
      </c>
      <c r="H456" s="38">
        <f>(1+IF(OR(ISERR(FIND(":",D457)),ISERR(FIND("%",D457))),0,MID(D457,FIND(":",D457)+2,FIND("%",D457)-FIND(":",D457)-2)/100))*0</f>
        <v>0</v>
      </c>
      <c r="I456" s="29">
        <f>G456*H456</f>
        <v>0</v>
      </c>
      <c r="J456">
        <v>1</v>
      </c>
    </row>
    <row r="457" spans="1:19" x14ac:dyDescent="0.3">
      <c r="D457" s="15" t="str">
        <f>SUBSTITUTE("Sp.mat: 0.00%",".",IF(VALUE("1.2")=1.2,".",","),2)</f>
        <v>Sp.mat: 0.00%</v>
      </c>
      <c r="F457" s="15" t="str">
        <f>SUBSTITUTE("Sp.man: 0.00%",".",IF(VALUE("1.2")=1.2,".",","),2)</f>
        <v>Sp.man: 0.00%</v>
      </c>
      <c r="G457" s="35" t="str">
        <f>SUBSTITUTE("Sp.uti: 0.00%",".",IF(VALUE("1.2")=1.2,".",","),2)</f>
        <v>Sp.uti: 0.00%</v>
      </c>
      <c r="H457" s="38">
        <f>264.28/G456</f>
        <v>5.2855999999999996</v>
      </c>
      <c r="I457" s="29">
        <f>G456*H457</f>
        <v>264.27999999999997</v>
      </c>
      <c r="J457">
        <v>2</v>
      </c>
    </row>
    <row r="458" spans="1:19" x14ac:dyDescent="0.3">
      <c r="A458" s="88" t="s">
        <v>473</v>
      </c>
      <c r="B458" s="98"/>
      <c r="C458" s="98"/>
      <c r="D458" s="98"/>
      <c r="E458" s="98"/>
      <c r="F458" s="98"/>
      <c r="G458" s="98"/>
      <c r="H458" s="38">
        <f>80/G456</f>
        <v>1.6</v>
      </c>
      <c r="I458" s="29">
        <f>G456*H458</f>
        <v>80</v>
      </c>
      <c r="J458">
        <v>3</v>
      </c>
      <c r="K458" s="4">
        <v>0</v>
      </c>
      <c r="L458" s="4">
        <v>150</v>
      </c>
      <c r="M458" s="4">
        <f>I458-K458-L458</f>
        <v>-70</v>
      </c>
    </row>
    <row r="459" spans="1:19" x14ac:dyDescent="0.3">
      <c r="A459" s="98"/>
      <c r="B459" s="98"/>
      <c r="C459" s="98"/>
      <c r="D459" s="98"/>
      <c r="E459" s="98"/>
      <c r="F459" s="98"/>
      <c r="G459" s="98"/>
      <c r="H459" s="38">
        <f>0</f>
        <v>0</v>
      </c>
      <c r="I459" s="29">
        <f>G456*H459</f>
        <v>0</v>
      </c>
      <c r="J459">
        <v>4</v>
      </c>
      <c r="N459" s="4">
        <f>IF(ISERR(SEARCH("TRA* 82",C456)),IF(Q459+R459+S459=0,0,I459*(Q459/(Q459+R459+S459))),I459)</f>
        <v>0</v>
      </c>
      <c r="O459" s="4">
        <f>IF(ISERR(SEARCH("TRA* 82",C456)),IF(Q459+R459+S459=0,0,I459*(R459/(Q459+R459+S459))),0)</f>
        <v>0</v>
      </c>
      <c r="P459" s="4">
        <f>IF(ISERR(SEARCH("TRA* 82",C456)),I459-N459-O459,0)</f>
        <v>0</v>
      </c>
      <c r="Q459" s="4">
        <v>0</v>
      </c>
      <c r="R459" s="4">
        <v>0</v>
      </c>
      <c r="S459" s="4">
        <v>0</v>
      </c>
    </row>
    <row r="460" spans="1:19" x14ac:dyDescent="0.3">
      <c r="A460" s="96" t="s">
        <v>27</v>
      </c>
      <c r="B460" s="97"/>
      <c r="C460" s="97"/>
      <c r="D460" s="97"/>
      <c r="E460" s="97"/>
      <c r="F460" s="97"/>
      <c r="G460" s="97"/>
      <c r="H460" s="36">
        <f>H456+H457+H458+H459</f>
        <v>6.8856000000000002</v>
      </c>
      <c r="I460" s="74">
        <f>I456+I457+I458+I459</f>
        <v>344.28</v>
      </c>
      <c r="J460">
        <v>5</v>
      </c>
    </row>
    <row r="461" spans="1:19" x14ac:dyDescent="0.3">
      <c r="B461" s="2">
        <v>83</v>
      </c>
      <c r="C461" s="3" t="s">
        <v>474</v>
      </c>
      <c r="D461" s="5" t="s">
        <v>29</v>
      </c>
      <c r="G461" s="30">
        <v>29</v>
      </c>
      <c r="H461" s="38">
        <f>(1+IF(OR(ISERR(FIND(":",D462)),ISERR(FIND("%",D462))),0,MID(D462,FIND(":",D462)+2,FIND("%",D462)-FIND(":",D462)-2)/100))*0</f>
        <v>0</v>
      </c>
      <c r="I461" s="29">
        <f>G461*H461</f>
        <v>0</v>
      </c>
      <c r="J461">
        <v>1</v>
      </c>
    </row>
    <row r="462" spans="1:19" x14ac:dyDescent="0.3">
      <c r="D462" s="15" t="str">
        <f>SUBSTITUTE("Sp.mat: 0.00%",".",IF(VALUE("1.2")=1.2,".",","),2)</f>
        <v>Sp.mat: 0.00%</v>
      </c>
      <c r="F462" s="15" t="str">
        <f>SUBSTITUTE("Sp.man: 0.00%",".",IF(VALUE("1.2")=1.2,".",","),2)</f>
        <v>Sp.man: 0.00%</v>
      </c>
      <c r="G462" s="35" t="str">
        <f>SUBSTITUTE("Sp.uti: 0.00%",".",IF(VALUE("1.2")=1.2,".",","),2)</f>
        <v>Sp.uti: 0.00%</v>
      </c>
      <c r="H462" s="38">
        <f>1114.77/G461</f>
        <v>38.440344827586209</v>
      </c>
      <c r="I462" s="29">
        <f>G461*H462</f>
        <v>1114.77</v>
      </c>
      <c r="J462">
        <v>2</v>
      </c>
    </row>
    <row r="463" spans="1:19" x14ac:dyDescent="0.3">
      <c r="A463" s="88" t="s">
        <v>475</v>
      </c>
      <c r="B463" s="98"/>
      <c r="C463" s="98"/>
      <c r="D463" s="98"/>
      <c r="E463" s="98"/>
      <c r="F463" s="98"/>
      <c r="G463" s="98"/>
      <c r="H463" s="38">
        <f>557.39/G461</f>
        <v>19.220344827586207</v>
      </c>
      <c r="I463" s="29">
        <f>G461*H463</f>
        <v>557.39</v>
      </c>
      <c r="J463">
        <v>3</v>
      </c>
      <c r="K463" s="4">
        <v>1044</v>
      </c>
      <c r="L463" s="4">
        <v>0</v>
      </c>
      <c r="M463" s="4">
        <f>I463-K463-L463</f>
        <v>-486.61</v>
      </c>
    </row>
    <row r="464" spans="1:19" x14ac:dyDescent="0.3">
      <c r="A464" s="98"/>
      <c r="B464" s="98"/>
      <c r="C464" s="98"/>
      <c r="D464" s="98"/>
      <c r="E464" s="98"/>
      <c r="F464" s="98"/>
      <c r="G464" s="98"/>
      <c r="H464" s="38">
        <f>0</f>
        <v>0</v>
      </c>
      <c r="I464" s="29">
        <f>G461*H464</f>
        <v>0</v>
      </c>
      <c r="J464">
        <v>4</v>
      </c>
      <c r="N464" s="4">
        <f>IF(ISERR(SEARCH("TRA* 82",C461)),IF(Q464+R464+S464=0,0,I464*(Q464/(Q464+R464+S464))),I464)</f>
        <v>0</v>
      </c>
      <c r="O464" s="4">
        <f>IF(ISERR(SEARCH("TRA* 82",C461)),IF(Q464+R464+S464=0,0,I464*(R464/(Q464+R464+S464))),0)</f>
        <v>0</v>
      </c>
      <c r="P464" s="4">
        <f>IF(ISERR(SEARCH("TRA* 82",C461)),I464-N464-O464,0)</f>
        <v>0</v>
      </c>
      <c r="Q464" s="4">
        <v>0</v>
      </c>
      <c r="R464" s="4">
        <v>0</v>
      </c>
      <c r="S464" s="4">
        <v>0</v>
      </c>
    </row>
    <row r="465" spans="1:19" x14ac:dyDescent="0.3">
      <c r="A465" s="96" t="s">
        <v>476</v>
      </c>
      <c r="B465" s="97"/>
      <c r="C465" s="97"/>
      <c r="D465" s="97"/>
      <c r="E465" s="97"/>
      <c r="F465" s="97"/>
      <c r="G465" s="97"/>
      <c r="H465" s="36">
        <f>H461+H462+H463+H464</f>
        <v>57.660689655172419</v>
      </c>
      <c r="I465" s="74">
        <f>I461+I462+I463+I464</f>
        <v>1672.1599999999999</v>
      </c>
      <c r="J465">
        <v>5</v>
      </c>
    </row>
    <row r="466" spans="1:19" x14ac:dyDescent="0.3">
      <c r="B466" s="16"/>
      <c r="E466" s="4">
        <f>SUMIF(J12:J465,"1",I12:I465)</f>
        <v>98886.86</v>
      </c>
      <c r="F466" s="4">
        <f>SUMIF(J12:J465,"2",I12:I465)</f>
        <v>19961.302000000003</v>
      </c>
      <c r="G466" s="29">
        <f>SUMIF(J12:J465,"3",I12:I465)</f>
        <v>7395.5900000000011</v>
      </c>
      <c r="H466" s="29">
        <f>SUMIF(J12:J465,"4",I12:I465)</f>
        <v>0</v>
      </c>
      <c r="I466" s="29">
        <f>SUMIF(J12:J465,"5",I12:I465)</f>
        <v>126243.75200000002</v>
      </c>
      <c r="K466" s="4">
        <f>SUMIF(J12:J465,"3",K12:K465)</f>
        <v>13419</v>
      </c>
      <c r="L466" s="4">
        <f>SUMIF(J12:J465,"3",L12:L465)</f>
        <v>429.6</v>
      </c>
      <c r="M466" s="4">
        <f>SUMIF(J12:J465,"3",M12:M465)</f>
        <v>-6453.01</v>
      </c>
      <c r="N466" s="4">
        <f>SUMIF(J12:J465,"4",N12:N465)</f>
        <v>0</v>
      </c>
      <c r="O466" s="4">
        <f>SUMIF(J12:J465,"4",O12:O465)</f>
        <v>0</v>
      </c>
      <c r="P466" s="4">
        <f>SUMIF(J12:J465,"4",P12:P465)</f>
        <v>0</v>
      </c>
      <c r="Q466" s="4">
        <f>SUMIF(J12:J465,"4",Q12:Q465)</f>
        <v>0</v>
      </c>
      <c r="R466" s="4">
        <f>SUMIF(J12:J465,"4",R12:R465)</f>
        <v>0</v>
      </c>
      <c r="S466" s="4">
        <f>SUMIF(J12:J465,"4",S12:S465)</f>
        <v>0</v>
      </c>
    </row>
    <row r="467" spans="1:19" x14ac:dyDescent="0.3">
      <c r="B467" s="107" t="s">
        <v>1555</v>
      </c>
      <c r="C467" s="108"/>
      <c r="D467" s="26"/>
      <c r="E467" s="26"/>
      <c r="F467" s="26"/>
      <c r="G467" s="109"/>
      <c r="H467" s="36"/>
      <c r="I467" s="110">
        <f>I466</f>
        <v>126243.75200000002</v>
      </c>
    </row>
  </sheetData>
  <mergeCells count="210">
    <mergeCell ref="A1:D1"/>
    <mergeCell ref="A2:I2"/>
    <mergeCell ref="A3:I3"/>
    <mergeCell ref="A4:I4"/>
    <mergeCell ref="A5:H5"/>
    <mergeCell ref="A14:G15"/>
    <mergeCell ref="A31:G31"/>
    <mergeCell ref="A34:G35"/>
    <mergeCell ref="A36:G36"/>
    <mergeCell ref="A39:G40"/>
    <mergeCell ref="A41:G41"/>
    <mergeCell ref="A44:G45"/>
    <mergeCell ref="A16:G16"/>
    <mergeCell ref="A19:G20"/>
    <mergeCell ref="A21:G21"/>
    <mergeCell ref="A24:G25"/>
    <mergeCell ref="A26:G26"/>
    <mergeCell ref="A29:G30"/>
    <mergeCell ref="A61:G61"/>
    <mergeCell ref="A64:G65"/>
    <mergeCell ref="A66:G66"/>
    <mergeCell ref="A69:G70"/>
    <mergeCell ref="A71:G71"/>
    <mergeCell ref="A74:G75"/>
    <mergeCell ref="A46:G46"/>
    <mergeCell ref="A49:G50"/>
    <mergeCell ref="A51:G51"/>
    <mergeCell ref="A54:G55"/>
    <mergeCell ref="A56:G56"/>
    <mergeCell ref="A59:G60"/>
    <mergeCell ref="A85:I85"/>
    <mergeCell ref="A88:G89"/>
    <mergeCell ref="A90:G90"/>
    <mergeCell ref="A93:G94"/>
    <mergeCell ref="A95:G95"/>
    <mergeCell ref="A98:G99"/>
    <mergeCell ref="A76:G76"/>
    <mergeCell ref="A77:I77"/>
    <mergeCell ref="A78:I78"/>
    <mergeCell ref="A79:I79"/>
    <mergeCell ref="A82:G83"/>
    <mergeCell ref="A84:G84"/>
    <mergeCell ref="A114:G115"/>
    <mergeCell ref="A116:G116"/>
    <mergeCell ref="A117:I117"/>
    <mergeCell ref="A120:G121"/>
    <mergeCell ref="A122:G122"/>
    <mergeCell ref="A123:I123"/>
    <mergeCell ref="A100:G100"/>
    <mergeCell ref="A103:G104"/>
    <mergeCell ref="A105:G105"/>
    <mergeCell ref="A108:G109"/>
    <mergeCell ref="A110:G110"/>
    <mergeCell ref="A111:I111"/>
    <mergeCell ref="A138:G139"/>
    <mergeCell ref="A140:G140"/>
    <mergeCell ref="A141:I141"/>
    <mergeCell ref="A144:G145"/>
    <mergeCell ref="A146:G146"/>
    <mergeCell ref="A147:I147"/>
    <mergeCell ref="A126:G127"/>
    <mergeCell ref="A128:G128"/>
    <mergeCell ref="A129:I129"/>
    <mergeCell ref="A132:G133"/>
    <mergeCell ref="A134:G134"/>
    <mergeCell ref="A135:I135"/>
    <mergeCell ref="A163:G163"/>
    <mergeCell ref="A166:G167"/>
    <mergeCell ref="A168:G168"/>
    <mergeCell ref="A171:G172"/>
    <mergeCell ref="A173:G173"/>
    <mergeCell ref="A176:G177"/>
    <mergeCell ref="A150:G151"/>
    <mergeCell ref="A152:G152"/>
    <mergeCell ref="A153:I153"/>
    <mergeCell ref="A156:G157"/>
    <mergeCell ref="A158:G158"/>
    <mergeCell ref="A161:G162"/>
    <mergeCell ref="A193:G193"/>
    <mergeCell ref="A196:G197"/>
    <mergeCell ref="A198:G198"/>
    <mergeCell ref="A201:G202"/>
    <mergeCell ref="A203:G203"/>
    <mergeCell ref="A206:G207"/>
    <mergeCell ref="A178:G178"/>
    <mergeCell ref="A181:G182"/>
    <mergeCell ref="A183:G183"/>
    <mergeCell ref="A186:G187"/>
    <mergeCell ref="A188:G188"/>
    <mergeCell ref="A191:G192"/>
    <mergeCell ref="A220:G220"/>
    <mergeCell ref="A221:I221"/>
    <mergeCell ref="A224:G225"/>
    <mergeCell ref="A226:G226"/>
    <mergeCell ref="A227:I227"/>
    <mergeCell ref="A230:G231"/>
    <mergeCell ref="A208:G208"/>
    <mergeCell ref="A209:I209"/>
    <mergeCell ref="A212:G213"/>
    <mergeCell ref="A214:G214"/>
    <mergeCell ref="A215:I215"/>
    <mergeCell ref="A218:G219"/>
    <mergeCell ref="A247:G247"/>
    <mergeCell ref="A250:G251"/>
    <mergeCell ref="A252:G252"/>
    <mergeCell ref="A255:G256"/>
    <mergeCell ref="A257:G257"/>
    <mergeCell ref="A260:G261"/>
    <mergeCell ref="A232:G232"/>
    <mergeCell ref="A235:G236"/>
    <mergeCell ref="A237:G237"/>
    <mergeCell ref="A240:G241"/>
    <mergeCell ref="A242:G242"/>
    <mergeCell ref="A245:G246"/>
    <mergeCell ref="A274:I274"/>
    <mergeCell ref="A275:I275"/>
    <mergeCell ref="A278:G279"/>
    <mergeCell ref="A280:G280"/>
    <mergeCell ref="A281:I281"/>
    <mergeCell ref="A282:I282"/>
    <mergeCell ref="A262:G262"/>
    <mergeCell ref="A265:G266"/>
    <mergeCell ref="A267:G267"/>
    <mergeCell ref="A268:I268"/>
    <mergeCell ref="A271:G272"/>
    <mergeCell ref="A273:G273"/>
    <mergeCell ref="A295:I295"/>
    <mergeCell ref="A296:I296"/>
    <mergeCell ref="A299:G300"/>
    <mergeCell ref="A301:G301"/>
    <mergeCell ref="A302:I302"/>
    <mergeCell ref="A303:I303"/>
    <mergeCell ref="A285:G286"/>
    <mergeCell ref="A287:G287"/>
    <mergeCell ref="A288:I288"/>
    <mergeCell ref="A289:I289"/>
    <mergeCell ref="A292:G293"/>
    <mergeCell ref="A294:G294"/>
    <mergeCell ref="A316:I316"/>
    <mergeCell ref="A317:I317"/>
    <mergeCell ref="A320:G321"/>
    <mergeCell ref="A322:G322"/>
    <mergeCell ref="A323:I323"/>
    <mergeCell ref="A326:G327"/>
    <mergeCell ref="A306:G307"/>
    <mergeCell ref="A308:G308"/>
    <mergeCell ref="A309:I309"/>
    <mergeCell ref="A310:I310"/>
    <mergeCell ref="A313:G314"/>
    <mergeCell ref="A315:G315"/>
    <mergeCell ref="A342:G343"/>
    <mergeCell ref="A344:G344"/>
    <mergeCell ref="A347:G348"/>
    <mergeCell ref="A349:G349"/>
    <mergeCell ref="A352:G353"/>
    <mergeCell ref="A354:G354"/>
    <mergeCell ref="A328:G328"/>
    <mergeCell ref="A329:I329"/>
    <mergeCell ref="A332:G333"/>
    <mergeCell ref="A334:G334"/>
    <mergeCell ref="A337:G338"/>
    <mergeCell ref="A339:G339"/>
    <mergeCell ref="A372:G373"/>
    <mergeCell ref="A374:G374"/>
    <mergeCell ref="A377:G378"/>
    <mergeCell ref="A379:G379"/>
    <mergeCell ref="A380:I380"/>
    <mergeCell ref="A381:I381"/>
    <mergeCell ref="A357:G358"/>
    <mergeCell ref="A359:G359"/>
    <mergeCell ref="A362:G363"/>
    <mergeCell ref="A364:G364"/>
    <mergeCell ref="A367:G368"/>
    <mergeCell ref="A369:G369"/>
    <mergeCell ref="A394:I394"/>
    <mergeCell ref="A397:G398"/>
    <mergeCell ref="A399:G399"/>
    <mergeCell ref="A400:I400"/>
    <mergeCell ref="A403:G404"/>
    <mergeCell ref="A405:G405"/>
    <mergeCell ref="A382:I382"/>
    <mergeCell ref="A385:G386"/>
    <mergeCell ref="A387:G387"/>
    <mergeCell ref="A388:I388"/>
    <mergeCell ref="A391:G392"/>
    <mergeCell ref="A393:G393"/>
    <mergeCell ref="A423:G424"/>
    <mergeCell ref="A425:G425"/>
    <mergeCell ref="A428:G429"/>
    <mergeCell ref="A430:G430"/>
    <mergeCell ref="A433:G434"/>
    <mergeCell ref="A435:G435"/>
    <mergeCell ref="A408:G409"/>
    <mergeCell ref="A410:G410"/>
    <mergeCell ref="A413:G414"/>
    <mergeCell ref="A415:G415"/>
    <mergeCell ref="A418:G419"/>
    <mergeCell ref="A420:G420"/>
    <mergeCell ref="A453:G454"/>
    <mergeCell ref="A455:G455"/>
    <mergeCell ref="A458:G459"/>
    <mergeCell ref="A460:G460"/>
    <mergeCell ref="A463:G464"/>
    <mergeCell ref="A465:G465"/>
    <mergeCell ref="A438:G439"/>
    <mergeCell ref="A440:G440"/>
    <mergeCell ref="A443:G444"/>
    <mergeCell ref="A445:G445"/>
    <mergeCell ref="A448:G449"/>
    <mergeCell ref="A450:G450"/>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36" manualBreakCount="36">
    <brk id="46" max="16383" man="1"/>
    <brk id="90" max="16383" man="1"/>
    <brk id="135" max="16383" man="1"/>
    <brk id="178" max="16383" man="1"/>
    <brk id="221" max="16383" man="1"/>
    <brk id="282" max="16383" man="1"/>
    <brk id="303" max="16383" man="1"/>
    <brk id="310" max="16383" man="1"/>
    <brk id="317" max="16383" man="1"/>
    <brk id="323" max="16383" man="1"/>
    <brk id="329" max="16383" man="1"/>
    <brk id="334" max="16383" man="1"/>
    <brk id="339" max="16383" man="1"/>
    <brk id="344" max="16383" man="1"/>
    <brk id="349" max="16383" man="1"/>
    <brk id="354" max="16383" man="1"/>
    <brk id="359" max="16383" man="1"/>
    <brk id="364" max="16383" man="1"/>
    <brk id="369" max="16383" man="1"/>
    <brk id="382" max="16383" man="1"/>
    <brk id="388" max="16383" man="1"/>
    <brk id="394" max="16383" man="1"/>
    <brk id="400" max="16383" man="1"/>
    <brk id="405" max="16383" man="1"/>
    <brk id="410" max="16383" man="1"/>
    <brk id="415" max="16383" man="1"/>
    <brk id="420" max="16383" man="1"/>
    <brk id="425" max="16383" man="1"/>
    <brk id="430" max="16383" man="1"/>
    <brk id="435" max="16383" man="1"/>
    <brk id="440" max="16383" man="1"/>
    <brk id="445" max="16383" man="1"/>
    <brk id="450" max="16383" man="1"/>
    <brk id="455" max="16383" man="1"/>
    <brk id="460" max="16383" man="1"/>
    <brk id="46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88BF-5A67-4DBC-86AF-5328B4317717}">
  <sheetPr>
    <tabColor rgb="FF92D050"/>
  </sheetPr>
  <dimension ref="A1:T131"/>
  <sheetViews>
    <sheetView topLeftCell="A121" workbookViewId="0">
      <selection activeCell="H136" sqref="H136"/>
    </sheetView>
  </sheetViews>
  <sheetFormatPr defaultRowHeight="14.4" outlineLevelCol="1" x14ac:dyDescent="0.3"/>
  <cols>
    <col min="1" max="1" width="0.33203125" style="1" customWidth="1"/>
    <col min="2" max="2" width="5.77734375" style="2" customWidth="1"/>
    <col min="3" max="3" width="25.33203125" style="3" customWidth="1"/>
    <col min="4" max="4" width="14.5546875" style="5" customWidth="1"/>
    <col min="5" max="5" width="14.5546875" customWidth="1"/>
    <col min="7" max="7" width="15.77734375" style="30" customWidth="1"/>
    <col min="8" max="8" width="14.5546875" style="38" customWidth="1"/>
    <col min="9" max="9" width="14.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84</v>
      </c>
      <c r="B4" s="98"/>
      <c r="C4" s="98"/>
      <c r="D4" s="98"/>
      <c r="E4" s="98"/>
      <c r="F4" s="98"/>
      <c r="G4" s="98"/>
      <c r="H4" s="98"/>
      <c r="I4" s="98"/>
    </row>
    <row r="5" spans="1:19" ht="15" thickBot="1" x14ac:dyDescent="0.35">
      <c r="A5" s="82" t="s">
        <v>477</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478</v>
      </c>
      <c r="D12" s="13" t="s">
        <v>29</v>
      </c>
      <c r="E12" s="14"/>
      <c r="F12" s="14"/>
      <c r="G12" s="41">
        <v>2</v>
      </c>
      <c r="H12" s="71">
        <v>148.66</v>
      </c>
      <c r="I12" s="32">
        <f>G12*H12</f>
        <v>297.32</v>
      </c>
      <c r="J12">
        <v>1</v>
      </c>
    </row>
    <row r="13" spans="1:19" x14ac:dyDescent="0.3">
      <c r="D13" s="15" t="str">
        <f>SUBSTITUTE("Sp.mat: 0.00%",".",IF(VALUE("1.2")=1.2,".",","),2)</f>
        <v>Sp.mat: 0.00%</v>
      </c>
      <c r="F13" s="15" t="str">
        <f>SUBSTITUTE("Sp.man: 0.00%",".",IF(VALUE("1.2")=1.2,".",","),2)</f>
        <v>Sp.man: 0.00%</v>
      </c>
      <c r="G13" s="35" t="str">
        <f>SUBSTITUTE("Sp.uti: 0.00%",".",IF(VALUE("1.2")=1.2,".",","),2)</f>
        <v>Sp.uti: 0.00%</v>
      </c>
      <c r="H13" s="38">
        <v>720.77</v>
      </c>
      <c r="I13" s="29">
        <f>G12*H13</f>
        <v>1441.54</v>
      </c>
      <c r="J13">
        <v>2</v>
      </c>
    </row>
    <row r="14" spans="1:19" x14ac:dyDescent="0.3">
      <c r="A14" s="88" t="s">
        <v>479</v>
      </c>
      <c r="B14" s="98"/>
      <c r="C14" s="98"/>
      <c r="D14" s="98"/>
      <c r="E14" s="98"/>
      <c r="F14" s="98"/>
      <c r="G14" s="98"/>
      <c r="H14" s="38">
        <v>2.4300000000000002</v>
      </c>
      <c r="I14" s="29">
        <f>G12*H14</f>
        <v>4.8600000000000003</v>
      </c>
      <c r="J14">
        <v>3</v>
      </c>
      <c r="K14" s="4">
        <v>0</v>
      </c>
      <c r="L14" s="4">
        <v>0</v>
      </c>
      <c r="M14" s="4">
        <f>I14-K14-L14</f>
        <v>4.8600000000000003</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110</v>
      </c>
      <c r="B16" s="101"/>
      <c r="C16" s="101"/>
      <c r="D16" s="101"/>
      <c r="E16" s="101"/>
      <c r="F16" s="101"/>
      <c r="G16" s="101"/>
      <c r="H16" s="33">
        <f>H12+H13+H14+H15</f>
        <v>871.8599999999999</v>
      </c>
      <c r="I16" s="37">
        <f>I12+I13+I14+I15</f>
        <v>1743.7199999999998</v>
      </c>
      <c r="J16">
        <v>5</v>
      </c>
    </row>
    <row r="17" spans="1:19" x14ac:dyDescent="0.3">
      <c r="A17" s="102" t="s">
        <v>480</v>
      </c>
      <c r="B17" s="102"/>
      <c r="C17" s="102"/>
      <c r="D17" s="102"/>
      <c r="E17" s="102"/>
      <c r="F17" s="102"/>
      <c r="G17" s="102"/>
      <c r="H17" s="102"/>
      <c r="I17" s="102"/>
    </row>
    <row r="18" spans="1:19" x14ac:dyDescent="0.3">
      <c r="A18" s="97" t="s">
        <v>481</v>
      </c>
      <c r="B18" s="97"/>
      <c r="C18" s="97"/>
      <c r="D18" s="97"/>
      <c r="E18" s="97"/>
      <c r="F18" s="97"/>
      <c r="G18" s="97"/>
      <c r="H18" s="97"/>
      <c r="I18" s="97"/>
    </row>
    <row r="19" spans="1:19" x14ac:dyDescent="0.3">
      <c r="B19" s="2">
        <v>2</v>
      </c>
      <c r="C19" s="3" t="s">
        <v>482</v>
      </c>
      <c r="D19" s="5" t="s">
        <v>29</v>
      </c>
      <c r="G19" s="30">
        <v>2</v>
      </c>
      <c r="H19" s="38">
        <v>10.23</v>
      </c>
      <c r="I19" s="29">
        <f>G19*H19</f>
        <v>20.46</v>
      </c>
      <c r="J19">
        <v>1</v>
      </c>
    </row>
    <row r="20" spans="1:19" x14ac:dyDescent="0.3">
      <c r="D20" s="15" t="str">
        <f>SUBSTITUTE("Sp.mat: 0.00%",".",IF(VALUE("1.2")=1.2,".",","),2)</f>
        <v>Sp.mat: 0.00%</v>
      </c>
      <c r="F20" s="15" t="str">
        <f>SUBSTITUTE("Sp.man: 0.00%",".",IF(VALUE("1.2")=1.2,".",","),2)</f>
        <v>Sp.man: 0.00%</v>
      </c>
      <c r="G20" s="35" t="str">
        <f>SUBSTITUTE("Sp.uti: 0.00%",".",IF(VALUE("1.2")=1.2,".",","),2)</f>
        <v>Sp.uti: 0.00%</v>
      </c>
      <c r="H20" s="38">
        <v>80.09</v>
      </c>
      <c r="I20" s="29">
        <f>G19*H20</f>
        <v>160.18</v>
      </c>
      <c r="J20">
        <v>2</v>
      </c>
    </row>
    <row r="21" spans="1:19" x14ac:dyDescent="0.3">
      <c r="A21" s="88" t="s">
        <v>483</v>
      </c>
      <c r="B21" s="98"/>
      <c r="C21" s="98"/>
      <c r="D21" s="98"/>
      <c r="E21" s="98"/>
      <c r="F21" s="98"/>
      <c r="G21" s="98"/>
      <c r="H21" s="38">
        <v>5.87</v>
      </c>
      <c r="I21" s="29">
        <f>G19*H21</f>
        <v>11.74</v>
      </c>
      <c r="J21">
        <v>3</v>
      </c>
      <c r="K21" s="4">
        <v>0</v>
      </c>
      <c r="L21" s="4">
        <v>0</v>
      </c>
      <c r="M21" s="4">
        <f>I21-K21-L21</f>
        <v>11.74</v>
      </c>
    </row>
    <row r="22" spans="1:19" x14ac:dyDescent="0.3">
      <c r="A22" s="98"/>
      <c r="B22" s="98"/>
      <c r="C22" s="98"/>
      <c r="D22" s="98"/>
      <c r="E22" s="98"/>
      <c r="F22" s="98"/>
      <c r="G22" s="98"/>
      <c r="H22" s="38">
        <f>0</f>
        <v>0</v>
      </c>
      <c r="I22" s="29">
        <f>G19*H22</f>
        <v>0</v>
      </c>
      <c r="J22">
        <v>4</v>
      </c>
      <c r="N22" s="4">
        <f>IF(ISERR(SEARCH("TRA* 82",C19)),IF(Q22+R22+S22=0,0,I22*(Q22/(Q22+R22+S22))),I22)</f>
        <v>0</v>
      </c>
      <c r="O22" s="4">
        <f>IF(ISERR(SEARCH("TRA* 82",C19)),IF(Q22+R22+S22=0,0,I22*(R22/(Q22+R22+S22))),0)</f>
        <v>0</v>
      </c>
      <c r="P22" s="4">
        <f>IF(ISERR(SEARCH("TRA* 82",C19)),I22-N22-O22,0)</f>
        <v>0</v>
      </c>
      <c r="Q22" s="4">
        <v>0</v>
      </c>
      <c r="R22" s="4">
        <v>0</v>
      </c>
      <c r="S22" s="4">
        <v>0</v>
      </c>
    </row>
    <row r="23" spans="1:19" x14ac:dyDescent="0.3">
      <c r="A23" s="100" t="s">
        <v>110</v>
      </c>
      <c r="B23" s="101"/>
      <c r="C23" s="101"/>
      <c r="D23" s="101"/>
      <c r="E23" s="101"/>
      <c r="F23" s="101"/>
      <c r="G23" s="101"/>
      <c r="H23" s="33">
        <f>H19+H20+H21+H22</f>
        <v>96.190000000000012</v>
      </c>
      <c r="I23" s="37">
        <f>I19+I20+I21+I22</f>
        <v>192.38000000000002</v>
      </c>
      <c r="J23">
        <v>5</v>
      </c>
    </row>
    <row r="24" spans="1:19" x14ac:dyDescent="0.3">
      <c r="A24" s="99" t="s">
        <v>484</v>
      </c>
      <c r="B24" s="99"/>
      <c r="C24" s="99"/>
      <c r="D24" s="99"/>
      <c r="E24" s="99"/>
      <c r="F24" s="99"/>
      <c r="G24" s="99"/>
      <c r="H24" s="99"/>
      <c r="I24" s="99"/>
    </row>
    <row r="25" spans="1:19" x14ac:dyDescent="0.3">
      <c r="B25" s="2">
        <v>3</v>
      </c>
      <c r="C25" s="3" t="s">
        <v>485</v>
      </c>
      <c r="D25" s="5" t="s">
        <v>25</v>
      </c>
      <c r="G25" s="30">
        <v>2</v>
      </c>
      <c r="H25" s="38">
        <v>13.69</v>
      </c>
      <c r="I25" s="29">
        <f>G25*H25</f>
        <v>27.38</v>
      </c>
      <c r="J25">
        <v>1</v>
      </c>
    </row>
    <row r="26" spans="1:19" x14ac:dyDescent="0.3">
      <c r="D26" s="15" t="str">
        <f>SUBSTITUTE("Sp.mat: 0.00%",".",IF(VALUE("1.2")=1.2,".",","),2)</f>
        <v>Sp.mat: 0.00%</v>
      </c>
      <c r="F26" s="15" t="str">
        <f>SUBSTITUTE("Sp.man: 0.00%",".",IF(VALUE("1.2")=1.2,".",","),2)</f>
        <v>Sp.man: 0.00%</v>
      </c>
      <c r="G26" s="35" t="str">
        <f>SUBSTITUTE("Sp.uti: 0.00%",".",IF(VALUE("1.2")=1.2,".",","),2)</f>
        <v>Sp.uti: 0.00%</v>
      </c>
      <c r="H26" s="38">
        <v>19.22</v>
      </c>
      <c r="I26" s="29">
        <f>G25*H26</f>
        <v>38.44</v>
      </c>
      <c r="J26">
        <v>2</v>
      </c>
    </row>
    <row r="27" spans="1:19" x14ac:dyDescent="0.3">
      <c r="A27" s="88" t="s">
        <v>486</v>
      </c>
      <c r="B27" s="98"/>
      <c r="C27" s="98"/>
      <c r="D27" s="98"/>
      <c r="E27" s="98"/>
      <c r="F27" s="98"/>
      <c r="G27" s="98"/>
      <c r="H27" s="38">
        <f>(1+IF(OR(ISERR(FIND(":",G26)),ISERR(FIND("%",G26))),0,MID(G26,FIND(":",G26)+2,FIND("%",G26)-FIND(":",G26)-2)/100))*0</f>
        <v>0</v>
      </c>
      <c r="I27" s="29">
        <f>G25*H27</f>
        <v>0</v>
      </c>
      <c r="J27">
        <v>3</v>
      </c>
      <c r="K27" s="4">
        <v>0</v>
      </c>
      <c r="L27" s="4">
        <v>0</v>
      </c>
      <c r="M27" s="4">
        <f>I27-K27-L27</f>
        <v>0</v>
      </c>
    </row>
    <row r="28" spans="1:19" x14ac:dyDescent="0.3">
      <c r="A28" s="98"/>
      <c r="B28" s="98"/>
      <c r="C28" s="98"/>
      <c r="D28" s="98"/>
      <c r="E28" s="98"/>
      <c r="F28" s="98"/>
      <c r="G28" s="98"/>
      <c r="H28" s="38">
        <f>0</f>
        <v>0</v>
      </c>
      <c r="I28" s="29">
        <f>G25*H28</f>
        <v>0</v>
      </c>
      <c r="J28">
        <v>4</v>
      </c>
      <c r="N28" s="4">
        <f>IF(ISERR(SEARCH("TRA* 82",C25)),IF(Q28+R28+S28=0,0,I28*(Q28/(Q28+R28+S28))),I28)</f>
        <v>0</v>
      </c>
      <c r="O28" s="4">
        <f>IF(ISERR(SEARCH("TRA* 82",C25)),IF(Q28+R28+S28=0,0,I28*(R28/(Q28+R28+S28))),0)</f>
        <v>0</v>
      </c>
      <c r="P28" s="4">
        <f>IF(ISERR(SEARCH("TRA* 82",C25)),I28-N28-O28,0)</f>
        <v>0</v>
      </c>
      <c r="Q28" s="4">
        <v>0</v>
      </c>
      <c r="R28" s="4">
        <v>0</v>
      </c>
      <c r="S28" s="4">
        <v>0</v>
      </c>
    </row>
    <row r="29" spans="1:19" x14ac:dyDescent="0.3">
      <c r="A29" s="100" t="s">
        <v>110</v>
      </c>
      <c r="B29" s="101"/>
      <c r="C29" s="101"/>
      <c r="D29" s="101"/>
      <c r="E29" s="101"/>
      <c r="F29" s="101"/>
      <c r="G29" s="101"/>
      <c r="H29" s="33">
        <f>H25+H26+H27+H28</f>
        <v>32.909999999999997</v>
      </c>
      <c r="I29" s="37">
        <f>I25+I26+I27+I28</f>
        <v>65.819999999999993</v>
      </c>
      <c r="J29">
        <v>5</v>
      </c>
    </row>
    <row r="30" spans="1:19" x14ac:dyDescent="0.3">
      <c r="A30" s="99" t="s">
        <v>487</v>
      </c>
      <c r="B30" s="99"/>
      <c r="C30" s="99"/>
      <c r="D30" s="99"/>
      <c r="E30" s="99"/>
      <c r="F30" s="99"/>
      <c r="G30" s="99"/>
      <c r="H30" s="99"/>
      <c r="I30" s="99"/>
    </row>
    <row r="31" spans="1:19" x14ac:dyDescent="0.3">
      <c r="B31" s="2">
        <v>4</v>
      </c>
      <c r="C31" s="3" t="s">
        <v>488</v>
      </c>
      <c r="D31" s="5" t="s">
        <v>25</v>
      </c>
      <c r="G31" s="30">
        <v>10</v>
      </c>
      <c r="H31" s="38">
        <v>23.59</v>
      </c>
      <c r="I31" s="29">
        <f>G31*H31</f>
        <v>235.9</v>
      </c>
      <c r="J31">
        <v>1</v>
      </c>
    </row>
    <row r="32" spans="1:19" x14ac:dyDescent="0.3">
      <c r="D32" s="15" t="str">
        <f>SUBSTITUTE("Sp.mat: 0.00%",".",IF(VALUE("1.2")=1.2,".",","),2)</f>
        <v>Sp.mat: 0.00%</v>
      </c>
      <c r="F32" s="15" t="str">
        <f>SUBSTITUTE("Sp.man: 0.00%",".",IF(VALUE("1.2")=1.2,".",","),2)</f>
        <v>Sp.man: 0.00%</v>
      </c>
      <c r="G32" s="35" t="str">
        <f>SUBSTITUTE("Sp.uti: 0.00%",".",IF(VALUE("1.2")=1.2,".",","),2)</f>
        <v>Sp.uti: 0.00%</v>
      </c>
      <c r="H32" s="38">
        <v>38.44</v>
      </c>
      <c r="I32" s="29">
        <f>G31*H32</f>
        <v>384.4</v>
      </c>
      <c r="J32">
        <v>2</v>
      </c>
    </row>
    <row r="33" spans="1:19" x14ac:dyDescent="0.3">
      <c r="A33" s="88" t="s">
        <v>489</v>
      </c>
      <c r="B33" s="98"/>
      <c r="C33" s="98"/>
      <c r="D33" s="98"/>
      <c r="E33" s="98"/>
      <c r="F33" s="98"/>
      <c r="G33" s="98"/>
      <c r="H33" s="38">
        <f>(1+IF(OR(ISERR(FIND(":",G32)),ISERR(FIND("%",G32))),0,MID(G32,FIND(":",G32)+2,FIND("%",G32)-FIND(":",G32)-2)/100))*0</f>
        <v>0</v>
      </c>
      <c r="I33" s="29">
        <f>G31*H33</f>
        <v>0</v>
      </c>
      <c r="J33">
        <v>3</v>
      </c>
      <c r="K33" s="4">
        <v>0</v>
      </c>
      <c r="L33" s="4">
        <v>0</v>
      </c>
      <c r="M33" s="4">
        <f>I33-K33-L33</f>
        <v>0</v>
      </c>
    </row>
    <row r="34" spans="1:19" x14ac:dyDescent="0.3">
      <c r="A34" s="98"/>
      <c r="B34" s="98"/>
      <c r="C34" s="98"/>
      <c r="D34" s="98"/>
      <c r="E34" s="98"/>
      <c r="F34" s="98"/>
      <c r="G34" s="98"/>
      <c r="H34" s="38">
        <f>0</f>
        <v>0</v>
      </c>
      <c r="I34" s="29">
        <f>G31*H34</f>
        <v>0</v>
      </c>
      <c r="J34">
        <v>4</v>
      </c>
      <c r="N34" s="4">
        <f>IF(ISERR(SEARCH("TRA* 82",C31)),IF(Q34+R34+S34=0,0,I34*(Q34/(Q34+R34+S34))),I34)</f>
        <v>0</v>
      </c>
      <c r="O34" s="4">
        <f>IF(ISERR(SEARCH("TRA* 82",C31)),IF(Q34+R34+S34=0,0,I34*(R34/(Q34+R34+S34))),0)</f>
        <v>0</v>
      </c>
      <c r="P34" s="4">
        <f>IF(ISERR(SEARCH("TRA* 82",C31)),I34-N34-O34,0)</f>
        <v>0</v>
      </c>
      <c r="Q34" s="4">
        <v>0</v>
      </c>
      <c r="R34" s="4">
        <v>0</v>
      </c>
      <c r="S34" s="4">
        <v>0</v>
      </c>
    </row>
    <row r="35" spans="1:19" x14ac:dyDescent="0.3">
      <c r="A35" s="100" t="s">
        <v>110</v>
      </c>
      <c r="B35" s="101"/>
      <c r="C35" s="101"/>
      <c r="D35" s="101"/>
      <c r="E35" s="101"/>
      <c r="F35" s="101"/>
      <c r="G35" s="101"/>
      <c r="H35" s="33">
        <f>H31+H32+H33+H34</f>
        <v>62.03</v>
      </c>
      <c r="I35" s="37">
        <f>I31+I32+I33+I34</f>
        <v>620.29999999999995</v>
      </c>
      <c r="J35">
        <v>5</v>
      </c>
    </row>
    <row r="36" spans="1:19" x14ac:dyDescent="0.3">
      <c r="A36" s="99" t="s">
        <v>490</v>
      </c>
      <c r="B36" s="99"/>
      <c r="C36" s="99"/>
      <c r="D36" s="99"/>
      <c r="E36" s="99"/>
      <c r="F36" s="99"/>
      <c r="G36" s="99"/>
      <c r="H36" s="99"/>
      <c r="I36" s="99"/>
    </row>
    <row r="37" spans="1:19" x14ac:dyDescent="0.3">
      <c r="B37" s="2">
        <v>5</v>
      </c>
      <c r="C37" s="3" t="s">
        <v>491</v>
      </c>
      <c r="D37" s="5" t="s">
        <v>29</v>
      </c>
      <c r="G37" s="30">
        <v>1</v>
      </c>
      <c r="H37" s="38">
        <v>56.45</v>
      </c>
      <c r="I37" s="29">
        <f>G37*H37</f>
        <v>56.45</v>
      </c>
      <c r="J37">
        <v>1</v>
      </c>
    </row>
    <row r="38" spans="1:19" x14ac:dyDescent="0.3">
      <c r="D38" s="15" t="str">
        <f>SUBSTITUTE("Sp.mat: 0.00%",".",IF(VALUE("1.2")=1.2,".",","),2)</f>
        <v>Sp.mat: 0.00%</v>
      </c>
      <c r="F38" s="15" t="str">
        <f>SUBSTITUTE("Sp.man: 0.00%",".",IF(VALUE("1.2")=1.2,".",","),2)</f>
        <v>Sp.man: 0.00%</v>
      </c>
      <c r="G38" s="35" t="str">
        <f>SUBSTITUTE("Sp.uti: 0.00%",".",IF(VALUE("1.2")=1.2,".",","),2)</f>
        <v>Sp.uti: 0.00%</v>
      </c>
      <c r="H38" s="38">
        <v>56.06</v>
      </c>
      <c r="I38" s="29">
        <f>G37*H38</f>
        <v>56.06</v>
      </c>
      <c r="J38">
        <v>2</v>
      </c>
    </row>
    <row r="39" spans="1:19" x14ac:dyDescent="0.3">
      <c r="A39" s="88" t="s">
        <v>492</v>
      </c>
      <c r="B39" s="98"/>
      <c r="C39" s="98"/>
      <c r="D39" s="98"/>
      <c r="E39" s="98"/>
      <c r="F39" s="98"/>
      <c r="G39" s="98"/>
      <c r="H39" s="38">
        <v>0.19</v>
      </c>
      <c r="I39" s="29">
        <f>G37*H39</f>
        <v>0.19</v>
      </c>
      <c r="J39">
        <v>3</v>
      </c>
      <c r="K39" s="4">
        <v>0</v>
      </c>
      <c r="L39" s="4">
        <v>0.129</v>
      </c>
      <c r="M39" s="4">
        <f>I39-K39-L39</f>
        <v>6.0999999999999999E-2</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100" t="s">
        <v>110</v>
      </c>
      <c r="B41" s="101"/>
      <c r="C41" s="101"/>
      <c r="D41" s="101"/>
      <c r="E41" s="101"/>
      <c r="F41" s="101"/>
      <c r="G41" s="101"/>
      <c r="H41" s="33">
        <f>H37+H38+H39+H40</f>
        <v>112.7</v>
      </c>
      <c r="I41" s="37">
        <f>I37+I38+I39+I40</f>
        <v>112.7</v>
      </c>
      <c r="J41">
        <v>5</v>
      </c>
    </row>
    <row r="42" spans="1:19" x14ac:dyDescent="0.3">
      <c r="A42" s="102" t="s">
        <v>493</v>
      </c>
      <c r="B42" s="102"/>
      <c r="C42" s="102"/>
      <c r="D42" s="102"/>
      <c r="E42" s="102"/>
      <c r="F42" s="102"/>
      <c r="G42" s="102"/>
      <c r="H42" s="102"/>
      <c r="I42" s="102"/>
    </row>
    <row r="43" spans="1:19" x14ac:dyDescent="0.3">
      <c r="A43" s="97" t="s">
        <v>494</v>
      </c>
      <c r="B43" s="97"/>
      <c r="C43" s="97"/>
      <c r="D43" s="97"/>
      <c r="E43" s="97"/>
      <c r="F43" s="97"/>
      <c r="G43" s="97"/>
      <c r="H43" s="97"/>
      <c r="I43" s="97"/>
    </row>
    <row r="44" spans="1:19" x14ac:dyDescent="0.3">
      <c r="B44" s="2">
        <v>6</v>
      </c>
      <c r="C44" s="3" t="s">
        <v>495</v>
      </c>
      <c r="D44" s="5" t="s">
        <v>29</v>
      </c>
      <c r="G44" s="30">
        <v>1</v>
      </c>
      <c r="H44" s="38">
        <v>67.14</v>
      </c>
      <c r="I44" s="29">
        <f>G44*H44</f>
        <v>67.14</v>
      </c>
      <c r="J44">
        <v>1</v>
      </c>
    </row>
    <row r="45" spans="1:19" x14ac:dyDescent="0.3">
      <c r="D45" s="15" t="str">
        <f>SUBSTITUTE("Sp.mat: 0.00%",".",IF(VALUE("1.2")=1.2,".",","),2)</f>
        <v>Sp.mat: 0.00%</v>
      </c>
      <c r="F45" s="15" t="str">
        <f>SUBSTITUTE("Sp.man: 0.00%",".",IF(VALUE("1.2")=1.2,".",","),2)</f>
        <v>Sp.man: 0.00%</v>
      </c>
      <c r="G45" s="35" t="str">
        <f>SUBSTITUTE("Sp.uti: 0.00%",".",IF(VALUE("1.2")=1.2,".",","),2)</f>
        <v>Sp.uti: 0.00%</v>
      </c>
      <c r="H45" s="38">
        <v>1269.01</v>
      </c>
      <c r="I45" s="29">
        <f>G44*H45</f>
        <v>1269.01</v>
      </c>
      <c r="J45">
        <v>2</v>
      </c>
    </row>
    <row r="46" spans="1:19" x14ac:dyDescent="0.3">
      <c r="A46" s="88" t="s">
        <v>496</v>
      </c>
      <c r="B46" s="98"/>
      <c r="C46" s="98"/>
      <c r="D46" s="98"/>
      <c r="E46" s="98"/>
      <c r="F46" s="98"/>
      <c r="G46" s="98"/>
      <c r="H46" s="38">
        <v>520.54999999999995</v>
      </c>
      <c r="I46" s="29">
        <f>G44*H46</f>
        <v>520.54999999999995</v>
      </c>
      <c r="J46">
        <v>3</v>
      </c>
      <c r="K46" s="4">
        <v>975</v>
      </c>
      <c r="L46" s="4">
        <v>0</v>
      </c>
      <c r="M46" s="4">
        <f>I46-K46-L46</f>
        <v>-454.45000000000005</v>
      </c>
    </row>
    <row r="47" spans="1:19" x14ac:dyDescent="0.3">
      <c r="A47" s="98"/>
      <c r="B47" s="98"/>
      <c r="C47" s="98"/>
      <c r="D47" s="98"/>
      <c r="E47" s="98"/>
      <c r="F47" s="98"/>
      <c r="G47" s="98"/>
      <c r="H47" s="38">
        <f>0</f>
        <v>0</v>
      </c>
      <c r="I47" s="29">
        <f>G44*H47</f>
        <v>0</v>
      </c>
      <c r="J47">
        <v>4</v>
      </c>
      <c r="N47" s="4">
        <f>IF(ISERR(SEARCH("TRA* 82",C44)),IF(Q47+R47+S47=0,0,I47*(Q47/(Q47+R47+S47))),I47)</f>
        <v>0</v>
      </c>
      <c r="O47" s="4">
        <f>IF(ISERR(SEARCH("TRA* 82",C44)),IF(Q47+R47+S47=0,0,I47*(R47/(Q47+R47+S47))),0)</f>
        <v>0</v>
      </c>
      <c r="P47" s="4">
        <f>IF(ISERR(SEARCH("TRA* 82",C44)),I47-N47-O47,0)</f>
        <v>0</v>
      </c>
      <c r="Q47" s="4">
        <v>0</v>
      </c>
      <c r="R47" s="4">
        <v>0</v>
      </c>
      <c r="S47" s="4">
        <v>0</v>
      </c>
    </row>
    <row r="48" spans="1:19" x14ac:dyDescent="0.3">
      <c r="A48" s="100" t="s">
        <v>110</v>
      </c>
      <c r="B48" s="101"/>
      <c r="C48" s="101"/>
      <c r="D48" s="101"/>
      <c r="E48" s="101"/>
      <c r="F48" s="101"/>
      <c r="G48" s="101"/>
      <c r="H48" s="33">
        <f>H44+H45+H46+H47</f>
        <v>1856.7</v>
      </c>
      <c r="I48" s="37">
        <f>I44+I45+I46+I47</f>
        <v>1856.7</v>
      </c>
      <c r="J48">
        <v>5</v>
      </c>
    </row>
    <row r="49" spans="1:19" x14ac:dyDescent="0.3">
      <c r="A49" s="102" t="s">
        <v>497</v>
      </c>
      <c r="B49" s="102"/>
      <c r="C49" s="102"/>
      <c r="D49" s="102"/>
      <c r="E49" s="102"/>
      <c r="F49" s="102"/>
      <c r="G49" s="102"/>
      <c r="H49" s="102"/>
      <c r="I49" s="102"/>
    </row>
    <row r="50" spans="1:19" x14ac:dyDescent="0.3">
      <c r="A50" s="98" t="s">
        <v>498</v>
      </c>
      <c r="B50" s="98"/>
      <c r="C50" s="98"/>
      <c r="D50" s="98"/>
      <c r="E50" s="98"/>
      <c r="F50" s="98"/>
      <c r="G50" s="98"/>
      <c r="H50" s="98"/>
      <c r="I50" s="98"/>
    </row>
    <row r="51" spans="1:19" x14ac:dyDescent="0.3">
      <c r="A51" s="97" t="s">
        <v>499</v>
      </c>
      <c r="B51" s="97"/>
      <c r="C51" s="97"/>
      <c r="D51" s="97"/>
      <c r="E51" s="97"/>
      <c r="F51" s="97"/>
      <c r="G51" s="97"/>
      <c r="H51" s="97"/>
      <c r="I51" s="97"/>
    </row>
    <row r="52" spans="1:19" x14ac:dyDescent="0.3">
      <c r="B52" s="2">
        <v>7</v>
      </c>
      <c r="C52" s="3" t="s">
        <v>500</v>
      </c>
      <c r="D52" s="5" t="s">
        <v>29</v>
      </c>
      <c r="G52" s="30">
        <v>2</v>
      </c>
      <c r="H52" s="38">
        <v>214</v>
      </c>
      <c r="I52" s="29">
        <f>G52*H52</f>
        <v>428</v>
      </c>
      <c r="J52">
        <v>1</v>
      </c>
    </row>
    <row r="53" spans="1:19" x14ac:dyDescent="0.3">
      <c r="D53" s="15" t="str">
        <f>SUBSTITUTE("Sp.mat: 0.00%",".",IF(VALUE("1.2")=1.2,".",","),2)</f>
        <v>Sp.mat: 0.00%</v>
      </c>
      <c r="F53" s="15" t="str">
        <f>SUBSTITUTE("Sp.man: 0.00%",".",IF(VALUE("1.2")=1.2,".",","),2)</f>
        <v>Sp.man: 0.00%</v>
      </c>
      <c r="G53" s="35" t="str">
        <f>SUBSTITUTE("Sp.uti: 0.00%",".",IF(VALUE("1.2")=1.2,".",","),2)</f>
        <v>Sp.uti: 0.00%</v>
      </c>
      <c r="H53" s="38">
        <v>152.16</v>
      </c>
      <c r="I53" s="29">
        <f>G52*H53</f>
        <v>304.32</v>
      </c>
      <c r="J53">
        <v>2</v>
      </c>
    </row>
    <row r="54" spans="1:19" x14ac:dyDescent="0.3">
      <c r="A54" s="88" t="s">
        <v>501</v>
      </c>
      <c r="B54" s="98"/>
      <c r="C54" s="98"/>
      <c r="D54" s="98"/>
      <c r="E54" s="98"/>
      <c r="F54" s="98"/>
      <c r="G54" s="98"/>
      <c r="H54" s="38">
        <v>0.02</v>
      </c>
      <c r="I54" s="29">
        <f>G52*H54</f>
        <v>0.04</v>
      </c>
      <c r="J54">
        <v>3</v>
      </c>
      <c r="K54" s="4">
        <v>0</v>
      </c>
      <c r="L54" s="4">
        <v>0</v>
      </c>
      <c r="M54" s="4">
        <f>I54-K54-L54</f>
        <v>0.04</v>
      </c>
    </row>
    <row r="55" spans="1:19" x14ac:dyDescent="0.3">
      <c r="A55" s="98"/>
      <c r="B55" s="98"/>
      <c r="C55" s="98"/>
      <c r="D55" s="98"/>
      <c r="E55" s="98"/>
      <c r="F55" s="98"/>
      <c r="G55" s="98"/>
      <c r="H55" s="38">
        <f>0</f>
        <v>0</v>
      </c>
      <c r="I55" s="29">
        <f>G52*H55</f>
        <v>0</v>
      </c>
      <c r="J55">
        <v>4</v>
      </c>
      <c r="N55" s="4">
        <f>IF(ISERR(SEARCH("TRA* 82",C52)),IF(Q55+R55+S55=0,0,I55*(Q55/(Q55+R55+S55))),I55)</f>
        <v>0</v>
      </c>
      <c r="O55" s="4">
        <f>IF(ISERR(SEARCH("TRA* 82",C52)),IF(Q55+R55+S55=0,0,I55*(R55/(Q55+R55+S55))),0)</f>
        <v>0</v>
      </c>
      <c r="P55" s="4">
        <f>IF(ISERR(SEARCH("TRA* 82",C52)),I55-N55-O55,0)</f>
        <v>0</v>
      </c>
      <c r="Q55" s="4">
        <v>0</v>
      </c>
      <c r="R55" s="4">
        <v>0</v>
      </c>
      <c r="S55" s="4">
        <v>0</v>
      </c>
    </row>
    <row r="56" spans="1:19" x14ac:dyDescent="0.3">
      <c r="A56" s="100" t="s">
        <v>110</v>
      </c>
      <c r="B56" s="101"/>
      <c r="C56" s="101"/>
      <c r="D56" s="101"/>
      <c r="E56" s="101"/>
      <c r="F56" s="101"/>
      <c r="G56" s="101"/>
      <c r="H56" s="33">
        <f>H52+H53+H54+H55</f>
        <v>366.17999999999995</v>
      </c>
      <c r="I56" s="37">
        <f>I52+I53+I54+I55</f>
        <v>732.3599999999999</v>
      </c>
      <c r="J56">
        <v>5</v>
      </c>
    </row>
    <row r="57" spans="1:19" x14ac:dyDescent="0.3">
      <c r="A57" s="102" t="s">
        <v>502</v>
      </c>
      <c r="B57" s="102"/>
      <c r="C57" s="102"/>
      <c r="D57" s="102"/>
      <c r="E57" s="102"/>
      <c r="F57" s="102"/>
      <c r="G57" s="102"/>
      <c r="H57" s="102"/>
      <c r="I57" s="102"/>
    </row>
    <row r="58" spans="1:19" x14ac:dyDescent="0.3">
      <c r="A58" s="98" t="s">
        <v>503</v>
      </c>
      <c r="B58" s="98"/>
      <c r="C58" s="98"/>
      <c r="D58" s="98"/>
      <c r="E58" s="98"/>
      <c r="F58" s="98"/>
      <c r="G58" s="98"/>
      <c r="H58" s="98"/>
      <c r="I58" s="98"/>
    </row>
    <row r="59" spans="1:19" x14ac:dyDescent="0.3">
      <c r="A59" s="98" t="s">
        <v>504</v>
      </c>
      <c r="B59" s="98"/>
      <c r="C59" s="98"/>
      <c r="D59" s="98"/>
      <c r="E59" s="98"/>
      <c r="F59" s="98"/>
      <c r="G59" s="98"/>
      <c r="H59" s="98"/>
      <c r="I59" s="98"/>
    </row>
    <row r="60" spans="1:19" x14ac:dyDescent="0.3">
      <c r="A60" s="97" t="s">
        <v>505</v>
      </c>
      <c r="B60" s="97"/>
      <c r="C60" s="97"/>
      <c r="D60" s="97"/>
      <c r="E60" s="97"/>
      <c r="F60" s="97"/>
      <c r="G60" s="97"/>
      <c r="H60" s="97"/>
      <c r="I60" s="97"/>
    </row>
    <row r="61" spans="1:19" x14ac:dyDescent="0.3">
      <c r="B61" s="2">
        <v>8</v>
      </c>
      <c r="C61" s="3" t="s">
        <v>506</v>
      </c>
      <c r="D61" s="5" t="s">
        <v>29</v>
      </c>
      <c r="G61" s="30">
        <v>5</v>
      </c>
      <c r="H61" s="38">
        <v>48.17</v>
      </c>
      <c r="I61" s="29">
        <f>G61*H61</f>
        <v>240.85000000000002</v>
      </c>
      <c r="J61">
        <v>1</v>
      </c>
    </row>
    <row r="62" spans="1:19" x14ac:dyDescent="0.3">
      <c r="D62" s="15" t="str">
        <f>SUBSTITUTE("Sp.mat: 0.00%",".",IF(VALUE("1.2")=1.2,".",","),2)</f>
        <v>Sp.mat: 0.00%</v>
      </c>
      <c r="F62" s="15" t="str">
        <f>SUBSTITUTE("Sp.man: 0.00%",".",IF(VALUE("1.2")=1.2,".",","),2)</f>
        <v>Sp.man: 0.00%</v>
      </c>
      <c r="G62" s="35" t="str">
        <f>SUBSTITUTE("Sp.uti: 0.00%",".",IF(VALUE("1.2")=1.2,".",","),2)</f>
        <v>Sp.uti: 0.00%</v>
      </c>
      <c r="H62" s="38">
        <v>75.28</v>
      </c>
      <c r="I62" s="29">
        <f>G61*H62</f>
        <v>376.4</v>
      </c>
      <c r="J62">
        <v>2</v>
      </c>
    </row>
    <row r="63" spans="1:19" x14ac:dyDescent="0.3">
      <c r="A63" s="88" t="s">
        <v>507</v>
      </c>
      <c r="B63" s="98"/>
      <c r="C63" s="98"/>
      <c r="D63" s="98"/>
      <c r="E63" s="98"/>
      <c r="F63" s="98"/>
      <c r="G63" s="98"/>
      <c r="H63" s="38">
        <v>1.22</v>
      </c>
      <c r="I63" s="29">
        <f>G61*H63</f>
        <v>6.1</v>
      </c>
      <c r="J63">
        <v>3</v>
      </c>
      <c r="K63" s="4">
        <v>0</v>
      </c>
      <c r="L63" s="4">
        <v>0</v>
      </c>
      <c r="M63" s="4">
        <f>I63-K63-L63</f>
        <v>6.1</v>
      </c>
    </row>
    <row r="64" spans="1:19" x14ac:dyDescent="0.3">
      <c r="A64" s="98"/>
      <c r="B64" s="98"/>
      <c r="C64" s="98"/>
      <c r="D64" s="98"/>
      <c r="E64" s="98"/>
      <c r="F64" s="98"/>
      <c r="G64" s="98"/>
      <c r="H64" s="38">
        <f>0</f>
        <v>0</v>
      </c>
      <c r="I64" s="29">
        <f>G61*H64</f>
        <v>0</v>
      </c>
      <c r="J64">
        <v>4</v>
      </c>
      <c r="N64" s="4">
        <f>IF(ISERR(SEARCH("TRA* 82",C61)),IF(Q64+R64+S64=0,0,I64*(Q64/(Q64+R64+S64))),I64)</f>
        <v>0</v>
      </c>
      <c r="O64" s="4">
        <f>IF(ISERR(SEARCH("TRA* 82",C61)),IF(Q64+R64+S64=0,0,I64*(R64/(Q64+R64+S64))),0)</f>
        <v>0</v>
      </c>
      <c r="P64" s="4">
        <f>IF(ISERR(SEARCH("TRA* 82",C61)),I64-N64-O64,0)</f>
        <v>0</v>
      </c>
      <c r="Q64" s="4">
        <v>0</v>
      </c>
      <c r="R64" s="4">
        <v>0</v>
      </c>
      <c r="S64" s="4">
        <v>0</v>
      </c>
    </row>
    <row r="65" spans="1:19" x14ac:dyDescent="0.3">
      <c r="A65" s="100" t="s">
        <v>508</v>
      </c>
      <c r="B65" s="101"/>
      <c r="C65" s="101"/>
      <c r="D65" s="101"/>
      <c r="E65" s="101"/>
      <c r="F65" s="101"/>
      <c r="G65" s="101"/>
      <c r="H65" s="33">
        <f>H61+H62+H63+H64</f>
        <v>124.67</v>
      </c>
      <c r="I65" s="37">
        <f>I61+I62+I63+I64</f>
        <v>623.35</v>
      </c>
      <c r="J65">
        <v>5</v>
      </c>
    </row>
    <row r="66" spans="1:19" x14ac:dyDescent="0.3">
      <c r="A66" s="102" t="s">
        <v>509</v>
      </c>
      <c r="B66" s="102"/>
      <c r="C66" s="102"/>
      <c r="D66" s="102"/>
      <c r="E66" s="102"/>
      <c r="F66" s="102"/>
      <c r="G66" s="102"/>
      <c r="H66" s="102"/>
      <c r="I66" s="102"/>
    </row>
    <row r="67" spans="1:19" x14ac:dyDescent="0.3">
      <c r="A67" s="98" t="s">
        <v>510</v>
      </c>
      <c r="B67" s="98"/>
      <c r="C67" s="98"/>
      <c r="D67" s="98"/>
      <c r="E67" s="98"/>
      <c r="F67" s="98"/>
      <c r="G67" s="98"/>
      <c r="H67" s="98"/>
      <c r="I67" s="98"/>
    </row>
    <row r="68" spans="1:19" x14ac:dyDescent="0.3">
      <c r="A68" s="98" t="s">
        <v>511</v>
      </c>
      <c r="B68" s="98"/>
      <c r="C68" s="98"/>
      <c r="D68" s="98"/>
      <c r="E68" s="98"/>
      <c r="F68" s="98"/>
      <c r="G68" s="98"/>
      <c r="H68" s="98"/>
      <c r="I68" s="98"/>
    </row>
    <row r="69" spans="1:19" x14ac:dyDescent="0.3">
      <c r="A69" s="98" t="s">
        <v>512</v>
      </c>
      <c r="B69" s="98"/>
      <c r="C69" s="98"/>
      <c r="D69" s="98"/>
      <c r="E69" s="98"/>
      <c r="F69" s="98"/>
      <c r="G69" s="98"/>
      <c r="H69" s="98"/>
      <c r="I69" s="98"/>
    </row>
    <row r="70" spans="1:19" x14ac:dyDescent="0.3">
      <c r="A70" s="98" t="s">
        <v>513</v>
      </c>
      <c r="B70" s="98"/>
      <c r="C70" s="98"/>
      <c r="D70" s="98"/>
      <c r="E70" s="98"/>
      <c r="F70" s="98"/>
      <c r="G70" s="98"/>
      <c r="H70" s="98"/>
      <c r="I70" s="98"/>
    </row>
    <row r="71" spans="1:19" x14ac:dyDescent="0.3">
      <c r="A71" s="97" t="s">
        <v>514</v>
      </c>
      <c r="B71" s="97"/>
      <c r="C71" s="97"/>
      <c r="D71" s="97"/>
      <c r="E71" s="97"/>
      <c r="F71" s="97"/>
      <c r="G71" s="97"/>
      <c r="H71" s="97"/>
      <c r="I71" s="97"/>
    </row>
    <row r="72" spans="1:19" x14ac:dyDescent="0.3">
      <c r="B72" s="2">
        <v>9</v>
      </c>
      <c r="C72" s="3" t="s">
        <v>515</v>
      </c>
      <c r="D72" s="5" t="s">
        <v>29</v>
      </c>
      <c r="G72" s="30">
        <v>1</v>
      </c>
      <c r="H72" s="38">
        <v>152.93</v>
      </c>
      <c r="I72" s="29">
        <f>G72*H72</f>
        <v>152.93</v>
      </c>
      <c r="J72">
        <v>1</v>
      </c>
    </row>
    <row r="73" spans="1:19" x14ac:dyDescent="0.3">
      <c r="D73" s="15" t="str">
        <f>SUBSTITUTE("Sp.mat: 0.00%",".",IF(VALUE("1.2")=1.2,".",","),2)</f>
        <v>Sp.mat: 0.00%</v>
      </c>
      <c r="F73" s="15" t="str">
        <f>SUBSTITUTE("Sp.man: 0.00%",".",IF(VALUE("1.2")=1.2,".",","),2)</f>
        <v>Sp.man: 0.00%</v>
      </c>
      <c r="G73" s="35" t="str">
        <f>SUBSTITUTE("Sp.uti: 0.00%",".",IF(VALUE("1.2")=1.2,".",","),2)</f>
        <v>Sp.uti: 0.00%</v>
      </c>
      <c r="H73" s="38">
        <v>78.48</v>
      </c>
      <c r="I73" s="29">
        <f>G72*H73</f>
        <v>78.48</v>
      </c>
      <c r="J73">
        <v>2</v>
      </c>
    </row>
    <row r="74" spans="1:19" x14ac:dyDescent="0.3">
      <c r="A74" s="88" t="s">
        <v>516</v>
      </c>
      <c r="B74" s="98"/>
      <c r="C74" s="98"/>
      <c r="D74" s="98"/>
      <c r="E74" s="98"/>
      <c r="F74" s="98"/>
      <c r="G74" s="98"/>
      <c r="H74" s="38">
        <f>(1+IF(OR(ISERR(FIND(":",G73)),ISERR(FIND("%",G73))),0,MID(G73,FIND(":",G73)+2,FIND("%",G73)-FIND(":",G73)-2)/100))*0</f>
        <v>0</v>
      </c>
      <c r="I74" s="29">
        <f>G72*H74</f>
        <v>0</v>
      </c>
      <c r="J74">
        <v>3</v>
      </c>
      <c r="K74" s="4">
        <v>0</v>
      </c>
      <c r="L74" s="4">
        <v>0</v>
      </c>
      <c r="M74" s="4">
        <f>I74-K74-L74</f>
        <v>0</v>
      </c>
    </row>
    <row r="75" spans="1:19" x14ac:dyDescent="0.3">
      <c r="A75" s="98"/>
      <c r="B75" s="98"/>
      <c r="C75" s="98"/>
      <c r="D75" s="98"/>
      <c r="E75" s="98"/>
      <c r="F75" s="98"/>
      <c r="G75" s="98"/>
      <c r="H75" s="38">
        <f>0</f>
        <v>0</v>
      </c>
      <c r="I75" s="29">
        <f>G72*H75</f>
        <v>0</v>
      </c>
      <c r="J75">
        <v>4</v>
      </c>
      <c r="N75" s="4">
        <f>IF(ISERR(SEARCH("TRA* 82",C72)),IF(Q75+R75+S75=0,0,I75*(Q75/(Q75+R75+S75))),I75)</f>
        <v>0</v>
      </c>
      <c r="O75" s="4">
        <f>IF(ISERR(SEARCH("TRA* 82",C72)),IF(Q75+R75+S75=0,0,I75*(R75/(Q75+R75+S75))),0)</f>
        <v>0</v>
      </c>
      <c r="P75" s="4">
        <f>IF(ISERR(SEARCH("TRA* 82",C72)),I75-N75-O75,0)</f>
        <v>0</v>
      </c>
      <c r="Q75" s="4">
        <v>0</v>
      </c>
      <c r="R75" s="4">
        <v>0</v>
      </c>
      <c r="S75" s="4">
        <v>0</v>
      </c>
    </row>
    <row r="76" spans="1:19" x14ac:dyDescent="0.3">
      <c r="A76" s="100" t="s">
        <v>508</v>
      </c>
      <c r="B76" s="101"/>
      <c r="C76" s="101"/>
      <c r="D76" s="101"/>
      <c r="E76" s="101"/>
      <c r="F76" s="101"/>
      <c r="G76" s="101"/>
      <c r="H76" s="33">
        <f>H72+H73+H74+H75</f>
        <v>231.41000000000003</v>
      </c>
      <c r="I76" s="37">
        <f>I72+I73+I74+I75</f>
        <v>231.41000000000003</v>
      </c>
      <c r="J76">
        <v>5</v>
      </c>
    </row>
    <row r="77" spans="1:19" x14ac:dyDescent="0.3">
      <c r="A77" s="102" t="s">
        <v>517</v>
      </c>
      <c r="B77" s="102"/>
      <c r="C77" s="102"/>
      <c r="D77" s="102"/>
      <c r="E77" s="102"/>
      <c r="F77" s="102"/>
      <c r="G77" s="102"/>
      <c r="H77" s="102"/>
      <c r="I77" s="102"/>
    </row>
    <row r="78" spans="1:19" x14ac:dyDescent="0.3">
      <c r="A78" s="97" t="s">
        <v>518</v>
      </c>
      <c r="B78" s="97"/>
      <c r="C78" s="97"/>
      <c r="D78" s="97"/>
      <c r="E78" s="97"/>
      <c r="F78" s="97"/>
      <c r="G78" s="97"/>
      <c r="H78" s="97"/>
      <c r="I78" s="97"/>
    </row>
    <row r="79" spans="1:19" x14ac:dyDescent="0.3">
      <c r="B79" s="2">
        <v>10</v>
      </c>
      <c r="C79" s="3" t="s">
        <v>519</v>
      </c>
      <c r="D79" s="5" t="s">
        <v>29</v>
      </c>
      <c r="G79" s="30">
        <v>15</v>
      </c>
      <c r="H79" s="38">
        <v>13.73</v>
      </c>
      <c r="I79" s="29">
        <f>G79*H79</f>
        <v>205.95000000000002</v>
      </c>
      <c r="J79">
        <v>1</v>
      </c>
    </row>
    <row r="80" spans="1:19" x14ac:dyDescent="0.3">
      <c r="D80" s="15" t="str">
        <f>SUBSTITUTE("Sp.mat: 0.00%",".",IF(VALUE("1.2")=1.2,".",","),2)</f>
        <v>Sp.mat: 0.00%</v>
      </c>
      <c r="F80" s="15" t="str">
        <f>SUBSTITUTE("Sp.man: 0.00%",".",IF(VALUE("1.2")=1.2,".",","),2)</f>
        <v>Sp.man: 0.00%</v>
      </c>
      <c r="G80" s="35" t="str">
        <f>SUBSTITUTE("Sp.uti: 0.00%",".",IF(VALUE("1.2")=1.2,".",","),2)</f>
        <v>Sp.uti: 0.00%</v>
      </c>
      <c r="H80" s="38">
        <v>48.05</v>
      </c>
      <c r="I80" s="29">
        <f>G79*H80</f>
        <v>720.75</v>
      </c>
      <c r="J80">
        <v>2</v>
      </c>
    </row>
    <row r="81" spans="1:19" x14ac:dyDescent="0.3">
      <c r="A81" s="88" t="s">
        <v>520</v>
      </c>
      <c r="B81" s="98"/>
      <c r="C81" s="98"/>
      <c r="D81" s="98"/>
      <c r="E81" s="98"/>
      <c r="F81" s="98"/>
      <c r="G81" s="98"/>
      <c r="H81" s="38">
        <f>(1+IF(OR(ISERR(FIND(":",G80)),ISERR(FIND("%",G80))),0,MID(G80,FIND(":",G80)+2,FIND("%",G80)-FIND(":",G80)-2)/100))*0</f>
        <v>0</v>
      </c>
      <c r="I81" s="29">
        <f>G79*H81</f>
        <v>0</v>
      </c>
      <c r="J81">
        <v>3</v>
      </c>
      <c r="K81" s="4">
        <v>0</v>
      </c>
      <c r="L81" s="4">
        <v>0</v>
      </c>
      <c r="M81" s="4">
        <f>I81-K81-L81</f>
        <v>0</v>
      </c>
    </row>
    <row r="82" spans="1:19" x14ac:dyDescent="0.3">
      <c r="A82" s="98"/>
      <c r="B82" s="98"/>
      <c r="C82" s="98"/>
      <c r="D82" s="98"/>
      <c r="E82" s="98"/>
      <c r="F82" s="98"/>
      <c r="G82" s="98"/>
      <c r="H82" s="38">
        <f>0</f>
        <v>0</v>
      </c>
      <c r="I82" s="29">
        <f>G79*H82</f>
        <v>0</v>
      </c>
      <c r="J82">
        <v>4</v>
      </c>
      <c r="N82" s="4">
        <f>IF(ISERR(SEARCH("TRA* 82",C79)),IF(Q82+R82+S82=0,0,I82*(Q82/(Q82+R82+S82))),I82)</f>
        <v>0</v>
      </c>
      <c r="O82" s="4">
        <f>IF(ISERR(SEARCH("TRA* 82",C79)),IF(Q82+R82+S82=0,0,I82*(R82/(Q82+R82+S82))),0)</f>
        <v>0</v>
      </c>
      <c r="P82" s="4">
        <f>IF(ISERR(SEARCH("TRA* 82",C79)),I82-N82-O82,0)</f>
        <v>0</v>
      </c>
      <c r="Q82" s="4">
        <v>0</v>
      </c>
      <c r="R82" s="4">
        <v>0</v>
      </c>
      <c r="S82" s="4">
        <v>0</v>
      </c>
    </row>
    <row r="83" spans="1:19" x14ac:dyDescent="0.3">
      <c r="A83" s="100" t="s">
        <v>110</v>
      </c>
      <c r="B83" s="101"/>
      <c r="C83" s="101"/>
      <c r="D83" s="101"/>
      <c r="E83" s="101"/>
      <c r="F83" s="101"/>
      <c r="G83" s="101"/>
      <c r="H83" s="33">
        <f>H79+H80+H81+H82</f>
        <v>61.78</v>
      </c>
      <c r="I83" s="37">
        <f>I79+I80+I81+I82</f>
        <v>926.7</v>
      </c>
      <c r="J83">
        <v>5</v>
      </c>
    </row>
    <row r="84" spans="1:19" x14ac:dyDescent="0.3">
      <c r="A84" s="102" t="s">
        <v>521</v>
      </c>
      <c r="B84" s="102"/>
      <c r="C84" s="102"/>
      <c r="D84" s="102"/>
      <c r="E84" s="102"/>
      <c r="F84" s="102"/>
      <c r="G84" s="102"/>
      <c r="H84" s="102"/>
      <c r="I84" s="102"/>
    </row>
    <row r="85" spans="1:19" x14ac:dyDescent="0.3">
      <c r="A85" s="98" t="s">
        <v>522</v>
      </c>
      <c r="B85" s="98"/>
      <c r="C85" s="98"/>
      <c r="D85" s="98"/>
      <c r="E85" s="98"/>
      <c r="F85" s="98"/>
      <c r="G85" s="98"/>
      <c r="H85" s="98"/>
      <c r="I85" s="98"/>
    </row>
    <row r="86" spans="1:19" x14ac:dyDescent="0.3">
      <c r="A86" s="98" t="s">
        <v>523</v>
      </c>
      <c r="B86" s="98"/>
      <c r="C86" s="98"/>
      <c r="D86" s="98"/>
      <c r="E86" s="98"/>
      <c r="F86" s="98"/>
      <c r="G86" s="98"/>
      <c r="H86" s="98"/>
      <c r="I86" s="98"/>
    </row>
    <row r="87" spans="1:19" x14ac:dyDescent="0.3">
      <c r="A87" s="98" t="s">
        <v>524</v>
      </c>
      <c r="B87" s="98"/>
      <c r="C87" s="98"/>
      <c r="D87" s="98"/>
      <c r="E87" s="98"/>
      <c r="F87" s="98"/>
      <c r="G87" s="98"/>
      <c r="H87" s="98"/>
      <c r="I87" s="98"/>
    </row>
    <row r="88" spans="1:19" x14ac:dyDescent="0.3">
      <c r="A88" s="98" t="s">
        <v>525</v>
      </c>
      <c r="B88" s="98"/>
      <c r="C88" s="98"/>
      <c r="D88" s="98"/>
      <c r="E88" s="98"/>
      <c r="F88" s="98"/>
      <c r="G88" s="98"/>
      <c r="H88" s="98"/>
      <c r="I88" s="98"/>
    </row>
    <row r="89" spans="1:19" x14ac:dyDescent="0.3">
      <c r="A89" s="98" t="s">
        <v>526</v>
      </c>
      <c r="B89" s="98"/>
      <c r="C89" s="98"/>
      <c r="D89" s="98"/>
      <c r="E89" s="98"/>
      <c r="F89" s="98"/>
      <c r="G89" s="98"/>
      <c r="H89" s="98"/>
      <c r="I89" s="98"/>
    </row>
    <row r="90" spans="1:19" x14ac:dyDescent="0.3">
      <c r="A90" s="98" t="s">
        <v>527</v>
      </c>
      <c r="B90" s="98"/>
      <c r="C90" s="98"/>
      <c r="D90" s="98"/>
      <c r="E90" s="98"/>
      <c r="F90" s="98"/>
      <c r="G90" s="98"/>
      <c r="H90" s="98"/>
      <c r="I90" s="98"/>
    </row>
    <row r="91" spans="1:19" x14ac:dyDescent="0.3">
      <c r="A91" s="98" t="s">
        <v>528</v>
      </c>
      <c r="B91" s="98"/>
      <c r="C91" s="98"/>
      <c r="D91" s="98"/>
      <c r="E91" s="98"/>
      <c r="F91" s="98"/>
      <c r="G91" s="98"/>
      <c r="H91" s="98"/>
      <c r="I91" s="98"/>
    </row>
    <row r="92" spans="1:19" x14ac:dyDescent="0.3">
      <c r="A92" s="98" t="s">
        <v>529</v>
      </c>
      <c r="B92" s="98"/>
      <c r="C92" s="98"/>
      <c r="D92" s="98"/>
      <c r="E92" s="98"/>
      <c r="F92" s="98"/>
      <c r="G92" s="98"/>
      <c r="H92" s="98"/>
      <c r="I92" s="98"/>
    </row>
    <row r="93" spans="1:19" x14ac:dyDescent="0.3">
      <c r="A93" s="98" t="s">
        <v>530</v>
      </c>
      <c r="B93" s="98"/>
      <c r="C93" s="98"/>
      <c r="D93" s="98"/>
      <c r="E93" s="98"/>
      <c r="F93" s="98"/>
      <c r="G93" s="98"/>
      <c r="H93" s="98"/>
      <c r="I93" s="98"/>
    </row>
    <row r="94" spans="1:19" x14ac:dyDescent="0.3">
      <c r="A94" s="98" t="s">
        <v>531</v>
      </c>
      <c r="B94" s="98"/>
      <c r="C94" s="98"/>
      <c r="D94" s="98"/>
      <c r="E94" s="98"/>
      <c r="F94" s="98"/>
      <c r="G94" s="98"/>
      <c r="H94" s="98"/>
      <c r="I94" s="98"/>
    </row>
    <row r="95" spans="1:19" x14ac:dyDescent="0.3">
      <c r="A95" s="98" t="s">
        <v>532</v>
      </c>
      <c r="B95" s="98"/>
      <c r="C95" s="98"/>
      <c r="D95" s="98"/>
      <c r="E95" s="98"/>
      <c r="F95" s="98"/>
      <c r="G95" s="98"/>
      <c r="H95" s="98"/>
      <c r="I95" s="98"/>
    </row>
    <row r="96" spans="1:19" x14ac:dyDescent="0.3">
      <c r="A96" s="98" t="s">
        <v>533</v>
      </c>
      <c r="B96" s="98"/>
      <c r="C96" s="98"/>
      <c r="D96" s="98"/>
      <c r="E96" s="98"/>
      <c r="F96" s="98"/>
      <c r="G96" s="98"/>
      <c r="H96" s="98"/>
      <c r="I96" s="98"/>
    </row>
    <row r="97" spans="1:9" x14ac:dyDescent="0.3">
      <c r="A97" s="98" t="s">
        <v>534</v>
      </c>
      <c r="B97" s="98"/>
      <c r="C97" s="98"/>
      <c r="D97" s="98"/>
      <c r="E97" s="98"/>
      <c r="F97" s="98"/>
      <c r="G97" s="98"/>
      <c r="H97" s="98"/>
      <c r="I97" s="98"/>
    </row>
    <row r="98" spans="1:9" x14ac:dyDescent="0.3">
      <c r="A98" s="98" t="s">
        <v>535</v>
      </c>
      <c r="B98" s="98"/>
      <c r="C98" s="98"/>
      <c r="D98" s="98"/>
      <c r="E98" s="98"/>
      <c r="F98" s="98"/>
      <c r="G98" s="98"/>
      <c r="H98" s="98"/>
      <c r="I98" s="98"/>
    </row>
    <row r="99" spans="1:9" x14ac:dyDescent="0.3">
      <c r="A99" s="98" t="s">
        <v>536</v>
      </c>
      <c r="B99" s="98"/>
      <c r="C99" s="98"/>
      <c r="D99" s="98"/>
      <c r="E99" s="98"/>
      <c r="F99" s="98"/>
      <c r="G99" s="98"/>
      <c r="H99" s="98"/>
      <c r="I99" s="98"/>
    </row>
    <row r="100" spans="1:9" x14ac:dyDescent="0.3">
      <c r="A100" s="98" t="s">
        <v>537</v>
      </c>
      <c r="B100" s="98"/>
      <c r="C100" s="98"/>
      <c r="D100" s="98"/>
      <c r="E100" s="98"/>
      <c r="F100" s="98"/>
      <c r="G100" s="98"/>
      <c r="H100" s="98"/>
      <c r="I100" s="98"/>
    </row>
    <row r="101" spans="1:9" x14ac:dyDescent="0.3">
      <c r="A101" s="98" t="s">
        <v>538</v>
      </c>
      <c r="B101" s="98"/>
      <c r="C101" s="98"/>
      <c r="D101" s="98"/>
      <c r="E101" s="98"/>
      <c r="F101" s="98"/>
      <c r="G101" s="98"/>
      <c r="H101" s="98"/>
      <c r="I101" s="98"/>
    </row>
    <row r="102" spans="1:9" x14ac:dyDescent="0.3">
      <c r="A102" s="98" t="s">
        <v>539</v>
      </c>
      <c r="B102" s="98"/>
      <c r="C102" s="98"/>
      <c r="D102" s="98"/>
      <c r="E102" s="98"/>
      <c r="F102" s="98"/>
      <c r="G102" s="98"/>
      <c r="H102" s="98"/>
      <c r="I102" s="98"/>
    </row>
    <row r="103" spans="1:9" x14ac:dyDescent="0.3">
      <c r="A103" s="98" t="s">
        <v>540</v>
      </c>
      <c r="B103" s="98"/>
      <c r="C103" s="98"/>
      <c r="D103" s="98"/>
      <c r="E103" s="98"/>
      <c r="F103" s="98"/>
      <c r="G103" s="98"/>
      <c r="H103" s="98"/>
      <c r="I103" s="98"/>
    </row>
    <row r="104" spans="1:9" x14ac:dyDescent="0.3">
      <c r="A104" s="98" t="s">
        <v>541</v>
      </c>
      <c r="B104" s="98"/>
      <c r="C104" s="98"/>
      <c r="D104" s="98"/>
      <c r="E104" s="98"/>
      <c r="F104" s="98"/>
      <c r="G104" s="98"/>
      <c r="H104" s="98"/>
      <c r="I104" s="98"/>
    </row>
    <row r="105" spans="1:9" x14ac:dyDescent="0.3">
      <c r="A105" s="98" t="s">
        <v>542</v>
      </c>
      <c r="B105" s="98"/>
      <c r="C105" s="98"/>
      <c r="D105" s="98"/>
      <c r="E105" s="98"/>
      <c r="F105" s="98"/>
      <c r="G105" s="98"/>
      <c r="H105" s="98"/>
      <c r="I105" s="98"/>
    </row>
    <row r="106" spans="1:9" x14ac:dyDescent="0.3">
      <c r="A106" s="98" t="s">
        <v>543</v>
      </c>
      <c r="B106" s="98"/>
      <c r="C106" s="98"/>
      <c r="D106" s="98"/>
      <c r="E106" s="98"/>
      <c r="F106" s="98"/>
      <c r="G106" s="98"/>
      <c r="H106" s="98"/>
      <c r="I106" s="98"/>
    </row>
    <row r="107" spans="1:9" x14ac:dyDescent="0.3">
      <c r="A107" s="98" t="s">
        <v>540</v>
      </c>
      <c r="B107" s="98"/>
      <c r="C107" s="98"/>
      <c r="D107" s="98"/>
      <c r="E107" s="98"/>
      <c r="F107" s="98"/>
      <c r="G107" s="98"/>
      <c r="H107" s="98"/>
      <c r="I107" s="98"/>
    </row>
    <row r="108" spans="1:9" x14ac:dyDescent="0.3">
      <c r="A108" s="98" t="s">
        <v>544</v>
      </c>
      <c r="B108" s="98"/>
      <c r="C108" s="98"/>
      <c r="D108" s="98"/>
      <c r="E108" s="98"/>
      <c r="F108" s="98"/>
      <c r="G108" s="98"/>
      <c r="H108" s="98"/>
      <c r="I108" s="98"/>
    </row>
    <row r="109" spans="1:9" x14ac:dyDescent="0.3">
      <c r="A109" s="98" t="s">
        <v>545</v>
      </c>
      <c r="B109" s="98"/>
      <c r="C109" s="98"/>
      <c r="D109" s="98"/>
      <c r="E109" s="98"/>
      <c r="F109" s="98"/>
      <c r="G109" s="98"/>
      <c r="H109" s="98"/>
      <c r="I109" s="98"/>
    </row>
    <row r="110" spans="1:9" x14ac:dyDescent="0.3">
      <c r="A110" s="98" t="s">
        <v>546</v>
      </c>
      <c r="B110" s="98"/>
      <c r="C110" s="98"/>
      <c r="D110" s="98"/>
      <c r="E110" s="98"/>
      <c r="F110" s="98"/>
      <c r="G110" s="98"/>
      <c r="H110" s="98"/>
      <c r="I110" s="98"/>
    </row>
    <row r="111" spans="1:9" x14ac:dyDescent="0.3">
      <c r="A111" s="98" t="s">
        <v>547</v>
      </c>
      <c r="B111" s="98"/>
      <c r="C111" s="98"/>
      <c r="D111" s="98"/>
      <c r="E111" s="98"/>
      <c r="F111" s="98"/>
      <c r="G111" s="98"/>
      <c r="H111" s="98"/>
      <c r="I111" s="98"/>
    </row>
    <row r="112" spans="1:9" x14ac:dyDescent="0.3">
      <c r="A112" s="98" t="s">
        <v>541</v>
      </c>
      <c r="B112" s="98"/>
      <c r="C112" s="98"/>
      <c r="D112" s="98"/>
      <c r="E112" s="98"/>
      <c r="F112" s="98"/>
      <c r="G112" s="98"/>
      <c r="H112" s="98"/>
      <c r="I112" s="98"/>
    </row>
    <row r="113" spans="1:19" x14ac:dyDescent="0.3">
      <c r="A113" s="98" t="s">
        <v>548</v>
      </c>
      <c r="B113" s="98"/>
      <c r="C113" s="98"/>
      <c r="D113" s="98"/>
      <c r="E113" s="98"/>
      <c r="F113" s="98"/>
      <c r="G113" s="98"/>
      <c r="H113" s="98"/>
      <c r="I113" s="98"/>
    </row>
    <row r="114" spans="1:19" x14ac:dyDescent="0.3">
      <c r="A114" s="98" t="s">
        <v>549</v>
      </c>
      <c r="B114" s="98"/>
      <c r="C114" s="98"/>
      <c r="D114" s="98"/>
      <c r="E114" s="98"/>
      <c r="F114" s="98"/>
      <c r="G114" s="98"/>
      <c r="H114" s="98"/>
      <c r="I114" s="98"/>
    </row>
    <row r="115" spans="1:19" x14ac:dyDescent="0.3">
      <c r="A115" s="98" t="s">
        <v>550</v>
      </c>
      <c r="B115" s="98"/>
      <c r="C115" s="98"/>
      <c r="D115" s="98"/>
      <c r="E115" s="98"/>
      <c r="F115" s="98"/>
      <c r="G115" s="98"/>
      <c r="H115" s="98"/>
      <c r="I115" s="98"/>
    </row>
    <row r="116" spans="1:19" x14ac:dyDescent="0.3">
      <c r="A116" s="98" t="s">
        <v>544</v>
      </c>
      <c r="B116" s="98"/>
      <c r="C116" s="98"/>
      <c r="D116" s="98"/>
      <c r="E116" s="98"/>
      <c r="F116" s="98"/>
      <c r="G116" s="98"/>
      <c r="H116" s="98"/>
      <c r="I116" s="98"/>
    </row>
    <row r="117" spans="1:19" x14ac:dyDescent="0.3">
      <c r="A117" s="98" t="s">
        <v>551</v>
      </c>
      <c r="B117" s="98"/>
      <c r="C117" s="98"/>
      <c r="D117" s="98"/>
      <c r="E117" s="98"/>
      <c r="F117" s="98"/>
      <c r="G117" s="98"/>
      <c r="H117" s="98"/>
      <c r="I117" s="98"/>
    </row>
    <row r="118" spans="1:19" x14ac:dyDescent="0.3">
      <c r="A118" s="98" t="s">
        <v>552</v>
      </c>
      <c r="B118" s="98"/>
      <c r="C118" s="98"/>
      <c r="D118" s="98"/>
      <c r="E118" s="98"/>
      <c r="F118" s="98"/>
      <c r="G118" s="98"/>
      <c r="H118" s="98"/>
      <c r="I118" s="98"/>
    </row>
    <row r="119" spans="1:19" x14ac:dyDescent="0.3">
      <c r="A119" s="98" t="s">
        <v>553</v>
      </c>
      <c r="B119" s="98"/>
      <c r="C119" s="98"/>
      <c r="D119" s="98"/>
      <c r="E119" s="98"/>
      <c r="F119" s="98"/>
      <c r="G119" s="98"/>
      <c r="H119" s="98"/>
      <c r="I119" s="98"/>
    </row>
    <row r="120" spans="1:19" x14ac:dyDescent="0.3">
      <c r="A120" s="98" t="s">
        <v>554</v>
      </c>
      <c r="B120" s="98"/>
      <c r="C120" s="98"/>
      <c r="D120" s="98"/>
      <c r="E120" s="98"/>
      <c r="F120" s="98"/>
      <c r="G120" s="98"/>
      <c r="H120" s="98"/>
      <c r="I120" s="98"/>
    </row>
    <row r="121" spans="1:19" x14ac:dyDescent="0.3">
      <c r="A121" s="98" t="s">
        <v>555</v>
      </c>
      <c r="B121" s="98"/>
      <c r="C121" s="98"/>
      <c r="D121" s="98"/>
      <c r="E121" s="98"/>
      <c r="F121" s="98"/>
      <c r="G121" s="98"/>
      <c r="H121" s="98"/>
      <c r="I121" s="98"/>
    </row>
    <row r="122" spans="1:19" x14ac:dyDescent="0.3">
      <c r="A122" s="98" t="s">
        <v>556</v>
      </c>
      <c r="B122" s="98"/>
      <c r="C122" s="98"/>
      <c r="D122" s="98"/>
      <c r="E122" s="98"/>
      <c r="F122" s="98"/>
      <c r="G122" s="98"/>
      <c r="H122" s="98"/>
      <c r="I122" s="98"/>
    </row>
    <row r="123" spans="1:19" x14ac:dyDescent="0.3">
      <c r="A123" s="97" t="s">
        <v>557</v>
      </c>
      <c r="B123" s="97"/>
      <c r="C123" s="97"/>
      <c r="D123" s="97"/>
      <c r="E123" s="97"/>
      <c r="F123" s="97"/>
      <c r="G123" s="97"/>
      <c r="H123" s="97"/>
      <c r="I123" s="97"/>
    </row>
    <row r="124" spans="1:19" x14ac:dyDescent="0.3">
      <c r="B124" s="2">
        <v>11</v>
      </c>
      <c r="C124" s="3" t="s">
        <v>558</v>
      </c>
      <c r="D124" s="5" t="s">
        <v>29</v>
      </c>
      <c r="G124" s="30">
        <v>1</v>
      </c>
      <c r="H124" s="38">
        <v>22.93</v>
      </c>
      <c r="I124" s="29">
        <f>G124*H124</f>
        <v>22.93</v>
      </c>
      <c r="J124">
        <v>1</v>
      </c>
    </row>
    <row r="125" spans="1:19" x14ac:dyDescent="0.3">
      <c r="D125" s="15" t="str">
        <f>SUBSTITUTE("Sp.mat: 0.00%",".",IF(VALUE("1.2")=1.2,".",","),2)</f>
        <v>Sp.mat: 0.00%</v>
      </c>
      <c r="F125" s="15" t="str">
        <f>SUBSTITUTE("Sp.man: 0.00%",".",IF(VALUE("1.2")=1.2,".",","),2)</f>
        <v>Sp.man: 0.00%</v>
      </c>
      <c r="G125" s="35" t="str">
        <f>SUBSTITUTE("Sp.uti: 0.00%",".",IF(VALUE("1.2")=1.2,".",","),2)</f>
        <v>Sp.uti: 0.00%</v>
      </c>
      <c r="H125" s="38">
        <v>56.06</v>
      </c>
      <c r="I125" s="29">
        <f>G124*H125</f>
        <v>56.06</v>
      </c>
      <c r="J125">
        <v>2</v>
      </c>
    </row>
    <row r="126" spans="1:19" x14ac:dyDescent="0.3">
      <c r="A126" s="88" t="s">
        <v>559</v>
      </c>
      <c r="B126" s="98"/>
      <c r="C126" s="98"/>
      <c r="D126" s="98"/>
      <c r="E126" s="98"/>
      <c r="F126" s="98"/>
      <c r="G126" s="98"/>
      <c r="H126" s="38">
        <f>(1+IF(OR(ISERR(FIND(":",G125)),ISERR(FIND("%",G125))),0,MID(G125,FIND(":",G125)+2,FIND("%",G125)-FIND(":",G125)-2)/100))*0.228</f>
        <v>0.22800000000000001</v>
      </c>
      <c r="I126" s="29">
        <f>G124*H126</f>
        <v>0.22800000000000001</v>
      </c>
      <c r="J126">
        <v>3</v>
      </c>
      <c r="K126" s="4">
        <v>0</v>
      </c>
      <c r="L126" s="4">
        <v>0</v>
      </c>
      <c r="M126" s="4">
        <f>I126-K126-L126</f>
        <v>0.22800000000000001</v>
      </c>
    </row>
    <row r="127" spans="1:19" x14ac:dyDescent="0.3">
      <c r="A127" s="98"/>
      <c r="B127" s="98"/>
      <c r="C127" s="98"/>
      <c r="D127" s="98"/>
      <c r="E127" s="98"/>
      <c r="F127" s="98"/>
      <c r="G127" s="98"/>
      <c r="H127" s="38">
        <f>0</f>
        <v>0</v>
      </c>
      <c r="I127" s="29">
        <f>G124*H127</f>
        <v>0</v>
      </c>
      <c r="J127">
        <v>4</v>
      </c>
      <c r="N127" s="4">
        <f>IF(ISERR(SEARCH("TRA* 82",C124)),IF(Q127+R127+S127=0,0,I127*(Q127/(Q127+R127+S127))),I127)</f>
        <v>0</v>
      </c>
      <c r="O127" s="4">
        <f>IF(ISERR(SEARCH("TRA* 82",C124)),IF(Q127+R127+S127=0,0,I127*(R127/(Q127+R127+S127))),0)</f>
        <v>0</v>
      </c>
      <c r="P127" s="4">
        <f>IF(ISERR(SEARCH("TRA* 82",C124)),I127-N127-O127,0)</f>
        <v>0</v>
      </c>
      <c r="Q127" s="4">
        <v>0</v>
      </c>
      <c r="R127" s="4">
        <v>0</v>
      </c>
      <c r="S127" s="4">
        <v>0</v>
      </c>
    </row>
    <row r="128" spans="1:19" x14ac:dyDescent="0.3">
      <c r="A128" s="100" t="s">
        <v>110</v>
      </c>
      <c r="B128" s="101"/>
      <c r="C128" s="101"/>
      <c r="D128" s="101"/>
      <c r="E128" s="101"/>
      <c r="F128" s="101"/>
      <c r="G128" s="101"/>
      <c r="H128" s="33">
        <f>H124+H125+H126+H127</f>
        <v>79.218000000000004</v>
      </c>
      <c r="I128" s="37">
        <f>I124+I125+I126+I127</f>
        <v>79.218000000000004</v>
      </c>
      <c r="J128">
        <v>5</v>
      </c>
    </row>
    <row r="129" spans="1:19" x14ac:dyDescent="0.3">
      <c r="A129" s="99" t="s">
        <v>560</v>
      </c>
      <c r="B129" s="99"/>
      <c r="C129" s="99"/>
      <c r="D129" s="99"/>
      <c r="E129" s="99"/>
      <c r="F129" s="99"/>
      <c r="G129" s="99"/>
      <c r="H129" s="99"/>
      <c r="I129" s="99"/>
    </row>
    <row r="130" spans="1:19" x14ac:dyDescent="0.3">
      <c r="B130" s="16"/>
      <c r="E130" s="4">
        <f>SUMIF(J12:J128,"1",I12:I128)</f>
        <v>1755.3100000000002</v>
      </c>
      <c r="F130" s="4">
        <f>SUMIF(J12:J128,"2",I12:I128)</f>
        <v>4885.6400000000003</v>
      </c>
      <c r="G130" s="29">
        <f>SUMIF(J12:J128,"3",I12:I128)</f>
        <v>543.70799999999986</v>
      </c>
      <c r="H130" s="29">
        <f>SUMIF(J12:J128,"4",I12:I128)</f>
        <v>0</v>
      </c>
      <c r="I130" s="29">
        <f>SUMIF(J12:J128,"5",I12:I128)</f>
        <v>7184.6579999999994</v>
      </c>
      <c r="K130" s="4">
        <f>SUMIF(J12:J128,"3",K12:K128)</f>
        <v>975</v>
      </c>
      <c r="L130" s="4">
        <f>SUMIF(J12:J128,"3",L12:L128)</f>
        <v>0.129</v>
      </c>
      <c r="M130" s="4">
        <f>SUMIF(J12:J128,"3",M12:M128)</f>
        <v>-431.42099999999999</v>
      </c>
      <c r="N130" s="4">
        <f>SUMIF(J12:J128,"4",N12:N128)</f>
        <v>0</v>
      </c>
      <c r="O130" s="4">
        <f>SUMIF(J12:J128,"4",O12:O128)</f>
        <v>0</v>
      </c>
      <c r="P130" s="4">
        <f>SUMIF(J12:J128,"4",P12:P128)</f>
        <v>0</v>
      </c>
      <c r="Q130" s="4">
        <f>SUMIF(J12:J128,"4",Q12:Q128)</f>
        <v>0</v>
      </c>
      <c r="R130" s="4">
        <f>SUMIF(J12:J128,"4",R12:R128)</f>
        <v>0</v>
      </c>
      <c r="S130" s="4">
        <f>SUMIF(J12:J128,"4",S12:S128)</f>
        <v>0</v>
      </c>
    </row>
    <row r="131" spans="1:19" x14ac:dyDescent="0.3">
      <c r="B131" s="107" t="s">
        <v>1554</v>
      </c>
      <c r="C131" s="108"/>
      <c r="D131" s="26"/>
      <c r="E131" s="26"/>
      <c r="F131" s="26"/>
      <c r="G131" s="109"/>
      <c r="H131" s="36"/>
      <c r="I131" s="110">
        <f>I130</f>
        <v>7184.6579999999994</v>
      </c>
    </row>
  </sheetData>
  <mergeCells count="90">
    <mergeCell ref="A14:G15"/>
    <mergeCell ref="A1:D1"/>
    <mergeCell ref="A2:I2"/>
    <mergeCell ref="A3:I3"/>
    <mergeCell ref="A4:I4"/>
    <mergeCell ref="A5:H5"/>
    <mergeCell ref="A36:I36"/>
    <mergeCell ref="A16:G16"/>
    <mergeCell ref="A17:I17"/>
    <mergeCell ref="A18:I18"/>
    <mergeCell ref="A21:G22"/>
    <mergeCell ref="A23:G23"/>
    <mergeCell ref="A24:I24"/>
    <mergeCell ref="A27:G28"/>
    <mergeCell ref="A29:G29"/>
    <mergeCell ref="A30:I30"/>
    <mergeCell ref="A33:G34"/>
    <mergeCell ref="A35:G35"/>
    <mergeCell ref="A57:I57"/>
    <mergeCell ref="A39:G40"/>
    <mergeCell ref="A41:G41"/>
    <mergeCell ref="A42:I42"/>
    <mergeCell ref="A43:I43"/>
    <mergeCell ref="A46:G47"/>
    <mergeCell ref="A48:G48"/>
    <mergeCell ref="A49:I49"/>
    <mergeCell ref="A50:I50"/>
    <mergeCell ref="A51:I51"/>
    <mergeCell ref="A54:G55"/>
    <mergeCell ref="A56:G56"/>
    <mergeCell ref="A74:G75"/>
    <mergeCell ref="A58:I58"/>
    <mergeCell ref="A59:I59"/>
    <mergeCell ref="A60:I60"/>
    <mergeCell ref="A63:G64"/>
    <mergeCell ref="A65:G65"/>
    <mergeCell ref="A66:I66"/>
    <mergeCell ref="A67:I67"/>
    <mergeCell ref="A68:I68"/>
    <mergeCell ref="A69:I69"/>
    <mergeCell ref="A70:I70"/>
    <mergeCell ref="A71:I71"/>
    <mergeCell ref="A90:I90"/>
    <mergeCell ref="A76:G76"/>
    <mergeCell ref="A77:I77"/>
    <mergeCell ref="A78:I78"/>
    <mergeCell ref="A81:G82"/>
    <mergeCell ref="A83:G83"/>
    <mergeCell ref="A84:I84"/>
    <mergeCell ref="A85:I85"/>
    <mergeCell ref="A86:I86"/>
    <mergeCell ref="A87:I87"/>
    <mergeCell ref="A88:I88"/>
    <mergeCell ref="A89:I89"/>
    <mergeCell ref="A102:I102"/>
    <mergeCell ref="A91:I91"/>
    <mergeCell ref="A92:I92"/>
    <mergeCell ref="A93:I93"/>
    <mergeCell ref="A94:I94"/>
    <mergeCell ref="A95:I95"/>
    <mergeCell ref="A96:I96"/>
    <mergeCell ref="A97:I97"/>
    <mergeCell ref="A98:I98"/>
    <mergeCell ref="A99:I99"/>
    <mergeCell ref="A100:I100"/>
    <mergeCell ref="A101:I101"/>
    <mergeCell ref="A114:I114"/>
    <mergeCell ref="A103:I103"/>
    <mergeCell ref="A104:I104"/>
    <mergeCell ref="A105:I105"/>
    <mergeCell ref="A106:I106"/>
    <mergeCell ref="A107:I107"/>
    <mergeCell ref="A108:I108"/>
    <mergeCell ref="A109:I109"/>
    <mergeCell ref="A110:I110"/>
    <mergeCell ref="A111:I111"/>
    <mergeCell ref="A112:I112"/>
    <mergeCell ref="A113:I113"/>
    <mergeCell ref="A129:I129"/>
    <mergeCell ref="A115:I115"/>
    <mergeCell ref="A116:I116"/>
    <mergeCell ref="A117:I117"/>
    <mergeCell ref="A118:I118"/>
    <mergeCell ref="A119:I119"/>
    <mergeCell ref="A120:I120"/>
    <mergeCell ref="A121:I121"/>
    <mergeCell ref="A122:I122"/>
    <mergeCell ref="A123:I123"/>
    <mergeCell ref="A126:G127"/>
    <mergeCell ref="A128:G128"/>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3" manualBreakCount="3">
    <brk id="43" max="16383" man="1"/>
    <brk id="123" max="16383" man="1"/>
    <brk id="129"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4815A-EF6A-422F-87C5-352058371713}">
  <sheetPr>
    <tabColor rgb="FF92D050"/>
  </sheetPr>
  <dimension ref="A1:T383"/>
  <sheetViews>
    <sheetView topLeftCell="A373" workbookViewId="0">
      <selection activeCell="F18" sqref="F18"/>
    </sheetView>
  </sheetViews>
  <sheetFormatPr defaultRowHeight="14.4" outlineLevelCol="1" x14ac:dyDescent="0.3"/>
  <cols>
    <col min="1" max="1" width="0.33203125" style="1" customWidth="1"/>
    <col min="2" max="2" width="5.77734375" style="2" customWidth="1"/>
    <col min="3" max="3" width="25.33203125" style="3" customWidth="1"/>
    <col min="4" max="4" width="14.5546875" style="5" customWidth="1"/>
    <col min="5" max="5" width="14.5546875" customWidth="1"/>
    <col min="7" max="7" width="15.77734375" style="30" customWidth="1"/>
    <col min="8" max="8" width="14.5546875" style="38" customWidth="1"/>
    <col min="9" max="9" width="14.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84</v>
      </c>
      <c r="B4" s="98"/>
      <c r="C4" s="98"/>
      <c r="D4" s="98"/>
      <c r="E4" s="98"/>
      <c r="F4" s="98"/>
      <c r="G4" s="98"/>
      <c r="H4" s="98"/>
      <c r="I4" s="98"/>
    </row>
    <row r="5" spans="1:19" ht="15" thickBot="1" x14ac:dyDescent="0.35">
      <c r="A5" s="82" t="s">
        <v>561</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562</v>
      </c>
      <c r="D12" s="13" t="s">
        <v>25</v>
      </c>
      <c r="E12" s="14"/>
      <c r="F12" s="14"/>
      <c r="G12" s="41">
        <v>1600</v>
      </c>
      <c r="H12" s="71">
        <f>2701.19/G12</f>
        <v>1.68824375</v>
      </c>
      <c r="I12" s="32">
        <f>G12*H12</f>
        <v>2701.19</v>
      </c>
      <c r="J12">
        <v>1</v>
      </c>
    </row>
    <row r="13" spans="1:19" x14ac:dyDescent="0.3">
      <c r="D13" s="15" t="str">
        <f>SUBSTITUTE("Sp.mat: 0.00%",".",IF(VALUE("1.2")=1.2,".",","),2)</f>
        <v>Sp.mat: 0.00%</v>
      </c>
      <c r="F13" s="15" t="str">
        <f>SUBSTITUTE("Sp.man: 0.00%",".",IF(VALUE("1.2")=1.2,".",","),2)</f>
        <v>Sp.man: 0.00%</v>
      </c>
      <c r="G13" s="35" t="str">
        <f>SUBSTITUTE("Sp.uti: 0.00%",".",IF(VALUE("1.2")=1.2,".",","),2)</f>
        <v>Sp.uti: 0.00%</v>
      </c>
      <c r="H13" s="38">
        <f>7688.16/G12</f>
        <v>4.8050999999999995</v>
      </c>
      <c r="I13" s="29">
        <f>G12*H13</f>
        <v>7688.1599999999989</v>
      </c>
      <c r="J13">
        <v>2</v>
      </c>
    </row>
    <row r="14" spans="1:19" x14ac:dyDescent="0.3">
      <c r="A14" s="88" t="s">
        <v>563</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27</v>
      </c>
      <c r="B16" s="101"/>
      <c r="C16" s="101"/>
      <c r="D16" s="101"/>
      <c r="E16" s="101"/>
      <c r="F16" s="101"/>
      <c r="G16" s="101"/>
      <c r="H16" s="33">
        <f>H12+H13+H14+H15</f>
        <v>6.4933437499999993</v>
      </c>
      <c r="I16" s="37">
        <f>I12+I13+I14+I15</f>
        <v>10389.349999999999</v>
      </c>
      <c r="J16">
        <v>5</v>
      </c>
    </row>
    <row r="17" spans="1:19" x14ac:dyDescent="0.3">
      <c r="A17" s="99" t="s">
        <v>564</v>
      </c>
      <c r="B17" s="99"/>
      <c r="C17" s="99"/>
      <c r="D17" s="99"/>
      <c r="E17" s="99"/>
      <c r="F17" s="99"/>
      <c r="G17" s="99"/>
      <c r="H17" s="99"/>
      <c r="I17" s="99"/>
    </row>
    <row r="18" spans="1:19" x14ac:dyDescent="0.3">
      <c r="B18" s="2">
        <v>2</v>
      </c>
      <c r="C18" s="3" t="s">
        <v>238</v>
      </c>
      <c r="D18" s="5" t="s">
        <v>25</v>
      </c>
      <c r="G18" s="30">
        <v>1600</v>
      </c>
      <c r="H18" s="38">
        <f>420.03/G18</f>
        <v>0.26251874999999997</v>
      </c>
      <c r="I18" s="29">
        <f>G18*H18</f>
        <v>420.03</v>
      </c>
      <c r="J18">
        <v>1</v>
      </c>
    </row>
    <row r="19" spans="1:19" x14ac:dyDescent="0.3">
      <c r="D19" s="15" t="str">
        <f>SUBSTITUTE("Sp.mat: 0.00%",".",IF(VALUE("1.2")=1.2,".",","),2)</f>
        <v>Sp.mat: 0.00%</v>
      </c>
      <c r="F19" s="15" t="str">
        <f>SUBSTITUTE("Sp.man: 0.00%",".",IF(VALUE("1.2")=1.2,".",","),2)</f>
        <v>Sp.man: 0.00%</v>
      </c>
      <c r="G19" s="35" t="str">
        <f>SUBSTITUTE("Sp.uti: 0.00%",".",IF(VALUE("1.2")=1.2,".",","),2)</f>
        <v>Sp.uti: 0.00%</v>
      </c>
      <c r="H19" s="38">
        <f>3075.26/G18</f>
        <v>1.9220375000000001</v>
      </c>
      <c r="I19" s="29">
        <f>G18*H19</f>
        <v>3075.26</v>
      </c>
      <c r="J19">
        <v>2</v>
      </c>
    </row>
    <row r="20" spans="1:19" x14ac:dyDescent="0.3">
      <c r="A20" s="88" t="s">
        <v>239</v>
      </c>
      <c r="B20" s="98"/>
      <c r="C20" s="98"/>
      <c r="D20" s="98"/>
      <c r="E20" s="98"/>
      <c r="F20" s="98"/>
      <c r="G20" s="98"/>
      <c r="H20" s="38">
        <f>49.97/G18</f>
        <v>3.1231249999999999E-2</v>
      </c>
      <c r="I20" s="29">
        <f>G18*H20</f>
        <v>49.97</v>
      </c>
      <c r="J20">
        <v>3</v>
      </c>
      <c r="K20" s="4">
        <v>0</v>
      </c>
      <c r="L20" s="4">
        <v>0</v>
      </c>
      <c r="M20" s="4">
        <f>I20-K20-L20</f>
        <v>49.97</v>
      </c>
    </row>
    <row r="21" spans="1:19" x14ac:dyDescent="0.3">
      <c r="A21" s="98"/>
      <c r="B21" s="98"/>
      <c r="C21" s="98"/>
      <c r="D21" s="98"/>
      <c r="E21" s="98"/>
      <c r="F21" s="98"/>
      <c r="G21" s="98"/>
      <c r="H21" s="38">
        <f>0</f>
        <v>0</v>
      </c>
      <c r="I21" s="29">
        <f>G18*H21</f>
        <v>0</v>
      </c>
      <c r="J21">
        <v>4</v>
      </c>
      <c r="N21" s="4">
        <f>IF(ISERR(SEARCH("TRA* 82",C18)),IF(Q21+R21+S21=0,0,I21*(Q21/(Q21+R21+S21))),I21)</f>
        <v>0</v>
      </c>
      <c r="O21" s="4">
        <f>IF(ISERR(SEARCH("TRA* 82",C18)),IF(Q21+R21+S21=0,0,I21*(R21/(Q21+R21+S21))),0)</f>
        <v>0</v>
      </c>
      <c r="P21" s="4">
        <f>IF(ISERR(SEARCH("TRA* 82",C18)),I21-N21-O21,0)</f>
        <v>0</v>
      </c>
      <c r="Q21" s="4">
        <v>0</v>
      </c>
      <c r="R21" s="4">
        <v>0</v>
      </c>
      <c r="S21" s="4">
        <v>0</v>
      </c>
    </row>
    <row r="22" spans="1:19" x14ac:dyDescent="0.3">
      <c r="A22" s="96" t="s">
        <v>240</v>
      </c>
      <c r="B22" s="97"/>
      <c r="C22" s="97"/>
      <c r="D22" s="97"/>
      <c r="E22" s="97"/>
      <c r="F22" s="97"/>
      <c r="G22" s="97"/>
      <c r="H22" s="36">
        <f>H18+H19+H20+H21</f>
        <v>2.2157874999999998</v>
      </c>
      <c r="I22" s="74">
        <f>I18+I19+I20+I21</f>
        <v>3545.2599999999998</v>
      </c>
      <c r="J22">
        <v>5</v>
      </c>
    </row>
    <row r="23" spans="1:19" x14ac:dyDescent="0.3">
      <c r="B23" s="2">
        <v>3</v>
      </c>
      <c r="C23" s="3" t="s">
        <v>565</v>
      </c>
      <c r="D23" s="5" t="s">
        <v>25</v>
      </c>
      <c r="G23" s="30">
        <v>1600</v>
      </c>
      <c r="H23" s="38">
        <f>1849.43/G23</f>
        <v>1.1558937499999999</v>
      </c>
      <c r="I23" s="29">
        <f>G23*H23</f>
        <v>1849.4299999999998</v>
      </c>
      <c r="J23">
        <v>1</v>
      </c>
    </row>
    <row r="24" spans="1:19" x14ac:dyDescent="0.3">
      <c r="D24" s="15" t="str">
        <f>SUBSTITUTE("Sp.mat: 0.00%",".",IF(VALUE("1.2")=1.2,".",","),2)</f>
        <v>Sp.mat: 0.00%</v>
      </c>
      <c r="F24" s="15" t="str">
        <f>SUBSTITUTE("Sp.man: 0.00%",".",IF(VALUE("1.2")=1.2,".",","),2)</f>
        <v>Sp.man: 0.00%</v>
      </c>
      <c r="G24" s="35" t="str">
        <f>SUBSTITUTE("Sp.uti: 0.00%",".",IF(VALUE("1.2")=1.2,".",","),2)</f>
        <v>Sp.uti: 0.00%</v>
      </c>
      <c r="H24" s="38">
        <f>(1+IF(OR(ISERR(FIND(":",F24)),ISERR(FIND("%",F24))),0,MID(F24,FIND(":",F24)+2,FIND("%",F24)-FIND(":",F24)-2)/100))*0</f>
        <v>0</v>
      </c>
      <c r="I24" s="29">
        <f>G23*H24</f>
        <v>0</v>
      </c>
      <c r="J24">
        <v>2</v>
      </c>
    </row>
    <row r="25" spans="1:19" x14ac:dyDescent="0.3">
      <c r="A25" s="88" t="s">
        <v>566</v>
      </c>
      <c r="B25" s="98"/>
      <c r="C25" s="98"/>
      <c r="D25" s="98"/>
      <c r="E25" s="98"/>
      <c r="F25" s="98"/>
      <c r="G25" s="98"/>
      <c r="H25" s="38">
        <f>(1+IF(OR(ISERR(FIND(":",G24)),ISERR(FIND("%",G24))),0,MID(G24,FIND(":",G24)+2,FIND("%",G24)-FIND(":",G24)-2)/100))*0</f>
        <v>0</v>
      </c>
      <c r="I25" s="29">
        <f>G23*H25</f>
        <v>0</v>
      </c>
      <c r="J25">
        <v>3</v>
      </c>
      <c r="K25" s="4">
        <v>0</v>
      </c>
      <c r="L25" s="4">
        <v>0</v>
      </c>
      <c r="M25" s="4">
        <f>I25-K25-L25</f>
        <v>0</v>
      </c>
    </row>
    <row r="26" spans="1:19" x14ac:dyDescent="0.3">
      <c r="A26" s="98"/>
      <c r="B26" s="98"/>
      <c r="C26" s="98"/>
      <c r="D26" s="98"/>
      <c r="E26" s="98"/>
      <c r="F26" s="98"/>
      <c r="G26" s="98"/>
      <c r="H26" s="38">
        <f>0</f>
        <v>0</v>
      </c>
      <c r="I26" s="29">
        <f>G23*H26</f>
        <v>0</v>
      </c>
      <c r="J26">
        <v>4</v>
      </c>
      <c r="N26" s="4">
        <f>IF(ISERR(SEARCH("TRA* 82",C23)),IF(Q26+R26+S26=0,0,I26*(Q26/(Q26+R26+S26))),I26)</f>
        <v>0</v>
      </c>
      <c r="O26" s="4">
        <f>IF(ISERR(SEARCH("TRA* 82",C23)),IF(Q26+R26+S26=0,0,I26*(R26/(Q26+R26+S26))),0)</f>
        <v>0</v>
      </c>
      <c r="P26" s="4">
        <f>IF(ISERR(SEARCH("TRA* 82",C23)),I26-N26-O26,0)</f>
        <v>0</v>
      </c>
      <c r="Q26" s="4">
        <v>0</v>
      </c>
      <c r="R26" s="4">
        <v>0</v>
      </c>
      <c r="S26" s="4">
        <v>0</v>
      </c>
    </row>
    <row r="27" spans="1:19" x14ac:dyDescent="0.3">
      <c r="A27" s="96" t="s">
        <v>27</v>
      </c>
      <c r="B27" s="97"/>
      <c r="C27" s="97"/>
      <c r="D27" s="97"/>
      <c r="E27" s="97"/>
      <c r="F27" s="97"/>
      <c r="G27" s="97"/>
      <c r="H27" s="36">
        <f>H23+H24+H25+H26</f>
        <v>1.1558937499999999</v>
      </c>
      <c r="I27" s="74">
        <f>I23+I24+I25+I26</f>
        <v>1849.4299999999998</v>
      </c>
      <c r="J27">
        <v>5</v>
      </c>
    </row>
    <row r="28" spans="1:19" x14ac:dyDescent="0.3">
      <c r="B28" s="2">
        <v>4</v>
      </c>
      <c r="C28" s="3" t="s">
        <v>567</v>
      </c>
      <c r="D28" s="5" t="s">
        <v>29</v>
      </c>
      <c r="G28" s="30">
        <v>1</v>
      </c>
      <c r="H28" s="38">
        <v>194.6</v>
      </c>
      <c r="I28" s="29">
        <f>G28*H28</f>
        <v>194.6</v>
      </c>
      <c r="J28">
        <v>1</v>
      </c>
    </row>
    <row r="29" spans="1:19" x14ac:dyDescent="0.3">
      <c r="D29" s="15" t="str">
        <f>SUBSTITUTE("Sp.mat: 0.00%",".",IF(VALUE("1.2")=1.2,".",","),2)</f>
        <v>Sp.mat: 0.00%</v>
      </c>
      <c r="F29" s="15" t="str">
        <f>SUBSTITUTE("Sp.man: 0.00%",".",IF(VALUE("1.2")=1.2,".",","),2)</f>
        <v>Sp.man: 0.00%</v>
      </c>
      <c r="G29" s="35" t="str">
        <f>SUBSTITUTE("Sp.uti: 0.00%",".",IF(VALUE("1.2")=1.2,".",","),2)</f>
        <v>Sp.uti: 0.00%</v>
      </c>
      <c r="H29" s="38">
        <v>32.03</v>
      </c>
      <c r="I29" s="29">
        <f>G28*H29</f>
        <v>32.03</v>
      </c>
      <c r="J29">
        <v>2</v>
      </c>
    </row>
    <row r="30" spans="1:19" x14ac:dyDescent="0.3">
      <c r="A30" s="88" t="s">
        <v>568</v>
      </c>
      <c r="B30" s="98"/>
      <c r="C30" s="98"/>
      <c r="D30" s="98"/>
      <c r="E30" s="98"/>
      <c r="F30" s="98"/>
      <c r="G30" s="98"/>
      <c r="H30" s="38">
        <v>0.05</v>
      </c>
      <c r="I30" s="29">
        <f>G28*H30</f>
        <v>0.05</v>
      </c>
      <c r="J30">
        <v>3</v>
      </c>
      <c r="K30" s="4">
        <v>0</v>
      </c>
      <c r="L30" s="4">
        <v>8.5999999999999993E-2</v>
      </c>
      <c r="M30" s="4">
        <f>I30-K30-L30</f>
        <v>-3.599999999999999E-2</v>
      </c>
    </row>
    <row r="31" spans="1:19" x14ac:dyDescent="0.3">
      <c r="A31" s="98"/>
      <c r="B31" s="98"/>
      <c r="C31" s="98"/>
      <c r="D31" s="98"/>
      <c r="E31" s="98"/>
      <c r="F31" s="98"/>
      <c r="G31" s="98"/>
      <c r="H31" s="38">
        <f>0</f>
        <v>0</v>
      </c>
      <c r="I31" s="29">
        <f>G28*H31</f>
        <v>0</v>
      </c>
      <c r="J31">
        <v>4</v>
      </c>
      <c r="N31" s="4">
        <f>IF(ISERR(SEARCH("TRA* 82",C28)),IF(Q31+R31+S31=0,0,I31*(Q31/(Q31+R31+S31))),I31)</f>
        <v>0</v>
      </c>
      <c r="O31" s="4">
        <f>IF(ISERR(SEARCH("TRA* 82",C28)),IF(Q31+R31+S31=0,0,I31*(R31/(Q31+R31+S31))),0)</f>
        <v>0</v>
      </c>
      <c r="P31" s="4">
        <f>IF(ISERR(SEARCH("TRA* 82",C28)),I31-N31-O31,0)</f>
        <v>0</v>
      </c>
      <c r="Q31" s="4">
        <v>0</v>
      </c>
      <c r="R31" s="4">
        <v>0</v>
      </c>
      <c r="S31" s="4">
        <v>0</v>
      </c>
    </row>
    <row r="32" spans="1:19" x14ac:dyDescent="0.3">
      <c r="A32" s="100" t="s">
        <v>87</v>
      </c>
      <c r="B32" s="101"/>
      <c r="C32" s="101"/>
      <c r="D32" s="101"/>
      <c r="E32" s="101"/>
      <c r="F32" s="101"/>
      <c r="G32" s="101"/>
      <c r="H32" s="33">
        <f>H28+H29+H30+H31</f>
        <v>226.68</v>
      </c>
      <c r="I32" s="37">
        <f>I28+I29+I30+I31</f>
        <v>226.68</v>
      </c>
      <c r="J32">
        <v>5</v>
      </c>
    </row>
    <row r="33" spans="1:19" x14ac:dyDescent="0.3">
      <c r="A33" s="102" t="s">
        <v>569</v>
      </c>
      <c r="B33" s="102"/>
      <c r="C33" s="102"/>
      <c r="D33" s="102"/>
      <c r="E33" s="102"/>
      <c r="F33" s="102"/>
      <c r="G33" s="102"/>
      <c r="H33" s="102"/>
      <c r="I33" s="102"/>
    </row>
    <row r="34" spans="1:19" x14ac:dyDescent="0.3">
      <c r="A34" s="98" t="s">
        <v>570</v>
      </c>
      <c r="B34" s="98"/>
      <c r="C34" s="98"/>
      <c r="D34" s="98"/>
      <c r="E34" s="98"/>
      <c r="F34" s="98"/>
      <c r="G34" s="98"/>
      <c r="H34" s="98"/>
      <c r="I34" s="98"/>
    </row>
    <row r="35" spans="1:19" x14ac:dyDescent="0.3">
      <c r="A35" s="98" t="s">
        <v>571</v>
      </c>
      <c r="B35" s="98"/>
      <c r="C35" s="98"/>
      <c r="D35" s="98"/>
      <c r="E35" s="98"/>
      <c r="F35" s="98"/>
      <c r="G35" s="98"/>
      <c r="H35" s="98"/>
      <c r="I35" s="98"/>
    </row>
    <row r="36" spans="1:19" x14ac:dyDescent="0.3">
      <c r="A36" s="98" t="s">
        <v>572</v>
      </c>
      <c r="B36" s="98"/>
      <c r="C36" s="98"/>
      <c r="D36" s="98"/>
      <c r="E36" s="98"/>
      <c r="F36" s="98"/>
      <c r="G36" s="98"/>
      <c r="H36" s="98"/>
      <c r="I36" s="98"/>
    </row>
    <row r="37" spans="1:19" x14ac:dyDescent="0.3">
      <c r="A37" s="97" t="s">
        <v>573</v>
      </c>
      <c r="B37" s="97"/>
      <c r="C37" s="97"/>
      <c r="D37" s="97"/>
      <c r="E37" s="97"/>
      <c r="F37" s="97"/>
      <c r="G37" s="97"/>
      <c r="H37" s="97"/>
      <c r="I37" s="97"/>
    </row>
    <row r="38" spans="1:19" x14ac:dyDescent="0.3">
      <c r="B38" s="2">
        <v>5</v>
      </c>
      <c r="C38" s="3" t="s">
        <v>574</v>
      </c>
      <c r="D38" s="5" t="s">
        <v>29</v>
      </c>
      <c r="G38" s="30">
        <v>1</v>
      </c>
      <c r="H38" s="38">
        <v>237.19</v>
      </c>
      <c r="I38" s="29">
        <f>G38*H38</f>
        <v>237.19</v>
      </c>
      <c r="J38">
        <v>1</v>
      </c>
    </row>
    <row r="39" spans="1:19" x14ac:dyDescent="0.3">
      <c r="D39" s="15" t="str">
        <f>SUBSTITUTE("Sp.mat: 0.00%",".",IF(VALUE("1.2")=1.2,".",","),2)</f>
        <v>Sp.mat: 0.00%</v>
      </c>
      <c r="F39" s="15" t="str">
        <f>SUBSTITUTE("Sp.man: 0.00%",".",IF(VALUE("1.2")=1.2,".",","),2)</f>
        <v>Sp.man: 0.00%</v>
      </c>
      <c r="G39" s="35" t="str">
        <f>SUBSTITUTE("Sp.uti: 0.00%",".",IF(VALUE("1.2")=1.2,".",","),2)</f>
        <v>Sp.uti: 0.00%</v>
      </c>
      <c r="H39" s="38">
        <v>33.64</v>
      </c>
      <c r="I39" s="29">
        <f>G38*H39</f>
        <v>33.64</v>
      </c>
      <c r="J39">
        <v>2</v>
      </c>
    </row>
    <row r="40" spans="1:19" x14ac:dyDescent="0.3">
      <c r="A40" s="88" t="s">
        <v>575</v>
      </c>
      <c r="B40" s="98"/>
      <c r="C40" s="98"/>
      <c r="D40" s="98"/>
      <c r="E40" s="98"/>
      <c r="F40" s="98"/>
      <c r="G40" s="98"/>
      <c r="H40" s="38">
        <v>0.05</v>
      </c>
      <c r="I40" s="29">
        <f>G38*H40</f>
        <v>0.05</v>
      </c>
      <c r="J40">
        <v>3</v>
      </c>
      <c r="K40" s="4">
        <v>0</v>
      </c>
      <c r="L40" s="4">
        <v>8.5999999999999993E-2</v>
      </c>
      <c r="M40" s="4">
        <f>I40-K40-L40</f>
        <v>-3.599999999999999E-2</v>
      </c>
    </row>
    <row r="41" spans="1:19" x14ac:dyDescent="0.3">
      <c r="A41" s="98"/>
      <c r="B41" s="98"/>
      <c r="C41" s="98"/>
      <c r="D41" s="98"/>
      <c r="E41" s="98"/>
      <c r="F41" s="98"/>
      <c r="G41" s="98"/>
      <c r="H41" s="38">
        <f>0</f>
        <v>0</v>
      </c>
      <c r="I41" s="29">
        <f>G38*H41</f>
        <v>0</v>
      </c>
      <c r="J41">
        <v>4</v>
      </c>
      <c r="N41" s="4">
        <f>IF(ISERR(SEARCH("TRA* 82",C38)),IF(Q41+R41+S41=0,0,I41*(Q41/(Q41+R41+S41))),I41)</f>
        <v>0</v>
      </c>
      <c r="O41" s="4">
        <f>IF(ISERR(SEARCH("TRA* 82",C38)),IF(Q41+R41+S41=0,0,I41*(R41/(Q41+R41+S41))),0)</f>
        <v>0</v>
      </c>
      <c r="P41" s="4">
        <f>IF(ISERR(SEARCH("TRA* 82",C38)),I41-N41-O41,0)</f>
        <v>0</v>
      </c>
      <c r="Q41" s="4">
        <v>0</v>
      </c>
      <c r="R41" s="4">
        <v>0</v>
      </c>
      <c r="S41" s="4">
        <v>0</v>
      </c>
    </row>
    <row r="42" spans="1:19" x14ac:dyDescent="0.3">
      <c r="A42" s="100" t="s">
        <v>87</v>
      </c>
      <c r="B42" s="101"/>
      <c r="C42" s="101"/>
      <c r="D42" s="101"/>
      <c r="E42" s="101"/>
      <c r="F42" s="101"/>
      <c r="G42" s="101"/>
      <c r="H42" s="33">
        <f>H38+H39+H40+H41</f>
        <v>270.88</v>
      </c>
      <c r="I42" s="37">
        <f>I38+I39+I40+I41</f>
        <v>270.88</v>
      </c>
      <c r="J42">
        <v>5</v>
      </c>
    </row>
    <row r="43" spans="1:19" x14ac:dyDescent="0.3">
      <c r="A43" s="102" t="s">
        <v>576</v>
      </c>
      <c r="B43" s="102"/>
      <c r="C43" s="102"/>
      <c r="D43" s="102"/>
      <c r="E43" s="102"/>
      <c r="F43" s="102"/>
      <c r="G43" s="102"/>
      <c r="H43" s="102"/>
      <c r="I43" s="102"/>
    </row>
    <row r="44" spans="1:19" x14ac:dyDescent="0.3">
      <c r="A44" s="98" t="s">
        <v>570</v>
      </c>
      <c r="B44" s="98"/>
      <c r="C44" s="98"/>
      <c r="D44" s="98"/>
      <c r="E44" s="98"/>
      <c r="F44" s="98"/>
      <c r="G44" s="98"/>
      <c r="H44" s="98"/>
      <c r="I44" s="98"/>
    </row>
    <row r="45" spans="1:19" x14ac:dyDescent="0.3">
      <c r="A45" s="98" t="s">
        <v>571</v>
      </c>
      <c r="B45" s="98"/>
      <c r="C45" s="98"/>
      <c r="D45" s="98"/>
      <c r="E45" s="98"/>
      <c r="F45" s="98"/>
      <c r="G45" s="98"/>
      <c r="H45" s="98"/>
      <c r="I45" s="98"/>
    </row>
    <row r="46" spans="1:19" x14ac:dyDescent="0.3">
      <c r="A46" s="98" t="s">
        <v>572</v>
      </c>
      <c r="B46" s="98"/>
      <c r="C46" s="98"/>
      <c r="D46" s="98"/>
      <c r="E46" s="98"/>
      <c r="F46" s="98"/>
      <c r="G46" s="98"/>
      <c r="H46" s="98"/>
      <c r="I46" s="98"/>
    </row>
    <row r="47" spans="1:19" x14ac:dyDescent="0.3">
      <c r="A47" s="97" t="s">
        <v>577</v>
      </c>
      <c r="B47" s="97"/>
      <c r="C47" s="97"/>
      <c r="D47" s="97"/>
      <c r="E47" s="97"/>
      <c r="F47" s="97"/>
      <c r="G47" s="97"/>
      <c r="H47" s="97"/>
      <c r="I47" s="97"/>
    </row>
    <row r="48" spans="1:19" x14ac:dyDescent="0.3">
      <c r="B48" s="2">
        <v>6</v>
      </c>
      <c r="C48" s="3" t="s">
        <v>574</v>
      </c>
      <c r="D48" s="5" t="s">
        <v>29</v>
      </c>
      <c r="G48" s="30">
        <v>1</v>
      </c>
      <c r="H48" s="38">
        <v>591.09</v>
      </c>
      <c r="I48" s="29">
        <f>G48*H48</f>
        <v>591.09</v>
      </c>
      <c r="J48">
        <v>1</v>
      </c>
    </row>
    <row r="49" spans="1:19" x14ac:dyDescent="0.3">
      <c r="D49" s="15" t="str">
        <f>SUBSTITUTE("Sp.mat: 0.00%",".",IF(VALUE("1.2")=1.2,".",","),2)</f>
        <v>Sp.mat: 0.00%</v>
      </c>
      <c r="F49" s="15" t="str">
        <f>SUBSTITUTE("Sp.man: 0.00%",".",IF(VALUE("1.2")=1.2,".",","),2)</f>
        <v>Sp.man: 0.00%</v>
      </c>
      <c r="G49" s="35" t="str">
        <f>SUBSTITUTE("Sp.uti: 0.00%",".",IF(VALUE("1.2")=1.2,".",","),2)</f>
        <v>Sp.uti: 0.00%</v>
      </c>
      <c r="H49" s="38">
        <v>35.24</v>
      </c>
      <c r="I49" s="29">
        <f>G48*H49</f>
        <v>35.24</v>
      </c>
      <c r="J49">
        <v>2</v>
      </c>
    </row>
    <row r="50" spans="1:19" x14ac:dyDescent="0.3">
      <c r="A50" s="88" t="s">
        <v>575</v>
      </c>
      <c r="B50" s="98"/>
      <c r="C50" s="98"/>
      <c r="D50" s="98"/>
      <c r="E50" s="98"/>
      <c r="F50" s="98"/>
      <c r="G50" s="98"/>
      <c r="H50" s="38">
        <v>0.05</v>
      </c>
      <c r="I50" s="29">
        <f>G48*H50</f>
        <v>0.05</v>
      </c>
      <c r="J50">
        <v>3</v>
      </c>
      <c r="K50" s="4">
        <v>0</v>
      </c>
      <c r="L50" s="4">
        <v>8.5999999999999993E-2</v>
      </c>
      <c r="M50" s="4">
        <f>I50-K50-L50</f>
        <v>-3.599999999999999E-2</v>
      </c>
    </row>
    <row r="51" spans="1:19" x14ac:dyDescent="0.3">
      <c r="A51" s="98"/>
      <c r="B51" s="98"/>
      <c r="C51" s="98"/>
      <c r="D51" s="98"/>
      <c r="E51" s="98"/>
      <c r="F51" s="98"/>
      <c r="G51" s="98"/>
      <c r="H51" s="38">
        <f>0</f>
        <v>0</v>
      </c>
      <c r="I51" s="29">
        <f>G48*H51</f>
        <v>0</v>
      </c>
      <c r="J51">
        <v>4</v>
      </c>
      <c r="N51" s="4">
        <f>IF(ISERR(SEARCH("TRA* 82",C48)),IF(Q51+R51+S51=0,0,I51*(Q51/(Q51+R51+S51))),I51)</f>
        <v>0</v>
      </c>
      <c r="O51" s="4">
        <f>IF(ISERR(SEARCH("TRA* 82",C48)),IF(Q51+R51+S51=0,0,I51*(R51/(Q51+R51+S51))),0)</f>
        <v>0</v>
      </c>
      <c r="P51" s="4">
        <f>IF(ISERR(SEARCH("TRA* 82",C48)),I51-N51-O51,0)</f>
        <v>0</v>
      </c>
      <c r="Q51" s="4">
        <v>0</v>
      </c>
      <c r="R51" s="4">
        <v>0</v>
      </c>
      <c r="S51" s="4">
        <v>0</v>
      </c>
    </row>
    <row r="52" spans="1:19" x14ac:dyDescent="0.3">
      <c r="A52" s="100" t="s">
        <v>87</v>
      </c>
      <c r="B52" s="101"/>
      <c r="C52" s="101"/>
      <c r="D52" s="101"/>
      <c r="E52" s="101"/>
      <c r="F52" s="101"/>
      <c r="G52" s="101"/>
      <c r="H52" s="33">
        <f>H48+H49+H50+H51</f>
        <v>626.38</v>
      </c>
      <c r="I52" s="37">
        <f>I48+I49+I50+I51</f>
        <v>626.38</v>
      </c>
      <c r="J52">
        <v>5</v>
      </c>
    </row>
    <row r="53" spans="1:19" x14ac:dyDescent="0.3">
      <c r="A53" s="102" t="s">
        <v>578</v>
      </c>
      <c r="B53" s="102"/>
      <c r="C53" s="102"/>
      <c r="D53" s="102"/>
      <c r="E53" s="102"/>
      <c r="F53" s="102"/>
      <c r="G53" s="102"/>
      <c r="H53" s="102"/>
      <c r="I53" s="102"/>
    </row>
    <row r="54" spans="1:19" x14ac:dyDescent="0.3">
      <c r="A54" s="98" t="s">
        <v>570</v>
      </c>
      <c r="B54" s="98"/>
      <c r="C54" s="98"/>
      <c r="D54" s="98"/>
      <c r="E54" s="98"/>
      <c r="F54" s="98"/>
      <c r="G54" s="98"/>
      <c r="H54" s="98"/>
      <c r="I54" s="98"/>
    </row>
    <row r="55" spans="1:19" x14ac:dyDescent="0.3">
      <c r="A55" s="98" t="s">
        <v>571</v>
      </c>
      <c r="B55" s="98"/>
      <c r="C55" s="98"/>
      <c r="D55" s="98"/>
      <c r="E55" s="98"/>
      <c r="F55" s="98"/>
      <c r="G55" s="98"/>
      <c r="H55" s="98"/>
      <c r="I55" s="98"/>
    </row>
    <row r="56" spans="1:19" x14ac:dyDescent="0.3">
      <c r="A56" s="98" t="s">
        <v>572</v>
      </c>
      <c r="B56" s="98"/>
      <c r="C56" s="98"/>
      <c r="D56" s="98"/>
      <c r="E56" s="98"/>
      <c r="F56" s="98"/>
      <c r="G56" s="98"/>
      <c r="H56" s="98"/>
      <c r="I56" s="98"/>
    </row>
    <row r="57" spans="1:19" x14ac:dyDescent="0.3">
      <c r="A57" s="97" t="s">
        <v>577</v>
      </c>
      <c r="B57" s="97"/>
      <c r="C57" s="97"/>
      <c r="D57" s="97"/>
      <c r="E57" s="97"/>
      <c r="F57" s="97"/>
      <c r="G57" s="97"/>
      <c r="H57" s="97"/>
      <c r="I57" s="97"/>
    </row>
    <row r="58" spans="1:19" x14ac:dyDescent="0.3">
      <c r="B58" s="2">
        <v>7</v>
      </c>
      <c r="C58" s="3" t="s">
        <v>574</v>
      </c>
      <c r="D58" s="5" t="s">
        <v>29</v>
      </c>
      <c r="G58" s="30">
        <v>1</v>
      </c>
      <c r="H58" s="38">
        <v>767.32</v>
      </c>
      <c r="I58" s="29">
        <f>G58*H58</f>
        <v>767.32</v>
      </c>
      <c r="J58">
        <v>1</v>
      </c>
    </row>
    <row r="59" spans="1:19" x14ac:dyDescent="0.3">
      <c r="D59" s="15" t="str">
        <f>SUBSTITUTE("Sp.mat: 0.00%",".",IF(VALUE("1.2")=1.2,".",","),2)</f>
        <v>Sp.mat: 0.00%</v>
      </c>
      <c r="F59" s="15" t="str">
        <f>SUBSTITUTE("Sp.man: 0.00%",".",IF(VALUE("1.2")=1.2,".",","),2)</f>
        <v>Sp.man: 0.00%</v>
      </c>
      <c r="G59" s="35" t="str">
        <f>SUBSTITUTE("Sp.uti: 0.00%",".",IF(VALUE("1.2")=1.2,".",","),2)</f>
        <v>Sp.uti: 0.00%</v>
      </c>
      <c r="H59" s="38">
        <v>48.05</v>
      </c>
      <c r="I59" s="29">
        <f>G58*H59</f>
        <v>48.05</v>
      </c>
      <c r="J59">
        <v>2</v>
      </c>
    </row>
    <row r="60" spans="1:19" x14ac:dyDescent="0.3">
      <c r="A60" s="88" t="s">
        <v>575</v>
      </c>
      <c r="B60" s="98"/>
      <c r="C60" s="98"/>
      <c r="D60" s="98"/>
      <c r="E60" s="98"/>
      <c r="F60" s="98"/>
      <c r="G60" s="98"/>
      <c r="H60" s="38">
        <v>0.05</v>
      </c>
      <c r="I60" s="29">
        <f>G58*H60</f>
        <v>0.05</v>
      </c>
      <c r="J60">
        <v>3</v>
      </c>
      <c r="K60" s="4">
        <v>0</v>
      </c>
      <c r="L60" s="4">
        <v>8.5999999999999993E-2</v>
      </c>
      <c r="M60" s="4">
        <f>I60-K60-L60</f>
        <v>-3.599999999999999E-2</v>
      </c>
    </row>
    <row r="61" spans="1:19" x14ac:dyDescent="0.3">
      <c r="A61" s="98"/>
      <c r="B61" s="98"/>
      <c r="C61" s="98"/>
      <c r="D61" s="98"/>
      <c r="E61" s="98"/>
      <c r="F61" s="98"/>
      <c r="G61" s="98"/>
      <c r="H61" s="38">
        <f>0</f>
        <v>0</v>
      </c>
      <c r="I61" s="29">
        <f>G58*H61</f>
        <v>0</v>
      </c>
      <c r="J61">
        <v>4</v>
      </c>
      <c r="N61" s="4">
        <f>IF(ISERR(SEARCH("TRA* 82",C58)),IF(Q61+R61+S61=0,0,I61*(Q61/(Q61+R61+S61))),I61)</f>
        <v>0</v>
      </c>
      <c r="O61" s="4">
        <f>IF(ISERR(SEARCH("TRA* 82",C58)),IF(Q61+R61+S61=0,0,I61*(R61/(Q61+R61+S61))),0)</f>
        <v>0</v>
      </c>
      <c r="P61" s="4">
        <f>IF(ISERR(SEARCH("TRA* 82",C58)),I61-N61-O61,0)</f>
        <v>0</v>
      </c>
      <c r="Q61" s="4">
        <v>0</v>
      </c>
      <c r="R61" s="4">
        <v>0</v>
      </c>
      <c r="S61" s="4">
        <v>0</v>
      </c>
    </row>
    <row r="62" spans="1:19" x14ac:dyDescent="0.3">
      <c r="A62" s="100" t="s">
        <v>87</v>
      </c>
      <c r="B62" s="101"/>
      <c r="C62" s="101"/>
      <c r="D62" s="101"/>
      <c r="E62" s="101"/>
      <c r="F62" s="101"/>
      <c r="G62" s="101"/>
      <c r="H62" s="33">
        <f>H58+H59+H60+H61</f>
        <v>815.42</v>
      </c>
      <c r="I62" s="37">
        <f>I58+I59+I60+I61</f>
        <v>815.42</v>
      </c>
      <c r="J62">
        <v>5</v>
      </c>
    </row>
    <row r="63" spans="1:19" x14ac:dyDescent="0.3">
      <c r="A63" s="102" t="s">
        <v>579</v>
      </c>
      <c r="B63" s="102"/>
      <c r="C63" s="102"/>
      <c r="D63" s="102"/>
      <c r="E63" s="102"/>
      <c r="F63" s="102"/>
      <c r="G63" s="102"/>
      <c r="H63" s="102"/>
      <c r="I63" s="102"/>
    </row>
    <row r="64" spans="1:19" x14ac:dyDescent="0.3">
      <c r="A64" s="98" t="s">
        <v>570</v>
      </c>
      <c r="B64" s="98"/>
      <c r="C64" s="98"/>
      <c r="D64" s="98"/>
      <c r="E64" s="98"/>
      <c r="F64" s="98"/>
      <c r="G64" s="98"/>
      <c r="H64" s="98"/>
      <c r="I64" s="98"/>
    </row>
    <row r="65" spans="1:19" x14ac:dyDescent="0.3">
      <c r="A65" s="98" t="s">
        <v>571</v>
      </c>
      <c r="B65" s="98"/>
      <c r="C65" s="98"/>
      <c r="D65" s="98"/>
      <c r="E65" s="98"/>
      <c r="F65" s="98"/>
      <c r="G65" s="98"/>
      <c r="H65" s="98"/>
      <c r="I65" s="98"/>
    </row>
    <row r="66" spans="1:19" x14ac:dyDescent="0.3">
      <c r="A66" s="98" t="s">
        <v>572</v>
      </c>
      <c r="B66" s="98"/>
      <c r="C66" s="98"/>
      <c r="D66" s="98"/>
      <c r="E66" s="98"/>
      <c r="F66" s="98"/>
      <c r="G66" s="98"/>
      <c r="H66" s="98"/>
      <c r="I66" s="98"/>
    </row>
    <row r="67" spans="1:19" x14ac:dyDescent="0.3">
      <c r="A67" s="97" t="s">
        <v>573</v>
      </c>
      <c r="B67" s="97"/>
      <c r="C67" s="97"/>
      <c r="D67" s="97"/>
      <c r="E67" s="97"/>
      <c r="F67" s="97"/>
      <c r="G67" s="97"/>
      <c r="H67" s="97"/>
      <c r="I67" s="97"/>
    </row>
    <row r="68" spans="1:19" x14ac:dyDescent="0.3">
      <c r="B68" s="2">
        <v>8</v>
      </c>
      <c r="C68" s="3" t="s">
        <v>574</v>
      </c>
      <c r="D68" s="5" t="s">
        <v>29</v>
      </c>
      <c r="G68" s="30">
        <v>1</v>
      </c>
      <c r="H68" s="38">
        <v>541.98</v>
      </c>
      <c r="I68" s="29">
        <f>G68*H68</f>
        <v>541.98</v>
      </c>
      <c r="J68">
        <v>1</v>
      </c>
    </row>
    <row r="69" spans="1:19" x14ac:dyDescent="0.3">
      <c r="D69" s="15" t="str">
        <f>SUBSTITUTE("Sp.mat: 0.00%",".",IF(VALUE("1.2")=1.2,".",","),2)</f>
        <v>Sp.mat: 0.00%</v>
      </c>
      <c r="F69" s="15" t="str">
        <f>SUBSTITUTE("Sp.man: 0.00%",".",IF(VALUE("1.2")=1.2,".",","),2)</f>
        <v>Sp.man: 0.00%</v>
      </c>
      <c r="G69" s="35" t="str">
        <f>SUBSTITUTE("Sp.uti: 0.00%",".",IF(VALUE("1.2")=1.2,".",","),2)</f>
        <v>Sp.uti: 0.00%</v>
      </c>
      <c r="H69" s="38">
        <v>33.64</v>
      </c>
      <c r="I69" s="29">
        <f>G68*H69</f>
        <v>33.64</v>
      </c>
      <c r="J69">
        <v>2</v>
      </c>
    </row>
    <row r="70" spans="1:19" x14ac:dyDescent="0.3">
      <c r="A70" s="88" t="s">
        <v>575</v>
      </c>
      <c r="B70" s="98"/>
      <c r="C70" s="98"/>
      <c r="D70" s="98"/>
      <c r="E70" s="98"/>
      <c r="F70" s="98"/>
      <c r="G70" s="98"/>
      <c r="H70" s="38">
        <v>0.05</v>
      </c>
      <c r="I70" s="29">
        <f>G68*H70</f>
        <v>0.05</v>
      </c>
      <c r="J70">
        <v>3</v>
      </c>
      <c r="K70" s="4">
        <v>0</v>
      </c>
      <c r="L70" s="4">
        <v>8.5999999999999993E-2</v>
      </c>
      <c r="M70" s="4">
        <f>I70-K70-L70</f>
        <v>-3.599999999999999E-2</v>
      </c>
    </row>
    <row r="71" spans="1:19" x14ac:dyDescent="0.3">
      <c r="A71" s="98"/>
      <c r="B71" s="98"/>
      <c r="C71" s="98"/>
      <c r="D71" s="98"/>
      <c r="E71" s="98"/>
      <c r="F71" s="98"/>
      <c r="G71" s="98"/>
      <c r="H71" s="38">
        <f>0</f>
        <v>0</v>
      </c>
      <c r="I71" s="29">
        <f>G68*H71</f>
        <v>0</v>
      </c>
      <c r="J71">
        <v>4</v>
      </c>
      <c r="N71" s="4">
        <f>IF(ISERR(SEARCH("TRA* 82",C68)),IF(Q71+R71+S71=0,0,I71*(Q71/(Q71+R71+S71))),I71)</f>
        <v>0</v>
      </c>
      <c r="O71" s="4">
        <f>IF(ISERR(SEARCH("TRA* 82",C68)),IF(Q71+R71+S71=0,0,I71*(R71/(Q71+R71+S71))),0)</f>
        <v>0</v>
      </c>
      <c r="P71" s="4">
        <f>IF(ISERR(SEARCH("TRA* 82",C68)),I71-N71-O71,0)</f>
        <v>0</v>
      </c>
      <c r="Q71" s="4">
        <v>0</v>
      </c>
      <c r="R71" s="4">
        <v>0</v>
      </c>
      <c r="S71" s="4">
        <v>0</v>
      </c>
    </row>
    <row r="72" spans="1:19" x14ac:dyDescent="0.3">
      <c r="A72" s="100" t="s">
        <v>87</v>
      </c>
      <c r="B72" s="101"/>
      <c r="C72" s="101"/>
      <c r="D72" s="101"/>
      <c r="E72" s="101"/>
      <c r="F72" s="101"/>
      <c r="G72" s="101"/>
      <c r="H72" s="33">
        <f>H68+H69+H70+H71</f>
        <v>575.66999999999996</v>
      </c>
      <c r="I72" s="37">
        <f>I68+I69+I70+I71</f>
        <v>575.66999999999996</v>
      </c>
      <c r="J72">
        <v>5</v>
      </c>
    </row>
    <row r="73" spans="1:19" x14ac:dyDescent="0.3">
      <c r="A73" s="102" t="s">
        <v>580</v>
      </c>
      <c r="B73" s="102"/>
      <c r="C73" s="102"/>
      <c r="D73" s="102"/>
      <c r="E73" s="102"/>
      <c r="F73" s="102"/>
      <c r="G73" s="102"/>
      <c r="H73" s="102"/>
      <c r="I73" s="102"/>
    </row>
    <row r="74" spans="1:19" x14ac:dyDescent="0.3">
      <c r="A74" s="98" t="s">
        <v>581</v>
      </c>
      <c r="B74" s="98"/>
      <c r="C74" s="98"/>
      <c r="D74" s="98"/>
      <c r="E74" s="98"/>
      <c r="F74" s="98"/>
      <c r="G74" s="98"/>
      <c r="H74" s="98"/>
      <c r="I74" s="98"/>
    </row>
    <row r="75" spans="1:19" x14ac:dyDescent="0.3">
      <c r="A75" s="98" t="s">
        <v>582</v>
      </c>
      <c r="B75" s="98"/>
      <c r="C75" s="98"/>
      <c r="D75" s="98"/>
      <c r="E75" s="98"/>
      <c r="F75" s="98"/>
      <c r="G75" s="98"/>
      <c r="H75" s="98"/>
      <c r="I75" s="98"/>
    </row>
    <row r="76" spans="1:19" x14ac:dyDescent="0.3">
      <c r="A76" s="98" t="s">
        <v>583</v>
      </c>
      <c r="B76" s="98"/>
      <c r="C76" s="98"/>
      <c r="D76" s="98"/>
      <c r="E76" s="98"/>
      <c r="F76" s="98"/>
      <c r="G76" s="98"/>
      <c r="H76" s="98"/>
      <c r="I76" s="98"/>
    </row>
    <row r="77" spans="1:19" x14ac:dyDescent="0.3">
      <c r="A77" s="97" t="s">
        <v>584</v>
      </c>
      <c r="B77" s="97"/>
      <c r="C77" s="97"/>
      <c r="D77" s="97"/>
      <c r="E77" s="97"/>
      <c r="F77" s="97"/>
      <c r="G77" s="97"/>
      <c r="H77" s="97"/>
      <c r="I77" s="97"/>
    </row>
    <row r="78" spans="1:19" x14ac:dyDescent="0.3">
      <c r="B78" s="2">
        <v>9</v>
      </c>
      <c r="C78" s="3" t="s">
        <v>574</v>
      </c>
      <c r="D78" s="5" t="s">
        <v>29</v>
      </c>
      <c r="G78" s="30">
        <v>1</v>
      </c>
      <c r="H78" s="38">
        <v>2532.66</v>
      </c>
      <c r="I78" s="29">
        <f>G78*H78</f>
        <v>2532.66</v>
      </c>
      <c r="J78">
        <v>1</v>
      </c>
    </row>
    <row r="79" spans="1:19" x14ac:dyDescent="0.3">
      <c r="D79" s="15" t="str">
        <f>SUBSTITUTE("Sp.mat: 0.00%",".",IF(VALUE("1.2")=1.2,".",","),2)</f>
        <v>Sp.mat: 0.00%</v>
      </c>
      <c r="F79" s="15" t="str">
        <f>SUBSTITUTE("Sp.man: 0.00%",".",IF(VALUE("1.2")=1.2,".",","),2)</f>
        <v>Sp.man: 0.00%</v>
      </c>
      <c r="G79" s="35" t="str">
        <f>SUBSTITUTE("Sp.uti: 0.00%",".",IF(VALUE("1.2")=1.2,".",","),2)</f>
        <v>Sp.uti: 0.00%</v>
      </c>
      <c r="H79" s="38">
        <v>51.25</v>
      </c>
      <c r="I79" s="29">
        <f>G78*H79</f>
        <v>51.25</v>
      </c>
      <c r="J79">
        <v>2</v>
      </c>
    </row>
    <row r="80" spans="1:19" x14ac:dyDescent="0.3">
      <c r="A80" s="88" t="s">
        <v>575</v>
      </c>
      <c r="B80" s="98"/>
      <c r="C80" s="98"/>
      <c r="D80" s="98"/>
      <c r="E80" s="98"/>
      <c r="F80" s="98"/>
      <c r="G80" s="98"/>
      <c r="H80" s="38">
        <v>0.05</v>
      </c>
      <c r="I80" s="29">
        <f>G78*H80</f>
        <v>0.05</v>
      </c>
      <c r="J80">
        <v>3</v>
      </c>
      <c r="K80" s="4">
        <v>0</v>
      </c>
      <c r="L80" s="4">
        <v>8.5999999999999993E-2</v>
      </c>
      <c r="M80" s="4">
        <f>I80-K80-L80</f>
        <v>-3.599999999999999E-2</v>
      </c>
    </row>
    <row r="81" spans="1:19" x14ac:dyDescent="0.3">
      <c r="A81" s="98"/>
      <c r="B81" s="98"/>
      <c r="C81" s="98"/>
      <c r="D81" s="98"/>
      <c r="E81" s="98"/>
      <c r="F81" s="98"/>
      <c r="G81" s="98"/>
      <c r="H81" s="38">
        <f>0</f>
        <v>0</v>
      </c>
      <c r="I81" s="29">
        <f>G78*H81</f>
        <v>0</v>
      </c>
      <c r="J81">
        <v>4</v>
      </c>
      <c r="N81" s="4">
        <f>IF(ISERR(SEARCH("TRA* 82",C78)),IF(Q81+R81+S81=0,0,I81*(Q81/(Q81+R81+S81))),I81)</f>
        <v>0</v>
      </c>
      <c r="O81" s="4">
        <f>IF(ISERR(SEARCH("TRA* 82",C78)),IF(Q81+R81+S81=0,0,I81*(R81/(Q81+R81+S81))),0)</f>
        <v>0</v>
      </c>
      <c r="P81" s="4">
        <f>IF(ISERR(SEARCH("TRA* 82",C78)),I81-N81-O81,0)</f>
        <v>0</v>
      </c>
      <c r="Q81" s="4">
        <v>0</v>
      </c>
      <c r="R81" s="4">
        <v>0</v>
      </c>
      <c r="S81" s="4">
        <v>0</v>
      </c>
    </row>
    <row r="82" spans="1:19" x14ac:dyDescent="0.3">
      <c r="A82" s="100" t="s">
        <v>87</v>
      </c>
      <c r="B82" s="101"/>
      <c r="C82" s="101"/>
      <c r="D82" s="101"/>
      <c r="E82" s="101"/>
      <c r="F82" s="101"/>
      <c r="G82" s="101"/>
      <c r="H82" s="33">
        <f>H78+H79+H80+H81</f>
        <v>2583.96</v>
      </c>
      <c r="I82" s="37">
        <f>I78+I79+I80+I81</f>
        <v>2583.96</v>
      </c>
      <c r="J82">
        <v>5</v>
      </c>
    </row>
    <row r="83" spans="1:19" x14ac:dyDescent="0.3">
      <c r="A83" s="102" t="s">
        <v>585</v>
      </c>
      <c r="B83" s="102"/>
      <c r="C83" s="102"/>
      <c r="D83" s="102"/>
      <c r="E83" s="102"/>
      <c r="F83" s="102"/>
      <c r="G83" s="102"/>
      <c r="H83" s="102"/>
      <c r="I83" s="102"/>
    </row>
    <row r="84" spans="1:19" x14ac:dyDescent="0.3">
      <c r="A84" s="98" t="s">
        <v>581</v>
      </c>
      <c r="B84" s="98"/>
      <c r="C84" s="98"/>
      <c r="D84" s="98"/>
      <c r="E84" s="98"/>
      <c r="F84" s="98"/>
      <c r="G84" s="98"/>
      <c r="H84" s="98"/>
      <c r="I84" s="98"/>
    </row>
    <row r="85" spans="1:19" x14ac:dyDescent="0.3">
      <c r="A85" s="98" t="s">
        <v>582</v>
      </c>
      <c r="B85" s="98"/>
      <c r="C85" s="98"/>
      <c r="D85" s="98"/>
      <c r="E85" s="98"/>
      <c r="F85" s="98"/>
      <c r="G85" s="98"/>
      <c r="H85" s="98"/>
      <c r="I85" s="98"/>
    </row>
    <row r="86" spans="1:19" x14ac:dyDescent="0.3">
      <c r="A86" s="98" t="s">
        <v>583</v>
      </c>
      <c r="B86" s="98"/>
      <c r="C86" s="98"/>
      <c r="D86" s="98"/>
      <c r="E86" s="98"/>
      <c r="F86" s="98"/>
      <c r="G86" s="98"/>
      <c r="H86" s="98"/>
      <c r="I86" s="98"/>
    </row>
    <row r="87" spans="1:19" x14ac:dyDescent="0.3">
      <c r="A87" s="97" t="s">
        <v>584</v>
      </c>
      <c r="B87" s="97"/>
      <c r="C87" s="97"/>
      <c r="D87" s="97"/>
      <c r="E87" s="97"/>
      <c r="F87" s="97"/>
      <c r="G87" s="97"/>
      <c r="H87" s="97"/>
      <c r="I87" s="97"/>
    </row>
    <row r="88" spans="1:19" x14ac:dyDescent="0.3">
      <c r="B88" s="2">
        <v>10</v>
      </c>
      <c r="C88" s="3" t="s">
        <v>574</v>
      </c>
      <c r="D88" s="5" t="s">
        <v>29</v>
      </c>
      <c r="G88" s="30">
        <v>1</v>
      </c>
      <c r="H88" s="38">
        <v>634.64</v>
      </c>
      <c r="I88" s="29">
        <f>G88*H88</f>
        <v>634.64</v>
      </c>
      <c r="J88">
        <v>1</v>
      </c>
    </row>
    <row r="89" spans="1:19" x14ac:dyDescent="0.3">
      <c r="D89" s="15" t="str">
        <f>SUBSTITUTE("Sp.mat: 0.00%",".",IF(VALUE("1.2")=1.2,".",","),2)</f>
        <v>Sp.mat: 0.00%</v>
      </c>
      <c r="F89" s="15" t="str">
        <f>SUBSTITUTE("Sp.man: 0.00%",".",IF(VALUE("1.2")=1.2,".",","),2)</f>
        <v>Sp.man: 0.00%</v>
      </c>
      <c r="G89" s="35" t="str">
        <f>SUBSTITUTE("Sp.uti: 0.00%",".",IF(VALUE("1.2")=1.2,".",","),2)</f>
        <v>Sp.uti: 0.00%</v>
      </c>
      <c r="H89" s="38">
        <v>56.06</v>
      </c>
      <c r="I89" s="29">
        <f>G88*H89</f>
        <v>56.06</v>
      </c>
      <c r="J89">
        <v>2</v>
      </c>
    </row>
    <row r="90" spans="1:19" x14ac:dyDescent="0.3">
      <c r="A90" s="88" t="s">
        <v>575</v>
      </c>
      <c r="B90" s="98"/>
      <c r="C90" s="98"/>
      <c r="D90" s="98"/>
      <c r="E90" s="98"/>
      <c r="F90" s="98"/>
      <c r="G90" s="98"/>
      <c r="H90" s="38">
        <v>0.05</v>
      </c>
      <c r="I90" s="29">
        <f>G88*H90</f>
        <v>0.05</v>
      </c>
      <c r="J90">
        <v>3</v>
      </c>
      <c r="K90" s="4">
        <v>0</v>
      </c>
      <c r="L90" s="4">
        <v>8.5999999999999993E-2</v>
      </c>
      <c r="M90" s="4">
        <f>I90-K90-L90</f>
        <v>-3.599999999999999E-2</v>
      </c>
    </row>
    <row r="91" spans="1:19" x14ac:dyDescent="0.3">
      <c r="A91" s="98"/>
      <c r="B91" s="98"/>
      <c r="C91" s="98"/>
      <c r="D91" s="98"/>
      <c r="E91" s="98"/>
      <c r="F91" s="98"/>
      <c r="G91" s="98"/>
      <c r="H91" s="38">
        <f>0</f>
        <v>0</v>
      </c>
      <c r="I91" s="29">
        <f>G88*H91</f>
        <v>0</v>
      </c>
      <c r="J91">
        <v>4</v>
      </c>
      <c r="N91" s="4">
        <f>IF(ISERR(SEARCH("TRA* 82",C88)),IF(Q91+R91+S91=0,0,I91*(Q91/(Q91+R91+S91))),I91)</f>
        <v>0</v>
      </c>
      <c r="O91" s="4">
        <f>IF(ISERR(SEARCH("TRA* 82",C88)),IF(Q91+R91+S91=0,0,I91*(R91/(Q91+R91+S91))),0)</f>
        <v>0</v>
      </c>
      <c r="P91" s="4">
        <f>IF(ISERR(SEARCH("TRA* 82",C88)),I91-N91-O91,0)</f>
        <v>0</v>
      </c>
      <c r="Q91" s="4">
        <v>0</v>
      </c>
      <c r="R91" s="4">
        <v>0</v>
      </c>
      <c r="S91" s="4">
        <v>0</v>
      </c>
    </row>
    <row r="92" spans="1:19" x14ac:dyDescent="0.3">
      <c r="A92" s="100" t="s">
        <v>87</v>
      </c>
      <c r="B92" s="101"/>
      <c r="C92" s="101"/>
      <c r="D92" s="101"/>
      <c r="E92" s="101"/>
      <c r="F92" s="101"/>
      <c r="G92" s="101"/>
      <c r="H92" s="33">
        <f>H88+H89+H90+H91</f>
        <v>690.75</v>
      </c>
      <c r="I92" s="37">
        <f>I88+I89+I90+I91</f>
        <v>690.75</v>
      </c>
      <c r="J92">
        <v>5</v>
      </c>
    </row>
    <row r="93" spans="1:19" x14ac:dyDescent="0.3">
      <c r="A93" s="102" t="s">
        <v>586</v>
      </c>
      <c r="B93" s="102"/>
      <c r="C93" s="102"/>
      <c r="D93" s="102"/>
      <c r="E93" s="102"/>
      <c r="F93" s="102"/>
      <c r="G93" s="102"/>
      <c r="H93" s="102"/>
      <c r="I93" s="102"/>
    </row>
    <row r="94" spans="1:19" x14ac:dyDescent="0.3">
      <c r="A94" s="98" t="s">
        <v>587</v>
      </c>
      <c r="B94" s="98"/>
      <c r="C94" s="98"/>
      <c r="D94" s="98"/>
      <c r="E94" s="98"/>
      <c r="F94" s="98"/>
      <c r="G94" s="98"/>
      <c r="H94" s="98"/>
      <c r="I94" s="98"/>
    </row>
    <row r="95" spans="1:19" x14ac:dyDescent="0.3">
      <c r="A95" s="98" t="s">
        <v>582</v>
      </c>
      <c r="B95" s="98"/>
      <c r="C95" s="98"/>
      <c r="D95" s="98"/>
      <c r="E95" s="98"/>
      <c r="F95" s="98"/>
      <c r="G95" s="98"/>
      <c r="H95" s="98"/>
      <c r="I95" s="98"/>
    </row>
    <row r="96" spans="1:19" x14ac:dyDescent="0.3">
      <c r="A96" s="98" t="s">
        <v>583</v>
      </c>
      <c r="B96" s="98"/>
      <c r="C96" s="98"/>
      <c r="D96" s="98"/>
      <c r="E96" s="98"/>
      <c r="F96" s="98"/>
      <c r="G96" s="98"/>
      <c r="H96" s="98"/>
      <c r="I96" s="98"/>
    </row>
    <row r="97" spans="1:19" x14ac:dyDescent="0.3">
      <c r="A97" s="97" t="s">
        <v>588</v>
      </c>
      <c r="B97" s="97"/>
      <c r="C97" s="97"/>
      <c r="D97" s="97"/>
      <c r="E97" s="97"/>
      <c r="F97" s="97"/>
      <c r="G97" s="97"/>
      <c r="H97" s="97"/>
      <c r="I97" s="97"/>
    </row>
    <row r="98" spans="1:19" x14ac:dyDescent="0.3">
      <c r="B98" s="2">
        <v>11</v>
      </c>
      <c r="C98" s="3" t="s">
        <v>317</v>
      </c>
      <c r="D98" s="5" t="s">
        <v>29</v>
      </c>
      <c r="G98" s="30">
        <v>2</v>
      </c>
      <c r="H98" s="38">
        <f>175.15/G98</f>
        <v>87.575000000000003</v>
      </c>
      <c r="I98" s="29">
        <f>G98*H98</f>
        <v>175.15</v>
      </c>
      <c r="J98">
        <v>1</v>
      </c>
    </row>
    <row r="99" spans="1:19" x14ac:dyDescent="0.3">
      <c r="D99" s="15" t="str">
        <f>SUBSTITUTE("Sp.mat: 0.00%",".",IF(VALUE("1.2")=1.2,".",","),2)</f>
        <v>Sp.mat: 0.00%</v>
      </c>
      <c r="F99" s="15" t="str">
        <f>SUBSTITUTE("Sp.man: 0.00%",".",IF(VALUE("1.2")=1.2,".",","),2)</f>
        <v>Sp.man: 0.00%</v>
      </c>
      <c r="G99" s="35" t="str">
        <f>SUBSTITUTE("Sp.uti: 0.00%",".",IF(VALUE("1.2")=1.2,".",","),2)</f>
        <v>Sp.uti: 0.00%</v>
      </c>
      <c r="H99" s="38">
        <f>64.07/G98</f>
        <v>32.034999999999997</v>
      </c>
      <c r="I99" s="29">
        <f>G98*H99</f>
        <v>64.069999999999993</v>
      </c>
      <c r="J99">
        <v>2</v>
      </c>
    </row>
    <row r="100" spans="1:19" x14ac:dyDescent="0.3">
      <c r="A100" s="88" t="s">
        <v>318</v>
      </c>
      <c r="B100" s="98"/>
      <c r="C100" s="98"/>
      <c r="D100" s="98"/>
      <c r="E100" s="98"/>
      <c r="F100" s="98"/>
      <c r="G100" s="98"/>
      <c r="H100" s="38">
        <f>(1+IF(OR(ISERR(FIND(":",G99)),ISERR(FIND("%",G99))),0,MID(G99,FIND(":",G99)+2,FIND("%",G99)-FIND(":",G99)-2)/100))*0</f>
        <v>0</v>
      </c>
      <c r="I100" s="29">
        <f>G98*H100</f>
        <v>0</v>
      </c>
      <c r="J100">
        <v>3</v>
      </c>
      <c r="K100" s="4">
        <v>0</v>
      </c>
      <c r="L100" s="4">
        <v>0</v>
      </c>
      <c r="M100" s="4">
        <f>I100-K100-L100</f>
        <v>0</v>
      </c>
    </row>
    <row r="101" spans="1:19" x14ac:dyDescent="0.3">
      <c r="A101" s="98"/>
      <c r="B101" s="98"/>
      <c r="C101" s="98"/>
      <c r="D101" s="98"/>
      <c r="E101" s="98"/>
      <c r="F101" s="98"/>
      <c r="G101" s="98"/>
      <c r="H101" s="38">
        <f>0</f>
        <v>0</v>
      </c>
      <c r="I101" s="29">
        <f>G98*H101</f>
        <v>0</v>
      </c>
      <c r="J101">
        <v>4</v>
      </c>
      <c r="N101" s="4">
        <f>IF(ISERR(SEARCH("TRA* 82",C98)),IF(Q101+R101+S101=0,0,I101*(Q101/(Q101+R101+S101))),I101)</f>
        <v>0</v>
      </c>
      <c r="O101" s="4">
        <f>IF(ISERR(SEARCH("TRA* 82",C98)),IF(Q101+R101+S101=0,0,I101*(R101/(Q101+R101+S101))),0)</f>
        <v>0</v>
      </c>
      <c r="P101" s="4">
        <f>IF(ISERR(SEARCH("TRA* 82",C98)),I101-N101-O101,0)</f>
        <v>0</v>
      </c>
      <c r="Q101" s="4">
        <v>0</v>
      </c>
      <c r="R101" s="4">
        <v>0</v>
      </c>
      <c r="S101" s="4">
        <v>0</v>
      </c>
    </row>
    <row r="102" spans="1:19" x14ac:dyDescent="0.3">
      <c r="A102" s="100" t="s">
        <v>87</v>
      </c>
      <c r="B102" s="101"/>
      <c r="C102" s="101"/>
      <c r="D102" s="101"/>
      <c r="E102" s="101"/>
      <c r="F102" s="101"/>
      <c r="G102" s="101"/>
      <c r="H102" s="33">
        <f>H98+H99+H100+H101</f>
        <v>119.61</v>
      </c>
      <c r="I102" s="37">
        <f>I98+I99+I100+I101</f>
        <v>239.22</v>
      </c>
      <c r="J102">
        <v>5</v>
      </c>
    </row>
    <row r="103" spans="1:19" x14ac:dyDescent="0.3">
      <c r="A103" s="102" t="s">
        <v>589</v>
      </c>
      <c r="B103" s="102"/>
      <c r="C103" s="102"/>
      <c r="D103" s="102"/>
      <c r="E103" s="102"/>
      <c r="F103" s="102"/>
      <c r="G103" s="102"/>
      <c r="H103" s="102"/>
      <c r="I103" s="102"/>
    </row>
    <row r="104" spans="1:19" x14ac:dyDescent="0.3">
      <c r="A104" s="98" t="s">
        <v>590</v>
      </c>
      <c r="B104" s="98"/>
      <c r="C104" s="98"/>
      <c r="D104" s="98"/>
      <c r="E104" s="98"/>
      <c r="F104" s="98"/>
      <c r="G104" s="98"/>
      <c r="H104" s="98"/>
      <c r="I104" s="98"/>
    </row>
    <row r="105" spans="1:19" x14ac:dyDescent="0.3">
      <c r="A105" s="97" t="s">
        <v>591</v>
      </c>
      <c r="B105" s="97"/>
      <c r="C105" s="97"/>
      <c r="D105" s="97"/>
      <c r="E105" s="97"/>
      <c r="F105" s="97"/>
      <c r="G105" s="97"/>
      <c r="H105" s="97"/>
      <c r="I105" s="97"/>
    </row>
    <row r="106" spans="1:19" x14ac:dyDescent="0.3">
      <c r="B106" s="2">
        <v>12</v>
      </c>
      <c r="C106" s="3" t="s">
        <v>317</v>
      </c>
      <c r="D106" s="5" t="s">
        <v>29</v>
      </c>
      <c r="G106" s="30">
        <v>1</v>
      </c>
      <c r="H106" s="38">
        <v>315.32</v>
      </c>
      <c r="I106" s="29">
        <f>G106*H106</f>
        <v>315.32</v>
      </c>
      <c r="J106">
        <v>1</v>
      </c>
    </row>
    <row r="107" spans="1:19" x14ac:dyDescent="0.3">
      <c r="D107" s="15" t="str">
        <f>SUBSTITUTE("Sp.mat: 0.00%",".",IF(VALUE("1.2")=1.2,".",","),2)</f>
        <v>Sp.mat: 0.00%</v>
      </c>
      <c r="F107" s="15" t="str">
        <f>SUBSTITUTE("Sp.man: 0.00%",".",IF(VALUE("1.2")=1.2,".",","),2)</f>
        <v>Sp.man: 0.00%</v>
      </c>
      <c r="G107" s="35" t="str">
        <f>SUBSTITUTE("Sp.uti: 0.00%",".",IF(VALUE("1.2")=1.2,".",","),2)</f>
        <v>Sp.uti: 0.00%</v>
      </c>
      <c r="H107" s="38">
        <v>33.64</v>
      </c>
      <c r="I107" s="29">
        <f>G106*H107</f>
        <v>33.64</v>
      </c>
      <c r="J107">
        <v>2</v>
      </c>
    </row>
    <row r="108" spans="1:19" x14ac:dyDescent="0.3">
      <c r="A108" s="88" t="s">
        <v>318</v>
      </c>
      <c r="B108" s="98"/>
      <c r="C108" s="98"/>
      <c r="D108" s="98"/>
      <c r="E108" s="98"/>
      <c r="F108" s="98"/>
      <c r="G108" s="98"/>
      <c r="H108" s="38">
        <f>(1+IF(OR(ISERR(FIND(":",G107)),ISERR(FIND("%",G107))),0,MID(G107,FIND(":",G107)+2,FIND("%",G107)-FIND(":",G107)-2)/100))*0</f>
        <v>0</v>
      </c>
      <c r="I108" s="29">
        <f>G106*H108</f>
        <v>0</v>
      </c>
      <c r="J108">
        <v>3</v>
      </c>
      <c r="K108" s="4">
        <v>0</v>
      </c>
      <c r="L108" s="4">
        <v>0</v>
      </c>
      <c r="M108" s="4">
        <f>I108-K108-L108</f>
        <v>0</v>
      </c>
    </row>
    <row r="109" spans="1:19" x14ac:dyDescent="0.3">
      <c r="A109" s="98"/>
      <c r="B109" s="98"/>
      <c r="C109" s="98"/>
      <c r="D109" s="98"/>
      <c r="E109" s="98"/>
      <c r="F109" s="98"/>
      <c r="G109" s="98"/>
      <c r="H109" s="38">
        <f>0</f>
        <v>0</v>
      </c>
      <c r="I109" s="29">
        <f>G106*H109</f>
        <v>0</v>
      </c>
      <c r="J109">
        <v>4</v>
      </c>
      <c r="N109" s="4">
        <f>IF(ISERR(SEARCH("TRA* 82",C106)),IF(Q109+R109+S109=0,0,I109*(Q109/(Q109+R109+S109))),I109)</f>
        <v>0</v>
      </c>
      <c r="O109" s="4">
        <f>IF(ISERR(SEARCH("TRA* 82",C106)),IF(Q109+R109+S109=0,0,I109*(R109/(Q109+R109+S109))),0)</f>
        <v>0</v>
      </c>
      <c r="P109" s="4">
        <f>IF(ISERR(SEARCH("TRA* 82",C106)),I109-N109-O109,0)</f>
        <v>0</v>
      </c>
      <c r="Q109" s="4">
        <v>0</v>
      </c>
      <c r="R109" s="4">
        <v>0</v>
      </c>
      <c r="S109" s="4">
        <v>0</v>
      </c>
    </row>
    <row r="110" spans="1:19" x14ac:dyDescent="0.3">
      <c r="A110" s="100" t="s">
        <v>87</v>
      </c>
      <c r="B110" s="101"/>
      <c r="C110" s="101"/>
      <c r="D110" s="101"/>
      <c r="E110" s="101"/>
      <c r="F110" s="101"/>
      <c r="G110" s="101"/>
      <c r="H110" s="33">
        <f>H106+H107+H108+H109</f>
        <v>348.96</v>
      </c>
      <c r="I110" s="37">
        <f>I106+I107+I108+I109</f>
        <v>348.96</v>
      </c>
      <c r="J110">
        <v>5</v>
      </c>
    </row>
    <row r="111" spans="1:19" x14ac:dyDescent="0.3">
      <c r="A111" s="102" t="s">
        <v>592</v>
      </c>
      <c r="B111" s="102"/>
      <c r="C111" s="102"/>
      <c r="D111" s="102"/>
      <c r="E111" s="102"/>
      <c r="F111" s="102"/>
      <c r="G111" s="102"/>
      <c r="H111" s="102"/>
      <c r="I111" s="102"/>
    </row>
    <row r="112" spans="1:19" x14ac:dyDescent="0.3">
      <c r="A112" s="98" t="s">
        <v>593</v>
      </c>
      <c r="B112" s="98"/>
      <c r="C112" s="98"/>
      <c r="D112" s="98"/>
      <c r="E112" s="98"/>
      <c r="F112" s="98"/>
      <c r="G112" s="98"/>
      <c r="H112" s="98"/>
      <c r="I112" s="98"/>
    </row>
    <row r="113" spans="1:19" x14ac:dyDescent="0.3">
      <c r="A113" s="97" t="s">
        <v>591</v>
      </c>
      <c r="B113" s="97"/>
      <c r="C113" s="97"/>
      <c r="D113" s="97"/>
      <c r="E113" s="97"/>
      <c r="F113" s="97"/>
      <c r="G113" s="97"/>
      <c r="H113" s="97"/>
      <c r="I113" s="97"/>
    </row>
    <row r="114" spans="1:19" x14ac:dyDescent="0.3">
      <c r="B114" s="2">
        <v>13</v>
      </c>
      <c r="C114" s="3" t="s">
        <v>317</v>
      </c>
      <c r="D114" s="5" t="s">
        <v>29</v>
      </c>
      <c r="G114" s="30">
        <v>1</v>
      </c>
      <c r="H114" s="38">
        <v>315.07</v>
      </c>
      <c r="I114" s="29">
        <f>G114*H114</f>
        <v>315.07</v>
      </c>
      <c r="J114">
        <v>1</v>
      </c>
    </row>
    <row r="115" spans="1:19" x14ac:dyDescent="0.3">
      <c r="D115" s="15" t="str">
        <f>SUBSTITUTE("Sp.mat: 0.00%",".",IF(VALUE("1.2")=1.2,".",","),2)</f>
        <v>Sp.mat: 0.00%</v>
      </c>
      <c r="F115" s="15" t="str">
        <f>SUBSTITUTE("Sp.man: 0.00%",".",IF(VALUE("1.2")=1.2,".",","),2)</f>
        <v>Sp.man: 0.00%</v>
      </c>
      <c r="G115" s="35" t="str">
        <f>SUBSTITUTE("Sp.uti: 0.00%",".",IF(VALUE("1.2")=1.2,".",","),2)</f>
        <v>Sp.uti: 0.00%</v>
      </c>
      <c r="H115" s="38">
        <v>35.24</v>
      </c>
      <c r="I115" s="29">
        <f>G114*H115</f>
        <v>35.24</v>
      </c>
      <c r="J115">
        <v>2</v>
      </c>
    </row>
    <row r="116" spans="1:19" x14ac:dyDescent="0.3">
      <c r="A116" s="88" t="s">
        <v>318</v>
      </c>
      <c r="B116" s="98"/>
      <c r="C116" s="98"/>
      <c r="D116" s="98"/>
      <c r="E116" s="98"/>
      <c r="F116" s="98"/>
      <c r="G116" s="98"/>
      <c r="H116" s="38">
        <f>(1+IF(OR(ISERR(FIND(":",G115)),ISERR(FIND("%",G115))),0,MID(G115,FIND(":",G115)+2,FIND("%",G115)-FIND(":",G115)-2)/100))*0</f>
        <v>0</v>
      </c>
      <c r="I116" s="29">
        <f>G114*H116</f>
        <v>0</v>
      </c>
      <c r="J116">
        <v>3</v>
      </c>
      <c r="K116" s="4">
        <v>0</v>
      </c>
      <c r="L116" s="4">
        <v>0</v>
      </c>
      <c r="M116" s="4">
        <f>I116-K116-L116</f>
        <v>0</v>
      </c>
    </row>
    <row r="117" spans="1:19" x14ac:dyDescent="0.3">
      <c r="A117" s="98"/>
      <c r="B117" s="98"/>
      <c r="C117" s="98"/>
      <c r="D117" s="98"/>
      <c r="E117" s="98"/>
      <c r="F117" s="98"/>
      <c r="G117" s="98"/>
      <c r="H117" s="38">
        <f>0</f>
        <v>0</v>
      </c>
      <c r="I117" s="29">
        <f>G114*H117</f>
        <v>0</v>
      </c>
      <c r="J117">
        <v>4</v>
      </c>
      <c r="N117" s="4">
        <f>IF(ISERR(SEARCH("TRA* 82",C114)),IF(Q117+R117+S117=0,0,I117*(Q117/(Q117+R117+S117))),I117)</f>
        <v>0</v>
      </c>
      <c r="O117" s="4">
        <f>IF(ISERR(SEARCH("TRA* 82",C114)),IF(Q117+R117+S117=0,0,I117*(R117/(Q117+R117+S117))),0)</f>
        <v>0</v>
      </c>
      <c r="P117" s="4">
        <f>IF(ISERR(SEARCH("TRA* 82",C114)),I117-N117-O117,0)</f>
        <v>0</v>
      </c>
      <c r="Q117" s="4">
        <v>0</v>
      </c>
      <c r="R117" s="4">
        <v>0</v>
      </c>
      <c r="S117" s="4">
        <v>0</v>
      </c>
    </row>
    <row r="118" spans="1:19" x14ac:dyDescent="0.3">
      <c r="A118" s="100" t="s">
        <v>87</v>
      </c>
      <c r="B118" s="101"/>
      <c r="C118" s="101"/>
      <c r="D118" s="101"/>
      <c r="E118" s="101"/>
      <c r="F118" s="101"/>
      <c r="G118" s="101"/>
      <c r="H118" s="33">
        <f>H114+H115+H116+H117</f>
        <v>350.31</v>
      </c>
      <c r="I118" s="37">
        <f>I114+I115+I116+I117</f>
        <v>350.31</v>
      </c>
      <c r="J118">
        <v>5</v>
      </c>
    </row>
    <row r="119" spans="1:19" x14ac:dyDescent="0.3">
      <c r="A119" s="102" t="s">
        <v>594</v>
      </c>
      <c r="B119" s="102"/>
      <c r="C119" s="102"/>
      <c r="D119" s="102"/>
      <c r="E119" s="102"/>
      <c r="F119" s="102"/>
      <c r="G119" s="102"/>
      <c r="H119" s="102"/>
      <c r="I119" s="102"/>
    </row>
    <row r="120" spans="1:19" x14ac:dyDescent="0.3">
      <c r="A120" s="98" t="s">
        <v>593</v>
      </c>
      <c r="B120" s="98"/>
      <c r="C120" s="98"/>
      <c r="D120" s="98"/>
      <c r="E120" s="98"/>
      <c r="F120" s="98"/>
      <c r="G120" s="98"/>
      <c r="H120" s="98"/>
      <c r="I120" s="98"/>
    </row>
    <row r="121" spans="1:19" x14ac:dyDescent="0.3">
      <c r="A121" s="97" t="s">
        <v>591</v>
      </c>
      <c r="B121" s="97"/>
      <c r="C121" s="97"/>
      <c r="D121" s="97"/>
      <c r="E121" s="97"/>
      <c r="F121" s="97"/>
      <c r="G121" s="97"/>
      <c r="H121" s="97"/>
      <c r="I121" s="97"/>
    </row>
    <row r="122" spans="1:19" x14ac:dyDescent="0.3">
      <c r="B122" s="2">
        <v>14</v>
      </c>
      <c r="C122" s="3" t="s">
        <v>317</v>
      </c>
      <c r="D122" s="5" t="s">
        <v>29</v>
      </c>
      <c r="G122" s="30">
        <v>2</v>
      </c>
      <c r="H122" s="38">
        <v>473.68</v>
      </c>
      <c r="I122" s="29">
        <f>G122*H122</f>
        <v>947.36</v>
      </c>
      <c r="J122">
        <v>1</v>
      </c>
    </row>
    <row r="123" spans="1:19" x14ac:dyDescent="0.3">
      <c r="D123" s="15" t="str">
        <f>SUBSTITUTE("Sp.mat: 0.00%",".",IF(VALUE("1.2")=1.2,".",","),2)</f>
        <v>Sp.mat: 0.00%</v>
      </c>
      <c r="F123" s="15" t="str">
        <f>SUBSTITUTE("Sp.man: 0.00%",".",IF(VALUE("1.2")=1.2,".",","),2)</f>
        <v>Sp.man: 0.00%</v>
      </c>
      <c r="G123" s="35" t="str">
        <f>SUBSTITUTE("Sp.uti: 0.00%",".",IF(VALUE("1.2")=1.2,".",","),2)</f>
        <v>Sp.uti: 0.00%</v>
      </c>
      <c r="H123" s="38">
        <v>36.840000000000003</v>
      </c>
      <c r="I123" s="29">
        <f>G122*H123</f>
        <v>73.680000000000007</v>
      </c>
      <c r="J123">
        <v>2</v>
      </c>
    </row>
    <row r="124" spans="1:19" x14ac:dyDescent="0.3">
      <c r="A124" s="88" t="s">
        <v>318</v>
      </c>
      <c r="B124" s="98"/>
      <c r="C124" s="98"/>
      <c r="D124" s="98"/>
      <c r="E124" s="98"/>
      <c r="F124" s="98"/>
      <c r="G124" s="98"/>
      <c r="H124" s="38">
        <f>(1+IF(OR(ISERR(FIND(":",G123)),ISERR(FIND("%",G123))),0,MID(G123,FIND(":",G123)+2,FIND("%",G123)-FIND(":",G123)-2)/100))*0</f>
        <v>0</v>
      </c>
      <c r="I124" s="29">
        <f>G122*H124</f>
        <v>0</v>
      </c>
      <c r="J124">
        <v>3</v>
      </c>
      <c r="K124" s="4">
        <v>0</v>
      </c>
      <c r="L124" s="4">
        <v>0</v>
      </c>
      <c r="M124" s="4">
        <f>I124-K124-L124</f>
        <v>0</v>
      </c>
    </row>
    <row r="125" spans="1:19" x14ac:dyDescent="0.3">
      <c r="A125" s="98"/>
      <c r="B125" s="98"/>
      <c r="C125" s="98"/>
      <c r="D125" s="98"/>
      <c r="E125" s="98"/>
      <c r="F125" s="98"/>
      <c r="G125" s="98"/>
      <c r="H125" s="38">
        <f>0</f>
        <v>0</v>
      </c>
      <c r="I125" s="29">
        <f>G122*H125</f>
        <v>0</v>
      </c>
      <c r="J125">
        <v>4</v>
      </c>
      <c r="N125" s="4">
        <f>IF(ISERR(SEARCH("TRA* 82",C122)),IF(Q125+R125+S125=0,0,I125*(Q125/(Q125+R125+S125))),I125)</f>
        <v>0</v>
      </c>
      <c r="O125" s="4">
        <f>IF(ISERR(SEARCH("TRA* 82",C122)),IF(Q125+R125+S125=0,0,I125*(R125/(Q125+R125+S125))),0)</f>
        <v>0</v>
      </c>
      <c r="P125" s="4">
        <f>IF(ISERR(SEARCH("TRA* 82",C122)),I125-N125-O125,0)</f>
        <v>0</v>
      </c>
      <c r="Q125" s="4">
        <v>0</v>
      </c>
      <c r="R125" s="4">
        <v>0</v>
      </c>
      <c r="S125" s="4">
        <v>0</v>
      </c>
    </row>
    <row r="126" spans="1:19" x14ac:dyDescent="0.3">
      <c r="A126" s="100" t="s">
        <v>87</v>
      </c>
      <c r="B126" s="101"/>
      <c r="C126" s="101"/>
      <c r="D126" s="101"/>
      <c r="E126" s="101"/>
      <c r="F126" s="101"/>
      <c r="G126" s="101"/>
      <c r="H126" s="33">
        <f>H122+H123+H124+H125</f>
        <v>510.52</v>
      </c>
      <c r="I126" s="37">
        <f>I122+I123+I124+I125</f>
        <v>1021.04</v>
      </c>
      <c r="J126">
        <v>5</v>
      </c>
    </row>
    <row r="127" spans="1:19" x14ac:dyDescent="0.3">
      <c r="A127" s="102" t="s">
        <v>595</v>
      </c>
      <c r="B127" s="102"/>
      <c r="C127" s="102"/>
      <c r="D127" s="102"/>
      <c r="E127" s="102"/>
      <c r="F127" s="102"/>
      <c r="G127" s="102"/>
      <c r="H127" s="102"/>
      <c r="I127" s="102"/>
    </row>
    <row r="128" spans="1:19" x14ac:dyDescent="0.3">
      <c r="A128" s="98" t="s">
        <v>593</v>
      </c>
      <c r="B128" s="98"/>
      <c r="C128" s="98"/>
      <c r="D128" s="98"/>
      <c r="E128" s="98"/>
      <c r="F128" s="98"/>
      <c r="G128" s="98"/>
      <c r="H128" s="98"/>
      <c r="I128" s="98"/>
    </row>
    <row r="129" spans="1:19" x14ac:dyDescent="0.3">
      <c r="A129" s="97" t="s">
        <v>596</v>
      </c>
      <c r="B129" s="97"/>
      <c r="C129" s="97"/>
      <c r="D129" s="97"/>
      <c r="E129" s="97"/>
      <c r="F129" s="97"/>
      <c r="G129" s="97"/>
      <c r="H129" s="97"/>
      <c r="I129" s="97"/>
    </row>
    <row r="130" spans="1:19" x14ac:dyDescent="0.3">
      <c r="B130" s="2">
        <v>15</v>
      </c>
      <c r="C130" s="3" t="s">
        <v>317</v>
      </c>
      <c r="D130" s="5" t="s">
        <v>29</v>
      </c>
      <c r="G130" s="30">
        <v>4</v>
      </c>
      <c r="H130" s="38">
        <v>320.04000000000002</v>
      </c>
      <c r="I130" s="29">
        <f>G130*H130</f>
        <v>1280.1600000000001</v>
      </c>
      <c r="J130">
        <v>1</v>
      </c>
    </row>
    <row r="131" spans="1:19" x14ac:dyDescent="0.3">
      <c r="D131" s="15" t="str">
        <f>SUBSTITUTE("Sp.mat: 0.00%",".",IF(VALUE("1.2")=1.2,".",","),2)</f>
        <v>Sp.mat: 0.00%</v>
      </c>
      <c r="F131" s="15" t="str">
        <f>SUBSTITUTE("Sp.man: 0.00%",".",IF(VALUE("1.2")=1.2,".",","),2)</f>
        <v>Sp.man: 0.00%</v>
      </c>
      <c r="G131" s="35" t="str">
        <f>SUBSTITUTE("Sp.uti: 0.00%",".",IF(VALUE("1.2")=1.2,".",","),2)</f>
        <v>Sp.uti: 0.00%</v>
      </c>
      <c r="H131" s="38">
        <v>38.44</v>
      </c>
      <c r="I131" s="29">
        <f>G130*H131</f>
        <v>153.76</v>
      </c>
      <c r="J131">
        <v>2</v>
      </c>
    </row>
    <row r="132" spans="1:19" x14ac:dyDescent="0.3">
      <c r="A132" s="88" t="s">
        <v>318</v>
      </c>
      <c r="B132" s="98"/>
      <c r="C132" s="98"/>
      <c r="D132" s="98"/>
      <c r="E132" s="98"/>
      <c r="F132" s="98"/>
      <c r="G132" s="98"/>
      <c r="H132" s="38">
        <f>(1+IF(OR(ISERR(FIND(":",G131)),ISERR(FIND("%",G131))),0,MID(G131,FIND(":",G131)+2,FIND("%",G131)-FIND(":",G131)-2)/100))*0</f>
        <v>0</v>
      </c>
      <c r="I132" s="29">
        <f>G130*H132</f>
        <v>0</v>
      </c>
      <c r="J132">
        <v>3</v>
      </c>
      <c r="K132" s="4">
        <v>0</v>
      </c>
      <c r="L132" s="4">
        <v>0</v>
      </c>
      <c r="M132" s="4">
        <f>I132-K132-L132</f>
        <v>0</v>
      </c>
    </row>
    <row r="133" spans="1:19" x14ac:dyDescent="0.3">
      <c r="A133" s="98"/>
      <c r="B133" s="98"/>
      <c r="C133" s="98"/>
      <c r="D133" s="98"/>
      <c r="E133" s="98"/>
      <c r="F133" s="98"/>
      <c r="G133" s="98"/>
      <c r="H133" s="38">
        <f>0</f>
        <v>0</v>
      </c>
      <c r="I133" s="29">
        <f>G130*H133</f>
        <v>0</v>
      </c>
      <c r="J133">
        <v>4</v>
      </c>
      <c r="N133" s="4">
        <f>IF(ISERR(SEARCH("TRA* 82",C130)),IF(Q133+R133+S133=0,0,I133*(Q133/(Q133+R133+S133))),I133)</f>
        <v>0</v>
      </c>
      <c r="O133" s="4">
        <f>IF(ISERR(SEARCH("TRA* 82",C130)),IF(Q133+R133+S133=0,0,I133*(R133/(Q133+R133+S133))),0)</f>
        <v>0</v>
      </c>
      <c r="P133" s="4">
        <f>IF(ISERR(SEARCH("TRA* 82",C130)),I133-N133-O133,0)</f>
        <v>0</v>
      </c>
      <c r="Q133" s="4">
        <v>0</v>
      </c>
      <c r="R133" s="4">
        <v>0</v>
      </c>
      <c r="S133" s="4">
        <v>0</v>
      </c>
    </row>
    <row r="134" spans="1:19" x14ac:dyDescent="0.3">
      <c r="A134" s="100" t="s">
        <v>87</v>
      </c>
      <c r="B134" s="101"/>
      <c r="C134" s="101"/>
      <c r="D134" s="101"/>
      <c r="E134" s="101"/>
      <c r="F134" s="101"/>
      <c r="G134" s="101"/>
      <c r="H134" s="33">
        <f>H130+H131+H132+H133</f>
        <v>358.48</v>
      </c>
      <c r="I134" s="37">
        <f>I130+I131+I132+I133</f>
        <v>1433.92</v>
      </c>
      <c r="J134">
        <v>5</v>
      </c>
    </row>
    <row r="135" spans="1:19" x14ac:dyDescent="0.3">
      <c r="A135" s="102" t="s">
        <v>597</v>
      </c>
      <c r="B135" s="102"/>
      <c r="C135" s="102"/>
      <c r="D135" s="102"/>
      <c r="E135" s="102"/>
      <c r="F135" s="102"/>
      <c r="G135" s="102"/>
      <c r="H135" s="102"/>
      <c r="I135" s="102"/>
    </row>
    <row r="136" spans="1:19" x14ac:dyDescent="0.3">
      <c r="A136" s="98" t="s">
        <v>593</v>
      </c>
      <c r="B136" s="98"/>
      <c r="C136" s="98"/>
      <c r="D136" s="98"/>
      <c r="E136" s="98"/>
      <c r="F136" s="98"/>
      <c r="G136" s="98"/>
      <c r="H136" s="98"/>
      <c r="I136" s="98"/>
    </row>
    <row r="137" spans="1:19" x14ac:dyDescent="0.3">
      <c r="A137" s="97" t="s">
        <v>596</v>
      </c>
      <c r="B137" s="97"/>
      <c r="C137" s="97"/>
      <c r="D137" s="97"/>
      <c r="E137" s="97"/>
      <c r="F137" s="97"/>
      <c r="G137" s="97"/>
      <c r="H137" s="97"/>
      <c r="I137" s="97"/>
    </row>
    <row r="138" spans="1:19" x14ac:dyDescent="0.3">
      <c r="B138" s="2">
        <v>16</v>
      </c>
      <c r="C138" s="3" t="s">
        <v>317</v>
      </c>
      <c r="D138" s="5" t="s">
        <v>29</v>
      </c>
      <c r="G138" s="30">
        <v>1</v>
      </c>
      <c r="H138" s="38">
        <v>111.63</v>
      </c>
      <c r="I138" s="29">
        <f>G138*H138</f>
        <v>111.63</v>
      </c>
      <c r="J138">
        <v>1</v>
      </c>
    </row>
    <row r="139" spans="1:19" x14ac:dyDescent="0.3">
      <c r="D139" s="15" t="str">
        <f>SUBSTITUTE("Sp.mat: 0.00%",".",IF(VALUE("1.2")=1.2,".",","),2)</f>
        <v>Sp.mat: 0.00%</v>
      </c>
      <c r="F139" s="15" t="str">
        <f>SUBSTITUTE("Sp.man: 0.00%",".",IF(VALUE("1.2")=1.2,".",","),2)</f>
        <v>Sp.man: 0.00%</v>
      </c>
      <c r="G139" s="35" t="str">
        <f>SUBSTITUTE("Sp.uti: 0.00%",".",IF(VALUE("1.2")=1.2,".",","),2)</f>
        <v>Sp.uti: 0.00%</v>
      </c>
      <c r="H139" s="38">
        <v>32.03</v>
      </c>
      <c r="I139" s="29">
        <f>G138*H139</f>
        <v>32.03</v>
      </c>
      <c r="J139">
        <v>2</v>
      </c>
    </row>
    <row r="140" spans="1:19" x14ac:dyDescent="0.3">
      <c r="A140" s="88" t="s">
        <v>318</v>
      </c>
      <c r="B140" s="98"/>
      <c r="C140" s="98"/>
      <c r="D140" s="98"/>
      <c r="E140" s="98"/>
      <c r="F140" s="98"/>
      <c r="G140" s="98"/>
      <c r="H140" s="38">
        <f>(1+IF(OR(ISERR(FIND(":",G139)),ISERR(FIND("%",G139))),0,MID(G139,FIND(":",G139)+2,FIND("%",G139)-FIND(":",G139)-2)/100))*0</f>
        <v>0</v>
      </c>
      <c r="I140" s="29">
        <f>G138*H140</f>
        <v>0</v>
      </c>
      <c r="J140">
        <v>3</v>
      </c>
      <c r="K140" s="4">
        <v>0</v>
      </c>
      <c r="L140" s="4">
        <v>0</v>
      </c>
      <c r="M140" s="4">
        <f>I140-K140-L140</f>
        <v>0</v>
      </c>
    </row>
    <row r="141" spans="1:19" x14ac:dyDescent="0.3">
      <c r="A141" s="98"/>
      <c r="B141" s="98"/>
      <c r="C141" s="98"/>
      <c r="D141" s="98"/>
      <c r="E141" s="98"/>
      <c r="F141" s="98"/>
      <c r="G141" s="98"/>
      <c r="H141" s="38">
        <f>0</f>
        <v>0</v>
      </c>
      <c r="I141" s="29">
        <f>G138*H141</f>
        <v>0</v>
      </c>
      <c r="J141">
        <v>4</v>
      </c>
      <c r="N141" s="4">
        <f>IF(ISERR(SEARCH("TRA* 82",C138)),IF(Q141+R141+S141=0,0,I141*(Q141/(Q141+R141+S141))),I141)</f>
        <v>0</v>
      </c>
      <c r="O141" s="4">
        <f>IF(ISERR(SEARCH("TRA* 82",C138)),IF(Q141+R141+S141=0,0,I141*(R141/(Q141+R141+S141))),0)</f>
        <v>0</v>
      </c>
      <c r="P141" s="4">
        <f>IF(ISERR(SEARCH("TRA* 82",C138)),I141-N141-O141,0)</f>
        <v>0</v>
      </c>
      <c r="Q141" s="4">
        <v>0</v>
      </c>
      <c r="R141" s="4">
        <v>0</v>
      </c>
      <c r="S141" s="4">
        <v>0</v>
      </c>
    </row>
    <row r="142" spans="1:19" x14ac:dyDescent="0.3">
      <c r="A142" s="100" t="s">
        <v>87</v>
      </c>
      <c r="B142" s="101"/>
      <c r="C142" s="101"/>
      <c r="D142" s="101"/>
      <c r="E142" s="101"/>
      <c r="F142" s="101"/>
      <c r="G142" s="101"/>
      <c r="H142" s="33">
        <f>H138+H139+H140+H141</f>
        <v>143.66</v>
      </c>
      <c r="I142" s="37">
        <f>I138+I139+I140+I141</f>
        <v>143.66</v>
      </c>
      <c r="J142">
        <v>5</v>
      </c>
    </row>
    <row r="143" spans="1:19" x14ac:dyDescent="0.3">
      <c r="A143" s="102" t="s">
        <v>598</v>
      </c>
      <c r="B143" s="102"/>
      <c r="C143" s="102"/>
      <c r="D143" s="102"/>
      <c r="E143" s="102"/>
      <c r="F143" s="102"/>
      <c r="G143" s="102"/>
      <c r="H143" s="102"/>
      <c r="I143" s="102"/>
    </row>
    <row r="144" spans="1:19" x14ac:dyDescent="0.3">
      <c r="A144" s="98" t="s">
        <v>590</v>
      </c>
      <c r="B144" s="98"/>
      <c r="C144" s="98"/>
      <c r="D144" s="98"/>
      <c r="E144" s="98"/>
      <c r="F144" s="98"/>
      <c r="G144" s="98"/>
      <c r="H144" s="98"/>
      <c r="I144" s="98"/>
    </row>
    <row r="145" spans="1:19" x14ac:dyDescent="0.3">
      <c r="A145" s="97" t="s">
        <v>591</v>
      </c>
      <c r="B145" s="97"/>
      <c r="C145" s="97"/>
      <c r="D145" s="97"/>
      <c r="E145" s="97"/>
      <c r="F145" s="97"/>
      <c r="G145" s="97"/>
      <c r="H145" s="97"/>
      <c r="I145" s="97"/>
    </row>
    <row r="146" spans="1:19" x14ac:dyDescent="0.3">
      <c r="B146" s="2">
        <v>17</v>
      </c>
      <c r="C146" s="3" t="s">
        <v>317</v>
      </c>
      <c r="D146" s="5" t="s">
        <v>29</v>
      </c>
      <c r="G146" s="30">
        <v>3</v>
      </c>
      <c r="H146" s="38">
        <v>137.15</v>
      </c>
      <c r="I146" s="29">
        <f>G146*H146</f>
        <v>411.45000000000005</v>
      </c>
      <c r="J146">
        <v>1</v>
      </c>
    </row>
    <row r="147" spans="1:19" x14ac:dyDescent="0.3">
      <c r="D147" s="15" t="str">
        <f>SUBSTITUTE("Sp.mat: 0.00%",".",IF(VALUE("1.2")=1.2,".",","),2)</f>
        <v>Sp.mat: 0.00%</v>
      </c>
      <c r="F147" s="15" t="str">
        <f>SUBSTITUTE("Sp.man: 0.00%",".",IF(VALUE("1.2")=1.2,".",","),2)</f>
        <v>Sp.man: 0.00%</v>
      </c>
      <c r="G147" s="35" t="str">
        <f>SUBSTITUTE("Sp.uti: 0.00%",".",IF(VALUE("1.2")=1.2,".",","),2)</f>
        <v>Sp.uti: 0.00%</v>
      </c>
      <c r="H147" s="38">
        <v>32.03</v>
      </c>
      <c r="I147" s="29">
        <f>G146*H147</f>
        <v>96.09</v>
      </c>
      <c r="J147">
        <v>2</v>
      </c>
    </row>
    <row r="148" spans="1:19" x14ac:dyDescent="0.3">
      <c r="A148" s="88" t="s">
        <v>318</v>
      </c>
      <c r="B148" s="98"/>
      <c r="C148" s="98"/>
      <c r="D148" s="98"/>
      <c r="E148" s="98"/>
      <c r="F148" s="98"/>
      <c r="G148" s="98"/>
      <c r="H148" s="38">
        <f>(1+IF(OR(ISERR(FIND(":",G147)),ISERR(FIND("%",G147))),0,MID(G147,FIND(":",G147)+2,FIND("%",G147)-FIND(":",G147)-2)/100))*0</f>
        <v>0</v>
      </c>
      <c r="I148" s="29">
        <f>G146*H148</f>
        <v>0</v>
      </c>
      <c r="J148">
        <v>3</v>
      </c>
      <c r="K148" s="4">
        <v>0</v>
      </c>
      <c r="L148" s="4">
        <v>0</v>
      </c>
      <c r="M148" s="4">
        <f>I148-K148-L148</f>
        <v>0</v>
      </c>
    </row>
    <row r="149" spans="1:19" x14ac:dyDescent="0.3">
      <c r="A149" s="98"/>
      <c r="B149" s="98"/>
      <c r="C149" s="98"/>
      <c r="D149" s="98"/>
      <c r="E149" s="98"/>
      <c r="F149" s="98"/>
      <c r="G149" s="98"/>
      <c r="H149" s="38">
        <f>0</f>
        <v>0</v>
      </c>
      <c r="I149" s="29">
        <f>G146*H149</f>
        <v>0</v>
      </c>
      <c r="J149">
        <v>4</v>
      </c>
      <c r="N149" s="4">
        <f>IF(ISERR(SEARCH("TRA* 82",C146)),IF(Q149+R149+S149=0,0,I149*(Q149/(Q149+R149+S149))),I149)</f>
        <v>0</v>
      </c>
      <c r="O149" s="4">
        <f>IF(ISERR(SEARCH("TRA* 82",C146)),IF(Q149+R149+S149=0,0,I149*(R149/(Q149+R149+S149))),0)</f>
        <v>0</v>
      </c>
      <c r="P149" s="4">
        <f>IF(ISERR(SEARCH("TRA* 82",C146)),I149-N149-O149,0)</f>
        <v>0</v>
      </c>
      <c r="Q149" s="4">
        <v>0</v>
      </c>
      <c r="R149" s="4">
        <v>0</v>
      </c>
      <c r="S149" s="4">
        <v>0</v>
      </c>
    </row>
    <row r="150" spans="1:19" x14ac:dyDescent="0.3">
      <c r="A150" s="100" t="s">
        <v>87</v>
      </c>
      <c r="B150" s="101"/>
      <c r="C150" s="101"/>
      <c r="D150" s="101"/>
      <c r="E150" s="101"/>
      <c r="F150" s="101"/>
      <c r="G150" s="101"/>
      <c r="H150" s="33">
        <f>H146+H147+H148+H149</f>
        <v>169.18</v>
      </c>
      <c r="I150" s="37">
        <f>I146+I147+I148+I149</f>
        <v>507.54000000000008</v>
      </c>
      <c r="J150">
        <v>5</v>
      </c>
    </row>
    <row r="151" spans="1:19" x14ac:dyDescent="0.3">
      <c r="A151" s="102" t="s">
        <v>599</v>
      </c>
      <c r="B151" s="102"/>
      <c r="C151" s="102"/>
      <c r="D151" s="102"/>
      <c r="E151" s="102"/>
      <c r="F151" s="102"/>
      <c r="G151" s="102"/>
      <c r="H151" s="102"/>
      <c r="I151" s="102"/>
    </row>
    <row r="152" spans="1:19" x14ac:dyDescent="0.3">
      <c r="A152" s="98" t="s">
        <v>590</v>
      </c>
      <c r="B152" s="98"/>
      <c r="C152" s="98"/>
      <c r="D152" s="98"/>
      <c r="E152" s="98"/>
      <c r="F152" s="98"/>
      <c r="G152" s="98"/>
      <c r="H152" s="98"/>
      <c r="I152" s="98"/>
    </row>
    <row r="153" spans="1:19" x14ac:dyDescent="0.3">
      <c r="A153" s="97" t="s">
        <v>600</v>
      </c>
      <c r="B153" s="97"/>
      <c r="C153" s="97"/>
      <c r="D153" s="97"/>
      <c r="E153" s="97"/>
      <c r="F153" s="97"/>
      <c r="G153" s="97"/>
      <c r="H153" s="97"/>
      <c r="I153" s="97"/>
    </row>
    <row r="154" spans="1:19" x14ac:dyDescent="0.3">
      <c r="B154" s="2">
        <v>18</v>
      </c>
      <c r="C154" s="3" t="s">
        <v>317</v>
      </c>
      <c r="D154" s="5" t="s">
        <v>29</v>
      </c>
      <c r="G154" s="30">
        <v>1</v>
      </c>
      <c r="H154" s="38">
        <v>150.58000000000001</v>
      </c>
      <c r="I154" s="29">
        <f>G154*H154</f>
        <v>150.58000000000001</v>
      </c>
      <c r="J154">
        <v>1</v>
      </c>
    </row>
    <row r="155" spans="1:19" x14ac:dyDescent="0.3">
      <c r="D155" s="15" t="str">
        <f>SUBSTITUTE("Sp.mat: 0.00%",".",IF(VALUE("1.2")=1.2,".",","),2)</f>
        <v>Sp.mat: 0.00%</v>
      </c>
      <c r="F155" s="15" t="str">
        <f>SUBSTITUTE("Sp.man: 0.00%",".",IF(VALUE("1.2")=1.2,".",","),2)</f>
        <v>Sp.man: 0.00%</v>
      </c>
      <c r="G155" s="35" t="str">
        <f>SUBSTITUTE("Sp.uti: 0.00%",".",IF(VALUE("1.2")=1.2,".",","),2)</f>
        <v>Sp.uti: 0.00%</v>
      </c>
      <c r="H155" s="38">
        <v>32.03</v>
      </c>
      <c r="I155" s="29">
        <f>G154*H155</f>
        <v>32.03</v>
      </c>
      <c r="J155">
        <v>2</v>
      </c>
    </row>
    <row r="156" spans="1:19" x14ac:dyDescent="0.3">
      <c r="A156" s="88" t="s">
        <v>318</v>
      </c>
      <c r="B156" s="98"/>
      <c r="C156" s="98"/>
      <c r="D156" s="98"/>
      <c r="E156" s="98"/>
      <c r="F156" s="98"/>
      <c r="G156" s="98"/>
      <c r="H156" s="38">
        <f>(1+IF(OR(ISERR(FIND(":",G155)),ISERR(FIND("%",G155))),0,MID(G155,FIND(":",G155)+2,FIND("%",G155)-FIND(":",G155)-2)/100))*0</f>
        <v>0</v>
      </c>
      <c r="I156" s="29">
        <f>G154*H156</f>
        <v>0</v>
      </c>
      <c r="J156">
        <v>3</v>
      </c>
      <c r="K156" s="4">
        <v>0</v>
      </c>
      <c r="L156" s="4">
        <v>0</v>
      </c>
      <c r="M156" s="4">
        <f>I156-K156-L156</f>
        <v>0</v>
      </c>
    </row>
    <row r="157" spans="1:19" x14ac:dyDescent="0.3">
      <c r="A157" s="98"/>
      <c r="B157" s="98"/>
      <c r="C157" s="98"/>
      <c r="D157" s="98"/>
      <c r="E157" s="98"/>
      <c r="F157" s="98"/>
      <c r="G157" s="98"/>
      <c r="H157" s="38">
        <f>0</f>
        <v>0</v>
      </c>
      <c r="I157" s="29">
        <f>G154*H157</f>
        <v>0</v>
      </c>
      <c r="J157">
        <v>4</v>
      </c>
      <c r="N157" s="4">
        <f>IF(ISERR(SEARCH("TRA* 82",C154)),IF(Q157+R157+S157=0,0,I157*(Q157/(Q157+R157+S157))),I157)</f>
        <v>0</v>
      </c>
      <c r="O157" s="4">
        <f>IF(ISERR(SEARCH("TRA* 82",C154)),IF(Q157+R157+S157=0,0,I157*(R157/(Q157+R157+S157))),0)</f>
        <v>0</v>
      </c>
      <c r="P157" s="4">
        <f>IF(ISERR(SEARCH("TRA* 82",C154)),I157-N157-O157,0)</f>
        <v>0</v>
      </c>
      <c r="Q157" s="4">
        <v>0</v>
      </c>
      <c r="R157" s="4">
        <v>0</v>
      </c>
      <c r="S157" s="4">
        <v>0</v>
      </c>
    </row>
    <row r="158" spans="1:19" x14ac:dyDescent="0.3">
      <c r="A158" s="100" t="s">
        <v>87</v>
      </c>
      <c r="B158" s="101"/>
      <c r="C158" s="101"/>
      <c r="D158" s="101"/>
      <c r="E158" s="101"/>
      <c r="F158" s="101"/>
      <c r="G158" s="101"/>
      <c r="H158" s="33">
        <f>H154+H155+H156+H157</f>
        <v>182.61</v>
      </c>
      <c r="I158" s="37">
        <f>I154+I155+I156+I157</f>
        <v>182.61</v>
      </c>
      <c r="J158">
        <v>5</v>
      </c>
    </row>
    <row r="159" spans="1:19" x14ac:dyDescent="0.3">
      <c r="A159" s="102" t="s">
        <v>598</v>
      </c>
      <c r="B159" s="102"/>
      <c r="C159" s="102"/>
      <c r="D159" s="102"/>
      <c r="E159" s="102"/>
      <c r="F159" s="102"/>
      <c r="G159" s="102"/>
      <c r="H159" s="102"/>
      <c r="I159" s="102"/>
    </row>
    <row r="160" spans="1:19" x14ac:dyDescent="0.3">
      <c r="A160" s="98" t="s">
        <v>590</v>
      </c>
      <c r="B160" s="98"/>
      <c r="C160" s="98"/>
      <c r="D160" s="98"/>
      <c r="E160" s="98"/>
      <c r="F160" s="98"/>
      <c r="G160" s="98"/>
      <c r="H160" s="98"/>
      <c r="I160" s="98"/>
    </row>
    <row r="161" spans="1:19" x14ac:dyDescent="0.3">
      <c r="A161" s="97" t="s">
        <v>600</v>
      </c>
      <c r="B161" s="97"/>
      <c r="C161" s="97"/>
      <c r="D161" s="97"/>
      <c r="E161" s="97"/>
      <c r="F161" s="97"/>
      <c r="G161" s="97"/>
      <c r="H161" s="97"/>
      <c r="I161" s="97"/>
    </row>
    <row r="162" spans="1:19" x14ac:dyDescent="0.3">
      <c r="B162" s="2">
        <v>19</v>
      </c>
      <c r="C162" s="3" t="s">
        <v>317</v>
      </c>
      <c r="D162" s="5" t="s">
        <v>29</v>
      </c>
      <c r="G162" s="30">
        <v>1</v>
      </c>
      <c r="H162" s="38">
        <v>175.61</v>
      </c>
      <c r="I162" s="29">
        <f>G162*H162</f>
        <v>175.61</v>
      </c>
      <c r="J162">
        <v>1</v>
      </c>
    </row>
    <row r="163" spans="1:19" x14ac:dyDescent="0.3">
      <c r="D163" s="15" t="str">
        <f>SUBSTITUTE("Sp.mat: 0.00%",".",IF(VALUE("1.2")=1.2,".",","),2)</f>
        <v>Sp.mat: 0.00%</v>
      </c>
      <c r="F163" s="15" t="str">
        <f>SUBSTITUTE("Sp.man: 0.00%",".",IF(VALUE("1.2")=1.2,".",","),2)</f>
        <v>Sp.man: 0.00%</v>
      </c>
      <c r="G163" s="35" t="str">
        <f>SUBSTITUTE("Sp.uti: 0.00%",".",IF(VALUE("1.2")=1.2,".",","),2)</f>
        <v>Sp.uti: 0.00%</v>
      </c>
      <c r="H163" s="38">
        <v>32.03</v>
      </c>
      <c r="I163" s="29">
        <f>G162*H163</f>
        <v>32.03</v>
      </c>
      <c r="J163">
        <v>2</v>
      </c>
    </row>
    <row r="164" spans="1:19" x14ac:dyDescent="0.3">
      <c r="A164" s="88" t="s">
        <v>318</v>
      </c>
      <c r="B164" s="98"/>
      <c r="C164" s="98"/>
      <c r="D164" s="98"/>
      <c r="E164" s="98"/>
      <c r="F164" s="98"/>
      <c r="G164" s="98"/>
      <c r="H164" s="38">
        <f>(1+IF(OR(ISERR(FIND(":",G163)),ISERR(FIND("%",G163))),0,MID(G163,FIND(":",G163)+2,FIND("%",G163)-FIND(":",G163)-2)/100))*0</f>
        <v>0</v>
      </c>
      <c r="I164" s="29">
        <f>G162*H164</f>
        <v>0</v>
      </c>
      <c r="J164">
        <v>3</v>
      </c>
      <c r="K164" s="4">
        <v>0</v>
      </c>
      <c r="L164" s="4">
        <v>0</v>
      </c>
      <c r="M164" s="4">
        <f>I164-K164-L164</f>
        <v>0</v>
      </c>
    </row>
    <row r="165" spans="1:19" x14ac:dyDescent="0.3">
      <c r="A165" s="98"/>
      <c r="B165" s="98"/>
      <c r="C165" s="98"/>
      <c r="D165" s="98"/>
      <c r="E165" s="98"/>
      <c r="F165" s="98"/>
      <c r="G165" s="98"/>
      <c r="H165" s="38">
        <f>0</f>
        <v>0</v>
      </c>
      <c r="I165" s="29">
        <f>G162*H165</f>
        <v>0</v>
      </c>
      <c r="J165">
        <v>4</v>
      </c>
      <c r="N165" s="4">
        <f>IF(ISERR(SEARCH("TRA* 82",C162)),IF(Q165+R165+S165=0,0,I165*(Q165/(Q165+R165+S165))),I165)</f>
        <v>0</v>
      </c>
      <c r="O165" s="4">
        <f>IF(ISERR(SEARCH("TRA* 82",C162)),IF(Q165+R165+S165=0,0,I165*(R165/(Q165+R165+S165))),0)</f>
        <v>0</v>
      </c>
      <c r="P165" s="4">
        <f>IF(ISERR(SEARCH("TRA* 82",C162)),I165-N165-O165,0)</f>
        <v>0</v>
      </c>
      <c r="Q165" s="4">
        <v>0</v>
      </c>
      <c r="R165" s="4">
        <v>0</v>
      </c>
      <c r="S165" s="4">
        <v>0</v>
      </c>
    </row>
    <row r="166" spans="1:19" x14ac:dyDescent="0.3">
      <c r="A166" s="100" t="s">
        <v>87</v>
      </c>
      <c r="B166" s="101"/>
      <c r="C166" s="101"/>
      <c r="D166" s="101"/>
      <c r="E166" s="101"/>
      <c r="F166" s="101"/>
      <c r="G166" s="101"/>
      <c r="H166" s="33">
        <f>H162+H163+H164+H165</f>
        <v>207.64000000000001</v>
      </c>
      <c r="I166" s="37">
        <f>I162+I163+I164+I165</f>
        <v>207.64000000000001</v>
      </c>
      <c r="J166">
        <v>5</v>
      </c>
    </row>
    <row r="167" spans="1:19" x14ac:dyDescent="0.3">
      <c r="A167" s="102" t="s">
        <v>601</v>
      </c>
      <c r="B167" s="102"/>
      <c r="C167" s="102"/>
      <c r="D167" s="102"/>
      <c r="E167" s="102"/>
      <c r="F167" s="102"/>
      <c r="G167" s="102"/>
      <c r="H167" s="102"/>
      <c r="I167" s="102"/>
    </row>
    <row r="168" spans="1:19" x14ac:dyDescent="0.3">
      <c r="A168" s="98" t="s">
        <v>590</v>
      </c>
      <c r="B168" s="98"/>
      <c r="C168" s="98"/>
      <c r="D168" s="98"/>
      <c r="E168" s="98"/>
      <c r="F168" s="98"/>
      <c r="G168" s="98"/>
      <c r="H168" s="98"/>
      <c r="I168" s="98"/>
    </row>
    <row r="169" spans="1:19" x14ac:dyDescent="0.3">
      <c r="A169" s="97" t="s">
        <v>600</v>
      </c>
      <c r="B169" s="97"/>
      <c r="C169" s="97"/>
      <c r="D169" s="97"/>
      <c r="E169" s="97"/>
      <c r="F169" s="97"/>
      <c r="G169" s="97"/>
      <c r="H169" s="97"/>
      <c r="I169" s="97"/>
    </row>
    <row r="170" spans="1:19" x14ac:dyDescent="0.3">
      <c r="B170" s="2">
        <v>20</v>
      </c>
      <c r="C170" s="3" t="s">
        <v>317</v>
      </c>
      <c r="D170" s="5" t="s">
        <v>29</v>
      </c>
      <c r="G170" s="30">
        <v>4</v>
      </c>
      <c r="H170" s="38">
        <v>190.72</v>
      </c>
      <c r="I170" s="29">
        <f>G170*H170</f>
        <v>762.88</v>
      </c>
      <c r="J170">
        <v>1</v>
      </c>
    </row>
    <row r="171" spans="1:19" x14ac:dyDescent="0.3">
      <c r="D171" s="15" t="str">
        <f>SUBSTITUTE("Sp.mat: 0.00%",".",IF(VALUE("1.2")=1.2,".",","),2)</f>
        <v>Sp.mat: 0.00%</v>
      </c>
      <c r="F171" s="15" t="str">
        <f>SUBSTITUTE("Sp.man: 0.00%",".",IF(VALUE("1.2")=1.2,".",","),2)</f>
        <v>Sp.man: 0.00%</v>
      </c>
      <c r="G171" s="35" t="str">
        <f>SUBSTITUTE("Sp.uti: 0.00%",".",IF(VALUE("1.2")=1.2,".",","),2)</f>
        <v>Sp.uti: 0.00%</v>
      </c>
      <c r="H171" s="38">
        <f>128.14/G170</f>
        <v>32.034999999999997</v>
      </c>
      <c r="I171" s="29">
        <f>G170*H171</f>
        <v>128.13999999999999</v>
      </c>
      <c r="J171">
        <v>2</v>
      </c>
    </row>
    <row r="172" spans="1:19" x14ac:dyDescent="0.3">
      <c r="A172" s="88" t="s">
        <v>318</v>
      </c>
      <c r="B172" s="98"/>
      <c r="C172" s="98"/>
      <c r="D172" s="98"/>
      <c r="E172" s="98"/>
      <c r="F172" s="98"/>
      <c r="G172" s="98"/>
      <c r="H172" s="38">
        <f>(1+IF(OR(ISERR(FIND(":",G171)),ISERR(FIND("%",G171))),0,MID(G171,FIND(":",G171)+2,FIND("%",G171)-FIND(":",G171)-2)/100))*0</f>
        <v>0</v>
      </c>
      <c r="I172" s="29">
        <f>G170*H172</f>
        <v>0</v>
      </c>
      <c r="J172">
        <v>3</v>
      </c>
      <c r="K172" s="4">
        <v>0</v>
      </c>
      <c r="L172" s="4">
        <v>0</v>
      </c>
      <c r="M172" s="4">
        <f>I172-K172-L172</f>
        <v>0</v>
      </c>
    </row>
    <row r="173" spans="1:19" x14ac:dyDescent="0.3">
      <c r="A173" s="98"/>
      <c r="B173" s="98"/>
      <c r="C173" s="98"/>
      <c r="D173" s="98"/>
      <c r="E173" s="98"/>
      <c r="F173" s="98"/>
      <c r="G173" s="98"/>
      <c r="H173" s="38">
        <f>0</f>
        <v>0</v>
      </c>
      <c r="I173" s="29">
        <f>G170*H173</f>
        <v>0</v>
      </c>
      <c r="J173">
        <v>4</v>
      </c>
      <c r="N173" s="4">
        <f>IF(ISERR(SEARCH("TRA* 82",C170)),IF(Q173+R173+S173=0,0,I173*(Q173/(Q173+R173+S173))),I173)</f>
        <v>0</v>
      </c>
      <c r="O173" s="4">
        <f>IF(ISERR(SEARCH("TRA* 82",C170)),IF(Q173+R173+S173=0,0,I173*(R173/(Q173+R173+S173))),0)</f>
        <v>0</v>
      </c>
      <c r="P173" s="4">
        <f>IF(ISERR(SEARCH("TRA* 82",C170)),I173-N173-O173,0)</f>
        <v>0</v>
      </c>
      <c r="Q173" s="4">
        <v>0</v>
      </c>
      <c r="R173" s="4">
        <v>0</v>
      </c>
      <c r="S173" s="4">
        <v>0</v>
      </c>
    </row>
    <row r="174" spans="1:19" x14ac:dyDescent="0.3">
      <c r="A174" s="100" t="s">
        <v>87</v>
      </c>
      <c r="B174" s="101"/>
      <c r="C174" s="101"/>
      <c r="D174" s="101"/>
      <c r="E174" s="101"/>
      <c r="F174" s="101"/>
      <c r="G174" s="101"/>
      <c r="H174" s="33">
        <f>H170+H171+H172+H173</f>
        <v>222.755</v>
      </c>
      <c r="I174" s="37">
        <f>I170+I171+I172+I173</f>
        <v>891.02</v>
      </c>
      <c r="J174">
        <v>5</v>
      </c>
    </row>
    <row r="175" spans="1:19" x14ac:dyDescent="0.3">
      <c r="A175" s="102" t="s">
        <v>602</v>
      </c>
      <c r="B175" s="102"/>
      <c r="C175" s="102"/>
      <c r="D175" s="102"/>
      <c r="E175" s="102"/>
      <c r="F175" s="102"/>
      <c r="G175" s="102"/>
      <c r="H175" s="102"/>
      <c r="I175" s="102"/>
    </row>
    <row r="176" spans="1:19" x14ac:dyDescent="0.3">
      <c r="A176" s="98" t="s">
        <v>590</v>
      </c>
      <c r="B176" s="98"/>
      <c r="C176" s="98"/>
      <c r="D176" s="98"/>
      <c r="E176" s="98"/>
      <c r="F176" s="98"/>
      <c r="G176" s="98"/>
      <c r="H176" s="98"/>
      <c r="I176" s="98"/>
    </row>
    <row r="177" spans="1:19" x14ac:dyDescent="0.3">
      <c r="A177" s="97" t="s">
        <v>591</v>
      </c>
      <c r="B177" s="97"/>
      <c r="C177" s="97"/>
      <c r="D177" s="97"/>
      <c r="E177" s="97"/>
      <c r="F177" s="97"/>
      <c r="G177" s="97"/>
      <c r="H177" s="97"/>
      <c r="I177" s="97"/>
    </row>
    <row r="178" spans="1:19" x14ac:dyDescent="0.3">
      <c r="B178" s="2">
        <v>21</v>
      </c>
      <c r="C178" s="3" t="s">
        <v>317</v>
      </c>
      <c r="D178" s="5" t="s">
        <v>29</v>
      </c>
      <c r="G178" s="30">
        <v>6</v>
      </c>
      <c r="H178" s="38">
        <v>213.71</v>
      </c>
      <c r="I178" s="29">
        <f>G178*H178</f>
        <v>1282.26</v>
      </c>
      <c r="J178">
        <v>1</v>
      </c>
    </row>
    <row r="179" spans="1:19" x14ac:dyDescent="0.3">
      <c r="D179" s="15" t="str">
        <f>SUBSTITUTE("Sp.mat: 0.00%",".",IF(VALUE("1.2")=1.2,".",","),2)</f>
        <v>Sp.mat: 0.00%</v>
      </c>
      <c r="F179" s="15" t="str">
        <f>SUBSTITUTE("Sp.man: 0.00%",".",IF(VALUE("1.2")=1.2,".",","),2)</f>
        <v>Sp.man: 0.00%</v>
      </c>
      <c r="G179" s="35" t="str">
        <f>SUBSTITUTE("Sp.uti: 0.00%",".",IF(VALUE("1.2")=1.2,".",","),2)</f>
        <v>Sp.uti: 0.00%</v>
      </c>
      <c r="H179" s="38">
        <f>192.2/G178</f>
        <v>32.033333333333331</v>
      </c>
      <c r="I179" s="29">
        <f>G178*H179</f>
        <v>192.2</v>
      </c>
      <c r="J179">
        <v>2</v>
      </c>
    </row>
    <row r="180" spans="1:19" x14ac:dyDescent="0.3">
      <c r="A180" s="88" t="s">
        <v>318</v>
      </c>
      <c r="B180" s="98"/>
      <c r="C180" s="98"/>
      <c r="D180" s="98"/>
      <c r="E180" s="98"/>
      <c r="F180" s="98"/>
      <c r="G180" s="98"/>
      <c r="H180" s="38">
        <f>(1+IF(OR(ISERR(FIND(":",G179)),ISERR(FIND("%",G179))),0,MID(G179,FIND(":",G179)+2,FIND("%",G179)-FIND(":",G179)-2)/100))*0</f>
        <v>0</v>
      </c>
      <c r="I180" s="29">
        <f>G178*H180</f>
        <v>0</v>
      </c>
      <c r="J180">
        <v>3</v>
      </c>
      <c r="K180" s="4">
        <v>0</v>
      </c>
      <c r="L180" s="4">
        <v>0</v>
      </c>
      <c r="M180" s="4">
        <f>I180-K180-L180</f>
        <v>0</v>
      </c>
    </row>
    <row r="181" spans="1:19" x14ac:dyDescent="0.3">
      <c r="A181" s="98"/>
      <c r="B181" s="98"/>
      <c r="C181" s="98"/>
      <c r="D181" s="98"/>
      <c r="E181" s="98"/>
      <c r="F181" s="98"/>
      <c r="G181" s="98"/>
      <c r="H181" s="38">
        <f>0</f>
        <v>0</v>
      </c>
      <c r="I181" s="29">
        <f>G178*H181</f>
        <v>0</v>
      </c>
      <c r="J181">
        <v>4</v>
      </c>
      <c r="N181" s="4">
        <f>IF(ISERR(SEARCH("TRA* 82",C178)),IF(Q181+R181+S181=0,0,I181*(Q181/(Q181+R181+S181))),I181)</f>
        <v>0</v>
      </c>
      <c r="O181" s="4">
        <f>IF(ISERR(SEARCH("TRA* 82",C178)),IF(Q181+R181+S181=0,0,I181*(R181/(Q181+R181+S181))),0)</f>
        <v>0</v>
      </c>
      <c r="P181" s="4">
        <f>IF(ISERR(SEARCH("TRA* 82",C178)),I181-N181-O181,0)</f>
        <v>0</v>
      </c>
      <c r="Q181" s="4">
        <v>0</v>
      </c>
      <c r="R181" s="4">
        <v>0</v>
      </c>
      <c r="S181" s="4">
        <v>0</v>
      </c>
    </row>
    <row r="182" spans="1:19" x14ac:dyDescent="0.3">
      <c r="A182" s="100" t="s">
        <v>87</v>
      </c>
      <c r="B182" s="101"/>
      <c r="C182" s="101"/>
      <c r="D182" s="101"/>
      <c r="E182" s="101"/>
      <c r="F182" s="101"/>
      <c r="G182" s="101"/>
      <c r="H182" s="33">
        <f>H178+H179+H180+H181</f>
        <v>245.74333333333334</v>
      </c>
      <c r="I182" s="37">
        <f>I178+I179+I180+I181</f>
        <v>1474.46</v>
      </c>
      <c r="J182">
        <v>5</v>
      </c>
    </row>
    <row r="183" spans="1:19" x14ac:dyDescent="0.3">
      <c r="A183" s="102" t="s">
        <v>603</v>
      </c>
      <c r="B183" s="102"/>
      <c r="C183" s="102"/>
      <c r="D183" s="102"/>
      <c r="E183" s="102"/>
      <c r="F183" s="102"/>
      <c r="G183" s="102"/>
      <c r="H183" s="102"/>
      <c r="I183" s="102"/>
    </row>
    <row r="184" spans="1:19" x14ac:dyDescent="0.3">
      <c r="A184" s="98" t="s">
        <v>590</v>
      </c>
      <c r="B184" s="98"/>
      <c r="C184" s="98"/>
      <c r="D184" s="98"/>
      <c r="E184" s="98"/>
      <c r="F184" s="98"/>
      <c r="G184" s="98"/>
      <c r="H184" s="98"/>
      <c r="I184" s="98"/>
    </row>
    <row r="185" spans="1:19" x14ac:dyDescent="0.3">
      <c r="A185" s="97" t="s">
        <v>591</v>
      </c>
      <c r="B185" s="97"/>
      <c r="C185" s="97"/>
      <c r="D185" s="97"/>
      <c r="E185" s="97"/>
      <c r="F185" s="97"/>
      <c r="G185" s="97"/>
      <c r="H185" s="97"/>
      <c r="I185" s="97"/>
    </row>
    <row r="186" spans="1:19" x14ac:dyDescent="0.3">
      <c r="B186" s="2">
        <v>22</v>
      </c>
      <c r="C186" s="3" t="s">
        <v>317</v>
      </c>
      <c r="D186" s="5" t="s">
        <v>29</v>
      </c>
      <c r="G186" s="30">
        <v>1</v>
      </c>
      <c r="H186" s="38">
        <v>228.87</v>
      </c>
      <c r="I186" s="29">
        <f>G186*H186</f>
        <v>228.87</v>
      </c>
      <c r="J186">
        <v>1</v>
      </c>
    </row>
    <row r="187" spans="1:19" x14ac:dyDescent="0.3">
      <c r="D187" s="15" t="str">
        <f>SUBSTITUTE("Sp.mat: 0.00%",".",IF(VALUE("1.2")=1.2,".",","),2)</f>
        <v>Sp.mat: 0.00%</v>
      </c>
      <c r="F187" s="15" t="str">
        <f>SUBSTITUTE("Sp.man: 0.00%",".",IF(VALUE("1.2")=1.2,".",","),2)</f>
        <v>Sp.man: 0.00%</v>
      </c>
      <c r="G187" s="35" t="str">
        <f>SUBSTITUTE("Sp.uti: 0.00%",".",IF(VALUE("1.2")=1.2,".",","),2)</f>
        <v>Sp.uti: 0.00%</v>
      </c>
      <c r="H187" s="38">
        <v>32.03</v>
      </c>
      <c r="I187" s="29">
        <f>G186*H187</f>
        <v>32.03</v>
      </c>
      <c r="J187">
        <v>2</v>
      </c>
    </row>
    <row r="188" spans="1:19" x14ac:dyDescent="0.3">
      <c r="A188" s="88" t="s">
        <v>318</v>
      </c>
      <c r="B188" s="98"/>
      <c r="C188" s="98"/>
      <c r="D188" s="98"/>
      <c r="E188" s="98"/>
      <c r="F188" s="98"/>
      <c r="G188" s="98"/>
      <c r="H188" s="38">
        <f>(1+IF(OR(ISERR(FIND(":",G187)),ISERR(FIND("%",G187))),0,MID(G187,FIND(":",G187)+2,FIND("%",G187)-FIND(":",G187)-2)/100))*0</f>
        <v>0</v>
      </c>
      <c r="I188" s="29">
        <f>G186*H188</f>
        <v>0</v>
      </c>
      <c r="J188">
        <v>3</v>
      </c>
      <c r="K188" s="4">
        <v>0</v>
      </c>
      <c r="L188" s="4">
        <v>0</v>
      </c>
      <c r="M188" s="4">
        <f>I188-K188-L188</f>
        <v>0</v>
      </c>
    </row>
    <row r="189" spans="1:19" x14ac:dyDescent="0.3">
      <c r="A189" s="98"/>
      <c r="B189" s="98"/>
      <c r="C189" s="98"/>
      <c r="D189" s="98"/>
      <c r="E189" s="98"/>
      <c r="F189" s="98"/>
      <c r="G189" s="98"/>
      <c r="H189" s="38">
        <f>0</f>
        <v>0</v>
      </c>
      <c r="I189" s="29">
        <f>G186*H189</f>
        <v>0</v>
      </c>
      <c r="J189">
        <v>4</v>
      </c>
      <c r="N189" s="4">
        <f>IF(ISERR(SEARCH("TRA* 82",C186)),IF(Q189+R189+S189=0,0,I189*(Q189/(Q189+R189+S189))),I189)</f>
        <v>0</v>
      </c>
      <c r="O189" s="4">
        <f>IF(ISERR(SEARCH("TRA* 82",C186)),IF(Q189+R189+S189=0,0,I189*(R189/(Q189+R189+S189))),0)</f>
        <v>0</v>
      </c>
      <c r="P189" s="4">
        <f>IF(ISERR(SEARCH("TRA* 82",C186)),I189-N189-O189,0)</f>
        <v>0</v>
      </c>
      <c r="Q189" s="4">
        <v>0</v>
      </c>
      <c r="R189" s="4">
        <v>0</v>
      </c>
      <c r="S189" s="4">
        <v>0</v>
      </c>
    </row>
    <row r="190" spans="1:19" x14ac:dyDescent="0.3">
      <c r="A190" s="100" t="s">
        <v>87</v>
      </c>
      <c r="B190" s="101"/>
      <c r="C190" s="101"/>
      <c r="D190" s="101"/>
      <c r="E190" s="101"/>
      <c r="F190" s="101"/>
      <c r="G190" s="101"/>
      <c r="H190" s="33">
        <f>H186+H187+H188+H189</f>
        <v>260.89999999999998</v>
      </c>
      <c r="I190" s="37">
        <f>I186+I187+I188+I189</f>
        <v>260.89999999999998</v>
      </c>
      <c r="J190">
        <v>5</v>
      </c>
    </row>
    <row r="191" spans="1:19" x14ac:dyDescent="0.3">
      <c r="A191" s="102" t="s">
        <v>604</v>
      </c>
      <c r="B191" s="102"/>
      <c r="C191" s="102"/>
      <c r="D191" s="102"/>
      <c r="E191" s="102"/>
      <c r="F191" s="102"/>
      <c r="G191" s="102"/>
      <c r="H191" s="102"/>
      <c r="I191" s="102"/>
    </row>
    <row r="192" spans="1:19" x14ac:dyDescent="0.3">
      <c r="A192" s="98" t="s">
        <v>593</v>
      </c>
      <c r="B192" s="98"/>
      <c r="C192" s="98"/>
      <c r="D192" s="98"/>
      <c r="E192" s="98"/>
      <c r="F192" s="98"/>
      <c r="G192" s="98"/>
      <c r="H192" s="98"/>
      <c r="I192" s="98"/>
    </row>
    <row r="193" spans="1:19" x14ac:dyDescent="0.3">
      <c r="A193" s="97" t="s">
        <v>591</v>
      </c>
      <c r="B193" s="97"/>
      <c r="C193" s="97"/>
      <c r="D193" s="97"/>
      <c r="E193" s="97"/>
      <c r="F193" s="97"/>
      <c r="G193" s="97"/>
      <c r="H193" s="97"/>
      <c r="I193" s="97"/>
    </row>
    <row r="194" spans="1:19" x14ac:dyDescent="0.3">
      <c r="B194" s="2">
        <v>23</v>
      </c>
      <c r="C194" s="3" t="s">
        <v>317</v>
      </c>
      <c r="D194" s="5" t="s">
        <v>29</v>
      </c>
      <c r="G194" s="30">
        <v>4</v>
      </c>
      <c r="H194" s="38">
        <v>306.16000000000003</v>
      </c>
      <c r="I194" s="29">
        <f>G194*H194</f>
        <v>1224.6400000000001</v>
      </c>
      <c r="J194">
        <v>1</v>
      </c>
    </row>
    <row r="195" spans="1:19" x14ac:dyDescent="0.3">
      <c r="D195" s="15" t="str">
        <f>SUBSTITUTE("Sp.mat: 0.00%",".",IF(VALUE("1.2")=1.2,".",","),2)</f>
        <v>Sp.mat: 0.00%</v>
      </c>
      <c r="F195" s="15" t="str">
        <f>SUBSTITUTE("Sp.man: 0.00%",".",IF(VALUE("1.2")=1.2,".",","),2)</f>
        <v>Sp.man: 0.00%</v>
      </c>
      <c r="G195" s="35" t="str">
        <f>SUBSTITUTE("Sp.uti: 0.00%",".",IF(VALUE("1.2")=1.2,".",","),2)</f>
        <v>Sp.uti: 0.00%</v>
      </c>
      <c r="H195" s="38">
        <v>35.24</v>
      </c>
      <c r="I195" s="29">
        <f>G194*H195</f>
        <v>140.96</v>
      </c>
      <c r="J195">
        <v>2</v>
      </c>
    </row>
    <row r="196" spans="1:19" x14ac:dyDescent="0.3">
      <c r="A196" s="88" t="s">
        <v>318</v>
      </c>
      <c r="B196" s="98"/>
      <c r="C196" s="98"/>
      <c r="D196" s="98"/>
      <c r="E196" s="98"/>
      <c r="F196" s="98"/>
      <c r="G196" s="98"/>
      <c r="H196" s="38">
        <f>(1+IF(OR(ISERR(FIND(":",G195)),ISERR(FIND("%",G195))),0,MID(G195,FIND(":",G195)+2,FIND("%",G195)-FIND(":",G195)-2)/100))*0</f>
        <v>0</v>
      </c>
      <c r="I196" s="29">
        <f>G194*H196</f>
        <v>0</v>
      </c>
      <c r="J196">
        <v>3</v>
      </c>
      <c r="K196" s="4">
        <v>0</v>
      </c>
      <c r="L196" s="4">
        <v>0</v>
      </c>
      <c r="M196" s="4">
        <f>I196-K196-L196</f>
        <v>0</v>
      </c>
    </row>
    <row r="197" spans="1:19" x14ac:dyDescent="0.3">
      <c r="A197" s="98"/>
      <c r="B197" s="98"/>
      <c r="C197" s="98"/>
      <c r="D197" s="98"/>
      <c r="E197" s="98"/>
      <c r="F197" s="98"/>
      <c r="G197" s="98"/>
      <c r="H197" s="38">
        <f>0</f>
        <v>0</v>
      </c>
      <c r="I197" s="29">
        <f>G194*H197</f>
        <v>0</v>
      </c>
      <c r="J197">
        <v>4</v>
      </c>
      <c r="N197" s="4">
        <f>IF(ISERR(SEARCH("TRA* 82",C194)),IF(Q197+R197+S197=0,0,I197*(Q197/(Q197+R197+S197))),I197)</f>
        <v>0</v>
      </c>
      <c r="O197" s="4">
        <f>IF(ISERR(SEARCH("TRA* 82",C194)),IF(Q197+R197+S197=0,0,I197*(R197/(Q197+R197+S197))),0)</f>
        <v>0</v>
      </c>
      <c r="P197" s="4">
        <f>IF(ISERR(SEARCH("TRA* 82",C194)),I197-N197-O197,0)</f>
        <v>0</v>
      </c>
      <c r="Q197" s="4">
        <v>0</v>
      </c>
      <c r="R197" s="4">
        <v>0</v>
      </c>
      <c r="S197" s="4">
        <v>0</v>
      </c>
    </row>
    <row r="198" spans="1:19" x14ac:dyDescent="0.3">
      <c r="A198" s="100" t="s">
        <v>87</v>
      </c>
      <c r="B198" s="101"/>
      <c r="C198" s="101"/>
      <c r="D198" s="101"/>
      <c r="E198" s="101"/>
      <c r="F198" s="101"/>
      <c r="G198" s="101"/>
      <c r="H198" s="33">
        <f>H194+H195+H196+H197</f>
        <v>341.40000000000003</v>
      </c>
      <c r="I198" s="37">
        <f>I194+I195+I196+I197</f>
        <v>1365.6000000000001</v>
      </c>
      <c r="J198">
        <v>5</v>
      </c>
    </row>
    <row r="199" spans="1:19" x14ac:dyDescent="0.3">
      <c r="A199" s="102" t="s">
        <v>605</v>
      </c>
      <c r="B199" s="102"/>
      <c r="C199" s="102"/>
      <c r="D199" s="102"/>
      <c r="E199" s="102"/>
      <c r="F199" s="102"/>
      <c r="G199" s="102"/>
      <c r="H199" s="102"/>
      <c r="I199" s="102"/>
    </row>
    <row r="200" spans="1:19" x14ac:dyDescent="0.3">
      <c r="A200" s="98" t="s">
        <v>593</v>
      </c>
      <c r="B200" s="98"/>
      <c r="C200" s="98"/>
      <c r="D200" s="98"/>
      <c r="E200" s="98"/>
      <c r="F200" s="98"/>
      <c r="G200" s="98"/>
      <c r="H200" s="98"/>
      <c r="I200" s="98"/>
    </row>
    <row r="201" spans="1:19" x14ac:dyDescent="0.3">
      <c r="A201" s="97" t="s">
        <v>596</v>
      </c>
      <c r="B201" s="97"/>
      <c r="C201" s="97"/>
      <c r="D201" s="97"/>
      <c r="E201" s="97"/>
      <c r="F201" s="97"/>
      <c r="G201" s="97"/>
      <c r="H201" s="97"/>
      <c r="I201" s="97"/>
    </row>
    <row r="202" spans="1:19" x14ac:dyDescent="0.3">
      <c r="B202" s="2">
        <v>24</v>
      </c>
      <c r="C202" s="3" t="s">
        <v>317</v>
      </c>
      <c r="D202" s="5" t="s">
        <v>29</v>
      </c>
      <c r="G202" s="30">
        <v>2</v>
      </c>
      <c r="H202" s="38">
        <v>345</v>
      </c>
      <c r="I202" s="29">
        <f>G202*H202</f>
        <v>690</v>
      </c>
      <c r="J202">
        <v>1</v>
      </c>
    </row>
    <row r="203" spans="1:19" x14ac:dyDescent="0.3">
      <c r="D203" s="15" t="str">
        <f>SUBSTITUTE("Sp.mat: 0.00%",".",IF(VALUE("1.2")=1.2,".",","),2)</f>
        <v>Sp.mat: 0.00%</v>
      </c>
      <c r="F203" s="15" t="str">
        <f>SUBSTITUTE("Sp.man: 0.00%",".",IF(VALUE("1.2")=1.2,".",","),2)</f>
        <v>Sp.man: 0.00%</v>
      </c>
      <c r="G203" s="35" t="str">
        <f>SUBSTITUTE("Sp.uti: 0.00%",".",IF(VALUE("1.2")=1.2,".",","),2)</f>
        <v>Sp.uti: 0.00%</v>
      </c>
      <c r="H203" s="38">
        <v>36.840000000000003</v>
      </c>
      <c r="I203" s="29">
        <f>G202*H203</f>
        <v>73.680000000000007</v>
      </c>
      <c r="J203">
        <v>2</v>
      </c>
    </row>
    <row r="204" spans="1:19" x14ac:dyDescent="0.3">
      <c r="A204" s="88" t="s">
        <v>318</v>
      </c>
      <c r="B204" s="98"/>
      <c r="C204" s="98"/>
      <c r="D204" s="98"/>
      <c r="E204" s="98"/>
      <c r="F204" s="98"/>
      <c r="G204" s="98"/>
      <c r="H204" s="38">
        <f>(1+IF(OR(ISERR(FIND(":",G203)),ISERR(FIND("%",G203))),0,MID(G203,FIND(":",G203)+2,FIND("%",G203)-FIND(":",G203)-2)/100))*0</f>
        <v>0</v>
      </c>
      <c r="I204" s="29">
        <f>G202*H204</f>
        <v>0</v>
      </c>
      <c r="J204">
        <v>3</v>
      </c>
      <c r="K204" s="4">
        <v>0</v>
      </c>
      <c r="L204" s="4">
        <v>0</v>
      </c>
      <c r="M204" s="4">
        <f>I204-K204-L204</f>
        <v>0</v>
      </c>
    </row>
    <row r="205" spans="1:19" x14ac:dyDescent="0.3">
      <c r="A205" s="98"/>
      <c r="B205" s="98"/>
      <c r="C205" s="98"/>
      <c r="D205" s="98"/>
      <c r="E205" s="98"/>
      <c r="F205" s="98"/>
      <c r="G205" s="98"/>
      <c r="H205" s="38">
        <f>0</f>
        <v>0</v>
      </c>
      <c r="I205" s="29">
        <f>G202*H205</f>
        <v>0</v>
      </c>
      <c r="J205">
        <v>4</v>
      </c>
      <c r="N205" s="4">
        <f>IF(ISERR(SEARCH("TRA* 82",C202)),IF(Q205+R205+S205=0,0,I205*(Q205/(Q205+R205+S205))),I205)</f>
        <v>0</v>
      </c>
      <c r="O205" s="4">
        <f>IF(ISERR(SEARCH("TRA* 82",C202)),IF(Q205+R205+S205=0,0,I205*(R205/(Q205+R205+S205))),0)</f>
        <v>0</v>
      </c>
      <c r="P205" s="4">
        <f>IF(ISERR(SEARCH("TRA* 82",C202)),I205-N205-O205,0)</f>
        <v>0</v>
      </c>
      <c r="Q205" s="4">
        <v>0</v>
      </c>
      <c r="R205" s="4">
        <v>0</v>
      </c>
      <c r="S205" s="4">
        <v>0</v>
      </c>
    </row>
    <row r="206" spans="1:19" x14ac:dyDescent="0.3">
      <c r="A206" s="100" t="s">
        <v>87</v>
      </c>
      <c r="B206" s="101"/>
      <c r="C206" s="101"/>
      <c r="D206" s="101"/>
      <c r="E206" s="101"/>
      <c r="F206" s="101"/>
      <c r="G206" s="101"/>
      <c r="H206" s="33">
        <f>H202+H203+H204+H205</f>
        <v>381.84000000000003</v>
      </c>
      <c r="I206" s="37">
        <f>I202+I203+I204+I205</f>
        <v>763.68000000000006</v>
      </c>
      <c r="J206">
        <v>5</v>
      </c>
    </row>
    <row r="207" spans="1:19" x14ac:dyDescent="0.3">
      <c r="A207" s="102" t="s">
        <v>606</v>
      </c>
      <c r="B207" s="102"/>
      <c r="C207" s="102"/>
      <c r="D207" s="102"/>
      <c r="E207" s="102"/>
      <c r="F207" s="102"/>
      <c r="G207" s="102"/>
      <c r="H207" s="102"/>
      <c r="I207" s="102"/>
    </row>
    <row r="208" spans="1:19" x14ac:dyDescent="0.3">
      <c r="A208" s="98" t="s">
        <v>593</v>
      </c>
      <c r="B208" s="98"/>
      <c r="C208" s="98"/>
      <c r="D208" s="98"/>
      <c r="E208" s="98"/>
      <c r="F208" s="98"/>
      <c r="G208" s="98"/>
      <c r="H208" s="98"/>
      <c r="I208" s="98"/>
    </row>
    <row r="209" spans="1:19" x14ac:dyDescent="0.3">
      <c r="A209" s="97" t="s">
        <v>596</v>
      </c>
      <c r="B209" s="97"/>
      <c r="C209" s="97"/>
      <c r="D209" s="97"/>
      <c r="E209" s="97"/>
      <c r="F209" s="97"/>
      <c r="G209" s="97"/>
      <c r="H209" s="97"/>
      <c r="I209" s="97"/>
    </row>
    <row r="210" spans="1:19" x14ac:dyDescent="0.3">
      <c r="B210" s="2">
        <v>25</v>
      </c>
      <c r="C210" s="3" t="s">
        <v>317</v>
      </c>
      <c r="D210" s="5" t="s">
        <v>29</v>
      </c>
      <c r="G210" s="30">
        <v>5</v>
      </c>
      <c r="H210" s="38">
        <v>381.2</v>
      </c>
      <c r="I210" s="29">
        <f>G210*H210</f>
        <v>1906</v>
      </c>
      <c r="J210">
        <v>1</v>
      </c>
    </row>
    <row r="211" spans="1:19" x14ac:dyDescent="0.3">
      <c r="D211" s="15" t="str">
        <f>SUBSTITUTE("Sp.mat: 0.00%",".",IF(VALUE("1.2")=1.2,".",","),2)</f>
        <v>Sp.mat: 0.00%</v>
      </c>
      <c r="F211" s="15" t="str">
        <f>SUBSTITUTE("Sp.man: 0.00%",".",IF(VALUE("1.2")=1.2,".",","),2)</f>
        <v>Sp.man: 0.00%</v>
      </c>
      <c r="G211" s="35" t="str">
        <f>SUBSTITUTE("Sp.uti: 0.00%",".",IF(VALUE("1.2")=1.2,".",","),2)</f>
        <v>Sp.uti: 0.00%</v>
      </c>
      <c r="H211" s="38">
        <v>38.44</v>
      </c>
      <c r="I211" s="29">
        <f>G210*H211</f>
        <v>192.2</v>
      </c>
      <c r="J211">
        <v>2</v>
      </c>
    </row>
    <row r="212" spans="1:19" x14ac:dyDescent="0.3">
      <c r="A212" s="88" t="s">
        <v>318</v>
      </c>
      <c r="B212" s="98"/>
      <c r="C212" s="98"/>
      <c r="D212" s="98"/>
      <c r="E212" s="98"/>
      <c r="F212" s="98"/>
      <c r="G212" s="98"/>
      <c r="H212" s="38">
        <f>(1+IF(OR(ISERR(FIND(":",G211)),ISERR(FIND("%",G211))),0,MID(G211,FIND(":",G211)+2,FIND("%",G211)-FIND(":",G211)-2)/100))*0</f>
        <v>0</v>
      </c>
      <c r="I212" s="29">
        <f>G210*H212</f>
        <v>0</v>
      </c>
      <c r="J212">
        <v>3</v>
      </c>
      <c r="K212" s="4">
        <v>0</v>
      </c>
      <c r="L212" s="4">
        <v>0</v>
      </c>
      <c r="M212" s="4">
        <f>I212-K212-L212</f>
        <v>0</v>
      </c>
    </row>
    <row r="213" spans="1:19" x14ac:dyDescent="0.3">
      <c r="A213" s="98"/>
      <c r="B213" s="98"/>
      <c r="C213" s="98"/>
      <c r="D213" s="98"/>
      <c r="E213" s="98"/>
      <c r="F213" s="98"/>
      <c r="G213" s="98"/>
      <c r="H213" s="38">
        <f>0</f>
        <v>0</v>
      </c>
      <c r="I213" s="29">
        <f>G210*H213</f>
        <v>0</v>
      </c>
      <c r="J213">
        <v>4</v>
      </c>
      <c r="N213" s="4">
        <f>IF(ISERR(SEARCH("TRA* 82",C210)),IF(Q213+R213+S213=0,0,I213*(Q213/(Q213+R213+S213))),I213)</f>
        <v>0</v>
      </c>
      <c r="O213" s="4">
        <f>IF(ISERR(SEARCH("TRA* 82",C210)),IF(Q213+R213+S213=0,0,I213*(R213/(Q213+R213+S213))),0)</f>
        <v>0</v>
      </c>
      <c r="P213" s="4">
        <f>IF(ISERR(SEARCH("TRA* 82",C210)),I213-N213-O213,0)</f>
        <v>0</v>
      </c>
      <c r="Q213" s="4">
        <v>0</v>
      </c>
      <c r="R213" s="4">
        <v>0</v>
      </c>
      <c r="S213" s="4">
        <v>0</v>
      </c>
    </row>
    <row r="214" spans="1:19" x14ac:dyDescent="0.3">
      <c r="A214" s="100" t="s">
        <v>87</v>
      </c>
      <c r="B214" s="101"/>
      <c r="C214" s="101"/>
      <c r="D214" s="101"/>
      <c r="E214" s="101"/>
      <c r="F214" s="101"/>
      <c r="G214" s="101"/>
      <c r="H214" s="33">
        <f>H210+H211+H212+H213</f>
        <v>419.64</v>
      </c>
      <c r="I214" s="37">
        <f>I210+I211+I212+I213</f>
        <v>2098.1999999999998</v>
      </c>
      <c r="J214">
        <v>5</v>
      </c>
    </row>
    <row r="215" spans="1:19" x14ac:dyDescent="0.3">
      <c r="A215" s="102" t="s">
        <v>607</v>
      </c>
      <c r="B215" s="102"/>
      <c r="C215" s="102"/>
      <c r="D215" s="102"/>
      <c r="E215" s="102"/>
      <c r="F215" s="102"/>
      <c r="G215" s="102"/>
      <c r="H215" s="102"/>
      <c r="I215" s="102"/>
    </row>
    <row r="216" spans="1:19" x14ac:dyDescent="0.3">
      <c r="A216" s="98" t="s">
        <v>593</v>
      </c>
      <c r="B216" s="98"/>
      <c r="C216" s="98"/>
      <c r="D216" s="98"/>
      <c r="E216" s="98"/>
      <c r="F216" s="98"/>
      <c r="G216" s="98"/>
      <c r="H216" s="98"/>
      <c r="I216" s="98"/>
    </row>
    <row r="217" spans="1:19" x14ac:dyDescent="0.3">
      <c r="A217" s="97" t="s">
        <v>596</v>
      </c>
      <c r="B217" s="97"/>
      <c r="C217" s="97"/>
      <c r="D217" s="97"/>
      <c r="E217" s="97"/>
      <c r="F217" s="97"/>
      <c r="G217" s="97"/>
      <c r="H217" s="97"/>
      <c r="I217" s="97"/>
    </row>
    <row r="218" spans="1:19" x14ac:dyDescent="0.3">
      <c r="B218" s="2">
        <v>26</v>
      </c>
      <c r="C218" s="3" t="s">
        <v>317</v>
      </c>
      <c r="D218" s="5" t="s">
        <v>29</v>
      </c>
      <c r="G218" s="30">
        <v>2</v>
      </c>
      <c r="H218" s="38">
        <v>429.85</v>
      </c>
      <c r="I218" s="29">
        <f>G218*H218</f>
        <v>859.7</v>
      </c>
      <c r="J218">
        <v>1</v>
      </c>
    </row>
    <row r="219" spans="1:19" x14ac:dyDescent="0.3">
      <c r="D219" s="15" t="str">
        <f>SUBSTITUTE("Sp.mat: 0.00%",".",IF(VALUE("1.2")=1.2,".",","),2)</f>
        <v>Sp.mat: 0.00%</v>
      </c>
      <c r="F219" s="15" t="str">
        <f>SUBSTITUTE("Sp.man: 0.00%",".",IF(VALUE("1.2")=1.2,".",","),2)</f>
        <v>Sp.man: 0.00%</v>
      </c>
      <c r="G219" s="35" t="str">
        <f>SUBSTITUTE("Sp.uti: 0.00%",".",IF(VALUE("1.2")=1.2,".",","),2)</f>
        <v>Sp.uti: 0.00%</v>
      </c>
      <c r="H219" s="38">
        <v>48.05</v>
      </c>
      <c r="I219" s="29">
        <f>G218*H219</f>
        <v>96.1</v>
      </c>
      <c r="J219">
        <v>2</v>
      </c>
    </row>
    <row r="220" spans="1:19" x14ac:dyDescent="0.3">
      <c r="A220" s="88" t="s">
        <v>318</v>
      </c>
      <c r="B220" s="98"/>
      <c r="C220" s="98"/>
      <c r="D220" s="98"/>
      <c r="E220" s="98"/>
      <c r="F220" s="98"/>
      <c r="G220" s="98"/>
      <c r="H220" s="38">
        <f>(1+IF(OR(ISERR(FIND(":",G219)),ISERR(FIND("%",G219))),0,MID(G219,FIND(":",G219)+2,FIND("%",G219)-FIND(":",G219)-2)/100))*0</f>
        <v>0</v>
      </c>
      <c r="I220" s="29">
        <f>G218*H220</f>
        <v>0</v>
      </c>
      <c r="J220">
        <v>3</v>
      </c>
      <c r="K220" s="4">
        <v>0</v>
      </c>
      <c r="L220" s="4">
        <v>0</v>
      </c>
      <c r="M220" s="4">
        <f>I220-K220-L220</f>
        <v>0</v>
      </c>
    </row>
    <row r="221" spans="1:19" x14ac:dyDescent="0.3">
      <c r="A221" s="98"/>
      <c r="B221" s="98"/>
      <c r="C221" s="98"/>
      <c r="D221" s="98"/>
      <c r="E221" s="98"/>
      <c r="F221" s="98"/>
      <c r="G221" s="98"/>
      <c r="H221" s="38">
        <f>0</f>
        <v>0</v>
      </c>
      <c r="I221" s="29">
        <f>G218*H221</f>
        <v>0</v>
      </c>
      <c r="J221">
        <v>4</v>
      </c>
      <c r="N221" s="4">
        <f>IF(ISERR(SEARCH("TRA* 82",C218)),IF(Q221+R221+S221=0,0,I221*(Q221/(Q221+R221+S221))),I221)</f>
        <v>0</v>
      </c>
      <c r="O221" s="4">
        <f>IF(ISERR(SEARCH("TRA* 82",C218)),IF(Q221+R221+S221=0,0,I221*(R221/(Q221+R221+S221))),0)</f>
        <v>0</v>
      </c>
      <c r="P221" s="4">
        <f>IF(ISERR(SEARCH("TRA* 82",C218)),I221-N221-O221,0)</f>
        <v>0</v>
      </c>
      <c r="Q221" s="4">
        <v>0</v>
      </c>
      <c r="R221" s="4">
        <v>0</v>
      </c>
      <c r="S221" s="4">
        <v>0</v>
      </c>
    </row>
    <row r="222" spans="1:19" x14ac:dyDescent="0.3">
      <c r="A222" s="100" t="s">
        <v>87</v>
      </c>
      <c r="B222" s="101"/>
      <c r="C222" s="101"/>
      <c r="D222" s="101"/>
      <c r="E222" s="101"/>
      <c r="F222" s="101"/>
      <c r="G222" s="101"/>
      <c r="H222" s="33">
        <f>H218+H219+H220+H221</f>
        <v>477.90000000000003</v>
      </c>
      <c r="I222" s="37">
        <f>I218+I219+I220+I221</f>
        <v>955.80000000000007</v>
      </c>
      <c r="J222">
        <v>5</v>
      </c>
    </row>
    <row r="223" spans="1:19" x14ac:dyDescent="0.3">
      <c r="A223" s="102" t="s">
        <v>608</v>
      </c>
      <c r="B223" s="102"/>
      <c r="C223" s="102"/>
      <c r="D223" s="102"/>
      <c r="E223" s="102"/>
      <c r="F223" s="102"/>
      <c r="G223" s="102"/>
      <c r="H223" s="102"/>
      <c r="I223" s="102"/>
    </row>
    <row r="224" spans="1:19" x14ac:dyDescent="0.3">
      <c r="A224" s="98" t="s">
        <v>593</v>
      </c>
      <c r="B224" s="98"/>
      <c r="C224" s="98"/>
      <c r="D224" s="98"/>
      <c r="E224" s="98"/>
      <c r="F224" s="98"/>
      <c r="G224" s="98"/>
      <c r="H224" s="98"/>
      <c r="I224" s="98"/>
    </row>
    <row r="225" spans="1:19" x14ac:dyDescent="0.3">
      <c r="A225" s="97" t="s">
        <v>596</v>
      </c>
      <c r="B225" s="97"/>
      <c r="C225" s="97"/>
      <c r="D225" s="97"/>
      <c r="E225" s="97"/>
      <c r="F225" s="97"/>
      <c r="G225" s="97"/>
      <c r="H225" s="97"/>
      <c r="I225" s="97"/>
    </row>
    <row r="226" spans="1:19" x14ac:dyDescent="0.3">
      <c r="B226" s="2">
        <v>27</v>
      </c>
      <c r="C226" s="3" t="s">
        <v>609</v>
      </c>
      <c r="D226" s="5" t="s">
        <v>29</v>
      </c>
      <c r="G226" s="30">
        <v>16</v>
      </c>
      <c r="H226" s="38">
        <f>85258.57/G226</f>
        <v>5328.6606250000004</v>
      </c>
      <c r="I226" s="29">
        <f>G226*H226</f>
        <v>85258.57</v>
      </c>
      <c r="J226">
        <v>1</v>
      </c>
    </row>
    <row r="227" spans="1:19" x14ac:dyDescent="0.3">
      <c r="D227" s="15" t="str">
        <f>SUBSTITUTE("Sp.mat: 0.00%",".",IF(VALUE("1.2")=1.2,".",","),2)</f>
        <v>Sp.mat: 0.00%</v>
      </c>
      <c r="F227" s="15" t="str">
        <f>SUBSTITUTE("Sp.man: 0.00%",".",IF(VALUE("1.2")=1.2,".",","),2)</f>
        <v>Sp.man: 0.00%</v>
      </c>
      <c r="G227" s="35" t="str">
        <f>SUBSTITUTE("Sp.uti: 0.00%",".",IF(VALUE("1.2")=1.2,".",","),2)</f>
        <v>Sp.uti: 0.00%</v>
      </c>
      <c r="H227" s="38">
        <f>768.82/G226</f>
        <v>48.051250000000003</v>
      </c>
      <c r="I227" s="29">
        <f>G226*H227</f>
        <v>768.82</v>
      </c>
      <c r="J227">
        <v>2</v>
      </c>
    </row>
    <row r="228" spans="1:19" x14ac:dyDescent="0.3">
      <c r="A228" s="88" t="s">
        <v>610</v>
      </c>
      <c r="B228" s="98"/>
      <c r="C228" s="98"/>
      <c r="D228" s="98"/>
      <c r="E228" s="98"/>
      <c r="F228" s="98"/>
      <c r="G228" s="98"/>
      <c r="H228" s="38">
        <f>1.1/G226</f>
        <v>6.8750000000000006E-2</v>
      </c>
      <c r="I228" s="29">
        <f>G226*H228</f>
        <v>1.1000000000000001</v>
      </c>
      <c r="J228">
        <v>3</v>
      </c>
      <c r="K228" s="4">
        <v>0</v>
      </c>
      <c r="L228" s="4">
        <v>2.0640000000000001</v>
      </c>
      <c r="M228" s="4">
        <f>I228-K228-L228</f>
        <v>-0.96399999999999997</v>
      </c>
    </row>
    <row r="229" spans="1:19" x14ac:dyDescent="0.3">
      <c r="A229" s="98"/>
      <c r="B229" s="98"/>
      <c r="C229" s="98"/>
      <c r="D229" s="98"/>
      <c r="E229" s="98"/>
      <c r="F229" s="98"/>
      <c r="G229" s="98"/>
      <c r="H229" s="38">
        <f>0</f>
        <v>0</v>
      </c>
      <c r="I229" s="29">
        <f>G226*H229</f>
        <v>0</v>
      </c>
      <c r="J229">
        <v>4</v>
      </c>
      <c r="N229" s="4">
        <f>IF(ISERR(SEARCH("TRA* 82",C226)),IF(Q229+R229+S229=0,0,I229*(Q229/(Q229+R229+S229))),I229)</f>
        <v>0</v>
      </c>
      <c r="O229" s="4">
        <f>IF(ISERR(SEARCH("TRA* 82",C226)),IF(Q229+R229+S229=0,0,I229*(R229/(Q229+R229+S229))),0)</f>
        <v>0</v>
      </c>
      <c r="P229" s="4">
        <f>IF(ISERR(SEARCH("TRA* 82",C226)),I229-N229-O229,0)</f>
        <v>0</v>
      </c>
      <c r="Q229" s="4">
        <v>0</v>
      </c>
      <c r="R229" s="4">
        <v>0</v>
      </c>
      <c r="S229" s="4">
        <v>0</v>
      </c>
    </row>
    <row r="230" spans="1:19" x14ac:dyDescent="0.3">
      <c r="A230" s="100" t="s">
        <v>87</v>
      </c>
      <c r="B230" s="101"/>
      <c r="C230" s="101"/>
      <c r="D230" s="101"/>
      <c r="E230" s="101"/>
      <c r="F230" s="101"/>
      <c r="G230" s="101"/>
      <c r="H230" s="33">
        <f>H226+H227+H228+H229</f>
        <v>5376.7806250000012</v>
      </c>
      <c r="I230" s="37">
        <f>I226+I227+I228+I229</f>
        <v>86028.49000000002</v>
      </c>
      <c r="J230">
        <v>5</v>
      </c>
    </row>
    <row r="231" spans="1:19" x14ac:dyDescent="0.3">
      <c r="A231" s="99" t="s">
        <v>611</v>
      </c>
      <c r="B231" s="99"/>
      <c r="C231" s="99"/>
      <c r="D231" s="99"/>
      <c r="E231" s="99"/>
      <c r="F231" s="99"/>
      <c r="G231" s="99"/>
      <c r="H231" s="99"/>
      <c r="I231" s="99"/>
    </row>
    <row r="232" spans="1:19" x14ac:dyDescent="0.3">
      <c r="B232" s="2">
        <v>28</v>
      </c>
      <c r="C232" s="3" t="s">
        <v>609</v>
      </c>
      <c r="D232" s="5" t="s">
        <v>29</v>
      </c>
      <c r="G232" s="30">
        <v>1</v>
      </c>
      <c r="H232" s="38">
        <v>4661.28</v>
      </c>
      <c r="I232" s="29">
        <f>G232*H232</f>
        <v>4661.28</v>
      </c>
      <c r="J232">
        <v>1</v>
      </c>
    </row>
    <row r="233" spans="1:19" x14ac:dyDescent="0.3">
      <c r="D233" s="15" t="str">
        <f>SUBSTITUTE("Sp.mat: 0.00%",".",IF(VALUE("1.2")=1.2,".",","),2)</f>
        <v>Sp.mat: 0.00%</v>
      </c>
      <c r="F233" s="15" t="str">
        <f>SUBSTITUTE("Sp.man: 0.00%",".",IF(VALUE("1.2")=1.2,".",","),2)</f>
        <v>Sp.man: 0.00%</v>
      </c>
      <c r="G233" s="35" t="str">
        <f>SUBSTITUTE("Sp.uti: 0.00%",".",IF(VALUE("1.2")=1.2,".",","),2)</f>
        <v>Sp.uti: 0.00%</v>
      </c>
      <c r="H233" s="38">
        <v>48.05</v>
      </c>
      <c r="I233" s="29">
        <f>G232*H233</f>
        <v>48.05</v>
      </c>
      <c r="J233">
        <v>2</v>
      </c>
    </row>
    <row r="234" spans="1:19" x14ac:dyDescent="0.3">
      <c r="A234" s="88" t="s">
        <v>610</v>
      </c>
      <c r="B234" s="98"/>
      <c r="C234" s="98"/>
      <c r="D234" s="98"/>
      <c r="E234" s="98"/>
      <c r="F234" s="98"/>
      <c r="G234" s="98"/>
      <c r="H234" s="38">
        <v>7.0000000000000007E-2</v>
      </c>
      <c r="I234" s="29">
        <f>G232*H234</f>
        <v>7.0000000000000007E-2</v>
      </c>
      <c r="J234">
        <v>3</v>
      </c>
      <c r="K234" s="4">
        <v>0</v>
      </c>
      <c r="L234" s="4">
        <v>0.129</v>
      </c>
      <c r="M234" s="4">
        <f>I234-K234-L234</f>
        <v>-5.8999999999999997E-2</v>
      </c>
    </row>
    <row r="235" spans="1:19" x14ac:dyDescent="0.3">
      <c r="A235" s="98"/>
      <c r="B235" s="98"/>
      <c r="C235" s="98"/>
      <c r="D235" s="98"/>
      <c r="E235" s="98"/>
      <c r="F235" s="98"/>
      <c r="G235" s="98"/>
      <c r="H235" s="38">
        <f>0</f>
        <v>0</v>
      </c>
      <c r="I235" s="29">
        <f>G232*H235</f>
        <v>0</v>
      </c>
      <c r="J235">
        <v>4</v>
      </c>
      <c r="N235" s="4">
        <f>IF(ISERR(SEARCH("TRA* 82",C232)),IF(Q235+R235+S235=0,0,I235*(Q235/(Q235+R235+S235))),I235)</f>
        <v>0</v>
      </c>
      <c r="O235" s="4">
        <f>IF(ISERR(SEARCH("TRA* 82",C232)),IF(Q235+R235+S235=0,0,I235*(R235/(Q235+R235+S235))),0)</f>
        <v>0</v>
      </c>
      <c r="P235" s="4">
        <f>IF(ISERR(SEARCH("TRA* 82",C232)),I235-N235-O235,0)</f>
        <v>0</v>
      </c>
      <c r="Q235" s="4">
        <v>0</v>
      </c>
      <c r="R235" s="4">
        <v>0</v>
      </c>
      <c r="S235" s="4">
        <v>0</v>
      </c>
    </row>
    <row r="236" spans="1:19" x14ac:dyDescent="0.3">
      <c r="A236" s="100" t="s">
        <v>27</v>
      </c>
      <c r="B236" s="101"/>
      <c r="C236" s="101"/>
      <c r="D236" s="101"/>
      <c r="E236" s="101"/>
      <c r="F236" s="101"/>
      <c r="G236" s="101"/>
      <c r="H236" s="33">
        <f>H232+H233+H234+H235</f>
        <v>4709.3999999999996</v>
      </c>
      <c r="I236" s="37">
        <f>I232+I233+I234+I235</f>
        <v>4709.3999999999996</v>
      </c>
      <c r="J236">
        <v>5</v>
      </c>
    </row>
    <row r="237" spans="1:19" x14ac:dyDescent="0.3">
      <c r="A237" s="99" t="s">
        <v>612</v>
      </c>
      <c r="B237" s="99"/>
      <c r="C237" s="99"/>
      <c r="D237" s="99"/>
      <c r="E237" s="99"/>
      <c r="F237" s="99"/>
      <c r="G237" s="99"/>
      <c r="H237" s="99"/>
      <c r="I237" s="99"/>
    </row>
    <row r="238" spans="1:19" x14ac:dyDescent="0.3">
      <c r="B238" s="2">
        <v>29</v>
      </c>
      <c r="C238" s="3" t="s">
        <v>609</v>
      </c>
      <c r="D238" s="5" t="s">
        <v>29</v>
      </c>
      <c r="G238" s="30">
        <v>1</v>
      </c>
      <c r="H238" s="38">
        <v>2579.0700000000002</v>
      </c>
      <c r="I238" s="29">
        <f>G238*H238</f>
        <v>2579.0700000000002</v>
      </c>
      <c r="J238">
        <v>1</v>
      </c>
    </row>
    <row r="239" spans="1:19" x14ac:dyDescent="0.3">
      <c r="D239" s="15" t="str">
        <f>SUBSTITUTE("Sp.mat: 0.00%",".",IF(VALUE("1.2")=1.2,".",","),2)</f>
        <v>Sp.mat: 0.00%</v>
      </c>
      <c r="F239" s="15" t="str">
        <f>SUBSTITUTE("Sp.man: 0.00%",".",IF(VALUE("1.2")=1.2,".",","),2)</f>
        <v>Sp.man: 0.00%</v>
      </c>
      <c r="G239" s="35" t="str">
        <f>SUBSTITUTE("Sp.uti: 0.00%",".",IF(VALUE("1.2")=1.2,".",","),2)</f>
        <v>Sp.uti: 0.00%</v>
      </c>
      <c r="H239" s="38">
        <v>48.05</v>
      </c>
      <c r="I239" s="29">
        <f>G238*H239</f>
        <v>48.05</v>
      </c>
      <c r="J239">
        <v>2</v>
      </c>
    </row>
    <row r="240" spans="1:19" x14ac:dyDescent="0.3">
      <c r="A240" s="88" t="s">
        <v>610</v>
      </c>
      <c r="B240" s="98"/>
      <c r="C240" s="98"/>
      <c r="D240" s="98"/>
      <c r="E240" s="98"/>
      <c r="F240" s="98"/>
      <c r="G240" s="98"/>
      <c r="H240" s="38">
        <v>7.0000000000000007E-2</v>
      </c>
      <c r="I240" s="29">
        <f>G238*H240</f>
        <v>7.0000000000000007E-2</v>
      </c>
      <c r="J240">
        <v>3</v>
      </c>
      <c r="K240" s="4">
        <v>0</v>
      </c>
      <c r="L240" s="4">
        <v>0.129</v>
      </c>
      <c r="M240" s="4">
        <f>I240-K240-L240</f>
        <v>-5.8999999999999997E-2</v>
      </c>
    </row>
    <row r="241" spans="1:19" x14ac:dyDescent="0.3">
      <c r="A241" s="98"/>
      <c r="B241" s="98"/>
      <c r="C241" s="98"/>
      <c r="D241" s="98"/>
      <c r="E241" s="98"/>
      <c r="F241" s="98"/>
      <c r="G241" s="98"/>
      <c r="H241" s="38">
        <f>0</f>
        <v>0</v>
      </c>
      <c r="I241" s="29">
        <f>G238*H241</f>
        <v>0</v>
      </c>
      <c r="J241">
        <v>4</v>
      </c>
      <c r="N241" s="4">
        <f>IF(ISERR(SEARCH("TRA* 82",C238)),IF(Q241+R241+S241=0,0,I241*(Q241/(Q241+R241+S241))),I241)</f>
        <v>0</v>
      </c>
      <c r="O241" s="4">
        <f>IF(ISERR(SEARCH("TRA* 82",C238)),IF(Q241+R241+S241=0,0,I241*(R241/(Q241+R241+S241))),0)</f>
        <v>0</v>
      </c>
      <c r="P241" s="4">
        <f>IF(ISERR(SEARCH("TRA* 82",C238)),I241-N241-O241,0)</f>
        <v>0</v>
      </c>
      <c r="Q241" s="4">
        <v>0</v>
      </c>
      <c r="R241" s="4">
        <v>0</v>
      </c>
      <c r="S241" s="4">
        <v>0</v>
      </c>
    </row>
    <row r="242" spans="1:19" x14ac:dyDescent="0.3">
      <c r="A242" s="100" t="s">
        <v>87</v>
      </c>
      <c r="B242" s="101"/>
      <c r="C242" s="101"/>
      <c r="D242" s="101"/>
      <c r="E242" s="101"/>
      <c r="F242" s="101"/>
      <c r="G242" s="101"/>
      <c r="H242" s="33">
        <f>H238+H239+H240+H241</f>
        <v>2627.1900000000005</v>
      </c>
      <c r="I242" s="37">
        <f>I238+I239+I240+I241</f>
        <v>2627.1900000000005</v>
      </c>
      <c r="J242">
        <v>5</v>
      </c>
    </row>
    <row r="243" spans="1:19" x14ac:dyDescent="0.3">
      <c r="A243" s="99" t="s">
        <v>613</v>
      </c>
      <c r="B243" s="99"/>
      <c r="C243" s="99"/>
      <c r="D243" s="99"/>
      <c r="E243" s="99"/>
      <c r="F243" s="99"/>
      <c r="G243" s="99"/>
      <c r="H243" s="99"/>
      <c r="I243" s="99"/>
    </row>
    <row r="244" spans="1:19" x14ac:dyDescent="0.3">
      <c r="B244" s="2">
        <v>30</v>
      </c>
      <c r="C244" s="3" t="s">
        <v>393</v>
      </c>
      <c r="D244" s="5" t="s">
        <v>25</v>
      </c>
      <c r="G244" s="30">
        <v>80</v>
      </c>
      <c r="H244" s="38">
        <f>361.72/G244</f>
        <v>4.5215000000000005</v>
      </c>
      <c r="I244" s="29">
        <f>G244*H244</f>
        <v>361.72</v>
      </c>
      <c r="J244">
        <v>1</v>
      </c>
    </row>
    <row r="245" spans="1:19" x14ac:dyDescent="0.3">
      <c r="D245" s="15" t="str">
        <f>SUBSTITUTE("Sp.mat: 0.00%",".",IF(VALUE("1.2")=1.2,".",","),2)</f>
        <v>Sp.mat: 0.00%</v>
      </c>
      <c r="F245" s="15" t="str">
        <f>SUBSTITUTE("Sp.man: 0.00%",".",IF(VALUE("1.2")=1.2,".",","),2)</f>
        <v>Sp.man: 0.00%</v>
      </c>
      <c r="G245" s="35" t="str">
        <f>SUBSTITUTE("Sp.uti: 0.00%",".",IF(VALUE("1.2")=1.2,".",","),2)</f>
        <v>Sp.uti: 0.00%</v>
      </c>
      <c r="H245" s="38">
        <f>1409.5/G244</f>
        <v>17.618749999999999</v>
      </c>
      <c r="I245" s="29">
        <f>G244*H245</f>
        <v>1409.5</v>
      </c>
      <c r="J245">
        <v>2</v>
      </c>
    </row>
    <row r="246" spans="1:19" x14ac:dyDescent="0.3">
      <c r="A246" s="88" t="s">
        <v>394</v>
      </c>
      <c r="B246" s="98"/>
      <c r="C246" s="98"/>
      <c r="D246" s="98"/>
      <c r="E246" s="98"/>
      <c r="F246" s="98"/>
      <c r="G246" s="98"/>
      <c r="H246" s="38">
        <f>(1+IF(OR(ISERR(FIND(":",G245)),ISERR(FIND("%",G245))),0,MID(G245,FIND(":",G245)+2,FIND("%",G245)-FIND(":",G245)-2)/100))*0</f>
        <v>0</v>
      </c>
      <c r="I246" s="29">
        <f>G244*H246</f>
        <v>0</v>
      </c>
      <c r="J246">
        <v>3</v>
      </c>
      <c r="K246" s="4">
        <v>0</v>
      </c>
      <c r="L246" s="4">
        <v>0</v>
      </c>
      <c r="M246" s="4">
        <f>I246-K246-L246</f>
        <v>0</v>
      </c>
    </row>
    <row r="247" spans="1:19" x14ac:dyDescent="0.3">
      <c r="A247" s="98"/>
      <c r="B247" s="98"/>
      <c r="C247" s="98"/>
      <c r="D247" s="98"/>
      <c r="E247" s="98"/>
      <c r="F247" s="98"/>
      <c r="G247" s="98"/>
      <c r="H247" s="38">
        <f>0</f>
        <v>0</v>
      </c>
      <c r="I247" s="29">
        <f>G244*H247</f>
        <v>0</v>
      </c>
      <c r="J247">
        <v>4</v>
      </c>
      <c r="N247" s="4">
        <f>IF(ISERR(SEARCH("TRA* 82",C244)),IF(Q247+R247+S247=0,0,I247*(Q247/(Q247+R247+S247))),I247)</f>
        <v>0</v>
      </c>
      <c r="O247" s="4">
        <f>IF(ISERR(SEARCH("TRA* 82",C244)),IF(Q247+R247+S247=0,0,I247*(R247/(Q247+R247+S247))),0)</f>
        <v>0</v>
      </c>
      <c r="P247" s="4">
        <f>IF(ISERR(SEARCH("TRA* 82",C244)),I247-N247-O247,0)</f>
        <v>0</v>
      </c>
      <c r="Q247" s="4">
        <v>0</v>
      </c>
      <c r="R247" s="4">
        <v>0</v>
      </c>
      <c r="S247" s="4">
        <v>0</v>
      </c>
    </row>
    <row r="248" spans="1:19" x14ac:dyDescent="0.3">
      <c r="A248" s="100" t="s">
        <v>27</v>
      </c>
      <c r="B248" s="101"/>
      <c r="C248" s="101"/>
      <c r="D248" s="101"/>
      <c r="E248" s="101"/>
      <c r="F248" s="101"/>
      <c r="G248" s="101"/>
      <c r="H248" s="33">
        <f>H244+H245+H246+H247</f>
        <v>22.140249999999998</v>
      </c>
      <c r="I248" s="37">
        <f>I244+I245+I246+I247</f>
        <v>1771.22</v>
      </c>
      <c r="J248">
        <v>5</v>
      </c>
    </row>
    <row r="249" spans="1:19" x14ac:dyDescent="0.3">
      <c r="A249" s="99" t="s">
        <v>614</v>
      </c>
      <c r="B249" s="99"/>
      <c r="C249" s="99"/>
      <c r="D249" s="99"/>
      <c r="E249" s="99"/>
      <c r="F249" s="99"/>
      <c r="G249" s="99"/>
      <c r="H249" s="99"/>
      <c r="I249" s="99"/>
    </row>
    <row r="250" spans="1:19" x14ac:dyDescent="0.3">
      <c r="B250" s="2">
        <v>31</v>
      </c>
      <c r="C250" s="3" t="s">
        <v>393</v>
      </c>
      <c r="D250" s="5" t="s">
        <v>25</v>
      </c>
      <c r="G250" s="30">
        <v>45</v>
      </c>
      <c r="H250" s="38">
        <f>245.1/G250</f>
        <v>5.4466666666666663</v>
      </c>
      <c r="I250" s="29">
        <f>G250*H250</f>
        <v>245.1</v>
      </c>
      <c r="J250">
        <v>1</v>
      </c>
    </row>
    <row r="251" spans="1:19" x14ac:dyDescent="0.3">
      <c r="D251" s="15" t="str">
        <f>SUBSTITUTE("Sp.mat: 0.00%",".",IF(VALUE("1.2")=1.2,".",","),2)</f>
        <v>Sp.mat: 0.00%</v>
      </c>
      <c r="F251" s="15" t="str">
        <f>SUBSTITUTE("Sp.man: 0.00%",".",IF(VALUE("1.2")=1.2,".",","),2)</f>
        <v>Sp.man: 0.00%</v>
      </c>
      <c r="G251" s="35" t="str">
        <f>SUBSTITUTE("Sp.uti: 0.00%",".",IF(VALUE("1.2")=1.2,".",","),2)</f>
        <v>Sp.uti: 0.00%</v>
      </c>
      <c r="H251" s="38">
        <f>792.84/G250</f>
        <v>17.618666666666666</v>
      </c>
      <c r="I251" s="29">
        <f>G250*H251</f>
        <v>792.83999999999992</v>
      </c>
      <c r="J251">
        <v>2</v>
      </c>
    </row>
    <row r="252" spans="1:19" x14ac:dyDescent="0.3">
      <c r="A252" s="88" t="s">
        <v>394</v>
      </c>
      <c r="B252" s="98"/>
      <c r="C252" s="98"/>
      <c r="D252" s="98"/>
      <c r="E252" s="98"/>
      <c r="F252" s="98"/>
      <c r="G252" s="98"/>
      <c r="H252" s="38">
        <f>(1+IF(OR(ISERR(FIND(":",G251)),ISERR(FIND("%",G251))),0,MID(G251,FIND(":",G251)+2,FIND("%",G251)-FIND(":",G251)-2)/100))*0</f>
        <v>0</v>
      </c>
      <c r="I252" s="29">
        <f>G250*H252</f>
        <v>0</v>
      </c>
      <c r="J252">
        <v>3</v>
      </c>
      <c r="K252" s="4">
        <v>0</v>
      </c>
      <c r="L252" s="4">
        <v>0</v>
      </c>
      <c r="M252" s="4">
        <f>I252-K252-L252</f>
        <v>0</v>
      </c>
    </row>
    <row r="253" spans="1:19" x14ac:dyDescent="0.3">
      <c r="A253" s="98"/>
      <c r="B253" s="98"/>
      <c r="C253" s="98"/>
      <c r="D253" s="98"/>
      <c r="E253" s="98"/>
      <c r="F253" s="98"/>
      <c r="G253" s="98"/>
      <c r="H253" s="38">
        <f>0</f>
        <v>0</v>
      </c>
      <c r="I253" s="29">
        <f>G250*H253</f>
        <v>0</v>
      </c>
      <c r="J253">
        <v>4</v>
      </c>
      <c r="N253" s="4">
        <f>IF(ISERR(SEARCH("TRA* 82",C250)),IF(Q253+R253+S253=0,0,I253*(Q253/(Q253+R253+S253))),I253)</f>
        <v>0</v>
      </c>
      <c r="O253" s="4">
        <f>IF(ISERR(SEARCH("TRA* 82",C250)),IF(Q253+R253+S253=0,0,I253*(R253/(Q253+R253+S253))),0)</f>
        <v>0</v>
      </c>
      <c r="P253" s="4">
        <f>IF(ISERR(SEARCH("TRA* 82",C250)),I253-N253-O253,0)</f>
        <v>0</v>
      </c>
      <c r="Q253" s="4">
        <v>0</v>
      </c>
      <c r="R253" s="4">
        <v>0</v>
      </c>
      <c r="S253" s="4">
        <v>0</v>
      </c>
    </row>
    <row r="254" spans="1:19" x14ac:dyDescent="0.3">
      <c r="A254" s="100" t="s">
        <v>27</v>
      </c>
      <c r="B254" s="101"/>
      <c r="C254" s="101"/>
      <c r="D254" s="101"/>
      <c r="E254" s="101"/>
      <c r="F254" s="101"/>
      <c r="G254" s="101"/>
      <c r="H254" s="33">
        <f>H250+H251+H252+H253</f>
        <v>23.065333333333331</v>
      </c>
      <c r="I254" s="37">
        <f>I250+I251+I252+I253</f>
        <v>1037.9399999999998</v>
      </c>
      <c r="J254">
        <v>5</v>
      </c>
    </row>
    <row r="255" spans="1:19" x14ac:dyDescent="0.3">
      <c r="A255" s="99" t="s">
        <v>615</v>
      </c>
      <c r="B255" s="99"/>
      <c r="C255" s="99"/>
      <c r="D255" s="99"/>
      <c r="E255" s="99"/>
      <c r="F255" s="99"/>
      <c r="G255" s="99"/>
      <c r="H255" s="99"/>
      <c r="I255" s="99"/>
    </row>
    <row r="256" spans="1:19" x14ac:dyDescent="0.3">
      <c r="B256" s="2">
        <v>32</v>
      </c>
      <c r="C256" s="3" t="s">
        <v>398</v>
      </c>
      <c r="D256" s="5" t="s">
        <v>25</v>
      </c>
      <c r="G256" s="30">
        <v>110</v>
      </c>
      <c r="H256" s="38">
        <f>879.9/G256</f>
        <v>7.999090909090909</v>
      </c>
      <c r="I256" s="29">
        <f>G256*H256</f>
        <v>879.9</v>
      </c>
      <c r="J256">
        <v>1</v>
      </c>
    </row>
    <row r="257" spans="1:19" x14ac:dyDescent="0.3">
      <c r="D257" s="15" t="str">
        <f>SUBSTITUTE("Sp.mat: 0.00%",".",IF(VALUE("1.2")=1.2,".",","),2)</f>
        <v>Sp.mat: 0.00%</v>
      </c>
      <c r="F257" s="15" t="str">
        <f>SUBSTITUTE("Sp.man: 0.00%",".",IF(VALUE("1.2")=1.2,".",","),2)</f>
        <v>Sp.man: 0.00%</v>
      </c>
      <c r="G257" s="35" t="str">
        <f>SUBSTITUTE("Sp.uti: 0.00%",".",IF(VALUE("1.2")=1.2,".",","),2)</f>
        <v>Sp.uti: 0.00%</v>
      </c>
      <c r="H257" s="38">
        <f>1673.78/G256</f>
        <v>15.216181818181818</v>
      </c>
      <c r="I257" s="29">
        <f>G256*H257</f>
        <v>1673.78</v>
      </c>
      <c r="J257">
        <v>2</v>
      </c>
    </row>
    <row r="258" spans="1:19" x14ac:dyDescent="0.3">
      <c r="A258" s="88" t="s">
        <v>399</v>
      </c>
      <c r="B258" s="98"/>
      <c r="C258" s="98"/>
      <c r="D258" s="98"/>
      <c r="E258" s="98"/>
      <c r="F258" s="98"/>
      <c r="G258" s="98"/>
      <c r="H258" s="38">
        <f>(1+IF(OR(ISERR(FIND(":",G257)),ISERR(FIND("%",G257))),0,MID(G257,FIND(":",G257)+2,FIND("%",G257)-FIND(":",G257)-2)/100))*0</f>
        <v>0</v>
      </c>
      <c r="I258" s="29">
        <f>G256*H258</f>
        <v>0</v>
      </c>
      <c r="J258">
        <v>3</v>
      </c>
      <c r="K258" s="4">
        <v>0</v>
      </c>
      <c r="L258" s="4">
        <v>0</v>
      </c>
      <c r="M258" s="4">
        <f>I258-K258-L258</f>
        <v>0</v>
      </c>
    </row>
    <row r="259" spans="1:19" x14ac:dyDescent="0.3">
      <c r="A259" s="98"/>
      <c r="B259" s="98"/>
      <c r="C259" s="98"/>
      <c r="D259" s="98"/>
      <c r="E259" s="98"/>
      <c r="F259" s="98"/>
      <c r="G259" s="98"/>
      <c r="H259" s="38">
        <f>0</f>
        <v>0</v>
      </c>
      <c r="I259" s="29">
        <f>G256*H259</f>
        <v>0</v>
      </c>
      <c r="J259">
        <v>4</v>
      </c>
      <c r="N259" s="4">
        <f>IF(ISERR(SEARCH("TRA* 82",C256)),IF(Q259+R259+S259=0,0,I259*(Q259/(Q259+R259+S259))),I259)</f>
        <v>0</v>
      </c>
      <c r="O259" s="4">
        <f>IF(ISERR(SEARCH("TRA* 82",C256)),IF(Q259+R259+S259=0,0,I259*(R259/(Q259+R259+S259))),0)</f>
        <v>0</v>
      </c>
      <c r="P259" s="4">
        <f>IF(ISERR(SEARCH("TRA* 82",C256)),I259-N259-O259,0)</f>
        <v>0</v>
      </c>
      <c r="Q259" s="4">
        <v>0</v>
      </c>
      <c r="R259" s="4">
        <v>0</v>
      </c>
      <c r="S259" s="4">
        <v>0</v>
      </c>
    </row>
    <row r="260" spans="1:19" x14ac:dyDescent="0.3">
      <c r="A260" s="100" t="s">
        <v>27</v>
      </c>
      <c r="B260" s="101"/>
      <c r="C260" s="101"/>
      <c r="D260" s="101"/>
      <c r="E260" s="101"/>
      <c r="F260" s="101"/>
      <c r="G260" s="101"/>
      <c r="H260" s="33">
        <f>H256+H257+H258+H259</f>
        <v>23.215272727272726</v>
      </c>
      <c r="I260" s="37">
        <f>I256+I257+I258+I259</f>
        <v>2553.6799999999998</v>
      </c>
      <c r="J260">
        <v>5</v>
      </c>
    </row>
    <row r="261" spans="1:19" x14ac:dyDescent="0.3">
      <c r="A261" s="99" t="s">
        <v>616</v>
      </c>
      <c r="B261" s="99"/>
      <c r="C261" s="99"/>
      <c r="D261" s="99"/>
      <c r="E261" s="99"/>
      <c r="F261" s="99"/>
      <c r="G261" s="99"/>
      <c r="H261" s="99"/>
      <c r="I261" s="99"/>
    </row>
    <row r="262" spans="1:19" x14ac:dyDescent="0.3">
      <c r="B262" s="2">
        <v>33</v>
      </c>
      <c r="C262" s="3" t="s">
        <v>398</v>
      </c>
      <c r="D262" s="5" t="s">
        <v>25</v>
      </c>
      <c r="G262" s="30">
        <v>80</v>
      </c>
      <c r="H262" s="38">
        <f>866.23/G262</f>
        <v>10.827875000000001</v>
      </c>
      <c r="I262" s="29">
        <f>G262*H262</f>
        <v>866.23</v>
      </c>
      <c r="J262">
        <v>1</v>
      </c>
    </row>
    <row r="263" spans="1:19" x14ac:dyDescent="0.3">
      <c r="D263" s="15" t="str">
        <f>SUBSTITUTE("Sp.mat: 0.00%",".",IF(VALUE("1.2")=1.2,".",","),2)</f>
        <v>Sp.mat: 0.00%</v>
      </c>
      <c r="F263" s="15" t="str">
        <f>SUBSTITUTE("Sp.man: 0.00%",".",IF(VALUE("1.2")=1.2,".",","),2)</f>
        <v>Sp.man: 0.00%</v>
      </c>
      <c r="G263" s="35" t="str">
        <f>SUBSTITUTE("Sp.uti: 0.00%",".",IF(VALUE("1.2")=1.2,".",","),2)</f>
        <v>Sp.uti: 0.00%</v>
      </c>
      <c r="H263" s="38">
        <f>1217.29/G262</f>
        <v>15.216125</v>
      </c>
      <c r="I263" s="29">
        <f>G262*H263</f>
        <v>1217.29</v>
      </c>
      <c r="J263">
        <v>2</v>
      </c>
    </row>
    <row r="264" spans="1:19" x14ac:dyDescent="0.3">
      <c r="A264" s="88" t="s">
        <v>399</v>
      </c>
      <c r="B264" s="98"/>
      <c r="C264" s="98"/>
      <c r="D264" s="98"/>
      <c r="E264" s="98"/>
      <c r="F264" s="98"/>
      <c r="G264" s="98"/>
      <c r="H264" s="38">
        <f>(1+IF(OR(ISERR(FIND(":",G263)),ISERR(FIND("%",G263))),0,MID(G263,FIND(":",G263)+2,FIND("%",G263)-FIND(":",G263)-2)/100))*0</f>
        <v>0</v>
      </c>
      <c r="I264" s="29">
        <f>G262*H264</f>
        <v>0</v>
      </c>
      <c r="J264">
        <v>3</v>
      </c>
      <c r="K264" s="4">
        <v>0</v>
      </c>
      <c r="L264" s="4">
        <v>0</v>
      </c>
      <c r="M264" s="4">
        <f>I264-K264-L264</f>
        <v>0</v>
      </c>
    </row>
    <row r="265" spans="1:19" x14ac:dyDescent="0.3">
      <c r="A265" s="98"/>
      <c r="B265" s="98"/>
      <c r="C265" s="98"/>
      <c r="D265" s="98"/>
      <c r="E265" s="98"/>
      <c r="F265" s="98"/>
      <c r="G265" s="98"/>
      <c r="H265" s="38">
        <f>0</f>
        <v>0</v>
      </c>
      <c r="I265" s="29">
        <f>G262*H265</f>
        <v>0</v>
      </c>
      <c r="J265">
        <v>4</v>
      </c>
      <c r="N265" s="4">
        <f>IF(ISERR(SEARCH("TRA* 82",C262)),IF(Q265+R265+S265=0,0,I265*(Q265/(Q265+R265+S265))),I265)</f>
        <v>0</v>
      </c>
      <c r="O265" s="4">
        <f>IF(ISERR(SEARCH("TRA* 82",C262)),IF(Q265+R265+S265=0,0,I265*(R265/(Q265+R265+S265))),0)</f>
        <v>0</v>
      </c>
      <c r="P265" s="4">
        <f>IF(ISERR(SEARCH("TRA* 82",C262)),I265-N265-O265,0)</f>
        <v>0</v>
      </c>
      <c r="Q265" s="4">
        <v>0</v>
      </c>
      <c r="R265" s="4">
        <v>0</v>
      </c>
      <c r="S265" s="4">
        <v>0</v>
      </c>
    </row>
    <row r="266" spans="1:19" x14ac:dyDescent="0.3">
      <c r="A266" s="100" t="s">
        <v>27</v>
      </c>
      <c r="B266" s="101"/>
      <c r="C266" s="101"/>
      <c r="D266" s="101"/>
      <c r="E266" s="101"/>
      <c r="F266" s="101"/>
      <c r="G266" s="101"/>
      <c r="H266" s="33">
        <f>H262+H263+H264+H265</f>
        <v>26.044</v>
      </c>
      <c r="I266" s="37">
        <f>I262+I263+I264+I265</f>
        <v>2083.52</v>
      </c>
      <c r="J266">
        <v>5</v>
      </c>
    </row>
    <row r="267" spans="1:19" x14ac:dyDescent="0.3">
      <c r="A267" s="99" t="s">
        <v>617</v>
      </c>
      <c r="B267" s="99"/>
      <c r="C267" s="99"/>
      <c r="D267" s="99"/>
      <c r="E267" s="99"/>
      <c r="F267" s="99"/>
      <c r="G267" s="99"/>
      <c r="H267" s="99"/>
      <c r="I267" s="99"/>
    </row>
    <row r="268" spans="1:19" x14ac:dyDescent="0.3">
      <c r="B268" s="2">
        <v>34</v>
      </c>
      <c r="C268" s="3" t="s">
        <v>404</v>
      </c>
      <c r="D268" s="5" t="s">
        <v>25</v>
      </c>
      <c r="G268" s="30">
        <v>60</v>
      </c>
      <c r="H268" s="38">
        <v>11.01</v>
      </c>
      <c r="I268" s="29">
        <f>G268*H268</f>
        <v>660.6</v>
      </c>
      <c r="J268">
        <v>1</v>
      </c>
    </row>
    <row r="269" spans="1:19" x14ac:dyDescent="0.3">
      <c r="D269" s="15" t="str">
        <f>SUBSTITUTE("Sp.mat: 0.00%",".",IF(VALUE("1.2")=1.2,".",","),2)</f>
        <v>Sp.mat: 0.00%</v>
      </c>
      <c r="F269" s="15" t="str">
        <f>SUBSTITUTE("Sp.man: 0.00%",".",IF(VALUE("1.2")=1.2,".",","),2)</f>
        <v>Sp.man: 0.00%</v>
      </c>
      <c r="G269" s="35" t="str">
        <f>SUBSTITUTE("Sp.uti: 0.00%",".",IF(VALUE("1.2")=1.2,".",","),2)</f>
        <v>Sp.uti: 0.00%</v>
      </c>
      <c r="H269" s="38">
        <f>1009.07/G268</f>
        <v>16.817833333333333</v>
      </c>
      <c r="I269" s="29">
        <f>G268*H269</f>
        <v>1009.0699999999999</v>
      </c>
      <c r="J269">
        <v>2</v>
      </c>
    </row>
    <row r="270" spans="1:19" x14ac:dyDescent="0.3">
      <c r="A270" s="88" t="s">
        <v>405</v>
      </c>
      <c r="B270" s="98"/>
      <c r="C270" s="98"/>
      <c r="D270" s="98"/>
      <c r="E270" s="98"/>
      <c r="F270" s="98"/>
      <c r="G270" s="98"/>
      <c r="H270" s="38">
        <f>(1+IF(OR(ISERR(FIND(":",G269)),ISERR(FIND("%",G269))),0,MID(G269,FIND(":",G269)+2,FIND("%",G269)-FIND(":",G269)-2)/100))*0</f>
        <v>0</v>
      </c>
      <c r="I270" s="29">
        <f>G268*H270</f>
        <v>0</v>
      </c>
      <c r="J270">
        <v>3</v>
      </c>
      <c r="K270" s="4">
        <v>0</v>
      </c>
      <c r="L270" s="4">
        <v>0</v>
      </c>
      <c r="M270" s="4">
        <f>I270-K270-L270</f>
        <v>0</v>
      </c>
    </row>
    <row r="271" spans="1:19" x14ac:dyDescent="0.3">
      <c r="A271" s="98"/>
      <c r="B271" s="98"/>
      <c r="C271" s="98"/>
      <c r="D271" s="98"/>
      <c r="E271" s="98"/>
      <c r="F271" s="98"/>
      <c r="G271" s="98"/>
      <c r="H271" s="38">
        <f>0</f>
        <v>0</v>
      </c>
      <c r="I271" s="29">
        <f>G268*H271</f>
        <v>0</v>
      </c>
      <c r="J271">
        <v>4</v>
      </c>
      <c r="N271" s="4">
        <f>IF(ISERR(SEARCH("TRA* 82",C268)),IF(Q271+R271+S271=0,0,I271*(Q271/(Q271+R271+S271))),I271)</f>
        <v>0</v>
      </c>
      <c r="O271" s="4">
        <f>IF(ISERR(SEARCH("TRA* 82",C268)),IF(Q271+R271+S271=0,0,I271*(R271/(Q271+R271+S271))),0)</f>
        <v>0</v>
      </c>
      <c r="P271" s="4">
        <f>IF(ISERR(SEARCH("TRA* 82",C268)),I271-N271-O271,0)</f>
        <v>0</v>
      </c>
      <c r="Q271" s="4">
        <v>0</v>
      </c>
      <c r="R271" s="4">
        <v>0</v>
      </c>
      <c r="S271" s="4">
        <v>0</v>
      </c>
    </row>
    <row r="272" spans="1:19" x14ac:dyDescent="0.3">
      <c r="A272" s="100" t="s">
        <v>27</v>
      </c>
      <c r="B272" s="101"/>
      <c r="C272" s="101"/>
      <c r="D272" s="101"/>
      <c r="E272" s="101"/>
      <c r="F272" s="101"/>
      <c r="G272" s="101"/>
      <c r="H272" s="33">
        <f>H268+H269+H270+H271</f>
        <v>27.827833333333331</v>
      </c>
      <c r="I272" s="37">
        <f>I268+I269+I270+I271</f>
        <v>1669.67</v>
      </c>
      <c r="J272">
        <v>5</v>
      </c>
    </row>
    <row r="273" spans="1:19" x14ac:dyDescent="0.3">
      <c r="A273" s="99" t="s">
        <v>618</v>
      </c>
      <c r="B273" s="99"/>
      <c r="C273" s="99"/>
      <c r="D273" s="99"/>
      <c r="E273" s="99"/>
      <c r="F273" s="99"/>
      <c r="G273" s="99"/>
      <c r="H273" s="99"/>
      <c r="I273" s="99"/>
    </row>
    <row r="274" spans="1:19" x14ac:dyDescent="0.3">
      <c r="B274" s="2">
        <v>35</v>
      </c>
      <c r="C274" s="3" t="s">
        <v>238</v>
      </c>
      <c r="D274" s="5" t="s">
        <v>25</v>
      </c>
      <c r="G274" s="30">
        <v>375</v>
      </c>
      <c r="H274" s="38">
        <f>98.45/G274</f>
        <v>0.26253333333333334</v>
      </c>
      <c r="I274" s="29">
        <f>G274*H274</f>
        <v>98.45</v>
      </c>
      <c r="J274">
        <v>1</v>
      </c>
    </row>
    <row r="275" spans="1:19" x14ac:dyDescent="0.3">
      <c r="D275" s="15" t="str">
        <f>SUBSTITUTE("Sp.mat: 0.00%",".",IF(VALUE("1.2")=1.2,".",","),2)</f>
        <v>Sp.mat: 0.00%</v>
      </c>
      <c r="F275" s="15" t="str">
        <f>SUBSTITUTE("Sp.man: 0.00%",".",IF(VALUE("1.2")=1.2,".",","),2)</f>
        <v>Sp.man: 0.00%</v>
      </c>
      <c r="G275" s="35" t="str">
        <f>SUBSTITUTE("Sp.uti: 0.00%",".",IF(VALUE("1.2")=1.2,".",","),2)</f>
        <v>Sp.uti: 0.00%</v>
      </c>
      <c r="H275" s="38">
        <f>720.77/G274</f>
        <v>1.9220533333333334</v>
      </c>
      <c r="I275" s="29">
        <f>G274*H275</f>
        <v>720.77</v>
      </c>
      <c r="J275">
        <v>2</v>
      </c>
    </row>
    <row r="276" spans="1:19" x14ac:dyDescent="0.3">
      <c r="A276" s="88" t="s">
        <v>239</v>
      </c>
      <c r="B276" s="98"/>
      <c r="C276" s="98"/>
      <c r="D276" s="98"/>
      <c r="E276" s="98"/>
      <c r="F276" s="98"/>
      <c r="G276" s="98"/>
      <c r="H276" s="38">
        <f>11.71/G274</f>
        <v>3.122666666666667E-2</v>
      </c>
      <c r="I276" s="29">
        <f>G274*H276</f>
        <v>11.71</v>
      </c>
      <c r="J276">
        <v>3</v>
      </c>
      <c r="K276" s="4">
        <v>0</v>
      </c>
      <c r="L276" s="4">
        <v>0</v>
      </c>
      <c r="M276" s="4">
        <f>I276-K276-L276</f>
        <v>11.71</v>
      </c>
    </row>
    <row r="277" spans="1:19" x14ac:dyDescent="0.3">
      <c r="A277" s="98"/>
      <c r="B277" s="98"/>
      <c r="C277" s="98"/>
      <c r="D277" s="98"/>
      <c r="E277" s="98"/>
      <c r="F277" s="98"/>
      <c r="G277" s="98"/>
      <c r="H277" s="38">
        <f>0</f>
        <v>0</v>
      </c>
      <c r="I277" s="29">
        <f>G274*H277</f>
        <v>0</v>
      </c>
      <c r="J277">
        <v>4</v>
      </c>
      <c r="N277" s="4">
        <f>IF(ISERR(SEARCH("TRA* 82",C274)),IF(Q277+R277+S277=0,0,I277*(Q277/(Q277+R277+S277))),I277)</f>
        <v>0</v>
      </c>
      <c r="O277" s="4">
        <f>IF(ISERR(SEARCH("TRA* 82",C274)),IF(Q277+R277+S277=0,0,I277*(R277/(Q277+R277+S277))),0)</f>
        <v>0</v>
      </c>
      <c r="P277" s="4">
        <f>IF(ISERR(SEARCH("TRA* 82",C274)),I277-N277-O277,0)</f>
        <v>0</v>
      </c>
      <c r="Q277" s="4">
        <v>0</v>
      </c>
      <c r="R277" s="4">
        <v>0</v>
      </c>
      <c r="S277" s="4">
        <v>0</v>
      </c>
    </row>
    <row r="278" spans="1:19" x14ac:dyDescent="0.3">
      <c r="A278" s="96" t="s">
        <v>240</v>
      </c>
      <c r="B278" s="97"/>
      <c r="C278" s="97"/>
      <c r="D278" s="97"/>
      <c r="E278" s="97"/>
      <c r="F278" s="97"/>
      <c r="G278" s="97"/>
      <c r="H278" s="36">
        <f>H274+H275+H276+H277</f>
        <v>2.2158133333333332</v>
      </c>
      <c r="I278" s="74">
        <f>I274+I275+I276+I277</f>
        <v>830.93000000000006</v>
      </c>
      <c r="J278">
        <v>5</v>
      </c>
    </row>
    <row r="279" spans="1:19" x14ac:dyDescent="0.3">
      <c r="B279" s="2">
        <v>36</v>
      </c>
      <c r="C279" s="3" t="s">
        <v>565</v>
      </c>
      <c r="D279" s="5" t="s">
        <v>25</v>
      </c>
      <c r="G279" s="30">
        <v>80</v>
      </c>
      <c r="H279" s="38">
        <f>92.47/G279</f>
        <v>1.155875</v>
      </c>
      <c r="I279" s="29">
        <f>G279*H279</f>
        <v>92.47</v>
      </c>
      <c r="J279">
        <v>1</v>
      </c>
    </row>
    <row r="280" spans="1:19" x14ac:dyDescent="0.3">
      <c r="D280" s="15" t="str">
        <f>SUBSTITUTE("Sp.mat: 0.00%",".",IF(VALUE("1.2")=1.2,".",","),2)</f>
        <v>Sp.mat: 0.00%</v>
      </c>
      <c r="F280" s="15" t="str">
        <f>SUBSTITUTE("Sp.man: 0.00%",".",IF(VALUE("1.2")=1.2,".",","),2)</f>
        <v>Sp.man: 0.00%</v>
      </c>
      <c r="G280" s="35" t="str">
        <f>SUBSTITUTE("Sp.uti: 0.00%",".",IF(VALUE("1.2")=1.2,".",","),2)</f>
        <v>Sp.uti: 0.00%</v>
      </c>
      <c r="H280" s="38">
        <f>(1+IF(OR(ISERR(FIND(":",F280)),ISERR(FIND("%",F280))),0,MID(F280,FIND(":",F280)+2,FIND("%",F280)-FIND(":",F280)-2)/100))*0</f>
        <v>0</v>
      </c>
      <c r="I280" s="29">
        <f>G279*H280</f>
        <v>0</v>
      </c>
      <c r="J280">
        <v>2</v>
      </c>
    </row>
    <row r="281" spans="1:19" x14ac:dyDescent="0.3">
      <c r="A281" s="88" t="s">
        <v>566</v>
      </c>
      <c r="B281" s="98"/>
      <c r="C281" s="98"/>
      <c r="D281" s="98"/>
      <c r="E281" s="98"/>
      <c r="F281" s="98"/>
      <c r="G281" s="98"/>
      <c r="H281" s="38">
        <f>(1+IF(OR(ISERR(FIND(":",G280)),ISERR(FIND("%",G280))),0,MID(G280,FIND(":",G280)+2,FIND("%",G280)-FIND(":",G280)-2)/100))*0</f>
        <v>0</v>
      </c>
      <c r="I281" s="29">
        <f>G279*H281</f>
        <v>0</v>
      </c>
      <c r="J281">
        <v>3</v>
      </c>
      <c r="K281" s="4">
        <v>0</v>
      </c>
      <c r="L281" s="4">
        <v>0</v>
      </c>
      <c r="M281" s="4">
        <f>I281-K281-L281</f>
        <v>0</v>
      </c>
    </row>
    <row r="282" spans="1:19" x14ac:dyDescent="0.3">
      <c r="A282" s="98"/>
      <c r="B282" s="98"/>
      <c r="C282" s="98"/>
      <c r="D282" s="98"/>
      <c r="E282" s="98"/>
      <c r="F282" s="98"/>
      <c r="G282" s="98"/>
      <c r="H282" s="38">
        <f>0</f>
        <v>0</v>
      </c>
      <c r="I282" s="29">
        <f>G279*H282</f>
        <v>0</v>
      </c>
      <c r="J282">
        <v>4</v>
      </c>
      <c r="N282" s="4">
        <f>IF(ISERR(SEARCH("TRA* 82",C279)),IF(Q282+R282+S282=0,0,I282*(Q282/(Q282+R282+S282))),I282)</f>
        <v>0</v>
      </c>
      <c r="O282" s="4">
        <f>IF(ISERR(SEARCH("TRA* 82",C279)),IF(Q282+R282+S282=0,0,I282*(R282/(Q282+R282+S282))),0)</f>
        <v>0</v>
      </c>
      <c r="P282" s="4">
        <f>IF(ISERR(SEARCH("TRA* 82",C279)),I282-N282-O282,0)</f>
        <v>0</v>
      </c>
      <c r="Q282" s="4">
        <v>0</v>
      </c>
      <c r="R282" s="4">
        <v>0</v>
      </c>
      <c r="S282" s="4">
        <v>0</v>
      </c>
    </row>
    <row r="283" spans="1:19" x14ac:dyDescent="0.3">
      <c r="A283" s="96" t="s">
        <v>27</v>
      </c>
      <c r="B283" s="97"/>
      <c r="C283" s="97"/>
      <c r="D283" s="97"/>
      <c r="E283" s="97"/>
      <c r="F283" s="97"/>
      <c r="G283" s="97"/>
      <c r="H283" s="36">
        <f>H279+H280+H281+H282</f>
        <v>1.155875</v>
      </c>
      <c r="I283" s="74">
        <f>I279+I280+I281+I282</f>
        <v>92.47</v>
      </c>
      <c r="J283">
        <v>5</v>
      </c>
    </row>
    <row r="284" spans="1:19" x14ac:dyDescent="0.3">
      <c r="B284" s="2">
        <v>37</v>
      </c>
      <c r="C284" s="3" t="s">
        <v>619</v>
      </c>
      <c r="D284" s="5" t="s">
        <v>25</v>
      </c>
      <c r="G284" s="30">
        <v>45</v>
      </c>
      <c r="H284" s="38">
        <f>81.69/G284</f>
        <v>1.8153333333333332</v>
      </c>
      <c r="I284" s="29">
        <f>G284*H284</f>
        <v>81.69</v>
      </c>
      <c r="J284">
        <v>1</v>
      </c>
    </row>
    <row r="285" spans="1:19" x14ac:dyDescent="0.3">
      <c r="D285" s="15" t="str">
        <f>SUBSTITUTE("Sp.mat: 0.00%",".",IF(VALUE("1.2")=1.2,".",","),2)</f>
        <v>Sp.mat: 0.00%</v>
      </c>
      <c r="F285" s="15" t="str">
        <f>SUBSTITUTE("Sp.man: 0.00%",".",IF(VALUE("1.2")=1.2,".",","),2)</f>
        <v>Sp.man: 0.00%</v>
      </c>
      <c r="G285" s="35" t="str">
        <f>SUBSTITUTE("Sp.uti: 0.00%",".",IF(VALUE("1.2")=1.2,".",","),2)</f>
        <v>Sp.uti: 0.00%</v>
      </c>
      <c r="H285" s="38">
        <f>(1+IF(OR(ISERR(FIND(":",F285)),ISERR(FIND("%",F285))),0,MID(F285,FIND(":",F285)+2,FIND("%",F285)-FIND(":",F285)-2)/100))*0</f>
        <v>0</v>
      </c>
      <c r="I285" s="29">
        <f>G284*H285</f>
        <v>0</v>
      </c>
      <c r="J285">
        <v>2</v>
      </c>
    </row>
    <row r="286" spans="1:19" x14ac:dyDescent="0.3">
      <c r="A286" s="88" t="s">
        <v>620</v>
      </c>
      <c r="B286" s="98"/>
      <c r="C286" s="98"/>
      <c r="D286" s="98"/>
      <c r="E286" s="98"/>
      <c r="F286" s="98"/>
      <c r="G286" s="98"/>
      <c r="H286" s="38">
        <f>(1+IF(OR(ISERR(FIND(":",G285)),ISERR(FIND("%",G285))),0,MID(G285,FIND(":",G285)+2,FIND("%",G285)-FIND(":",G285)-2)/100))*0</f>
        <v>0</v>
      </c>
      <c r="I286" s="29">
        <f>G284*H286</f>
        <v>0</v>
      </c>
      <c r="J286">
        <v>3</v>
      </c>
      <c r="K286" s="4">
        <v>0</v>
      </c>
      <c r="L286" s="4">
        <v>0</v>
      </c>
      <c r="M286" s="4">
        <f>I286-K286-L286</f>
        <v>0</v>
      </c>
    </row>
    <row r="287" spans="1:19" x14ac:dyDescent="0.3">
      <c r="A287" s="98"/>
      <c r="B287" s="98"/>
      <c r="C287" s="98"/>
      <c r="D287" s="98"/>
      <c r="E287" s="98"/>
      <c r="F287" s="98"/>
      <c r="G287" s="98"/>
      <c r="H287" s="38">
        <f>0</f>
        <v>0</v>
      </c>
      <c r="I287" s="29">
        <f>G284*H287</f>
        <v>0</v>
      </c>
      <c r="J287">
        <v>4</v>
      </c>
      <c r="N287" s="4">
        <f>IF(ISERR(SEARCH("TRA* 82",C284)),IF(Q287+R287+S287=0,0,I287*(Q287/(Q287+R287+S287))),I287)</f>
        <v>0</v>
      </c>
      <c r="O287" s="4">
        <f>IF(ISERR(SEARCH("TRA* 82",C284)),IF(Q287+R287+S287=0,0,I287*(R287/(Q287+R287+S287))),0)</f>
        <v>0</v>
      </c>
      <c r="P287" s="4">
        <f>IF(ISERR(SEARCH("TRA* 82",C284)),I287-N287-O287,0)</f>
        <v>0</v>
      </c>
      <c r="Q287" s="4">
        <v>0</v>
      </c>
      <c r="R287" s="4">
        <v>0</v>
      </c>
      <c r="S287" s="4">
        <v>0</v>
      </c>
    </row>
    <row r="288" spans="1:19" x14ac:dyDescent="0.3">
      <c r="A288" s="96" t="s">
        <v>27</v>
      </c>
      <c r="B288" s="97"/>
      <c r="C288" s="97"/>
      <c r="D288" s="97"/>
      <c r="E288" s="97"/>
      <c r="F288" s="97"/>
      <c r="G288" s="97"/>
      <c r="H288" s="36">
        <f>H284+H285+H286+H287</f>
        <v>1.8153333333333332</v>
      </c>
      <c r="I288" s="74">
        <f>I284+I285+I286+I287</f>
        <v>81.69</v>
      </c>
      <c r="J288">
        <v>5</v>
      </c>
    </row>
    <row r="289" spans="1:19" x14ac:dyDescent="0.3">
      <c r="B289" s="2">
        <v>38</v>
      </c>
      <c r="C289" s="3" t="s">
        <v>621</v>
      </c>
      <c r="D289" s="5" t="s">
        <v>25</v>
      </c>
      <c r="G289" s="30">
        <v>110</v>
      </c>
      <c r="H289" s="38">
        <f>246.66/G289</f>
        <v>2.2423636363636361</v>
      </c>
      <c r="I289" s="29">
        <f>G289*H289</f>
        <v>246.65999999999997</v>
      </c>
      <c r="J289">
        <v>1</v>
      </c>
    </row>
    <row r="290" spans="1:19" x14ac:dyDescent="0.3">
      <c r="D290" s="15" t="str">
        <f>SUBSTITUTE("Sp.mat: 0.00%",".",IF(VALUE("1.2")=1.2,".",","),2)</f>
        <v>Sp.mat: 0.00%</v>
      </c>
      <c r="F290" s="15" t="str">
        <f>SUBSTITUTE("Sp.man: 0.00%",".",IF(VALUE("1.2")=1.2,".",","),2)</f>
        <v>Sp.man: 0.00%</v>
      </c>
      <c r="G290" s="35" t="str">
        <f>SUBSTITUTE("Sp.uti: 0.00%",".",IF(VALUE("1.2")=1.2,".",","),2)</f>
        <v>Sp.uti: 0.00%</v>
      </c>
      <c r="H290" s="38">
        <f>(1+IF(OR(ISERR(FIND(":",F290)),ISERR(FIND("%",F290))),0,MID(F290,FIND(":",F290)+2,FIND("%",F290)-FIND(":",F290)-2)/100))*0</f>
        <v>0</v>
      </c>
      <c r="I290" s="29">
        <f>G289*H290</f>
        <v>0</v>
      </c>
      <c r="J290">
        <v>2</v>
      </c>
    </row>
    <row r="291" spans="1:19" x14ac:dyDescent="0.3">
      <c r="A291" s="88" t="s">
        <v>622</v>
      </c>
      <c r="B291" s="98"/>
      <c r="C291" s="98"/>
      <c r="D291" s="98"/>
      <c r="E291" s="98"/>
      <c r="F291" s="98"/>
      <c r="G291" s="98"/>
      <c r="H291" s="38">
        <f>(1+IF(OR(ISERR(FIND(":",G290)),ISERR(FIND("%",G290))),0,MID(G290,FIND(":",G290)+2,FIND("%",G290)-FIND(":",G290)-2)/100))*0</f>
        <v>0</v>
      </c>
      <c r="I291" s="29">
        <f>G289*H291</f>
        <v>0</v>
      </c>
      <c r="J291">
        <v>3</v>
      </c>
      <c r="K291" s="4">
        <v>0</v>
      </c>
      <c r="L291" s="4">
        <v>0</v>
      </c>
      <c r="M291" s="4">
        <f>I291-K291-L291</f>
        <v>0</v>
      </c>
    </row>
    <row r="292" spans="1:19" x14ac:dyDescent="0.3">
      <c r="A292" s="98"/>
      <c r="B292" s="98"/>
      <c r="C292" s="98"/>
      <c r="D292" s="98"/>
      <c r="E292" s="98"/>
      <c r="F292" s="98"/>
      <c r="G292" s="98"/>
      <c r="H292" s="38">
        <f>0</f>
        <v>0</v>
      </c>
      <c r="I292" s="29">
        <f>G289*H292</f>
        <v>0</v>
      </c>
      <c r="J292">
        <v>4</v>
      </c>
      <c r="N292" s="4">
        <f>IF(ISERR(SEARCH("TRA* 82",C289)),IF(Q292+R292+S292=0,0,I292*(Q292/(Q292+R292+S292))),I292)</f>
        <v>0</v>
      </c>
      <c r="O292" s="4">
        <f>IF(ISERR(SEARCH("TRA* 82",C289)),IF(Q292+R292+S292=0,0,I292*(R292/(Q292+R292+S292))),0)</f>
        <v>0</v>
      </c>
      <c r="P292" s="4">
        <f>IF(ISERR(SEARCH("TRA* 82",C289)),I292-N292-O292,0)</f>
        <v>0</v>
      </c>
      <c r="Q292" s="4">
        <v>0</v>
      </c>
      <c r="R292" s="4">
        <v>0</v>
      </c>
      <c r="S292" s="4">
        <v>0</v>
      </c>
    </row>
    <row r="293" spans="1:19" x14ac:dyDescent="0.3">
      <c r="A293" s="96" t="s">
        <v>27</v>
      </c>
      <c r="B293" s="97"/>
      <c r="C293" s="97"/>
      <c r="D293" s="97"/>
      <c r="E293" s="97"/>
      <c r="F293" s="97"/>
      <c r="G293" s="97"/>
      <c r="H293" s="36">
        <f>H289+H290+H291+H292</f>
        <v>2.2423636363636361</v>
      </c>
      <c r="I293" s="74">
        <f>I289+I290+I291+I292</f>
        <v>246.65999999999997</v>
      </c>
      <c r="J293">
        <v>5</v>
      </c>
    </row>
    <row r="294" spans="1:19" x14ac:dyDescent="0.3">
      <c r="B294" s="2">
        <v>39</v>
      </c>
      <c r="C294" s="3" t="s">
        <v>623</v>
      </c>
      <c r="D294" s="5" t="s">
        <v>25</v>
      </c>
      <c r="G294" s="30">
        <v>80</v>
      </c>
      <c r="H294" s="38">
        <f>228.08/G294</f>
        <v>2.851</v>
      </c>
      <c r="I294" s="29">
        <f>G294*H294</f>
        <v>228.07999999999998</v>
      </c>
      <c r="J294">
        <v>1</v>
      </c>
    </row>
    <row r="295" spans="1:19" x14ac:dyDescent="0.3">
      <c r="D295" s="15" t="str">
        <f>SUBSTITUTE("Sp.mat: 0.00%",".",IF(VALUE("1.2")=1.2,".",","),2)</f>
        <v>Sp.mat: 0.00%</v>
      </c>
      <c r="F295" s="15" t="str">
        <f>SUBSTITUTE("Sp.man: 0.00%",".",IF(VALUE("1.2")=1.2,".",","),2)</f>
        <v>Sp.man: 0.00%</v>
      </c>
      <c r="G295" s="35" t="str">
        <f>SUBSTITUTE("Sp.uti: 0.00%",".",IF(VALUE("1.2")=1.2,".",","),2)</f>
        <v>Sp.uti: 0.00%</v>
      </c>
      <c r="H295" s="38">
        <f>(1+IF(OR(ISERR(FIND(":",F295)),ISERR(FIND("%",F295))),0,MID(F295,FIND(":",F295)+2,FIND("%",F295)-FIND(":",F295)-2)/100))*0</f>
        <v>0</v>
      </c>
      <c r="I295" s="29">
        <f>G294*H295</f>
        <v>0</v>
      </c>
      <c r="J295">
        <v>2</v>
      </c>
    </row>
    <row r="296" spans="1:19" x14ac:dyDescent="0.3">
      <c r="A296" s="88" t="s">
        <v>624</v>
      </c>
      <c r="B296" s="98"/>
      <c r="C296" s="98"/>
      <c r="D296" s="98"/>
      <c r="E296" s="98"/>
      <c r="F296" s="98"/>
      <c r="G296" s="98"/>
      <c r="H296" s="38">
        <f>(1+IF(OR(ISERR(FIND(":",G295)),ISERR(FIND("%",G295))),0,MID(G295,FIND(":",G295)+2,FIND("%",G295)-FIND(":",G295)-2)/100))*0</f>
        <v>0</v>
      </c>
      <c r="I296" s="29">
        <f>G294*H296</f>
        <v>0</v>
      </c>
      <c r="J296">
        <v>3</v>
      </c>
      <c r="K296" s="4">
        <v>0</v>
      </c>
      <c r="L296" s="4">
        <v>0</v>
      </c>
      <c r="M296" s="4">
        <f>I296-K296-L296</f>
        <v>0</v>
      </c>
    </row>
    <row r="297" spans="1:19" x14ac:dyDescent="0.3">
      <c r="A297" s="98"/>
      <c r="B297" s="98"/>
      <c r="C297" s="98"/>
      <c r="D297" s="98"/>
      <c r="E297" s="98"/>
      <c r="F297" s="98"/>
      <c r="G297" s="98"/>
      <c r="H297" s="38">
        <f>0</f>
        <v>0</v>
      </c>
      <c r="I297" s="29">
        <f>G294*H297</f>
        <v>0</v>
      </c>
      <c r="J297">
        <v>4</v>
      </c>
      <c r="N297" s="4">
        <f>IF(ISERR(SEARCH("TRA* 82",C294)),IF(Q297+R297+S297=0,0,I297*(Q297/(Q297+R297+S297))),I297)</f>
        <v>0</v>
      </c>
      <c r="O297" s="4">
        <f>IF(ISERR(SEARCH("TRA* 82",C294)),IF(Q297+R297+S297=0,0,I297*(R297/(Q297+R297+S297))),0)</f>
        <v>0</v>
      </c>
      <c r="P297" s="4">
        <f>IF(ISERR(SEARCH("TRA* 82",C294)),I297-N297-O297,0)</f>
        <v>0</v>
      </c>
      <c r="Q297" s="4">
        <v>0</v>
      </c>
      <c r="R297" s="4">
        <v>0</v>
      </c>
      <c r="S297" s="4">
        <v>0</v>
      </c>
    </row>
    <row r="298" spans="1:19" x14ac:dyDescent="0.3">
      <c r="A298" s="96" t="s">
        <v>27</v>
      </c>
      <c r="B298" s="97"/>
      <c r="C298" s="97"/>
      <c r="D298" s="97"/>
      <c r="E298" s="97"/>
      <c r="F298" s="97"/>
      <c r="G298" s="97"/>
      <c r="H298" s="36">
        <f>H294+H295+H296+H297</f>
        <v>2.851</v>
      </c>
      <c r="I298" s="74">
        <f>I294+I295+I296+I297</f>
        <v>228.07999999999998</v>
      </c>
      <c r="J298">
        <v>5</v>
      </c>
    </row>
    <row r="299" spans="1:19" x14ac:dyDescent="0.3">
      <c r="B299" s="2">
        <v>40</v>
      </c>
      <c r="C299" s="3" t="s">
        <v>625</v>
      </c>
      <c r="D299" s="5" t="s">
        <v>25</v>
      </c>
      <c r="G299" s="30">
        <v>60</v>
      </c>
      <c r="H299" s="38">
        <f>190.28/G299</f>
        <v>3.1713333333333336</v>
      </c>
      <c r="I299" s="29">
        <f>G299*H299</f>
        <v>190.28</v>
      </c>
      <c r="J299">
        <v>1</v>
      </c>
    </row>
    <row r="300" spans="1:19" x14ac:dyDescent="0.3">
      <c r="D300" s="15" t="str">
        <f>SUBSTITUTE("Sp.mat: 0.00%",".",IF(VALUE("1.2")=1.2,".",","),2)</f>
        <v>Sp.mat: 0.00%</v>
      </c>
      <c r="F300" s="15" t="str">
        <f>SUBSTITUTE("Sp.man: 0.00%",".",IF(VALUE("1.2")=1.2,".",","),2)</f>
        <v>Sp.man: 0.00%</v>
      </c>
      <c r="G300" s="35" t="str">
        <f>SUBSTITUTE("Sp.uti: 0.00%",".",IF(VALUE("1.2")=1.2,".",","),2)</f>
        <v>Sp.uti: 0.00%</v>
      </c>
      <c r="H300" s="38">
        <f>(1+IF(OR(ISERR(FIND(":",F300)),ISERR(FIND("%",F300))),0,MID(F300,FIND(":",F300)+2,FIND("%",F300)-FIND(":",F300)-2)/100))*0</f>
        <v>0</v>
      </c>
      <c r="I300" s="29">
        <f>G299*H300</f>
        <v>0</v>
      </c>
      <c r="J300">
        <v>2</v>
      </c>
    </row>
    <row r="301" spans="1:19" x14ac:dyDescent="0.3">
      <c r="A301" s="88" t="s">
        <v>626</v>
      </c>
      <c r="B301" s="98"/>
      <c r="C301" s="98"/>
      <c r="D301" s="98"/>
      <c r="E301" s="98"/>
      <c r="F301" s="98"/>
      <c r="G301" s="98"/>
      <c r="H301" s="38">
        <f>(1+IF(OR(ISERR(FIND(":",G300)),ISERR(FIND("%",G300))),0,MID(G300,FIND(":",G300)+2,FIND("%",G300)-FIND(":",G300)-2)/100))*0</f>
        <v>0</v>
      </c>
      <c r="I301" s="29">
        <f>G299*H301</f>
        <v>0</v>
      </c>
      <c r="J301">
        <v>3</v>
      </c>
      <c r="K301" s="4">
        <v>0</v>
      </c>
      <c r="L301" s="4">
        <v>0</v>
      </c>
      <c r="M301" s="4">
        <f>I301-K301-L301</f>
        <v>0</v>
      </c>
    </row>
    <row r="302" spans="1:19" x14ac:dyDescent="0.3">
      <c r="A302" s="98"/>
      <c r="B302" s="98"/>
      <c r="C302" s="98"/>
      <c r="D302" s="98"/>
      <c r="E302" s="98"/>
      <c r="F302" s="98"/>
      <c r="G302" s="98"/>
      <c r="H302" s="38">
        <f>0</f>
        <v>0</v>
      </c>
      <c r="I302" s="29">
        <f>G299*H302</f>
        <v>0</v>
      </c>
      <c r="J302">
        <v>4</v>
      </c>
      <c r="N302" s="4">
        <f>IF(ISERR(SEARCH("TRA* 82",C299)),IF(Q302+R302+S302=0,0,I302*(Q302/(Q302+R302+S302))),I302)</f>
        <v>0</v>
      </c>
      <c r="O302" s="4">
        <f>IF(ISERR(SEARCH("TRA* 82",C299)),IF(Q302+R302+S302=0,0,I302*(R302/(Q302+R302+S302))),0)</f>
        <v>0</v>
      </c>
      <c r="P302" s="4">
        <f>IF(ISERR(SEARCH("TRA* 82",C299)),I302-N302-O302,0)</f>
        <v>0</v>
      </c>
      <c r="Q302" s="4">
        <v>0</v>
      </c>
      <c r="R302" s="4">
        <v>0</v>
      </c>
      <c r="S302" s="4">
        <v>0</v>
      </c>
    </row>
    <row r="303" spans="1:19" x14ac:dyDescent="0.3">
      <c r="A303" s="96" t="s">
        <v>27</v>
      </c>
      <c r="B303" s="97"/>
      <c r="C303" s="97"/>
      <c r="D303" s="97"/>
      <c r="E303" s="97"/>
      <c r="F303" s="97"/>
      <c r="G303" s="97"/>
      <c r="H303" s="36">
        <f>H299+H300+H301+H302</f>
        <v>3.1713333333333336</v>
      </c>
      <c r="I303" s="74">
        <f>I299+I300+I301+I302</f>
        <v>190.28</v>
      </c>
      <c r="J303">
        <v>5</v>
      </c>
    </row>
    <row r="304" spans="1:19" x14ac:dyDescent="0.3">
      <c r="B304" s="2">
        <v>41</v>
      </c>
      <c r="C304" s="3" t="s">
        <v>331</v>
      </c>
      <c r="D304" s="5" t="s">
        <v>29</v>
      </c>
      <c r="G304" s="30">
        <v>2</v>
      </c>
      <c r="H304" s="38">
        <v>8.66</v>
      </c>
      <c r="I304" s="29">
        <f>G304*H304</f>
        <v>17.32</v>
      </c>
      <c r="J304">
        <v>1</v>
      </c>
    </row>
    <row r="305" spans="1:19" x14ac:dyDescent="0.3">
      <c r="D305" s="15" t="str">
        <f>SUBSTITUTE("Sp.mat: 0.00%",".",IF(VALUE("1.2")=1.2,".",","),2)</f>
        <v>Sp.mat: 0.00%</v>
      </c>
      <c r="F305" s="15" t="str">
        <f>SUBSTITUTE("Sp.man: 0.00%",".",IF(VALUE("1.2")=1.2,".",","),2)</f>
        <v>Sp.man: 0.00%</v>
      </c>
      <c r="G305" s="35" t="str">
        <f>SUBSTITUTE("Sp.uti: 0.00%",".",IF(VALUE("1.2")=1.2,".",","),2)</f>
        <v>Sp.uti: 0.00%</v>
      </c>
      <c r="H305" s="38">
        <v>4</v>
      </c>
      <c r="I305" s="29">
        <f>G304*H305</f>
        <v>8</v>
      </c>
      <c r="J305">
        <v>2</v>
      </c>
    </row>
    <row r="306" spans="1:19" x14ac:dyDescent="0.3">
      <c r="A306" s="88" t="s">
        <v>332</v>
      </c>
      <c r="B306" s="98"/>
      <c r="C306" s="98"/>
      <c r="D306" s="98"/>
      <c r="E306" s="98"/>
      <c r="F306" s="98"/>
      <c r="G306" s="98"/>
      <c r="H306" s="38">
        <f>(1+IF(OR(ISERR(FIND(":",G305)),ISERR(FIND("%",G305))),0,MID(G305,FIND(":",G305)+2,FIND("%",G305)-FIND(":",G305)-2)/100))*0</f>
        <v>0</v>
      </c>
      <c r="I306" s="29">
        <f>G304*H306</f>
        <v>0</v>
      </c>
      <c r="J306">
        <v>3</v>
      </c>
      <c r="K306" s="4">
        <v>0</v>
      </c>
      <c r="L306" s="4">
        <v>0</v>
      </c>
      <c r="M306" s="4">
        <f>I306-K306-L306</f>
        <v>0</v>
      </c>
    </row>
    <row r="307" spans="1:19" x14ac:dyDescent="0.3">
      <c r="A307" s="98"/>
      <c r="B307" s="98"/>
      <c r="C307" s="98"/>
      <c r="D307" s="98"/>
      <c r="E307" s="98"/>
      <c r="F307" s="98"/>
      <c r="G307" s="98"/>
      <c r="H307" s="38">
        <f>0</f>
        <v>0</v>
      </c>
      <c r="I307" s="29">
        <f>G304*H307</f>
        <v>0</v>
      </c>
      <c r="J307">
        <v>4</v>
      </c>
      <c r="N307" s="4">
        <f>IF(ISERR(SEARCH("TRA* 82",C304)),IF(Q307+R307+S307=0,0,I307*(Q307/(Q307+R307+S307))),I307)</f>
        <v>0</v>
      </c>
      <c r="O307" s="4">
        <f>IF(ISERR(SEARCH("TRA* 82",C304)),IF(Q307+R307+S307=0,0,I307*(R307/(Q307+R307+S307))),0)</f>
        <v>0</v>
      </c>
      <c r="P307" s="4">
        <f>IF(ISERR(SEARCH("TRA* 82",C304)),I307-N307-O307,0)</f>
        <v>0</v>
      </c>
      <c r="Q307" s="4">
        <v>0</v>
      </c>
      <c r="R307" s="4">
        <v>0</v>
      </c>
      <c r="S307" s="4">
        <v>0</v>
      </c>
    </row>
    <row r="308" spans="1:19" x14ac:dyDescent="0.3">
      <c r="A308" s="100" t="s">
        <v>27</v>
      </c>
      <c r="B308" s="101"/>
      <c r="C308" s="101"/>
      <c r="D308" s="101"/>
      <c r="E308" s="101"/>
      <c r="F308" s="101"/>
      <c r="G308" s="101"/>
      <c r="H308" s="33">
        <f>H304+H305+H306+H307</f>
        <v>12.66</v>
      </c>
      <c r="I308" s="37">
        <f>I304+I305+I306+I307</f>
        <v>25.32</v>
      </c>
      <c r="J308">
        <v>5</v>
      </c>
    </row>
    <row r="309" spans="1:19" x14ac:dyDescent="0.3">
      <c r="A309" s="99" t="s">
        <v>333</v>
      </c>
      <c r="B309" s="99"/>
      <c r="C309" s="99"/>
      <c r="D309" s="99"/>
      <c r="E309" s="99"/>
      <c r="F309" s="99"/>
      <c r="G309" s="99"/>
      <c r="H309" s="99"/>
      <c r="I309" s="99"/>
    </row>
    <row r="310" spans="1:19" x14ac:dyDescent="0.3">
      <c r="B310" s="2">
        <v>42</v>
      </c>
      <c r="C310" s="3" t="s">
        <v>335</v>
      </c>
      <c r="D310" s="5" t="s">
        <v>29</v>
      </c>
      <c r="G310" s="30">
        <v>2</v>
      </c>
      <c r="H310" s="38">
        <v>18.100000000000001</v>
      </c>
      <c r="I310" s="29">
        <f>G310*H310</f>
        <v>36.200000000000003</v>
      </c>
      <c r="J310">
        <v>1</v>
      </c>
    </row>
    <row r="311" spans="1:19" x14ac:dyDescent="0.3">
      <c r="D311" s="15" t="str">
        <f>SUBSTITUTE("Sp.mat: 0.00%",".",IF(VALUE("1.2")=1.2,".",","),2)</f>
        <v>Sp.mat: 0.00%</v>
      </c>
      <c r="F311" s="15" t="str">
        <f>SUBSTITUTE("Sp.man: 0.00%",".",IF(VALUE("1.2")=1.2,".",","),2)</f>
        <v>Sp.man: 0.00%</v>
      </c>
      <c r="G311" s="35" t="str">
        <f>SUBSTITUTE("Sp.uti: 0.00%",".",IF(VALUE("1.2")=1.2,".",","),2)</f>
        <v>Sp.uti: 0.00%</v>
      </c>
      <c r="H311" s="38">
        <v>5.61</v>
      </c>
      <c r="I311" s="29">
        <f>G310*H311</f>
        <v>11.22</v>
      </c>
      <c r="J311">
        <v>2</v>
      </c>
    </row>
    <row r="312" spans="1:19" x14ac:dyDescent="0.3">
      <c r="A312" s="88" t="s">
        <v>336</v>
      </c>
      <c r="B312" s="98"/>
      <c r="C312" s="98"/>
      <c r="D312" s="98"/>
      <c r="E312" s="98"/>
      <c r="F312" s="98"/>
      <c r="G312" s="98"/>
      <c r="H312" s="38">
        <f>(1+IF(OR(ISERR(FIND(":",G311)),ISERR(FIND("%",G311))),0,MID(G311,FIND(":",G311)+2,FIND("%",G311)-FIND(":",G311)-2)/100))*0</f>
        <v>0</v>
      </c>
      <c r="I312" s="29">
        <f>G310*H312</f>
        <v>0</v>
      </c>
      <c r="J312">
        <v>3</v>
      </c>
      <c r="K312" s="4">
        <v>0</v>
      </c>
      <c r="L312" s="4">
        <v>0</v>
      </c>
      <c r="M312" s="4">
        <f>I312-K312-L312</f>
        <v>0</v>
      </c>
    </row>
    <row r="313" spans="1:19" x14ac:dyDescent="0.3">
      <c r="A313" s="98"/>
      <c r="B313" s="98"/>
      <c r="C313" s="98"/>
      <c r="D313" s="98"/>
      <c r="E313" s="98"/>
      <c r="F313" s="98"/>
      <c r="G313" s="98"/>
      <c r="H313" s="38">
        <f>0</f>
        <v>0</v>
      </c>
      <c r="I313" s="29">
        <f>G310*H313</f>
        <v>0</v>
      </c>
      <c r="J313">
        <v>4</v>
      </c>
      <c r="N313" s="4">
        <f>IF(ISERR(SEARCH("TRA* 82",C310)),IF(Q313+R313+S313=0,0,I313*(Q313/(Q313+R313+S313))),I313)</f>
        <v>0</v>
      </c>
      <c r="O313" s="4">
        <f>IF(ISERR(SEARCH("TRA* 82",C310)),IF(Q313+R313+S313=0,0,I313*(R313/(Q313+R313+S313))),0)</f>
        <v>0</v>
      </c>
      <c r="P313" s="4">
        <f>IF(ISERR(SEARCH("TRA* 82",C310)),I313-N313-O313,0)</f>
        <v>0</v>
      </c>
      <c r="Q313" s="4">
        <v>0</v>
      </c>
      <c r="R313" s="4">
        <v>0</v>
      </c>
      <c r="S313" s="4">
        <v>0</v>
      </c>
    </row>
    <row r="314" spans="1:19" x14ac:dyDescent="0.3">
      <c r="A314" s="100" t="s">
        <v>27</v>
      </c>
      <c r="B314" s="101"/>
      <c r="C314" s="101"/>
      <c r="D314" s="101"/>
      <c r="E314" s="101"/>
      <c r="F314" s="101"/>
      <c r="G314" s="101"/>
      <c r="H314" s="33">
        <f>H310+H311+H312+H313</f>
        <v>23.71</v>
      </c>
      <c r="I314" s="37">
        <f>I310+I311+I312+I313</f>
        <v>47.42</v>
      </c>
      <c r="J314">
        <v>5</v>
      </c>
    </row>
    <row r="315" spans="1:19" x14ac:dyDescent="0.3">
      <c r="A315" s="99" t="s">
        <v>337</v>
      </c>
      <c r="B315" s="99"/>
      <c r="C315" s="99"/>
      <c r="D315" s="99"/>
      <c r="E315" s="99"/>
      <c r="F315" s="99"/>
      <c r="G315" s="99"/>
      <c r="H315" s="99"/>
      <c r="I315" s="99"/>
    </row>
    <row r="316" spans="1:19" x14ac:dyDescent="0.3">
      <c r="B316" s="2">
        <v>43</v>
      </c>
      <c r="C316" s="3" t="s">
        <v>338</v>
      </c>
      <c r="D316" s="5" t="s">
        <v>29</v>
      </c>
      <c r="G316" s="30">
        <v>2</v>
      </c>
      <c r="H316" s="38">
        <v>35.11</v>
      </c>
      <c r="I316" s="29">
        <f>G316*H316</f>
        <v>70.22</v>
      </c>
      <c r="J316">
        <v>1</v>
      </c>
    </row>
    <row r="317" spans="1:19" x14ac:dyDescent="0.3">
      <c r="D317" s="15" t="str">
        <f>SUBSTITUTE("Sp.mat: 0.00%",".",IF(VALUE("1.2")=1.2,".",","),2)</f>
        <v>Sp.mat: 0.00%</v>
      </c>
      <c r="F317" s="15" t="str">
        <f>SUBSTITUTE("Sp.man: 0.00%",".",IF(VALUE("1.2")=1.2,".",","),2)</f>
        <v>Sp.man: 0.00%</v>
      </c>
      <c r="G317" s="35" t="str">
        <f>SUBSTITUTE("Sp.uti: 0.00%",".",IF(VALUE("1.2")=1.2,".",","),2)</f>
        <v>Sp.uti: 0.00%</v>
      </c>
      <c r="H317" s="38">
        <v>8.81</v>
      </c>
      <c r="I317" s="29">
        <f>G316*H317</f>
        <v>17.62</v>
      </c>
      <c r="J317">
        <v>2</v>
      </c>
    </row>
    <row r="318" spans="1:19" x14ac:dyDescent="0.3">
      <c r="A318" s="88" t="s">
        <v>339</v>
      </c>
      <c r="B318" s="98"/>
      <c r="C318" s="98"/>
      <c r="D318" s="98"/>
      <c r="E318" s="98"/>
      <c r="F318" s="98"/>
      <c r="G318" s="98"/>
      <c r="H318" s="38">
        <f>(1+IF(OR(ISERR(FIND(":",G317)),ISERR(FIND("%",G317))),0,MID(G317,FIND(":",G317)+2,FIND("%",G317)-FIND(":",G317)-2)/100))*0</f>
        <v>0</v>
      </c>
      <c r="I318" s="29">
        <f>G316*H318</f>
        <v>0</v>
      </c>
      <c r="J318">
        <v>3</v>
      </c>
      <c r="K318" s="4">
        <v>0</v>
      </c>
      <c r="L318" s="4">
        <v>0</v>
      </c>
      <c r="M318" s="4">
        <f>I318-K318-L318</f>
        <v>0</v>
      </c>
    </row>
    <row r="319" spans="1:19" x14ac:dyDescent="0.3">
      <c r="A319" s="98"/>
      <c r="B319" s="98"/>
      <c r="C319" s="98"/>
      <c r="D319" s="98"/>
      <c r="E319" s="98"/>
      <c r="F319" s="98"/>
      <c r="G319" s="98"/>
      <c r="H319" s="38">
        <f>0</f>
        <v>0</v>
      </c>
      <c r="I319" s="29">
        <f>G316*H319</f>
        <v>0</v>
      </c>
      <c r="J319">
        <v>4</v>
      </c>
      <c r="N319" s="4">
        <f>IF(ISERR(SEARCH("TRA* 82",C316)),IF(Q319+R319+S319=0,0,I319*(Q319/(Q319+R319+S319))),I319)</f>
        <v>0</v>
      </c>
      <c r="O319" s="4">
        <f>IF(ISERR(SEARCH("TRA* 82",C316)),IF(Q319+R319+S319=0,0,I319*(R319/(Q319+R319+S319))),0)</f>
        <v>0</v>
      </c>
      <c r="P319" s="4">
        <f>IF(ISERR(SEARCH("TRA* 82",C316)),I319-N319-O319,0)</f>
        <v>0</v>
      </c>
      <c r="Q319" s="4">
        <v>0</v>
      </c>
      <c r="R319" s="4">
        <v>0</v>
      </c>
      <c r="S319" s="4">
        <v>0</v>
      </c>
    </row>
    <row r="320" spans="1:19" x14ac:dyDescent="0.3">
      <c r="A320" s="100" t="s">
        <v>27</v>
      </c>
      <c r="B320" s="101"/>
      <c r="C320" s="101"/>
      <c r="D320" s="101"/>
      <c r="E320" s="101"/>
      <c r="F320" s="101"/>
      <c r="G320" s="101"/>
      <c r="H320" s="33">
        <f>H316+H317+H318+H319</f>
        <v>43.92</v>
      </c>
      <c r="I320" s="37">
        <f>I316+I317+I318+I319</f>
        <v>87.84</v>
      </c>
      <c r="J320">
        <v>5</v>
      </c>
    </row>
    <row r="321" spans="1:19" x14ac:dyDescent="0.3">
      <c r="A321" s="99" t="s">
        <v>340</v>
      </c>
      <c r="B321" s="99"/>
      <c r="C321" s="99"/>
      <c r="D321" s="99"/>
      <c r="E321" s="99"/>
      <c r="F321" s="99"/>
      <c r="G321" s="99"/>
      <c r="H321" s="99"/>
      <c r="I321" s="99"/>
    </row>
    <row r="322" spans="1:19" x14ac:dyDescent="0.3">
      <c r="B322" s="2">
        <v>44</v>
      </c>
      <c r="C322" s="3" t="s">
        <v>331</v>
      </c>
      <c r="D322" s="5" t="s">
        <v>29</v>
      </c>
      <c r="G322" s="30">
        <v>16</v>
      </c>
      <c r="H322" s="38">
        <f>286.87/G322</f>
        <v>17.929375</v>
      </c>
      <c r="I322" s="29">
        <f>G322*H322</f>
        <v>286.87</v>
      </c>
      <c r="J322">
        <v>1</v>
      </c>
    </row>
    <row r="323" spans="1:19" x14ac:dyDescent="0.3">
      <c r="D323" s="15" t="str">
        <f>SUBSTITUTE("Sp.mat: 0.00%",".",IF(VALUE("1.2")=1.2,".",","),2)</f>
        <v>Sp.mat: 0.00%</v>
      </c>
      <c r="F323" s="15" t="str">
        <f>SUBSTITUTE("Sp.man: 0.00%",".",IF(VALUE("1.2")=1.2,".",","),2)</f>
        <v>Sp.man: 0.00%</v>
      </c>
      <c r="G323" s="35" t="str">
        <f>SUBSTITUTE("Sp.uti: 0.00%",".",IF(VALUE("1.2")=1.2,".",","),2)</f>
        <v>Sp.uti: 0.00%</v>
      </c>
      <c r="H323" s="38">
        <f>64.07/G322</f>
        <v>4.0043749999999996</v>
      </c>
      <c r="I323" s="29">
        <f>G322*H323</f>
        <v>64.069999999999993</v>
      </c>
      <c r="J323">
        <v>2</v>
      </c>
    </row>
    <row r="324" spans="1:19" x14ac:dyDescent="0.3">
      <c r="A324" s="88" t="s">
        <v>332</v>
      </c>
      <c r="B324" s="98"/>
      <c r="C324" s="98"/>
      <c r="D324" s="98"/>
      <c r="E324" s="98"/>
      <c r="F324" s="98"/>
      <c r="G324" s="98"/>
      <c r="H324" s="38">
        <f>(1+IF(OR(ISERR(FIND(":",G323)),ISERR(FIND("%",G323))),0,MID(G323,FIND(":",G323)+2,FIND("%",G323)-FIND(":",G323)-2)/100))*0</f>
        <v>0</v>
      </c>
      <c r="I324" s="29">
        <f>G322*H324</f>
        <v>0</v>
      </c>
      <c r="J324">
        <v>3</v>
      </c>
      <c r="K324" s="4">
        <v>0</v>
      </c>
      <c r="L324" s="4">
        <v>0</v>
      </c>
      <c r="M324" s="4">
        <f>I324-K324-L324</f>
        <v>0</v>
      </c>
    </row>
    <row r="325" spans="1:19" x14ac:dyDescent="0.3">
      <c r="A325" s="98"/>
      <c r="B325" s="98"/>
      <c r="C325" s="98"/>
      <c r="D325" s="98"/>
      <c r="E325" s="98"/>
      <c r="F325" s="98"/>
      <c r="G325" s="98"/>
      <c r="H325" s="38">
        <f>0</f>
        <v>0</v>
      </c>
      <c r="I325" s="29">
        <f>G322*H325</f>
        <v>0</v>
      </c>
      <c r="J325">
        <v>4</v>
      </c>
      <c r="N325" s="4">
        <f>IF(ISERR(SEARCH("TRA* 82",C322)),IF(Q325+R325+S325=0,0,I325*(Q325/(Q325+R325+S325))),I325)</f>
        <v>0</v>
      </c>
      <c r="O325" s="4">
        <f>IF(ISERR(SEARCH("TRA* 82",C322)),IF(Q325+R325+S325=0,0,I325*(R325/(Q325+R325+S325))),0)</f>
        <v>0</v>
      </c>
      <c r="P325" s="4">
        <f>IF(ISERR(SEARCH("TRA* 82",C322)),I325-N325-O325,0)</f>
        <v>0</v>
      </c>
      <c r="Q325" s="4">
        <v>0</v>
      </c>
      <c r="R325" s="4">
        <v>0</v>
      </c>
      <c r="S325" s="4">
        <v>0</v>
      </c>
    </row>
    <row r="326" spans="1:19" x14ac:dyDescent="0.3">
      <c r="A326" s="100" t="s">
        <v>87</v>
      </c>
      <c r="B326" s="101"/>
      <c r="C326" s="101"/>
      <c r="D326" s="101"/>
      <c r="E326" s="101"/>
      <c r="F326" s="101"/>
      <c r="G326" s="101"/>
      <c r="H326" s="33">
        <f>H322+H323+H324+H325</f>
        <v>21.93375</v>
      </c>
      <c r="I326" s="37">
        <f>I322+I323+I324+I325</f>
        <v>350.94</v>
      </c>
      <c r="J326">
        <v>5</v>
      </c>
    </row>
    <row r="327" spans="1:19" x14ac:dyDescent="0.3">
      <c r="A327" s="99" t="s">
        <v>370</v>
      </c>
      <c r="B327" s="99"/>
      <c r="C327" s="99"/>
      <c r="D327" s="99"/>
      <c r="E327" s="99"/>
      <c r="F327" s="99"/>
      <c r="G327" s="99"/>
      <c r="H327" s="99"/>
      <c r="I327" s="99"/>
    </row>
    <row r="328" spans="1:19" x14ac:dyDescent="0.3">
      <c r="B328" s="2">
        <v>45</v>
      </c>
      <c r="C328" s="3" t="s">
        <v>372</v>
      </c>
      <c r="D328" s="5" t="s">
        <v>29</v>
      </c>
      <c r="G328" s="30">
        <v>16</v>
      </c>
      <c r="H328" s="38">
        <v>20.21</v>
      </c>
      <c r="I328" s="29">
        <f>G328*H328</f>
        <v>323.36</v>
      </c>
      <c r="J328">
        <v>1</v>
      </c>
    </row>
    <row r="329" spans="1:19" x14ac:dyDescent="0.3">
      <c r="D329" s="15" t="str">
        <f>SUBSTITUTE("Sp.mat: 0.00%",".",IF(VALUE("1.2")=1.2,".",","),2)</f>
        <v>Sp.mat: 0.00%</v>
      </c>
      <c r="F329" s="15" t="str">
        <f>SUBSTITUTE("Sp.man: 0.00%",".",IF(VALUE("1.2")=1.2,".",","),2)</f>
        <v>Sp.man: 0.00%</v>
      </c>
      <c r="G329" s="35" t="str">
        <f>SUBSTITUTE("Sp.uti: 0.00%",".",IF(VALUE("1.2")=1.2,".",","),2)</f>
        <v>Sp.uti: 0.00%</v>
      </c>
      <c r="H329" s="38">
        <f>64.07/G328</f>
        <v>4.0043749999999996</v>
      </c>
      <c r="I329" s="29">
        <f>G328*H329</f>
        <v>64.069999999999993</v>
      </c>
      <c r="J329">
        <v>2</v>
      </c>
    </row>
    <row r="330" spans="1:19" x14ac:dyDescent="0.3">
      <c r="A330" s="88" t="s">
        <v>373</v>
      </c>
      <c r="B330" s="98"/>
      <c r="C330" s="98"/>
      <c r="D330" s="98"/>
      <c r="E330" s="98"/>
      <c r="F330" s="98"/>
      <c r="G330" s="98"/>
      <c r="H330" s="38">
        <f>(1+IF(OR(ISERR(FIND(":",G329)),ISERR(FIND("%",G329))),0,MID(G329,FIND(":",G329)+2,FIND("%",G329)-FIND(":",G329)-2)/100))*0</f>
        <v>0</v>
      </c>
      <c r="I330" s="29">
        <f>G328*H330</f>
        <v>0</v>
      </c>
      <c r="J330">
        <v>3</v>
      </c>
      <c r="K330" s="4">
        <v>0</v>
      </c>
      <c r="L330" s="4">
        <v>0</v>
      </c>
      <c r="M330" s="4">
        <f>I330-K330-L330</f>
        <v>0</v>
      </c>
    </row>
    <row r="331" spans="1:19" x14ac:dyDescent="0.3">
      <c r="A331" s="98"/>
      <c r="B331" s="98"/>
      <c r="C331" s="98"/>
      <c r="D331" s="98"/>
      <c r="E331" s="98"/>
      <c r="F331" s="98"/>
      <c r="G331" s="98"/>
      <c r="H331" s="38">
        <f>0</f>
        <v>0</v>
      </c>
      <c r="I331" s="29">
        <f>G328*H331</f>
        <v>0</v>
      </c>
      <c r="J331">
        <v>4</v>
      </c>
      <c r="N331" s="4">
        <f>IF(ISERR(SEARCH("TRA* 82",C328)),IF(Q331+R331+S331=0,0,I331*(Q331/(Q331+R331+S331))),I331)</f>
        <v>0</v>
      </c>
      <c r="O331" s="4">
        <f>IF(ISERR(SEARCH("TRA* 82",C328)),IF(Q331+R331+S331=0,0,I331*(R331/(Q331+R331+S331))),0)</f>
        <v>0</v>
      </c>
      <c r="P331" s="4">
        <f>IF(ISERR(SEARCH("TRA* 82",C328)),I331-N331-O331,0)</f>
        <v>0</v>
      </c>
      <c r="Q331" s="4">
        <v>0</v>
      </c>
      <c r="R331" s="4">
        <v>0</v>
      </c>
      <c r="S331" s="4">
        <v>0</v>
      </c>
    </row>
    <row r="332" spans="1:19" x14ac:dyDescent="0.3">
      <c r="A332" s="100" t="s">
        <v>87</v>
      </c>
      <c r="B332" s="101"/>
      <c r="C332" s="101"/>
      <c r="D332" s="101"/>
      <c r="E332" s="101"/>
      <c r="F332" s="101"/>
      <c r="G332" s="101"/>
      <c r="H332" s="33">
        <f>H328+H329+H330+H331</f>
        <v>24.214375</v>
      </c>
      <c r="I332" s="37">
        <f>I328+I329+I330+I331</f>
        <v>387.43</v>
      </c>
      <c r="J332">
        <v>5</v>
      </c>
    </row>
    <row r="333" spans="1:19" x14ac:dyDescent="0.3">
      <c r="A333" s="99" t="s">
        <v>374</v>
      </c>
      <c r="B333" s="99"/>
      <c r="C333" s="99"/>
      <c r="D333" s="99"/>
      <c r="E333" s="99"/>
      <c r="F333" s="99"/>
      <c r="G333" s="99"/>
      <c r="H333" s="99"/>
      <c r="I333" s="99"/>
    </row>
    <row r="334" spans="1:19" x14ac:dyDescent="0.3">
      <c r="B334" s="2">
        <v>46</v>
      </c>
      <c r="C334" s="3" t="s">
        <v>627</v>
      </c>
      <c r="D334" s="5" t="s">
        <v>29</v>
      </c>
      <c r="G334" s="30">
        <v>33</v>
      </c>
      <c r="H334" s="38">
        <f>15855.23/G334</f>
        <v>480.46151515151513</v>
      </c>
      <c r="I334" s="29">
        <f>G334*H334</f>
        <v>15855.23</v>
      </c>
      <c r="J334">
        <v>1</v>
      </c>
    </row>
    <row r="335" spans="1:19" x14ac:dyDescent="0.3">
      <c r="D335" s="15" t="str">
        <f>SUBSTITUTE("Sp.mat: 0.00%",".",IF(VALUE("1.2")=1.2,".",","),2)</f>
        <v>Sp.mat: 0.00%</v>
      </c>
      <c r="F335" s="15" t="str">
        <f>SUBSTITUTE("Sp.man: 0.00%",".",IF(VALUE("1.2")=1.2,".",","),2)</f>
        <v>Sp.man: 0.00%</v>
      </c>
      <c r="G335" s="35" t="str">
        <f>SUBSTITUTE("Sp.uti: 0.00%",".",IF(VALUE("1.2")=1.2,".",","),2)</f>
        <v>Sp.uti: 0.00%</v>
      </c>
      <c r="H335" s="38">
        <f>1955.68/G334</f>
        <v>59.263030303030305</v>
      </c>
      <c r="I335" s="29">
        <f>G334*H335</f>
        <v>1955.68</v>
      </c>
      <c r="J335">
        <v>2</v>
      </c>
    </row>
    <row r="336" spans="1:19" x14ac:dyDescent="0.3">
      <c r="A336" s="88" t="s">
        <v>628</v>
      </c>
      <c r="B336" s="98"/>
      <c r="C336" s="98"/>
      <c r="D336" s="98"/>
      <c r="E336" s="98"/>
      <c r="F336" s="98"/>
      <c r="G336" s="98"/>
      <c r="H336" s="38">
        <f>(1+IF(OR(ISERR(FIND(":",G335)),ISERR(FIND("%",G335))),0,MID(G335,FIND(":",G335)+2,FIND("%",G335)-FIND(":",G335)-2)/100))*0</f>
        <v>0</v>
      </c>
      <c r="I336" s="29">
        <f>G334*H336</f>
        <v>0</v>
      </c>
      <c r="J336">
        <v>3</v>
      </c>
      <c r="K336" s="4">
        <v>0</v>
      </c>
      <c r="L336" s="4">
        <v>0</v>
      </c>
      <c r="M336" s="4">
        <f>I336-K336-L336</f>
        <v>0</v>
      </c>
    </row>
    <row r="337" spans="1:19" x14ac:dyDescent="0.3">
      <c r="A337" s="98"/>
      <c r="B337" s="98"/>
      <c r="C337" s="98"/>
      <c r="D337" s="98"/>
      <c r="E337" s="98"/>
      <c r="F337" s="98"/>
      <c r="G337" s="98"/>
      <c r="H337" s="38">
        <f>0</f>
        <v>0</v>
      </c>
      <c r="I337" s="29">
        <f>G334*H337</f>
        <v>0</v>
      </c>
      <c r="J337">
        <v>4</v>
      </c>
      <c r="N337" s="4">
        <f>IF(ISERR(SEARCH("TRA* 82",C334)),IF(Q337+R337+S337=0,0,I337*(Q337/(Q337+R337+S337))),I337)</f>
        <v>0</v>
      </c>
      <c r="O337" s="4">
        <f>IF(ISERR(SEARCH("TRA* 82",C334)),IF(Q337+R337+S337=0,0,I337*(R337/(Q337+R337+S337))),0)</f>
        <v>0</v>
      </c>
      <c r="P337" s="4">
        <f>IF(ISERR(SEARCH("TRA* 82",C334)),I337-N337-O337,0)</f>
        <v>0</v>
      </c>
      <c r="Q337" s="4">
        <v>0</v>
      </c>
      <c r="R337" s="4">
        <v>0</v>
      </c>
      <c r="S337" s="4">
        <v>0</v>
      </c>
    </row>
    <row r="338" spans="1:19" x14ac:dyDescent="0.3">
      <c r="A338" s="100" t="s">
        <v>87</v>
      </c>
      <c r="B338" s="101"/>
      <c r="C338" s="101"/>
      <c r="D338" s="101"/>
      <c r="E338" s="101"/>
      <c r="F338" s="101"/>
      <c r="G338" s="101"/>
      <c r="H338" s="33">
        <f>H334+H335+H336+H337</f>
        <v>539.72454545454548</v>
      </c>
      <c r="I338" s="37">
        <f>I334+I335+I336+I337</f>
        <v>17810.91</v>
      </c>
      <c r="J338">
        <v>5</v>
      </c>
    </row>
    <row r="339" spans="1:19" x14ac:dyDescent="0.3">
      <c r="A339" s="99" t="s">
        <v>629</v>
      </c>
      <c r="B339" s="99"/>
      <c r="C339" s="99"/>
      <c r="D339" s="99"/>
      <c r="E339" s="99"/>
      <c r="F339" s="99"/>
      <c r="G339" s="99"/>
      <c r="H339" s="99"/>
      <c r="I339" s="99"/>
    </row>
    <row r="340" spans="1:19" x14ac:dyDescent="0.3">
      <c r="B340" s="2">
        <v>47</v>
      </c>
      <c r="C340" s="3" t="s">
        <v>265</v>
      </c>
      <c r="D340" s="5" t="s">
        <v>133</v>
      </c>
      <c r="G340" s="30">
        <v>160</v>
      </c>
      <c r="H340" s="38">
        <f>(1+IF(OR(ISERR(FIND(":",D341)),ISERR(FIND("%",D341))),0,MID(D341,FIND(":",D341)+2,FIND("%",D341)-FIND(":",D341)-2)/100))*0</f>
        <v>0</v>
      </c>
      <c r="I340" s="29">
        <f>G340*H340</f>
        <v>0</v>
      </c>
      <c r="J340">
        <v>1</v>
      </c>
    </row>
    <row r="341" spans="1:19" x14ac:dyDescent="0.3">
      <c r="D341" s="15" t="str">
        <f>SUBSTITUTE("Sp.mat: 0.00%",".",IF(VALUE("1.2")=1.2,".",","),2)</f>
        <v>Sp.mat: 0.00%</v>
      </c>
      <c r="F341" s="15" t="str">
        <f>SUBSTITUTE("Sp.man: 0.00%",".",IF(VALUE("1.2")=1.2,".",","),2)</f>
        <v>Sp.man: 0.00%</v>
      </c>
      <c r="G341" s="35" t="str">
        <f>SUBSTITUTE("Sp.uti: 0.00%",".",IF(VALUE("1.2")=1.2,".",","),2)</f>
        <v>Sp.uti: 0.00%</v>
      </c>
      <c r="H341" s="38">
        <f>281.9/G340</f>
        <v>1.7618749999999999</v>
      </c>
      <c r="I341" s="29">
        <f>G340*H341</f>
        <v>281.89999999999998</v>
      </c>
      <c r="J341">
        <v>2</v>
      </c>
    </row>
    <row r="342" spans="1:19" x14ac:dyDescent="0.3">
      <c r="A342" s="88" t="s">
        <v>266</v>
      </c>
      <c r="B342" s="98"/>
      <c r="C342" s="98"/>
      <c r="D342" s="98"/>
      <c r="E342" s="98"/>
      <c r="F342" s="98"/>
      <c r="G342" s="98"/>
      <c r="H342" s="38">
        <f>(1+IF(OR(ISERR(FIND(":",G341)),ISERR(FIND("%",G341))),0,MID(G341,FIND(":",G341)+2,FIND("%",G341)-FIND(":",G341)-2)/100))*0</f>
        <v>0</v>
      </c>
      <c r="I342" s="29">
        <f>G340*H342</f>
        <v>0</v>
      </c>
      <c r="J342">
        <v>3</v>
      </c>
      <c r="K342" s="4">
        <v>0</v>
      </c>
      <c r="L342" s="4">
        <v>0</v>
      </c>
      <c r="M342" s="4">
        <f>I342-K342-L342</f>
        <v>0</v>
      </c>
    </row>
    <row r="343" spans="1:19" x14ac:dyDescent="0.3">
      <c r="A343" s="98"/>
      <c r="B343" s="98"/>
      <c r="C343" s="98"/>
      <c r="D343" s="98"/>
      <c r="E343" s="98"/>
      <c r="F343" s="98"/>
      <c r="G343" s="98"/>
      <c r="H343" s="38">
        <f>0</f>
        <v>0</v>
      </c>
      <c r="I343" s="29">
        <f>G340*H343</f>
        <v>0</v>
      </c>
      <c r="J343">
        <v>4</v>
      </c>
      <c r="N343" s="4">
        <f>IF(ISERR(SEARCH("TRA* 82",C340)),IF(Q343+R343+S343=0,0,I343*(Q343/(Q343+R343+S343))),I343)</f>
        <v>0</v>
      </c>
      <c r="O343" s="4">
        <f>IF(ISERR(SEARCH("TRA* 82",C340)),IF(Q343+R343+S343=0,0,I343*(R343/(Q343+R343+S343))),0)</f>
        <v>0</v>
      </c>
      <c r="P343" s="4">
        <f>IF(ISERR(SEARCH("TRA* 82",C340)),I343-N343-O343,0)</f>
        <v>0</v>
      </c>
      <c r="Q343" s="4">
        <v>0</v>
      </c>
      <c r="R343" s="4">
        <v>0</v>
      </c>
      <c r="S343" s="4">
        <v>0</v>
      </c>
    </row>
    <row r="344" spans="1:19" x14ac:dyDescent="0.3">
      <c r="A344" s="100" t="s">
        <v>87</v>
      </c>
      <c r="B344" s="101"/>
      <c r="C344" s="101"/>
      <c r="D344" s="101"/>
      <c r="E344" s="101"/>
      <c r="F344" s="101"/>
      <c r="G344" s="101"/>
      <c r="H344" s="33">
        <f>H340+H341+H342+H343</f>
        <v>1.7618749999999999</v>
      </c>
      <c r="I344" s="37">
        <f>I340+I341+I342+I343</f>
        <v>281.89999999999998</v>
      </c>
      <c r="J344">
        <v>5</v>
      </c>
    </row>
    <row r="345" spans="1:19" x14ac:dyDescent="0.3">
      <c r="A345" s="99" t="s">
        <v>447</v>
      </c>
      <c r="B345" s="99"/>
      <c r="C345" s="99"/>
      <c r="D345" s="99"/>
      <c r="E345" s="99"/>
      <c r="F345" s="99"/>
      <c r="G345" s="99"/>
      <c r="H345" s="99"/>
      <c r="I345" s="99"/>
    </row>
    <row r="346" spans="1:19" x14ac:dyDescent="0.3">
      <c r="B346" s="2">
        <v>48</v>
      </c>
      <c r="C346" s="3" t="s">
        <v>445</v>
      </c>
      <c r="D346" s="5" t="s">
        <v>133</v>
      </c>
      <c r="G346" s="30">
        <v>37.5</v>
      </c>
      <c r="H346" s="38">
        <f>(1+IF(OR(ISERR(FIND(":",D347)),ISERR(FIND("%",D347))),0,MID(D347,FIND(":",D347)+2,FIND("%",D347)-FIND(":",D347)-2)/100))*0</f>
        <v>0</v>
      </c>
      <c r="I346" s="29">
        <f>G346*H346</f>
        <v>0</v>
      </c>
      <c r="J346">
        <v>1</v>
      </c>
    </row>
    <row r="347" spans="1:19" x14ac:dyDescent="0.3">
      <c r="D347" s="15" t="str">
        <f>SUBSTITUTE("Sp.mat: 0.00%",".",IF(VALUE("1.2")=1.2,".",","),2)</f>
        <v>Sp.mat: 0.00%</v>
      </c>
      <c r="F347" s="15" t="str">
        <f>SUBSTITUTE("Sp.man: 0.00%",".",IF(VALUE("1.2")=1.2,".",","),2)</f>
        <v>Sp.man: 0.00%</v>
      </c>
      <c r="G347" s="35" t="str">
        <f>SUBSTITUTE("Sp.uti: 0.00%",".",IF(VALUE("1.2")=1.2,".",","),2)</f>
        <v>Sp.uti: 0.00%</v>
      </c>
      <c r="H347" s="38">
        <f>60.06/G346</f>
        <v>1.6016000000000001</v>
      </c>
      <c r="I347" s="29">
        <f>G346*H347</f>
        <v>60.06</v>
      </c>
      <c r="J347">
        <v>2</v>
      </c>
    </row>
    <row r="348" spans="1:19" x14ac:dyDescent="0.3">
      <c r="A348" s="88" t="s">
        <v>446</v>
      </c>
      <c r="B348" s="98"/>
      <c r="C348" s="98"/>
      <c r="D348" s="98"/>
      <c r="E348" s="98"/>
      <c r="F348" s="98"/>
      <c r="G348" s="98"/>
      <c r="H348" s="38">
        <f>(1+IF(OR(ISERR(FIND(":",G347)),ISERR(FIND("%",G347))),0,MID(G347,FIND(":",G347)+2,FIND("%",G347)-FIND(":",G347)-2)/100))*0</f>
        <v>0</v>
      </c>
      <c r="I348" s="29">
        <f>G346*H348</f>
        <v>0</v>
      </c>
      <c r="J348">
        <v>3</v>
      </c>
      <c r="K348" s="4">
        <v>0</v>
      </c>
      <c r="L348" s="4">
        <v>0</v>
      </c>
      <c r="M348" s="4">
        <f>I348-K348-L348</f>
        <v>0</v>
      </c>
    </row>
    <row r="349" spans="1:19" x14ac:dyDescent="0.3">
      <c r="A349" s="98"/>
      <c r="B349" s="98"/>
      <c r="C349" s="98"/>
      <c r="D349" s="98"/>
      <c r="E349" s="98"/>
      <c r="F349" s="98"/>
      <c r="G349" s="98"/>
      <c r="H349" s="38">
        <f>0</f>
        <v>0</v>
      </c>
      <c r="I349" s="29">
        <f>G346*H349</f>
        <v>0</v>
      </c>
      <c r="J349">
        <v>4</v>
      </c>
      <c r="N349" s="4">
        <f>IF(ISERR(SEARCH("TRA* 82",C346)),IF(Q349+R349+S349=0,0,I349*(Q349/(Q349+R349+S349))),I349)</f>
        <v>0</v>
      </c>
      <c r="O349" s="4">
        <f>IF(ISERR(SEARCH("TRA* 82",C346)),IF(Q349+R349+S349=0,0,I349*(R349/(Q349+R349+S349))),0)</f>
        <v>0</v>
      </c>
      <c r="P349" s="4">
        <f>IF(ISERR(SEARCH("TRA* 82",C346)),I349-N349-O349,0)</f>
        <v>0</v>
      </c>
      <c r="Q349" s="4">
        <v>0</v>
      </c>
      <c r="R349" s="4">
        <v>0</v>
      </c>
      <c r="S349" s="4">
        <v>0</v>
      </c>
    </row>
    <row r="350" spans="1:19" x14ac:dyDescent="0.3">
      <c r="A350" s="100" t="s">
        <v>87</v>
      </c>
      <c r="B350" s="101"/>
      <c r="C350" s="101"/>
      <c r="D350" s="101"/>
      <c r="E350" s="101"/>
      <c r="F350" s="101"/>
      <c r="G350" s="101"/>
      <c r="H350" s="33">
        <f>H346+H347+H348+H349</f>
        <v>1.6016000000000001</v>
      </c>
      <c r="I350" s="37">
        <f>I346+I347+I348+I349</f>
        <v>60.06</v>
      </c>
      <c r="J350">
        <v>5</v>
      </c>
    </row>
    <row r="351" spans="1:19" x14ac:dyDescent="0.3">
      <c r="A351" s="99" t="s">
        <v>447</v>
      </c>
      <c r="B351" s="99"/>
      <c r="C351" s="99"/>
      <c r="D351" s="99"/>
      <c r="E351" s="99"/>
      <c r="F351" s="99"/>
      <c r="G351" s="99"/>
      <c r="H351" s="99"/>
      <c r="I351" s="99"/>
    </row>
    <row r="352" spans="1:19" x14ac:dyDescent="0.3">
      <c r="B352" s="2">
        <v>49</v>
      </c>
      <c r="C352" s="3" t="s">
        <v>450</v>
      </c>
      <c r="D352" s="5" t="s">
        <v>25</v>
      </c>
      <c r="G352" s="30">
        <v>1835</v>
      </c>
      <c r="H352" s="38">
        <f>(1+IF(OR(ISERR(FIND(":",D353)),ISERR(FIND("%",D353))),0,MID(D353,FIND(":",D353)+2,FIND("%",D353)-FIND(":",D353)-2)/100))*0</f>
        <v>0</v>
      </c>
      <c r="I352" s="29">
        <f>G352*H352</f>
        <v>0</v>
      </c>
      <c r="J352">
        <v>1</v>
      </c>
    </row>
    <row r="353" spans="1:19" x14ac:dyDescent="0.3">
      <c r="D353" s="15" t="str">
        <f>SUBSTITUTE("Sp.mat: 0.00%",".",IF(VALUE("1.2")=1.2,".",","),2)</f>
        <v>Sp.mat: 0.00%</v>
      </c>
      <c r="F353" s="15" t="str">
        <f>SUBSTITUTE("Sp.man: 0.00%",".",IF(VALUE("1.2")=1.2,".",","),2)</f>
        <v>Sp.man: 0.00%</v>
      </c>
      <c r="G353" s="35" t="str">
        <f>SUBSTITUTE("Sp.uti: 0.00%",".",IF(VALUE("1.2")=1.2,".",","),2)</f>
        <v>Sp.uti: 0.00%</v>
      </c>
      <c r="H353" s="38">
        <f>2645.21/G352</f>
        <v>1.4415313351498638</v>
      </c>
      <c r="I353" s="29">
        <f>G352*H353</f>
        <v>2645.21</v>
      </c>
      <c r="J353">
        <v>2</v>
      </c>
    </row>
    <row r="354" spans="1:19" x14ac:dyDescent="0.3">
      <c r="A354" s="88" t="s">
        <v>451</v>
      </c>
      <c r="B354" s="98"/>
      <c r="C354" s="98"/>
      <c r="D354" s="98"/>
      <c r="E354" s="98"/>
      <c r="F354" s="98"/>
      <c r="G354" s="98"/>
      <c r="H354" s="38">
        <f>470.25/G352</f>
        <v>0.25626702997275203</v>
      </c>
      <c r="I354" s="29">
        <f>G352*H354</f>
        <v>470.24999999999994</v>
      </c>
      <c r="J354">
        <v>3</v>
      </c>
      <c r="K354" s="4">
        <v>0</v>
      </c>
      <c r="L354" s="4">
        <v>880.8</v>
      </c>
      <c r="M354" s="4">
        <f>I354-K354-L354</f>
        <v>-410.55</v>
      </c>
    </row>
    <row r="355" spans="1:19" x14ac:dyDescent="0.3">
      <c r="A355" s="98"/>
      <c r="B355" s="98"/>
      <c r="C355" s="98"/>
      <c r="D355" s="98"/>
      <c r="E355" s="98"/>
      <c r="F355" s="98"/>
      <c r="G355" s="98"/>
      <c r="H355" s="38">
        <f>0</f>
        <v>0</v>
      </c>
      <c r="I355" s="29">
        <f>G352*H355</f>
        <v>0</v>
      </c>
      <c r="J355">
        <v>4</v>
      </c>
      <c r="N355" s="4">
        <f>IF(ISERR(SEARCH("TRA* 82",C352)),IF(Q355+R355+S355=0,0,I355*(Q355/(Q355+R355+S355))),I355)</f>
        <v>0</v>
      </c>
      <c r="O355" s="4">
        <f>IF(ISERR(SEARCH("TRA* 82",C352)),IF(Q355+R355+S355=0,0,I355*(R355/(Q355+R355+S355))),0)</f>
        <v>0</v>
      </c>
      <c r="P355" s="4">
        <f>IF(ISERR(SEARCH("TRA* 82",C352)),I355-N355-O355,0)</f>
        <v>0</v>
      </c>
      <c r="Q355" s="4">
        <v>0</v>
      </c>
      <c r="R355" s="4">
        <v>0</v>
      </c>
      <c r="S355" s="4">
        <v>0</v>
      </c>
    </row>
    <row r="356" spans="1:19" x14ac:dyDescent="0.3">
      <c r="A356" s="96" t="s">
        <v>27</v>
      </c>
      <c r="B356" s="97"/>
      <c r="C356" s="97"/>
      <c r="D356" s="97"/>
      <c r="E356" s="97"/>
      <c r="F356" s="97"/>
      <c r="G356" s="97"/>
      <c r="H356" s="36">
        <f>H352+H353+H354+H355</f>
        <v>1.6977983651226158</v>
      </c>
      <c r="I356" s="74">
        <f>I352+I353+I354+I355</f>
        <v>3115.46</v>
      </c>
      <c r="J356">
        <v>5</v>
      </c>
    </row>
    <row r="357" spans="1:19" x14ac:dyDescent="0.3">
      <c r="B357" s="2">
        <v>50</v>
      </c>
      <c r="C357" s="3" t="s">
        <v>452</v>
      </c>
      <c r="D357" s="5" t="s">
        <v>25</v>
      </c>
      <c r="G357" s="30">
        <v>140</v>
      </c>
      <c r="H357" s="38">
        <f>(1+IF(OR(ISERR(FIND(":",D358)),ISERR(FIND("%",D358))),0,MID(D358,FIND(":",D358)+2,FIND("%",D358)-FIND(":",D358)-2)/100))*0</f>
        <v>0</v>
      </c>
      <c r="I357" s="29">
        <f>G357*H357</f>
        <v>0</v>
      </c>
      <c r="J357">
        <v>1</v>
      </c>
    </row>
    <row r="358" spans="1:19" x14ac:dyDescent="0.3">
      <c r="D358" s="15" t="str">
        <f>SUBSTITUTE("Sp.mat: 0.00%",".",IF(VALUE("1.2")=1.2,".",","),2)</f>
        <v>Sp.mat: 0.00%</v>
      </c>
      <c r="F358" s="15" t="str">
        <f>SUBSTITUTE("Sp.man: 0.00%",".",IF(VALUE("1.2")=1.2,".",","),2)</f>
        <v>Sp.man: 0.00%</v>
      </c>
      <c r="G358" s="35" t="str">
        <f>SUBSTITUTE("Sp.uti: 0.00%",".",IF(VALUE("1.2")=1.2,".",","),2)</f>
        <v>Sp.uti: 0.00%</v>
      </c>
      <c r="H358" s="38">
        <f>246.66/G357</f>
        <v>1.7618571428571428</v>
      </c>
      <c r="I358" s="29">
        <f>G357*H358</f>
        <v>246.66</v>
      </c>
      <c r="J358">
        <v>2</v>
      </c>
    </row>
    <row r="359" spans="1:19" x14ac:dyDescent="0.3">
      <c r="A359" s="88" t="s">
        <v>453</v>
      </c>
      <c r="B359" s="98"/>
      <c r="C359" s="98"/>
      <c r="D359" s="98"/>
      <c r="E359" s="98"/>
      <c r="F359" s="98"/>
      <c r="G359" s="98"/>
      <c r="H359" s="38">
        <f>44.85/G357</f>
        <v>0.32035714285714284</v>
      </c>
      <c r="I359" s="29">
        <f>G357*H359</f>
        <v>44.849999999999994</v>
      </c>
      <c r="J359">
        <v>3</v>
      </c>
      <c r="K359" s="4">
        <v>0</v>
      </c>
      <c r="L359" s="4">
        <v>84</v>
      </c>
      <c r="M359" s="4">
        <f>I359-K359-L359</f>
        <v>-39.150000000000006</v>
      </c>
    </row>
    <row r="360" spans="1:19" x14ac:dyDescent="0.3">
      <c r="A360" s="98"/>
      <c r="B360" s="98"/>
      <c r="C360" s="98"/>
      <c r="D360" s="98"/>
      <c r="E360" s="98"/>
      <c r="F360" s="98"/>
      <c r="G360" s="98"/>
      <c r="H360" s="38">
        <f>0</f>
        <v>0</v>
      </c>
      <c r="I360" s="29">
        <f>G357*H360</f>
        <v>0</v>
      </c>
      <c r="J360">
        <v>4</v>
      </c>
      <c r="N360" s="4">
        <f>IF(ISERR(SEARCH("TRA* 82",C357)),IF(Q360+R360+S360=0,0,I360*(Q360/(Q360+R360+S360))),I360)</f>
        <v>0</v>
      </c>
      <c r="O360" s="4">
        <f>IF(ISERR(SEARCH("TRA* 82",C357)),IF(Q360+R360+S360=0,0,I360*(R360/(Q360+R360+S360))),0)</f>
        <v>0</v>
      </c>
      <c r="P360" s="4">
        <f>IF(ISERR(SEARCH("TRA* 82",C357)),I360-N360-O360,0)</f>
        <v>0</v>
      </c>
      <c r="Q360" s="4">
        <v>0</v>
      </c>
      <c r="R360" s="4">
        <v>0</v>
      </c>
      <c r="S360" s="4">
        <v>0</v>
      </c>
    </row>
    <row r="361" spans="1:19" x14ac:dyDescent="0.3">
      <c r="A361" s="96" t="s">
        <v>27</v>
      </c>
      <c r="B361" s="97"/>
      <c r="C361" s="97"/>
      <c r="D361" s="97"/>
      <c r="E361" s="97"/>
      <c r="F361" s="97"/>
      <c r="G361" s="97"/>
      <c r="H361" s="36">
        <f>H357+H358+H359+H360</f>
        <v>2.0822142857142856</v>
      </c>
      <c r="I361" s="74">
        <f>I357+I358+I359+I360</f>
        <v>291.51</v>
      </c>
      <c r="J361">
        <v>5</v>
      </c>
    </row>
    <row r="362" spans="1:19" x14ac:dyDescent="0.3">
      <c r="B362" s="2">
        <v>51</v>
      </c>
      <c r="C362" s="3" t="s">
        <v>460</v>
      </c>
      <c r="D362" s="5" t="s">
        <v>25</v>
      </c>
      <c r="G362" s="30">
        <v>1835</v>
      </c>
      <c r="H362" s="38">
        <f>(1+IF(OR(ISERR(FIND(":",D363)),ISERR(FIND("%",D363))),0,MID(D363,FIND(":",D363)+2,FIND("%",D363)-FIND(":",D363)-2)/100))*0</f>
        <v>0</v>
      </c>
      <c r="I362" s="29">
        <f>G362*H362</f>
        <v>0</v>
      </c>
      <c r="J362">
        <v>1</v>
      </c>
    </row>
    <row r="363" spans="1:19" x14ac:dyDescent="0.3">
      <c r="D363" s="15" t="str">
        <f>SUBSTITUTE("Sp.mat: 0.00%",".",IF(VALUE("1.2")=1.2,".",","),2)</f>
        <v>Sp.mat: 0.00%</v>
      </c>
      <c r="F363" s="15" t="str">
        <f>SUBSTITUTE("Sp.man: 0.00%",".",IF(VALUE("1.2")=1.2,".",","),2)</f>
        <v>Sp.man: 0.00%</v>
      </c>
      <c r="G363" s="35" t="str">
        <f>SUBSTITUTE("Sp.uti: 0.00%",".",IF(VALUE("1.2")=1.2,".",","),2)</f>
        <v>Sp.uti: 0.00%</v>
      </c>
      <c r="H363" s="38">
        <f>2351.3/G362</f>
        <v>1.2813623978201636</v>
      </c>
      <c r="I363" s="29">
        <f>G362*H363</f>
        <v>2351.3000000000002</v>
      </c>
      <c r="J363">
        <v>2</v>
      </c>
    </row>
    <row r="364" spans="1:19" x14ac:dyDescent="0.3">
      <c r="A364" s="88" t="s">
        <v>461</v>
      </c>
      <c r="B364" s="98"/>
      <c r="C364" s="98"/>
      <c r="D364" s="98"/>
      <c r="E364" s="98"/>
      <c r="F364" s="98"/>
      <c r="G364" s="98"/>
      <c r="H364" s="38">
        <f>(1+IF(OR(ISERR(FIND(":",G363)),ISERR(FIND("%",G363))),0,MID(G363,FIND(":",G363)+2,FIND("%",G363)-FIND(":",G363)-2)/100))*0</f>
        <v>0</v>
      </c>
      <c r="I364" s="29">
        <f>G362*H364</f>
        <v>0</v>
      </c>
      <c r="J364">
        <v>3</v>
      </c>
      <c r="K364" s="4">
        <v>0</v>
      </c>
      <c r="L364" s="4">
        <v>0</v>
      </c>
      <c r="M364" s="4">
        <f>I364-K364-L364</f>
        <v>0</v>
      </c>
    </row>
    <row r="365" spans="1:19" x14ac:dyDescent="0.3">
      <c r="A365" s="98"/>
      <c r="B365" s="98"/>
      <c r="C365" s="98"/>
      <c r="D365" s="98"/>
      <c r="E365" s="98"/>
      <c r="F365" s="98"/>
      <c r="G365" s="98"/>
      <c r="H365" s="38">
        <f>0</f>
        <v>0</v>
      </c>
      <c r="I365" s="29">
        <f>G362*H365</f>
        <v>0</v>
      </c>
      <c r="J365">
        <v>4</v>
      </c>
      <c r="N365" s="4">
        <f>IF(ISERR(SEARCH("TRA* 82",C362)),IF(Q365+R365+S365=0,0,I365*(Q365/(Q365+R365+S365))),I365)</f>
        <v>0</v>
      </c>
      <c r="O365" s="4">
        <f>IF(ISERR(SEARCH("TRA* 82",C362)),IF(Q365+R365+S365=0,0,I365*(R365/(Q365+R365+S365))),0)</f>
        <v>0</v>
      </c>
      <c r="P365" s="4">
        <f>IF(ISERR(SEARCH("TRA* 82",C362)),I365-N365-O365,0)</f>
        <v>0</v>
      </c>
      <c r="Q365" s="4">
        <v>0</v>
      </c>
      <c r="R365" s="4">
        <v>0</v>
      </c>
      <c r="S365" s="4">
        <v>0</v>
      </c>
    </row>
    <row r="366" spans="1:19" x14ac:dyDescent="0.3">
      <c r="A366" s="96" t="s">
        <v>27</v>
      </c>
      <c r="B366" s="97"/>
      <c r="C366" s="97"/>
      <c r="D366" s="97"/>
      <c r="E366" s="97"/>
      <c r="F366" s="97"/>
      <c r="G366" s="97"/>
      <c r="H366" s="36">
        <f>H362+H363+H364+H365</f>
        <v>1.2813623978201636</v>
      </c>
      <c r="I366" s="74">
        <f>I362+I363+I364+I365</f>
        <v>2351.3000000000002</v>
      </c>
      <c r="J366">
        <v>5</v>
      </c>
    </row>
    <row r="367" spans="1:19" x14ac:dyDescent="0.3">
      <c r="B367" s="2">
        <v>52</v>
      </c>
      <c r="C367" s="3" t="s">
        <v>462</v>
      </c>
      <c r="D367" s="5" t="s">
        <v>25</v>
      </c>
      <c r="G367" s="30">
        <v>140</v>
      </c>
      <c r="H367" s="38">
        <f>(1+IF(OR(ISERR(FIND(":",D368)),ISERR(FIND("%",D368))),0,MID(D368,FIND(":",D368)+2,FIND("%",D368)-FIND(":",D368)-2)/100))*0</f>
        <v>0</v>
      </c>
      <c r="I367" s="29">
        <f>G367*H367</f>
        <v>0</v>
      </c>
      <c r="J367">
        <v>1</v>
      </c>
    </row>
    <row r="368" spans="1:19" x14ac:dyDescent="0.3">
      <c r="D368" s="15" t="str">
        <f>SUBSTITUTE("Sp.mat: 0.00%",".",IF(VALUE("1.2")=1.2,".",","),2)</f>
        <v>Sp.mat: 0.00%</v>
      </c>
      <c r="F368" s="15" t="str">
        <f>SUBSTITUTE("Sp.man: 0.00%",".",IF(VALUE("1.2")=1.2,".",","),2)</f>
        <v>Sp.man: 0.00%</v>
      </c>
      <c r="G368" s="35" t="str">
        <f>SUBSTITUTE("Sp.uti: 0.00%",".",IF(VALUE("1.2")=1.2,".",","),2)</f>
        <v>Sp.uti: 0.00%</v>
      </c>
      <c r="H368" s="38">
        <f>224.24/G367</f>
        <v>1.6017142857142859</v>
      </c>
      <c r="I368" s="29">
        <f>G367*H368</f>
        <v>224.24</v>
      </c>
      <c r="J368">
        <v>2</v>
      </c>
    </row>
    <row r="369" spans="1:19" x14ac:dyDescent="0.3">
      <c r="A369" s="88" t="s">
        <v>463</v>
      </c>
      <c r="B369" s="98"/>
      <c r="C369" s="98"/>
      <c r="D369" s="98"/>
      <c r="E369" s="98"/>
      <c r="F369" s="98"/>
      <c r="G369" s="98"/>
      <c r="H369" s="38">
        <f>(1+IF(OR(ISERR(FIND(":",G368)),ISERR(FIND("%",G368))),0,MID(G368,FIND(":",G368)+2,FIND("%",G368)-FIND(":",G368)-2)/100))*0</f>
        <v>0</v>
      </c>
      <c r="I369" s="29">
        <f>G367*H369</f>
        <v>0</v>
      </c>
      <c r="J369">
        <v>3</v>
      </c>
      <c r="K369" s="4">
        <v>0</v>
      </c>
      <c r="L369" s="4">
        <v>0</v>
      </c>
      <c r="M369" s="4">
        <f>I369-K369-L369</f>
        <v>0</v>
      </c>
    </row>
    <row r="370" spans="1:19" x14ac:dyDescent="0.3">
      <c r="A370" s="98"/>
      <c r="B370" s="98"/>
      <c r="C370" s="98"/>
      <c r="D370" s="98"/>
      <c r="E370" s="98"/>
      <c r="F370" s="98"/>
      <c r="G370" s="98"/>
      <c r="H370" s="38">
        <f>0</f>
        <v>0</v>
      </c>
      <c r="I370" s="29">
        <f>G367*H370</f>
        <v>0</v>
      </c>
      <c r="J370">
        <v>4</v>
      </c>
      <c r="N370" s="4">
        <f>IF(ISERR(SEARCH("TRA* 82",C367)),IF(Q370+R370+S370=0,0,I370*(Q370/(Q370+R370+S370))),I370)</f>
        <v>0</v>
      </c>
      <c r="O370" s="4">
        <f>IF(ISERR(SEARCH("TRA* 82",C367)),IF(Q370+R370+S370=0,0,I370*(R370/(Q370+R370+S370))),0)</f>
        <v>0</v>
      </c>
      <c r="P370" s="4">
        <f>IF(ISERR(SEARCH("TRA* 82",C367)),I370-N370-O370,0)</f>
        <v>0</v>
      </c>
      <c r="Q370" s="4">
        <v>0</v>
      </c>
      <c r="R370" s="4">
        <v>0</v>
      </c>
      <c r="S370" s="4">
        <v>0</v>
      </c>
    </row>
    <row r="371" spans="1:19" x14ac:dyDescent="0.3">
      <c r="A371" s="96" t="s">
        <v>27</v>
      </c>
      <c r="B371" s="97"/>
      <c r="C371" s="97"/>
      <c r="D371" s="97"/>
      <c r="E371" s="97"/>
      <c r="F371" s="97"/>
      <c r="G371" s="97"/>
      <c r="H371" s="36">
        <f>H367+H368+H369+H370</f>
        <v>1.6017142857142859</v>
      </c>
      <c r="I371" s="74">
        <f>I367+I368+I369+I370</f>
        <v>224.24</v>
      </c>
      <c r="J371">
        <v>5</v>
      </c>
    </row>
    <row r="372" spans="1:19" x14ac:dyDescent="0.3">
      <c r="B372" s="2">
        <v>53</v>
      </c>
      <c r="C372" s="3" t="s">
        <v>470</v>
      </c>
      <c r="D372" s="5" t="s">
        <v>40</v>
      </c>
      <c r="G372" s="30">
        <v>45</v>
      </c>
      <c r="H372" s="38">
        <f>235.91/G372</f>
        <v>5.2424444444444447</v>
      </c>
      <c r="I372" s="29">
        <f>G372*H372</f>
        <v>235.91000000000003</v>
      </c>
      <c r="J372">
        <v>1</v>
      </c>
    </row>
    <row r="373" spans="1:19" x14ac:dyDescent="0.3">
      <c r="D373" s="15" t="str">
        <f>SUBSTITUTE("Sp.mat: 0.00%",".",IF(VALUE("1.2")=1.2,".",","),2)</f>
        <v>Sp.mat: 0.00%</v>
      </c>
      <c r="F373" s="15" t="str">
        <f>SUBSTITUTE("Sp.man: 0.00%",".",IF(VALUE("1.2")=1.2,".",","),2)</f>
        <v>Sp.man: 0.00%</v>
      </c>
      <c r="G373" s="35" t="str">
        <f>SUBSTITUTE("Sp.uti: 0.00%",".",IF(VALUE("1.2")=1.2,".",","),2)</f>
        <v>Sp.uti: 0.00%</v>
      </c>
      <c r="H373" s="38">
        <f>396.42/G372</f>
        <v>8.809333333333333</v>
      </c>
      <c r="I373" s="29">
        <f>G372*H373</f>
        <v>396.41999999999996</v>
      </c>
      <c r="J373">
        <v>2</v>
      </c>
    </row>
    <row r="374" spans="1:19" x14ac:dyDescent="0.3">
      <c r="A374" s="88" t="s">
        <v>471</v>
      </c>
      <c r="B374" s="98"/>
      <c r="C374" s="98"/>
      <c r="D374" s="98"/>
      <c r="E374" s="98"/>
      <c r="F374" s="98"/>
      <c r="G374" s="98"/>
      <c r="H374" s="38">
        <v>2.5000000000000001E-2</v>
      </c>
      <c r="I374" s="29">
        <f>G372*H374</f>
        <v>1.125</v>
      </c>
      <c r="J374">
        <v>3</v>
      </c>
      <c r="K374" s="4">
        <v>0</v>
      </c>
      <c r="L374" s="4">
        <v>0</v>
      </c>
      <c r="M374" s="4">
        <f>I374-K374-L374</f>
        <v>1.125</v>
      </c>
    </row>
    <row r="375" spans="1:19" x14ac:dyDescent="0.3">
      <c r="A375" s="98"/>
      <c r="B375" s="98"/>
      <c r="C375" s="98"/>
      <c r="D375" s="98"/>
      <c r="E375" s="98"/>
      <c r="F375" s="98"/>
      <c r="G375" s="98"/>
      <c r="H375" s="38">
        <f>0</f>
        <v>0</v>
      </c>
      <c r="I375" s="29">
        <f>G372*H375</f>
        <v>0</v>
      </c>
      <c r="J375">
        <v>4</v>
      </c>
      <c r="N375" s="4">
        <f>IF(ISERR(SEARCH("TRA* 82",C372)),IF(Q375+R375+S375=0,0,I375*(Q375/(Q375+R375+S375))),I375)</f>
        <v>0</v>
      </c>
      <c r="O375" s="4">
        <f>IF(ISERR(SEARCH("TRA* 82",C372)),IF(Q375+R375+S375=0,0,I375*(R375/(Q375+R375+S375))),0)</f>
        <v>0</v>
      </c>
      <c r="P375" s="4">
        <f>IF(ISERR(SEARCH("TRA* 82",C372)),I375-N375-O375,0)</f>
        <v>0</v>
      </c>
      <c r="Q375" s="4">
        <v>0</v>
      </c>
      <c r="R375" s="4">
        <v>0</v>
      </c>
      <c r="S375" s="4">
        <v>0</v>
      </c>
    </row>
    <row r="376" spans="1:19" x14ac:dyDescent="0.3">
      <c r="A376" s="96" t="s">
        <v>27</v>
      </c>
      <c r="B376" s="97"/>
      <c r="C376" s="97"/>
      <c r="D376" s="97"/>
      <c r="E376" s="97"/>
      <c r="F376" s="97"/>
      <c r="G376" s="97"/>
      <c r="H376" s="36">
        <f>H372+H373+H374+H375</f>
        <v>14.076777777777778</v>
      </c>
      <c r="I376" s="74">
        <f>I372+I373+I374+I375</f>
        <v>633.45499999999993</v>
      </c>
      <c r="J376">
        <v>5</v>
      </c>
    </row>
    <row r="377" spans="1:19" x14ac:dyDescent="0.3">
      <c r="B377" s="2">
        <v>54</v>
      </c>
      <c r="C377" s="3" t="s">
        <v>472</v>
      </c>
      <c r="D377" s="5" t="s">
        <v>40</v>
      </c>
      <c r="G377" s="30">
        <v>45</v>
      </c>
      <c r="H377" s="38">
        <f>(1+IF(OR(ISERR(FIND(":",D378)),ISERR(FIND("%",D378))),0,MID(D378,FIND(":",D378)+2,FIND("%",D378)-FIND(":",D378)-2)/100))*0</f>
        <v>0</v>
      </c>
      <c r="I377" s="29">
        <f>G377*H377</f>
        <v>0</v>
      </c>
      <c r="J377">
        <v>1</v>
      </c>
    </row>
    <row r="378" spans="1:19" x14ac:dyDescent="0.3">
      <c r="D378" s="15" t="str">
        <f>SUBSTITUTE("Sp.mat: 0.00%",".",IF(VALUE("1.2")=1.2,".",","),2)</f>
        <v>Sp.mat: 0.00%</v>
      </c>
      <c r="F378" s="15" t="str">
        <f>SUBSTITUTE("Sp.man: 0.00%",".",IF(VALUE("1.2")=1.2,".",","),2)</f>
        <v>Sp.man: 0.00%</v>
      </c>
      <c r="G378" s="35" t="str">
        <f>SUBSTITUTE("Sp.uti: 0.00%",".",IF(VALUE("1.2")=1.2,".",","),2)</f>
        <v>Sp.uti: 0.00%</v>
      </c>
      <c r="H378" s="38">
        <f>237.85/G377</f>
        <v>5.2855555555555558</v>
      </c>
      <c r="I378" s="29">
        <f>G377*H378</f>
        <v>237.85000000000002</v>
      </c>
      <c r="J378">
        <v>2</v>
      </c>
    </row>
    <row r="379" spans="1:19" x14ac:dyDescent="0.3">
      <c r="A379" s="88" t="s">
        <v>473</v>
      </c>
      <c r="B379" s="98"/>
      <c r="C379" s="98"/>
      <c r="D379" s="98"/>
      <c r="E379" s="98"/>
      <c r="F379" s="98"/>
      <c r="G379" s="98"/>
      <c r="H379" s="38">
        <f>72.08/G377</f>
        <v>1.6017777777777777</v>
      </c>
      <c r="I379" s="29">
        <f>G377*H379</f>
        <v>72.08</v>
      </c>
      <c r="J379">
        <v>3</v>
      </c>
      <c r="K379" s="4">
        <v>0</v>
      </c>
      <c r="L379" s="4">
        <v>135</v>
      </c>
      <c r="M379" s="4">
        <f>I379-K379-L379</f>
        <v>-62.92</v>
      </c>
    </row>
    <row r="380" spans="1:19" x14ac:dyDescent="0.3">
      <c r="A380" s="98"/>
      <c r="B380" s="98"/>
      <c r="C380" s="98"/>
      <c r="D380" s="98"/>
      <c r="E380" s="98"/>
      <c r="F380" s="98"/>
      <c r="G380" s="98"/>
      <c r="H380" s="38">
        <f>0</f>
        <v>0</v>
      </c>
      <c r="I380" s="29">
        <f>G377*H380</f>
        <v>0</v>
      </c>
      <c r="J380">
        <v>4</v>
      </c>
      <c r="N380" s="4">
        <f>IF(ISERR(SEARCH("TRA* 82",C377)),IF(Q380+R380+S380=0,0,I380*(Q380/(Q380+R380+S380))),I380)</f>
        <v>0</v>
      </c>
      <c r="O380" s="4">
        <f>IF(ISERR(SEARCH("TRA* 82",C377)),IF(Q380+R380+S380=0,0,I380*(R380/(Q380+R380+S380))),0)</f>
        <v>0</v>
      </c>
      <c r="P380" s="4">
        <f>IF(ISERR(SEARCH("TRA* 82",C377)),I380-N380-O380,0)</f>
        <v>0</v>
      </c>
      <c r="Q380" s="4">
        <v>0</v>
      </c>
      <c r="R380" s="4">
        <v>0</v>
      </c>
      <c r="S380" s="4">
        <v>0</v>
      </c>
    </row>
    <row r="381" spans="1:19" x14ac:dyDescent="0.3">
      <c r="A381" s="96" t="s">
        <v>27</v>
      </c>
      <c r="B381" s="97"/>
      <c r="C381" s="97"/>
      <c r="D381" s="97"/>
      <c r="E381" s="97"/>
      <c r="F381" s="97"/>
      <c r="G381" s="97"/>
      <c r="H381" s="36">
        <f>H377+H378+H379+H380</f>
        <v>6.8873333333333333</v>
      </c>
      <c r="I381" s="74">
        <f>I377+I378+I379+I380</f>
        <v>309.93</v>
      </c>
      <c r="J381">
        <v>5</v>
      </c>
    </row>
    <row r="382" spans="1:19" x14ac:dyDescent="0.3">
      <c r="B382" s="16"/>
      <c r="E382" s="4">
        <f>SUMIF(J12:J381,"1",I12:I381)</f>
        <v>134582.02000000002</v>
      </c>
      <c r="F382" s="4">
        <f>SUMIF(J12:J381,"2",I12:I381)</f>
        <v>28713.679999999997</v>
      </c>
      <c r="G382" s="29">
        <f>SUMIF(J12:J381,"3",I12:I381)</f>
        <v>651.57500000000005</v>
      </c>
      <c r="H382" s="29">
        <f>SUMIF(J12:J381,"4",I12:I381)</f>
        <v>0</v>
      </c>
      <c r="I382" s="29">
        <f>SUMIF(J12:J381,"5",I12:I381)</f>
        <v>163947.27499999997</v>
      </c>
      <c r="K382" s="4">
        <f>SUMIF(J12:J381,"3",K12:K381)</f>
        <v>0</v>
      </c>
      <c r="L382" s="4">
        <f>SUMIF(J12:J381,"3",L12:L381)</f>
        <v>1102.7239999999999</v>
      </c>
      <c r="M382" s="4">
        <f>SUMIF(J12:J381,"3",M12:M381)</f>
        <v>-451.14900000000006</v>
      </c>
      <c r="N382" s="4">
        <f>SUMIF(J12:J381,"4",N12:N381)</f>
        <v>0</v>
      </c>
      <c r="O382" s="4">
        <f>SUMIF(J12:J381,"4",O12:O381)</f>
        <v>0</v>
      </c>
      <c r="P382" s="4">
        <f>SUMIF(J12:J381,"4",P12:P381)</f>
        <v>0</v>
      </c>
      <c r="Q382" s="4">
        <f>SUMIF(J12:J381,"4",Q12:Q381)</f>
        <v>0</v>
      </c>
      <c r="R382" s="4">
        <f>SUMIF(J12:J381,"4",R12:R381)</f>
        <v>0</v>
      </c>
      <c r="S382" s="4">
        <f>SUMIF(J12:J381,"4",S12:S381)</f>
        <v>0</v>
      </c>
    </row>
    <row r="383" spans="1:19" x14ac:dyDescent="0.3">
      <c r="B383" s="107" t="s">
        <v>1554</v>
      </c>
      <c r="C383" s="108"/>
      <c r="D383" s="26"/>
      <c r="E383" s="26"/>
      <c r="F383" s="26"/>
      <c r="G383" s="109"/>
      <c r="H383" s="36"/>
      <c r="I383" s="110">
        <f>I382</f>
        <v>163947.27499999997</v>
      </c>
    </row>
  </sheetData>
  <mergeCells count="213">
    <mergeCell ref="A16:G16"/>
    <mergeCell ref="A17:I17"/>
    <mergeCell ref="A20:G21"/>
    <mergeCell ref="A22:G22"/>
    <mergeCell ref="A25:G26"/>
    <mergeCell ref="A27:G27"/>
    <mergeCell ref="A1:D1"/>
    <mergeCell ref="A2:I2"/>
    <mergeCell ref="A3:I3"/>
    <mergeCell ref="A4:I4"/>
    <mergeCell ref="A5:H5"/>
    <mergeCell ref="A14:G15"/>
    <mergeCell ref="A37:I37"/>
    <mergeCell ref="A40:G41"/>
    <mergeCell ref="A42:G42"/>
    <mergeCell ref="A43:I43"/>
    <mergeCell ref="A44:I44"/>
    <mergeCell ref="A45:I45"/>
    <mergeCell ref="A30:G31"/>
    <mergeCell ref="A32:G32"/>
    <mergeCell ref="A33:I33"/>
    <mergeCell ref="A34:I34"/>
    <mergeCell ref="A35:I35"/>
    <mergeCell ref="A36:I36"/>
    <mergeCell ref="A55:I55"/>
    <mergeCell ref="A56:I56"/>
    <mergeCell ref="A57:I57"/>
    <mergeCell ref="A60:G61"/>
    <mergeCell ref="A62:G62"/>
    <mergeCell ref="A63:I63"/>
    <mergeCell ref="A46:I46"/>
    <mergeCell ref="A47:I47"/>
    <mergeCell ref="A50:G51"/>
    <mergeCell ref="A52:G52"/>
    <mergeCell ref="A53:I53"/>
    <mergeCell ref="A54:I54"/>
    <mergeCell ref="A73:I73"/>
    <mergeCell ref="A74:I74"/>
    <mergeCell ref="A75:I75"/>
    <mergeCell ref="A76:I76"/>
    <mergeCell ref="A77:I77"/>
    <mergeCell ref="A80:G81"/>
    <mergeCell ref="A64:I64"/>
    <mergeCell ref="A65:I65"/>
    <mergeCell ref="A66:I66"/>
    <mergeCell ref="A67:I67"/>
    <mergeCell ref="A70:G71"/>
    <mergeCell ref="A72:G72"/>
    <mergeCell ref="A90:G91"/>
    <mergeCell ref="A92:G92"/>
    <mergeCell ref="A93:I93"/>
    <mergeCell ref="A94:I94"/>
    <mergeCell ref="A95:I95"/>
    <mergeCell ref="A96:I96"/>
    <mergeCell ref="A82:G82"/>
    <mergeCell ref="A83:I83"/>
    <mergeCell ref="A84:I84"/>
    <mergeCell ref="A85:I85"/>
    <mergeCell ref="A86:I86"/>
    <mergeCell ref="A87:I87"/>
    <mergeCell ref="A108:G109"/>
    <mergeCell ref="A110:G110"/>
    <mergeCell ref="A111:I111"/>
    <mergeCell ref="A112:I112"/>
    <mergeCell ref="A113:I113"/>
    <mergeCell ref="A116:G117"/>
    <mergeCell ref="A97:I97"/>
    <mergeCell ref="A100:G101"/>
    <mergeCell ref="A102:G102"/>
    <mergeCell ref="A103:I103"/>
    <mergeCell ref="A104:I104"/>
    <mergeCell ref="A105:I105"/>
    <mergeCell ref="A127:I127"/>
    <mergeCell ref="A128:I128"/>
    <mergeCell ref="A129:I129"/>
    <mergeCell ref="A132:G133"/>
    <mergeCell ref="A134:G134"/>
    <mergeCell ref="A135:I135"/>
    <mergeCell ref="A118:G118"/>
    <mergeCell ref="A119:I119"/>
    <mergeCell ref="A120:I120"/>
    <mergeCell ref="A121:I121"/>
    <mergeCell ref="A124:G125"/>
    <mergeCell ref="A126:G126"/>
    <mergeCell ref="A145:I145"/>
    <mergeCell ref="A148:G149"/>
    <mergeCell ref="A150:G150"/>
    <mergeCell ref="A151:I151"/>
    <mergeCell ref="A152:I152"/>
    <mergeCell ref="A153:I153"/>
    <mergeCell ref="A136:I136"/>
    <mergeCell ref="A137:I137"/>
    <mergeCell ref="A140:G141"/>
    <mergeCell ref="A142:G142"/>
    <mergeCell ref="A143:I143"/>
    <mergeCell ref="A144:I144"/>
    <mergeCell ref="A166:G166"/>
    <mergeCell ref="A167:I167"/>
    <mergeCell ref="A168:I168"/>
    <mergeCell ref="A169:I169"/>
    <mergeCell ref="A172:G173"/>
    <mergeCell ref="A174:G174"/>
    <mergeCell ref="A156:G157"/>
    <mergeCell ref="A158:G158"/>
    <mergeCell ref="A159:I159"/>
    <mergeCell ref="A160:I160"/>
    <mergeCell ref="A161:I161"/>
    <mergeCell ref="A164:G165"/>
    <mergeCell ref="A184:I184"/>
    <mergeCell ref="A185:I185"/>
    <mergeCell ref="A188:G189"/>
    <mergeCell ref="A190:G190"/>
    <mergeCell ref="A191:I191"/>
    <mergeCell ref="A192:I192"/>
    <mergeCell ref="A175:I175"/>
    <mergeCell ref="A176:I176"/>
    <mergeCell ref="A177:I177"/>
    <mergeCell ref="A180:G181"/>
    <mergeCell ref="A182:G182"/>
    <mergeCell ref="A183:I183"/>
    <mergeCell ref="A204:G205"/>
    <mergeCell ref="A206:G206"/>
    <mergeCell ref="A207:I207"/>
    <mergeCell ref="A208:I208"/>
    <mergeCell ref="A209:I209"/>
    <mergeCell ref="A212:G213"/>
    <mergeCell ref="A193:I193"/>
    <mergeCell ref="A196:G197"/>
    <mergeCell ref="A198:G198"/>
    <mergeCell ref="A199:I199"/>
    <mergeCell ref="A200:I200"/>
    <mergeCell ref="A201:I201"/>
    <mergeCell ref="A223:I223"/>
    <mergeCell ref="A224:I224"/>
    <mergeCell ref="A225:I225"/>
    <mergeCell ref="A228:G229"/>
    <mergeCell ref="A230:G230"/>
    <mergeCell ref="A231:I231"/>
    <mergeCell ref="A214:G214"/>
    <mergeCell ref="A215:I215"/>
    <mergeCell ref="A216:I216"/>
    <mergeCell ref="A217:I217"/>
    <mergeCell ref="A220:G221"/>
    <mergeCell ref="A222:G222"/>
    <mergeCell ref="A246:G247"/>
    <mergeCell ref="A248:G248"/>
    <mergeCell ref="A249:I249"/>
    <mergeCell ref="A252:G253"/>
    <mergeCell ref="A254:G254"/>
    <mergeCell ref="A255:I255"/>
    <mergeCell ref="A234:G235"/>
    <mergeCell ref="A236:G236"/>
    <mergeCell ref="A237:I237"/>
    <mergeCell ref="A240:G241"/>
    <mergeCell ref="A242:G242"/>
    <mergeCell ref="A243:I243"/>
    <mergeCell ref="A270:G271"/>
    <mergeCell ref="A272:G272"/>
    <mergeCell ref="A273:I273"/>
    <mergeCell ref="A276:G277"/>
    <mergeCell ref="A278:G278"/>
    <mergeCell ref="A281:G282"/>
    <mergeCell ref="A258:G259"/>
    <mergeCell ref="A260:G260"/>
    <mergeCell ref="A261:I261"/>
    <mergeCell ref="A264:G265"/>
    <mergeCell ref="A266:G266"/>
    <mergeCell ref="A267:I267"/>
    <mergeCell ref="A298:G298"/>
    <mergeCell ref="A301:G302"/>
    <mergeCell ref="A303:G303"/>
    <mergeCell ref="A306:G307"/>
    <mergeCell ref="A308:G308"/>
    <mergeCell ref="A309:I309"/>
    <mergeCell ref="A283:G283"/>
    <mergeCell ref="A286:G287"/>
    <mergeCell ref="A288:G288"/>
    <mergeCell ref="A291:G292"/>
    <mergeCell ref="A293:G293"/>
    <mergeCell ref="A296:G297"/>
    <mergeCell ref="A324:G325"/>
    <mergeCell ref="A326:G326"/>
    <mergeCell ref="A327:I327"/>
    <mergeCell ref="A330:G331"/>
    <mergeCell ref="A332:G332"/>
    <mergeCell ref="A333:I333"/>
    <mergeCell ref="A312:G313"/>
    <mergeCell ref="A314:G314"/>
    <mergeCell ref="A315:I315"/>
    <mergeCell ref="A318:G319"/>
    <mergeCell ref="A320:G320"/>
    <mergeCell ref="A321:I321"/>
    <mergeCell ref="A348:G349"/>
    <mergeCell ref="A350:G350"/>
    <mergeCell ref="A351:I351"/>
    <mergeCell ref="A354:G355"/>
    <mergeCell ref="A356:G356"/>
    <mergeCell ref="A359:G360"/>
    <mergeCell ref="A336:G337"/>
    <mergeCell ref="A338:G338"/>
    <mergeCell ref="A339:I339"/>
    <mergeCell ref="A342:G343"/>
    <mergeCell ref="A344:G344"/>
    <mergeCell ref="A345:I345"/>
    <mergeCell ref="A376:G376"/>
    <mergeCell ref="A379:G380"/>
    <mergeCell ref="A381:G381"/>
    <mergeCell ref="A361:G361"/>
    <mergeCell ref="A364:G365"/>
    <mergeCell ref="A366:G366"/>
    <mergeCell ref="A369:G370"/>
    <mergeCell ref="A371:G371"/>
    <mergeCell ref="A374:G375"/>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35" manualBreakCount="35">
    <brk id="47" max="16383" man="1"/>
    <brk id="87" max="16383" man="1"/>
    <brk id="129" max="16383" man="1"/>
    <brk id="193" max="16383" man="1"/>
    <brk id="201" max="16383" man="1"/>
    <brk id="209" max="16383" man="1"/>
    <brk id="217" max="16383" man="1"/>
    <brk id="225" max="16383" man="1"/>
    <brk id="231" max="16383" man="1"/>
    <brk id="237" max="16383" man="1"/>
    <brk id="243" max="16383" man="1"/>
    <brk id="249" max="16383" man="1"/>
    <brk id="255" max="16383" man="1"/>
    <brk id="261" max="16383" man="1"/>
    <brk id="273" max="16383" man="1"/>
    <brk id="278" max="16383" man="1"/>
    <brk id="283" max="16383" man="1"/>
    <brk id="288" max="16383" man="1"/>
    <brk id="293" max="16383" man="1"/>
    <brk id="298" max="16383" man="1"/>
    <brk id="303" max="16383" man="1"/>
    <brk id="309" max="16383" man="1"/>
    <brk id="315" max="16383" man="1"/>
    <brk id="321" max="16383" man="1"/>
    <brk id="327" max="16383" man="1"/>
    <brk id="333" max="16383" man="1"/>
    <brk id="339" max="16383" man="1"/>
    <brk id="345" max="16383" man="1"/>
    <brk id="351" max="16383" man="1"/>
    <brk id="356" max="16383" man="1"/>
    <brk id="361" max="16383" man="1"/>
    <brk id="366" max="16383" man="1"/>
    <brk id="371" max="16383" man="1"/>
    <brk id="376" max="16383" man="1"/>
    <brk id="381"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2CF9E-04E2-46ED-BF7D-C710685EFF76}">
  <sheetPr>
    <tabColor rgb="FF92D050"/>
  </sheetPr>
  <dimension ref="A1:T281"/>
  <sheetViews>
    <sheetView topLeftCell="B277" zoomScale="85" zoomScaleNormal="85" workbookViewId="0">
      <selection activeCell="E304" sqref="E304"/>
    </sheetView>
  </sheetViews>
  <sheetFormatPr defaultRowHeight="14.4" outlineLevelCol="1" x14ac:dyDescent="0.3"/>
  <cols>
    <col min="1" max="1" width="0.33203125" style="1" customWidth="1"/>
    <col min="2" max="2" width="5.77734375" style="2" customWidth="1"/>
    <col min="3" max="3" width="25.33203125" style="3" customWidth="1"/>
    <col min="4" max="4" width="14.5546875" style="5" customWidth="1"/>
    <col min="5" max="5" width="14.5546875" customWidth="1"/>
    <col min="7" max="7" width="15.77734375" style="30" customWidth="1"/>
    <col min="8" max="8" width="14.5546875" style="38" customWidth="1"/>
    <col min="9" max="9" width="14.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84</v>
      </c>
      <c r="B4" s="98"/>
      <c r="C4" s="98"/>
      <c r="D4" s="98"/>
      <c r="E4" s="98"/>
      <c r="F4" s="98"/>
      <c r="G4" s="98"/>
      <c r="H4" s="98"/>
      <c r="I4" s="98"/>
    </row>
    <row r="5" spans="1:19" ht="15" thickBot="1" x14ac:dyDescent="0.35">
      <c r="A5" s="82" t="s">
        <v>630</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631</v>
      </c>
      <c r="D12" s="13" t="s">
        <v>25</v>
      </c>
      <c r="E12" s="14"/>
      <c r="F12" s="14"/>
      <c r="G12" s="41">
        <v>17000</v>
      </c>
      <c r="H12" s="71">
        <f>43176.87/G12</f>
        <v>2.5398158823529413</v>
      </c>
      <c r="I12" s="32">
        <f>G12*H12</f>
        <v>43176.87</v>
      </c>
      <c r="J12">
        <v>1</v>
      </c>
    </row>
    <row r="13" spans="1:19" x14ac:dyDescent="0.3">
      <c r="D13" s="15" t="str">
        <f>SUBSTITUTE("Sp.mat: 0.00%",".",IF(VALUE("1.2")=1.2,".",","),2)</f>
        <v>Sp.mat: 0.00%</v>
      </c>
      <c r="F13" s="15" t="str">
        <f>SUBSTITUTE("Sp.man: 0.00%",".",IF(VALUE("1.2")=1.2,".",","),2)</f>
        <v>Sp.man: 0.00%</v>
      </c>
      <c r="G13" s="35" t="str">
        <f>SUBSTITUTE("Sp.uti: 0.00%",".",IF(VALUE("1.2")=1.2,".",","),2)</f>
        <v>Sp.uti: 0.00%</v>
      </c>
      <c r="H13" s="38">
        <f>6807.23/G12</f>
        <v>0.40042529411764705</v>
      </c>
      <c r="I13" s="29">
        <f>G12*H13</f>
        <v>6807.23</v>
      </c>
      <c r="J13">
        <v>2</v>
      </c>
    </row>
    <row r="14" spans="1:19" x14ac:dyDescent="0.3">
      <c r="A14" s="88" t="s">
        <v>632</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87</v>
      </c>
      <c r="B16" s="101"/>
      <c r="C16" s="101"/>
      <c r="D16" s="101"/>
      <c r="E16" s="101"/>
      <c r="F16" s="101"/>
      <c r="G16" s="101"/>
      <c r="H16" s="33">
        <f>H12+H13+H14+H15</f>
        <v>2.9402411764705882</v>
      </c>
      <c r="I16" s="37">
        <f>I12+I13+I14+I15</f>
        <v>49984.100000000006</v>
      </c>
      <c r="J16">
        <v>5</v>
      </c>
    </row>
    <row r="17" spans="1:19" x14ac:dyDescent="0.3">
      <c r="A17" s="99" t="s">
        <v>633</v>
      </c>
      <c r="B17" s="99"/>
      <c r="C17" s="99"/>
      <c r="D17" s="99"/>
      <c r="E17" s="99"/>
      <c r="F17" s="99"/>
      <c r="G17" s="99"/>
      <c r="H17" s="99"/>
      <c r="I17" s="99"/>
    </row>
    <row r="18" spans="1:19" x14ac:dyDescent="0.3">
      <c r="B18" s="2">
        <v>2</v>
      </c>
      <c r="C18" s="3" t="s">
        <v>634</v>
      </c>
      <c r="D18" s="5" t="s">
        <v>29</v>
      </c>
      <c r="G18" s="30">
        <v>1</v>
      </c>
      <c r="H18" s="38">
        <v>75.819999999999993</v>
      </c>
      <c r="I18" s="29">
        <f>G18*H18</f>
        <v>75.819999999999993</v>
      </c>
      <c r="J18">
        <v>1</v>
      </c>
    </row>
    <row r="19" spans="1:19" x14ac:dyDescent="0.3">
      <c r="D19" s="15" t="str">
        <f>SUBSTITUTE("Sp.mat: 0.00%",".",IF(VALUE("1.2")=1.2,".",","),2)</f>
        <v>Sp.mat: 0.00%</v>
      </c>
      <c r="F19" s="15" t="str">
        <f>SUBSTITUTE("Sp.man: 0.00%",".",IF(VALUE("1.2")=1.2,".",","),2)</f>
        <v>Sp.man: 0.00%</v>
      </c>
      <c r="G19" s="35" t="str">
        <f>SUBSTITUTE("Sp.uti: 0.00%",".",IF(VALUE("1.2")=1.2,".",","),2)</f>
        <v>Sp.uti: 0.00%</v>
      </c>
      <c r="H19" s="38">
        <v>10.44</v>
      </c>
      <c r="I19" s="29">
        <f>G18*H19</f>
        <v>10.44</v>
      </c>
      <c r="J19">
        <v>2</v>
      </c>
    </row>
    <row r="20" spans="1:19" x14ac:dyDescent="0.3">
      <c r="A20" s="88" t="s">
        <v>635</v>
      </c>
      <c r="B20" s="98"/>
      <c r="C20" s="98"/>
      <c r="D20" s="98"/>
      <c r="E20" s="98"/>
      <c r="F20" s="98"/>
      <c r="G20" s="98"/>
      <c r="H20" s="38">
        <f>(1+IF(OR(ISERR(FIND(":",G19)),ISERR(FIND("%",G19))),0,MID(G19,FIND(":",G19)+2,FIND("%",G19)-FIND(":",G19)-2)/100))*0</f>
        <v>0</v>
      </c>
      <c r="I20" s="29">
        <f>G18*H20</f>
        <v>0</v>
      </c>
      <c r="J20">
        <v>3</v>
      </c>
      <c r="K20" s="4">
        <v>0</v>
      </c>
      <c r="L20" s="4">
        <v>0</v>
      </c>
      <c r="M20" s="4">
        <f>I20-K20-L20</f>
        <v>0</v>
      </c>
    </row>
    <row r="21" spans="1:19" x14ac:dyDescent="0.3">
      <c r="A21" s="98"/>
      <c r="B21" s="98"/>
      <c r="C21" s="98"/>
      <c r="D21" s="98"/>
      <c r="E21" s="98"/>
      <c r="F21" s="98"/>
      <c r="G21" s="98"/>
      <c r="H21" s="38">
        <f>0</f>
        <v>0</v>
      </c>
      <c r="I21" s="29">
        <f>G18*H21</f>
        <v>0</v>
      </c>
      <c r="J21">
        <v>4</v>
      </c>
      <c r="N21" s="4">
        <f>IF(ISERR(SEARCH("TRA* 82",C18)),IF(Q21+R21+S21=0,0,I21*(Q21/(Q21+R21+S21))),I21)</f>
        <v>0</v>
      </c>
      <c r="O21" s="4">
        <f>IF(ISERR(SEARCH("TRA* 82",C18)),IF(Q21+R21+S21=0,0,I21*(R21/(Q21+R21+S21))),0)</f>
        <v>0</v>
      </c>
      <c r="P21" s="4">
        <f>IF(ISERR(SEARCH("TRA* 82",C18)),I21-N21-O21,0)</f>
        <v>0</v>
      </c>
      <c r="Q21" s="4">
        <v>0</v>
      </c>
      <c r="R21" s="4">
        <v>0</v>
      </c>
      <c r="S21" s="4">
        <v>0</v>
      </c>
    </row>
    <row r="22" spans="1:19" x14ac:dyDescent="0.3">
      <c r="A22" s="100" t="s">
        <v>87</v>
      </c>
      <c r="B22" s="101"/>
      <c r="C22" s="101"/>
      <c r="D22" s="101"/>
      <c r="E22" s="101"/>
      <c r="F22" s="101"/>
      <c r="G22" s="101"/>
      <c r="H22" s="33">
        <f>H18+H19+H20+H21</f>
        <v>86.259999999999991</v>
      </c>
      <c r="I22" s="37">
        <f>I18+I19+I20+I21</f>
        <v>86.259999999999991</v>
      </c>
      <c r="J22">
        <v>5</v>
      </c>
    </row>
    <row r="23" spans="1:19" x14ac:dyDescent="0.3">
      <c r="A23" s="102" t="s">
        <v>636</v>
      </c>
      <c r="B23" s="102"/>
      <c r="C23" s="102"/>
      <c r="D23" s="102"/>
      <c r="E23" s="102"/>
      <c r="F23" s="102"/>
      <c r="G23" s="102"/>
      <c r="H23" s="102"/>
      <c r="I23" s="102"/>
    </row>
    <row r="24" spans="1:19" x14ac:dyDescent="0.3">
      <c r="A24" s="98" t="s">
        <v>637</v>
      </c>
      <c r="B24" s="98"/>
      <c r="C24" s="98"/>
      <c r="D24" s="98"/>
      <c r="E24" s="98"/>
      <c r="F24" s="98"/>
      <c r="G24" s="98"/>
      <c r="H24" s="98"/>
      <c r="I24" s="98"/>
    </row>
    <row r="25" spans="1:19" x14ac:dyDescent="0.3">
      <c r="A25" s="98" t="s">
        <v>638</v>
      </c>
      <c r="B25" s="98"/>
      <c r="C25" s="98"/>
      <c r="D25" s="98"/>
      <c r="E25" s="98"/>
      <c r="F25" s="98"/>
      <c r="G25" s="98"/>
      <c r="H25" s="98"/>
      <c r="I25" s="98"/>
    </row>
    <row r="26" spans="1:19" x14ac:dyDescent="0.3">
      <c r="A26" s="98" t="s">
        <v>639</v>
      </c>
      <c r="B26" s="98"/>
      <c r="C26" s="98"/>
      <c r="D26" s="98"/>
      <c r="E26" s="98"/>
      <c r="F26" s="98"/>
      <c r="G26" s="98"/>
      <c r="H26" s="98"/>
      <c r="I26" s="98"/>
    </row>
    <row r="27" spans="1:19" x14ac:dyDescent="0.3">
      <c r="A27" s="98" t="s">
        <v>640</v>
      </c>
      <c r="B27" s="98"/>
      <c r="C27" s="98"/>
      <c r="D27" s="98"/>
      <c r="E27" s="98"/>
      <c r="F27" s="98"/>
      <c r="G27" s="98"/>
      <c r="H27" s="98"/>
      <c r="I27" s="98"/>
    </row>
    <row r="28" spans="1:19" x14ac:dyDescent="0.3">
      <c r="A28" s="97" t="s">
        <v>641</v>
      </c>
      <c r="B28" s="97"/>
      <c r="C28" s="97"/>
      <c r="D28" s="97"/>
      <c r="E28" s="97"/>
      <c r="F28" s="97"/>
      <c r="G28" s="97"/>
      <c r="H28" s="97"/>
      <c r="I28" s="97"/>
    </row>
    <row r="29" spans="1:19" x14ac:dyDescent="0.3">
      <c r="B29" s="2">
        <v>3</v>
      </c>
      <c r="C29" s="3" t="s">
        <v>634</v>
      </c>
      <c r="D29" s="5" t="s">
        <v>29</v>
      </c>
      <c r="G29" s="30">
        <v>3</v>
      </c>
      <c r="H29" s="38">
        <v>401.78</v>
      </c>
      <c r="I29" s="29">
        <f>G29*H29</f>
        <v>1205.3399999999999</v>
      </c>
      <c r="J29">
        <v>1</v>
      </c>
    </row>
    <row r="30" spans="1:19" x14ac:dyDescent="0.3">
      <c r="D30" s="15" t="str">
        <f>SUBSTITUTE("Sp.mat: 0.00%",".",IF(VALUE("1.2")=1.2,".",","),2)</f>
        <v>Sp.mat: 0.00%</v>
      </c>
      <c r="F30" s="15" t="str">
        <f>SUBSTITUTE("Sp.man: 0.00%",".",IF(VALUE("1.2")=1.2,".",","),2)</f>
        <v>Sp.man: 0.00%</v>
      </c>
      <c r="G30" s="35" t="str">
        <f>SUBSTITUTE("Sp.uti: 0.00%",".",IF(VALUE("1.2")=1.2,".",","),2)</f>
        <v>Sp.uti: 0.00%</v>
      </c>
      <c r="H30" s="38">
        <v>10.44</v>
      </c>
      <c r="I30" s="29">
        <f>G29*H30</f>
        <v>31.32</v>
      </c>
      <c r="J30">
        <v>2</v>
      </c>
    </row>
    <row r="31" spans="1:19" x14ac:dyDescent="0.3">
      <c r="A31" s="88" t="s">
        <v>642</v>
      </c>
      <c r="B31" s="98"/>
      <c r="C31" s="98"/>
      <c r="D31" s="98"/>
      <c r="E31" s="98"/>
      <c r="F31" s="98"/>
      <c r="G31" s="98"/>
      <c r="H31" s="38">
        <f>(1+IF(OR(ISERR(FIND(":",G30)),ISERR(FIND("%",G30))),0,MID(G30,FIND(":",G30)+2,FIND("%",G30)-FIND(":",G30)-2)/100))*0</f>
        <v>0</v>
      </c>
      <c r="I31" s="29">
        <f>G29*H31</f>
        <v>0</v>
      </c>
      <c r="J31">
        <v>3</v>
      </c>
      <c r="K31" s="4">
        <v>0</v>
      </c>
      <c r="L31" s="4">
        <v>0</v>
      </c>
      <c r="M31" s="4">
        <f>I31-K31-L31</f>
        <v>0</v>
      </c>
    </row>
    <row r="32" spans="1:19" x14ac:dyDescent="0.3">
      <c r="A32" s="98"/>
      <c r="B32" s="98"/>
      <c r="C32" s="98"/>
      <c r="D32" s="98"/>
      <c r="E32" s="98"/>
      <c r="F32" s="98"/>
      <c r="G32" s="98"/>
      <c r="H32" s="38">
        <f>0</f>
        <v>0</v>
      </c>
      <c r="I32" s="29">
        <f>G29*H32</f>
        <v>0</v>
      </c>
      <c r="J32">
        <v>4</v>
      </c>
      <c r="N32" s="4">
        <f>IF(ISERR(SEARCH("TRA* 82",C29)),IF(Q32+R32+S32=0,0,I32*(Q32/(Q32+R32+S32))),I32)</f>
        <v>0</v>
      </c>
      <c r="O32" s="4">
        <f>IF(ISERR(SEARCH("TRA* 82",C29)),IF(Q32+R32+S32=0,0,I32*(R32/(Q32+R32+S32))),0)</f>
        <v>0</v>
      </c>
      <c r="P32" s="4">
        <f>IF(ISERR(SEARCH("TRA* 82",C29)),I32-N32-O32,0)</f>
        <v>0</v>
      </c>
      <c r="Q32" s="4">
        <v>0</v>
      </c>
      <c r="R32" s="4">
        <v>0</v>
      </c>
      <c r="S32" s="4">
        <v>0</v>
      </c>
    </row>
    <row r="33" spans="1:19" x14ac:dyDescent="0.3">
      <c r="A33" s="100" t="s">
        <v>87</v>
      </c>
      <c r="B33" s="101"/>
      <c r="C33" s="101"/>
      <c r="D33" s="101"/>
      <c r="E33" s="101"/>
      <c r="F33" s="101"/>
      <c r="G33" s="101"/>
      <c r="H33" s="33">
        <f>H29+H30+H31+H32</f>
        <v>412.21999999999997</v>
      </c>
      <c r="I33" s="37">
        <f>I29+I30+I31+I32</f>
        <v>1236.6599999999999</v>
      </c>
      <c r="J33">
        <v>5</v>
      </c>
    </row>
    <row r="34" spans="1:19" x14ac:dyDescent="0.3">
      <c r="A34" s="102" t="s">
        <v>636</v>
      </c>
      <c r="B34" s="102"/>
      <c r="C34" s="102"/>
      <c r="D34" s="102"/>
      <c r="E34" s="102"/>
      <c r="F34" s="102"/>
      <c r="G34" s="102"/>
      <c r="H34" s="102"/>
      <c r="I34" s="102"/>
    </row>
    <row r="35" spans="1:19" x14ac:dyDescent="0.3">
      <c r="A35" s="98" t="s">
        <v>643</v>
      </c>
      <c r="B35" s="98"/>
      <c r="C35" s="98"/>
      <c r="D35" s="98"/>
      <c r="E35" s="98"/>
      <c r="F35" s="98"/>
      <c r="G35" s="98"/>
      <c r="H35" s="98"/>
      <c r="I35" s="98"/>
    </row>
    <row r="36" spans="1:19" x14ac:dyDescent="0.3">
      <c r="A36" s="98" t="s">
        <v>638</v>
      </c>
      <c r="B36" s="98"/>
      <c r="C36" s="98"/>
      <c r="D36" s="98"/>
      <c r="E36" s="98"/>
      <c r="F36" s="98"/>
      <c r="G36" s="98"/>
      <c r="H36" s="98"/>
      <c r="I36" s="98"/>
    </row>
    <row r="37" spans="1:19" x14ac:dyDescent="0.3">
      <c r="A37" s="98" t="s">
        <v>639</v>
      </c>
      <c r="B37" s="98"/>
      <c r="C37" s="98"/>
      <c r="D37" s="98"/>
      <c r="E37" s="98"/>
      <c r="F37" s="98"/>
      <c r="G37" s="98"/>
      <c r="H37" s="98"/>
      <c r="I37" s="98"/>
    </row>
    <row r="38" spans="1:19" x14ac:dyDescent="0.3">
      <c r="A38" s="98" t="s">
        <v>640</v>
      </c>
      <c r="B38" s="98"/>
      <c r="C38" s="98"/>
      <c r="D38" s="98"/>
      <c r="E38" s="98"/>
      <c r="F38" s="98"/>
      <c r="G38" s="98"/>
      <c r="H38" s="98"/>
      <c r="I38" s="98"/>
    </row>
    <row r="39" spans="1:19" x14ac:dyDescent="0.3">
      <c r="A39" s="97" t="s">
        <v>641</v>
      </c>
      <c r="B39" s="97"/>
      <c r="C39" s="97"/>
      <c r="D39" s="97"/>
      <c r="E39" s="97"/>
      <c r="F39" s="97"/>
      <c r="G39" s="97"/>
      <c r="H39" s="97"/>
      <c r="I39" s="97"/>
    </row>
    <row r="40" spans="1:19" x14ac:dyDescent="0.3">
      <c r="B40" s="2">
        <v>4</v>
      </c>
      <c r="C40" s="3" t="s">
        <v>634</v>
      </c>
      <c r="D40" s="5" t="s">
        <v>29</v>
      </c>
      <c r="G40" s="30">
        <v>4</v>
      </c>
      <c r="H40" s="38">
        <v>433.32</v>
      </c>
      <c r="I40" s="29">
        <f>G40*H40</f>
        <v>1733.28</v>
      </c>
      <c r="J40">
        <v>1</v>
      </c>
    </row>
    <row r="41" spans="1:19" x14ac:dyDescent="0.3">
      <c r="D41" s="15" t="str">
        <f>SUBSTITUTE("Sp.mat: 0.00%",".",IF(VALUE("1.2")=1.2,".",","),2)</f>
        <v>Sp.mat: 0.00%</v>
      </c>
      <c r="F41" s="15" t="str">
        <f>SUBSTITUTE("Sp.man: 0.00%",".",IF(VALUE("1.2")=1.2,".",","),2)</f>
        <v>Sp.man: 0.00%</v>
      </c>
      <c r="G41" s="35" t="str">
        <f>SUBSTITUTE("Sp.uti: 0.00%",".",IF(VALUE("1.2")=1.2,".",","),2)</f>
        <v>Sp.uti: 0.00%</v>
      </c>
      <c r="H41" s="38">
        <v>10.44</v>
      </c>
      <c r="I41" s="29">
        <f>G40*H41</f>
        <v>41.76</v>
      </c>
      <c r="J41">
        <v>2</v>
      </c>
    </row>
    <row r="42" spans="1:19" x14ac:dyDescent="0.3">
      <c r="A42" s="88" t="s">
        <v>642</v>
      </c>
      <c r="B42" s="98"/>
      <c r="C42" s="98"/>
      <c r="D42" s="98"/>
      <c r="E42" s="98"/>
      <c r="F42" s="98"/>
      <c r="G42" s="98"/>
      <c r="H42" s="38">
        <f>(1+IF(OR(ISERR(FIND(":",G41)),ISERR(FIND("%",G41))),0,MID(G41,FIND(":",G41)+2,FIND("%",G41)-FIND(":",G41)-2)/100))*0</f>
        <v>0</v>
      </c>
      <c r="I42" s="29">
        <f>G40*H42</f>
        <v>0</v>
      </c>
      <c r="J42">
        <v>3</v>
      </c>
      <c r="K42" s="4">
        <v>0</v>
      </c>
      <c r="L42" s="4">
        <v>0</v>
      </c>
      <c r="M42" s="4">
        <f>I42-K42-L42</f>
        <v>0</v>
      </c>
    </row>
    <row r="43" spans="1:19" x14ac:dyDescent="0.3">
      <c r="A43" s="98"/>
      <c r="B43" s="98"/>
      <c r="C43" s="98"/>
      <c r="D43" s="98"/>
      <c r="E43" s="98"/>
      <c r="F43" s="98"/>
      <c r="G43" s="98"/>
      <c r="H43" s="38">
        <f>0</f>
        <v>0</v>
      </c>
      <c r="I43" s="29">
        <f>G40*H43</f>
        <v>0</v>
      </c>
      <c r="J43">
        <v>4</v>
      </c>
      <c r="N43" s="4">
        <f>IF(ISERR(SEARCH("TRA* 82",C40)),IF(Q43+R43+S43=0,0,I43*(Q43/(Q43+R43+S43))),I43)</f>
        <v>0</v>
      </c>
      <c r="O43" s="4">
        <f>IF(ISERR(SEARCH("TRA* 82",C40)),IF(Q43+R43+S43=0,0,I43*(R43/(Q43+R43+S43))),0)</f>
        <v>0</v>
      </c>
      <c r="P43" s="4">
        <f>IF(ISERR(SEARCH("TRA* 82",C40)),I43-N43-O43,0)</f>
        <v>0</v>
      </c>
      <c r="Q43" s="4">
        <v>0</v>
      </c>
      <c r="R43" s="4">
        <v>0</v>
      </c>
      <c r="S43" s="4">
        <v>0</v>
      </c>
    </row>
    <row r="44" spans="1:19" x14ac:dyDescent="0.3">
      <c r="A44" s="100" t="s">
        <v>87</v>
      </c>
      <c r="B44" s="101"/>
      <c r="C44" s="101"/>
      <c r="D44" s="101"/>
      <c r="E44" s="101"/>
      <c r="F44" s="101"/>
      <c r="G44" s="101"/>
      <c r="H44" s="33">
        <f>H40+H41+H42+H43</f>
        <v>443.76</v>
      </c>
      <c r="I44" s="37">
        <f>I40+I41+I42+I43</f>
        <v>1775.04</v>
      </c>
      <c r="J44">
        <v>5</v>
      </c>
    </row>
    <row r="45" spans="1:19" x14ac:dyDescent="0.3">
      <c r="A45" s="102" t="s">
        <v>636</v>
      </c>
      <c r="B45" s="102"/>
      <c r="C45" s="102"/>
      <c r="D45" s="102"/>
      <c r="E45" s="102"/>
      <c r="F45" s="102"/>
      <c r="G45" s="102"/>
      <c r="H45" s="102"/>
      <c r="I45" s="102"/>
    </row>
    <row r="46" spans="1:19" x14ac:dyDescent="0.3">
      <c r="A46" s="98" t="s">
        <v>644</v>
      </c>
      <c r="B46" s="98"/>
      <c r="C46" s="98"/>
      <c r="D46" s="98"/>
      <c r="E46" s="98"/>
      <c r="F46" s="98"/>
      <c r="G46" s="98"/>
      <c r="H46" s="98"/>
      <c r="I46" s="98"/>
    </row>
    <row r="47" spans="1:19" x14ac:dyDescent="0.3">
      <c r="A47" s="98" t="s">
        <v>638</v>
      </c>
      <c r="B47" s="98"/>
      <c r="C47" s="98"/>
      <c r="D47" s="98"/>
      <c r="E47" s="98"/>
      <c r="F47" s="98"/>
      <c r="G47" s="98"/>
      <c r="H47" s="98"/>
      <c r="I47" s="98"/>
    </row>
    <row r="48" spans="1:19" x14ac:dyDescent="0.3">
      <c r="A48" s="98" t="s">
        <v>639</v>
      </c>
      <c r="B48" s="98"/>
      <c r="C48" s="98"/>
      <c r="D48" s="98"/>
      <c r="E48" s="98"/>
      <c r="F48" s="98"/>
      <c r="G48" s="98"/>
      <c r="H48" s="98"/>
      <c r="I48" s="98"/>
    </row>
    <row r="49" spans="1:19" x14ac:dyDescent="0.3">
      <c r="A49" s="98" t="s">
        <v>640</v>
      </c>
      <c r="B49" s="98"/>
      <c r="C49" s="98"/>
      <c r="D49" s="98"/>
      <c r="E49" s="98"/>
      <c r="F49" s="98"/>
      <c r="G49" s="98"/>
      <c r="H49" s="98"/>
      <c r="I49" s="98"/>
    </row>
    <row r="50" spans="1:19" x14ac:dyDescent="0.3">
      <c r="A50" s="97" t="s">
        <v>641</v>
      </c>
      <c r="B50" s="97"/>
      <c r="C50" s="97"/>
      <c r="D50" s="97"/>
      <c r="E50" s="97"/>
      <c r="F50" s="97"/>
      <c r="G50" s="97"/>
      <c r="H50" s="97"/>
      <c r="I50" s="97"/>
    </row>
    <row r="51" spans="1:19" x14ac:dyDescent="0.3">
      <c r="B51" s="2">
        <v>5</v>
      </c>
      <c r="C51" s="3" t="s">
        <v>634</v>
      </c>
      <c r="D51" s="5" t="s">
        <v>29</v>
      </c>
      <c r="G51" s="30">
        <v>1</v>
      </c>
      <c r="H51" s="38">
        <v>587.38</v>
      </c>
      <c r="I51" s="29">
        <f>G51*H51</f>
        <v>587.38</v>
      </c>
      <c r="J51">
        <v>1</v>
      </c>
    </row>
    <row r="52" spans="1:19" x14ac:dyDescent="0.3">
      <c r="D52" s="15" t="str">
        <f>SUBSTITUTE("Sp.mat: 0.00%",".",IF(VALUE("1.2")=1.2,".",","),2)</f>
        <v>Sp.mat: 0.00%</v>
      </c>
      <c r="F52" s="15" t="str">
        <f>SUBSTITUTE("Sp.man: 0.00%",".",IF(VALUE("1.2")=1.2,".",","),2)</f>
        <v>Sp.man: 0.00%</v>
      </c>
      <c r="G52" s="35" t="str">
        <f>SUBSTITUTE("Sp.uti: 0.00%",".",IF(VALUE("1.2")=1.2,".",","),2)</f>
        <v>Sp.uti: 0.00%</v>
      </c>
      <c r="H52" s="38">
        <v>10.44</v>
      </c>
      <c r="I52" s="29">
        <f>G51*H52</f>
        <v>10.44</v>
      </c>
      <c r="J52">
        <v>2</v>
      </c>
    </row>
    <row r="53" spans="1:19" x14ac:dyDescent="0.3">
      <c r="A53" s="88" t="s">
        <v>642</v>
      </c>
      <c r="B53" s="98"/>
      <c r="C53" s="98"/>
      <c r="D53" s="98"/>
      <c r="E53" s="98"/>
      <c r="F53" s="98"/>
      <c r="G53" s="98"/>
      <c r="H53" s="38">
        <f>(1+IF(OR(ISERR(FIND(":",G52)),ISERR(FIND("%",G52))),0,MID(G52,FIND(":",G52)+2,FIND("%",G52)-FIND(":",G52)-2)/100))*0</f>
        <v>0</v>
      </c>
      <c r="I53" s="29">
        <f>G51*H53</f>
        <v>0</v>
      </c>
      <c r="J53">
        <v>3</v>
      </c>
      <c r="K53" s="4">
        <v>0</v>
      </c>
      <c r="L53" s="4">
        <v>0</v>
      </c>
      <c r="M53" s="4">
        <f>I53-K53-L53</f>
        <v>0</v>
      </c>
    </row>
    <row r="54" spans="1:19" x14ac:dyDescent="0.3">
      <c r="A54" s="98"/>
      <c r="B54" s="98"/>
      <c r="C54" s="98"/>
      <c r="D54" s="98"/>
      <c r="E54" s="98"/>
      <c r="F54" s="98"/>
      <c r="G54" s="98"/>
      <c r="H54" s="38">
        <f>0</f>
        <v>0</v>
      </c>
      <c r="I54" s="29">
        <f>G51*H54</f>
        <v>0</v>
      </c>
      <c r="J54">
        <v>4</v>
      </c>
      <c r="N54" s="4">
        <f>IF(ISERR(SEARCH("TRA* 82",C51)),IF(Q54+R54+S54=0,0,I54*(Q54/(Q54+R54+S54))),I54)</f>
        <v>0</v>
      </c>
      <c r="O54" s="4">
        <f>IF(ISERR(SEARCH("TRA* 82",C51)),IF(Q54+R54+S54=0,0,I54*(R54/(Q54+R54+S54))),0)</f>
        <v>0</v>
      </c>
      <c r="P54" s="4">
        <f>IF(ISERR(SEARCH("TRA* 82",C51)),I54-N54-O54,0)</f>
        <v>0</v>
      </c>
      <c r="Q54" s="4">
        <v>0</v>
      </c>
      <c r="R54" s="4">
        <v>0</v>
      </c>
      <c r="S54" s="4">
        <v>0</v>
      </c>
    </row>
    <row r="55" spans="1:19" x14ac:dyDescent="0.3">
      <c r="A55" s="100" t="s">
        <v>87</v>
      </c>
      <c r="B55" s="101"/>
      <c r="C55" s="101"/>
      <c r="D55" s="101"/>
      <c r="E55" s="101"/>
      <c r="F55" s="101"/>
      <c r="G55" s="101"/>
      <c r="H55" s="33">
        <f>H51+H52+H53+H54</f>
        <v>597.82000000000005</v>
      </c>
      <c r="I55" s="37">
        <f>I51+I52+I53+I54</f>
        <v>597.82000000000005</v>
      </c>
      <c r="J55">
        <v>5</v>
      </c>
    </row>
    <row r="56" spans="1:19" x14ac:dyDescent="0.3">
      <c r="A56" s="102" t="s">
        <v>636</v>
      </c>
      <c r="B56" s="102"/>
      <c r="C56" s="102"/>
      <c r="D56" s="102"/>
      <c r="E56" s="102"/>
      <c r="F56" s="102"/>
      <c r="G56" s="102"/>
      <c r="H56" s="102"/>
      <c r="I56" s="102"/>
    </row>
    <row r="57" spans="1:19" x14ac:dyDescent="0.3">
      <c r="A57" s="98" t="s">
        <v>645</v>
      </c>
      <c r="B57" s="98"/>
      <c r="C57" s="98"/>
      <c r="D57" s="98"/>
      <c r="E57" s="98"/>
      <c r="F57" s="98"/>
      <c r="G57" s="98"/>
      <c r="H57" s="98"/>
      <c r="I57" s="98"/>
    </row>
    <row r="58" spans="1:19" x14ac:dyDescent="0.3">
      <c r="A58" s="98" t="s">
        <v>638</v>
      </c>
      <c r="B58" s="98"/>
      <c r="C58" s="98"/>
      <c r="D58" s="98"/>
      <c r="E58" s="98"/>
      <c r="F58" s="98"/>
      <c r="G58" s="98"/>
      <c r="H58" s="98"/>
      <c r="I58" s="98"/>
    </row>
    <row r="59" spans="1:19" x14ac:dyDescent="0.3">
      <c r="A59" s="98" t="s">
        <v>639</v>
      </c>
      <c r="B59" s="98"/>
      <c r="C59" s="98"/>
      <c r="D59" s="98"/>
      <c r="E59" s="98"/>
      <c r="F59" s="98"/>
      <c r="G59" s="98"/>
      <c r="H59" s="98"/>
      <c r="I59" s="98"/>
    </row>
    <row r="60" spans="1:19" x14ac:dyDescent="0.3">
      <c r="A60" s="98" t="s">
        <v>640</v>
      </c>
      <c r="B60" s="98"/>
      <c r="C60" s="98"/>
      <c r="D60" s="98"/>
      <c r="E60" s="98"/>
      <c r="F60" s="98"/>
      <c r="G60" s="98"/>
      <c r="H60" s="98"/>
      <c r="I60" s="98"/>
    </row>
    <row r="61" spans="1:19" x14ac:dyDescent="0.3">
      <c r="A61" s="97" t="s">
        <v>646</v>
      </c>
      <c r="B61" s="97"/>
      <c r="C61" s="97"/>
      <c r="D61" s="97"/>
      <c r="E61" s="97"/>
      <c r="F61" s="97"/>
      <c r="G61" s="97"/>
      <c r="H61" s="97"/>
      <c r="I61" s="97"/>
    </row>
    <row r="62" spans="1:19" x14ac:dyDescent="0.3">
      <c r="B62" s="2">
        <v>6</v>
      </c>
      <c r="C62" s="3" t="s">
        <v>634</v>
      </c>
      <c r="D62" s="5" t="s">
        <v>29</v>
      </c>
      <c r="G62" s="30">
        <v>7</v>
      </c>
      <c r="H62" s="38">
        <v>714.49</v>
      </c>
      <c r="I62" s="29">
        <f>G62*H62</f>
        <v>5001.43</v>
      </c>
      <c r="J62">
        <v>1</v>
      </c>
    </row>
    <row r="63" spans="1:19" x14ac:dyDescent="0.3">
      <c r="D63" s="15" t="str">
        <f>SUBSTITUTE("Sp.mat: 0.00%",".",IF(VALUE("1.2")=1.2,".",","),2)</f>
        <v>Sp.mat: 0.00%</v>
      </c>
      <c r="F63" s="15" t="str">
        <f>SUBSTITUTE("Sp.man: 0.00%",".",IF(VALUE("1.2")=1.2,".",","),2)</f>
        <v>Sp.man: 0.00%</v>
      </c>
      <c r="G63" s="35" t="str">
        <f>SUBSTITUTE("Sp.uti: 0.00%",".",IF(VALUE("1.2")=1.2,".",","),2)</f>
        <v>Sp.uti: 0.00%</v>
      </c>
      <c r="H63" s="38">
        <v>10.44</v>
      </c>
      <c r="I63" s="29">
        <f>G62*H63</f>
        <v>73.08</v>
      </c>
      <c r="J63">
        <v>2</v>
      </c>
    </row>
    <row r="64" spans="1:19" x14ac:dyDescent="0.3">
      <c r="A64" s="88" t="s">
        <v>642</v>
      </c>
      <c r="B64" s="98"/>
      <c r="C64" s="98"/>
      <c r="D64" s="98"/>
      <c r="E64" s="98"/>
      <c r="F64" s="98"/>
      <c r="G64" s="98"/>
      <c r="H64" s="38">
        <f>(1+IF(OR(ISERR(FIND(":",G63)),ISERR(FIND("%",G63))),0,MID(G63,FIND(":",G63)+2,FIND("%",G63)-FIND(":",G63)-2)/100))*0</f>
        <v>0</v>
      </c>
      <c r="I64" s="29">
        <f>G62*H64</f>
        <v>0</v>
      </c>
      <c r="J64">
        <v>3</v>
      </c>
      <c r="K64" s="4">
        <v>0</v>
      </c>
      <c r="L64" s="4">
        <v>0</v>
      </c>
      <c r="M64" s="4">
        <f>I64-K64-L64</f>
        <v>0</v>
      </c>
    </row>
    <row r="65" spans="1:19" x14ac:dyDescent="0.3">
      <c r="A65" s="98"/>
      <c r="B65" s="98"/>
      <c r="C65" s="98"/>
      <c r="D65" s="98"/>
      <c r="E65" s="98"/>
      <c r="F65" s="98"/>
      <c r="G65" s="98"/>
      <c r="H65" s="38">
        <f>0</f>
        <v>0</v>
      </c>
      <c r="I65" s="29">
        <f>G62*H65</f>
        <v>0</v>
      </c>
      <c r="J65">
        <v>4</v>
      </c>
      <c r="N65" s="4">
        <f>IF(ISERR(SEARCH("TRA* 82",C62)),IF(Q65+R65+S65=0,0,I65*(Q65/(Q65+R65+S65))),I65)</f>
        <v>0</v>
      </c>
      <c r="O65" s="4">
        <f>IF(ISERR(SEARCH("TRA* 82",C62)),IF(Q65+R65+S65=0,0,I65*(R65/(Q65+R65+S65))),0)</f>
        <v>0</v>
      </c>
      <c r="P65" s="4">
        <f>IF(ISERR(SEARCH("TRA* 82",C62)),I65-N65-O65,0)</f>
        <v>0</v>
      </c>
      <c r="Q65" s="4">
        <v>0</v>
      </c>
      <c r="R65" s="4">
        <v>0</v>
      </c>
      <c r="S65" s="4">
        <v>0</v>
      </c>
    </row>
    <row r="66" spans="1:19" x14ac:dyDescent="0.3">
      <c r="A66" s="100" t="s">
        <v>87</v>
      </c>
      <c r="B66" s="101"/>
      <c r="C66" s="101"/>
      <c r="D66" s="101"/>
      <c r="E66" s="101"/>
      <c r="F66" s="101"/>
      <c r="G66" s="101"/>
      <c r="H66" s="33">
        <f>H62+H63+H64+H65</f>
        <v>724.93000000000006</v>
      </c>
      <c r="I66" s="37">
        <f>I62+I63+I64+I65</f>
        <v>5074.51</v>
      </c>
      <c r="J66">
        <v>5</v>
      </c>
    </row>
    <row r="67" spans="1:19" x14ac:dyDescent="0.3">
      <c r="A67" s="102" t="s">
        <v>636</v>
      </c>
      <c r="B67" s="102"/>
      <c r="C67" s="102"/>
      <c r="D67" s="102"/>
      <c r="E67" s="102"/>
      <c r="F67" s="102"/>
      <c r="G67" s="102"/>
      <c r="H67" s="102"/>
      <c r="I67" s="102"/>
    </row>
    <row r="68" spans="1:19" x14ac:dyDescent="0.3">
      <c r="A68" s="98" t="s">
        <v>647</v>
      </c>
      <c r="B68" s="98"/>
      <c r="C68" s="98"/>
      <c r="D68" s="98"/>
      <c r="E68" s="98"/>
      <c r="F68" s="98"/>
      <c r="G68" s="98"/>
      <c r="H68" s="98"/>
      <c r="I68" s="98"/>
    </row>
    <row r="69" spans="1:19" x14ac:dyDescent="0.3">
      <c r="A69" s="98" t="s">
        <v>638</v>
      </c>
      <c r="B69" s="98"/>
      <c r="C69" s="98"/>
      <c r="D69" s="98"/>
      <c r="E69" s="98"/>
      <c r="F69" s="98"/>
      <c r="G69" s="98"/>
      <c r="H69" s="98"/>
      <c r="I69" s="98"/>
    </row>
    <row r="70" spans="1:19" x14ac:dyDescent="0.3">
      <c r="A70" s="98" t="s">
        <v>639</v>
      </c>
      <c r="B70" s="98"/>
      <c r="C70" s="98"/>
      <c r="D70" s="98"/>
      <c r="E70" s="98"/>
      <c r="F70" s="98"/>
      <c r="G70" s="98"/>
      <c r="H70" s="98"/>
      <c r="I70" s="98"/>
    </row>
    <row r="71" spans="1:19" x14ac:dyDescent="0.3">
      <c r="A71" s="98" t="s">
        <v>640</v>
      </c>
      <c r="B71" s="98"/>
      <c r="C71" s="98"/>
      <c r="D71" s="98"/>
      <c r="E71" s="98"/>
      <c r="F71" s="98"/>
      <c r="G71" s="98"/>
      <c r="H71" s="98"/>
      <c r="I71" s="98"/>
    </row>
    <row r="72" spans="1:19" x14ac:dyDescent="0.3">
      <c r="A72" s="97" t="s">
        <v>641</v>
      </c>
      <c r="B72" s="97"/>
      <c r="C72" s="97"/>
      <c r="D72" s="97"/>
      <c r="E72" s="97"/>
      <c r="F72" s="97"/>
      <c r="G72" s="97"/>
      <c r="H72" s="97"/>
      <c r="I72" s="97"/>
    </row>
    <row r="73" spans="1:19" x14ac:dyDescent="0.3">
      <c r="B73" s="2">
        <v>7</v>
      </c>
      <c r="C73" s="3" t="s">
        <v>634</v>
      </c>
      <c r="D73" s="5" t="s">
        <v>29</v>
      </c>
      <c r="G73" s="30">
        <v>3</v>
      </c>
      <c r="H73" s="38">
        <v>718.32</v>
      </c>
      <c r="I73" s="29">
        <f>G73*H73</f>
        <v>2154.96</v>
      </c>
      <c r="J73">
        <v>1</v>
      </c>
    </row>
    <row r="74" spans="1:19" x14ac:dyDescent="0.3">
      <c r="D74" s="15" t="str">
        <f>SUBSTITUTE("Sp.mat: 0.00%",".",IF(VALUE("1.2")=1.2,".",","),2)</f>
        <v>Sp.mat: 0.00%</v>
      </c>
      <c r="F74" s="15" t="str">
        <f>SUBSTITUTE("Sp.man: 0.00%",".",IF(VALUE("1.2")=1.2,".",","),2)</f>
        <v>Sp.man: 0.00%</v>
      </c>
      <c r="G74" s="35" t="str">
        <f>SUBSTITUTE("Sp.uti: 0.00%",".",IF(VALUE("1.2")=1.2,".",","),2)</f>
        <v>Sp.uti: 0.00%</v>
      </c>
      <c r="H74" s="38">
        <v>10.44</v>
      </c>
      <c r="I74" s="29">
        <f>G73*H74</f>
        <v>31.32</v>
      </c>
      <c r="J74">
        <v>2</v>
      </c>
    </row>
    <row r="75" spans="1:19" x14ac:dyDescent="0.3">
      <c r="A75" s="88" t="s">
        <v>635</v>
      </c>
      <c r="B75" s="98"/>
      <c r="C75" s="98"/>
      <c r="D75" s="98"/>
      <c r="E75" s="98"/>
      <c r="F75" s="98"/>
      <c r="G75" s="98"/>
      <c r="H75" s="38">
        <f>(1+IF(OR(ISERR(FIND(":",G74)),ISERR(FIND("%",G74))),0,MID(G74,FIND(":",G74)+2,FIND("%",G74)-FIND(":",G74)-2)/100))*0</f>
        <v>0</v>
      </c>
      <c r="I75" s="29">
        <f>G73*H75</f>
        <v>0</v>
      </c>
      <c r="J75">
        <v>3</v>
      </c>
      <c r="K75" s="4">
        <v>0</v>
      </c>
      <c r="L75" s="4">
        <v>0</v>
      </c>
      <c r="M75" s="4">
        <f>I75-K75-L75</f>
        <v>0</v>
      </c>
    </row>
    <row r="76" spans="1:19" x14ac:dyDescent="0.3">
      <c r="A76" s="98"/>
      <c r="B76" s="98"/>
      <c r="C76" s="98"/>
      <c r="D76" s="98"/>
      <c r="E76" s="98"/>
      <c r="F76" s="98"/>
      <c r="G76" s="98"/>
      <c r="H76" s="38">
        <f>0</f>
        <v>0</v>
      </c>
      <c r="I76" s="29">
        <f>G73*H76</f>
        <v>0</v>
      </c>
      <c r="J76">
        <v>4</v>
      </c>
      <c r="N76" s="4">
        <f>IF(ISERR(SEARCH("TRA* 82",C73)),IF(Q76+R76+S76=0,0,I76*(Q76/(Q76+R76+S76))),I76)</f>
        <v>0</v>
      </c>
      <c r="O76" s="4">
        <f>IF(ISERR(SEARCH("TRA* 82",C73)),IF(Q76+R76+S76=0,0,I76*(R76/(Q76+R76+S76))),0)</f>
        <v>0</v>
      </c>
      <c r="P76" s="4">
        <f>IF(ISERR(SEARCH("TRA* 82",C73)),I76-N76-O76,0)</f>
        <v>0</v>
      </c>
      <c r="Q76" s="4">
        <v>0</v>
      </c>
      <c r="R76" s="4">
        <v>0</v>
      </c>
      <c r="S76" s="4">
        <v>0</v>
      </c>
    </row>
    <row r="77" spans="1:19" x14ac:dyDescent="0.3">
      <c r="A77" s="100" t="s">
        <v>87</v>
      </c>
      <c r="B77" s="101"/>
      <c r="C77" s="101"/>
      <c r="D77" s="101"/>
      <c r="E77" s="101"/>
      <c r="F77" s="101"/>
      <c r="G77" s="101"/>
      <c r="H77" s="33">
        <f>H73+H74+H75+H76</f>
        <v>728.7600000000001</v>
      </c>
      <c r="I77" s="37">
        <f>I73+I74+I75+I76</f>
        <v>2186.2800000000002</v>
      </c>
      <c r="J77">
        <v>5</v>
      </c>
    </row>
    <row r="78" spans="1:19" x14ac:dyDescent="0.3">
      <c r="A78" s="102" t="s">
        <v>636</v>
      </c>
      <c r="B78" s="102"/>
      <c r="C78" s="102"/>
      <c r="D78" s="102"/>
      <c r="E78" s="102"/>
      <c r="F78" s="102"/>
      <c r="G78" s="102"/>
      <c r="H78" s="102"/>
      <c r="I78" s="102"/>
    </row>
    <row r="79" spans="1:19" x14ac:dyDescent="0.3">
      <c r="A79" s="98" t="s">
        <v>648</v>
      </c>
      <c r="B79" s="98"/>
      <c r="C79" s="98"/>
      <c r="D79" s="98"/>
      <c r="E79" s="98"/>
      <c r="F79" s="98"/>
      <c r="G79" s="98"/>
      <c r="H79" s="98"/>
      <c r="I79" s="98"/>
    </row>
    <row r="80" spans="1:19" x14ac:dyDescent="0.3">
      <c r="A80" s="98" t="s">
        <v>649</v>
      </c>
      <c r="B80" s="98"/>
      <c r="C80" s="98"/>
      <c r="D80" s="98"/>
      <c r="E80" s="98"/>
      <c r="F80" s="98"/>
      <c r="G80" s="98"/>
      <c r="H80" s="98"/>
      <c r="I80" s="98"/>
    </row>
    <row r="81" spans="1:19" x14ac:dyDescent="0.3">
      <c r="A81" s="98" t="s">
        <v>650</v>
      </c>
      <c r="B81" s="98"/>
      <c r="C81" s="98"/>
      <c r="D81" s="98"/>
      <c r="E81" s="98"/>
      <c r="F81" s="98"/>
      <c r="G81" s="98"/>
      <c r="H81" s="98"/>
      <c r="I81" s="98"/>
    </row>
    <row r="82" spans="1:19" x14ac:dyDescent="0.3">
      <c r="A82" s="98" t="s">
        <v>651</v>
      </c>
      <c r="B82" s="98"/>
      <c r="C82" s="98"/>
      <c r="D82" s="98"/>
      <c r="E82" s="98"/>
      <c r="F82" s="98"/>
      <c r="G82" s="98"/>
      <c r="H82" s="98"/>
      <c r="I82" s="98"/>
    </row>
    <row r="83" spans="1:19" x14ac:dyDescent="0.3">
      <c r="A83" s="97" t="s">
        <v>652</v>
      </c>
      <c r="B83" s="97"/>
      <c r="C83" s="97"/>
      <c r="D83" s="97"/>
      <c r="E83" s="97"/>
      <c r="F83" s="97"/>
      <c r="G83" s="97"/>
      <c r="H83" s="97"/>
      <c r="I83" s="97"/>
    </row>
    <row r="84" spans="1:19" x14ac:dyDescent="0.3">
      <c r="B84" s="2">
        <v>8</v>
      </c>
      <c r="C84" s="3" t="s">
        <v>634</v>
      </c>
      <c r="D84" s="5" t="s">
        <v>29</v>
      </c>
      <c r="G84" s="30">
        <v>1</v>
      </c>
      <c r="H84" s="38">
        <v>761.75</v>
      </c>
      <c r="I84" s="29">
        <f>G84*H84</f>
        <v>761.75</v>
      </c>
      <c r="J84">
        <v>1</v>
      </c>
    </row>
    <row r="85" spans="1:19" x14ac:dyDescent="0.3">
      <c r="D85" s="15" t="str">
        <f>SUBSTITUTE("Sp.mat: 0.00%",".",IF(VALUE("1.2")=1.2,".",","),2)</f>
        <v>Sp.mat: 0.00%</v>
      </c>
      <c r="F85" s="15" t="str">
        <f>SUBSTITUTE("Sp.man: 0.00%",".",IF(VALUE("1.2")=1.2,".",","),2)</f>
        <v>Sp.man: 0.00%</v>
      </c>
      <c r="G85" s="35" t="str">
        <f>SUBSTITUTE("Sp.uti: 0.00%",".",IF(VALUE("1.2")=1.2,".",","),2)</f>
        <v>Sp.uti: 0.00%</v>
      </c>
      <c r="H85" s="38">
        <v>12.53</v>
      </c>
      <c r="I85" s="29">
        <f>G84*H85</f>
        <v>12.53</v>
      </c>
      <c r="J85">
        <v>2</v>
      </c>
    </row>
    <row r="86" spans="1:19" x14ac:dyDescent="0.3">
      <c r="A86" s="88" t="s">
        <v>635</v>
      </c>
      <c r="B86" s="98"/>
      <c r="C86" s="98"/>
      <c r="D86" s="98"/>
      <c r="E86" s="98"/>
      <c r="F86" s="98"/>
      <c r="G86" s="98"/>
      <c r="H86" s="38">
        <f>(1+IF(OR(ISERR(FIND(":",G85)),ISERR(FIND("%",G85))),0,MID(G85,FIND(":",G85)+2,FIND("%",G85)-FIND(":",G85)-2)/100))*0</f>
        <v>0</v>
      </c>
      <c r="I86" s="29">
        <f>G84*H86</f>
        <v>0</v>
      </c>
      <c r="J86">
        <v>3</v>
      </c>
      <c r="K86" s="4">
        <v>0</v>
      </c>
      <c r="L86" s="4">
        <v>0</v>
      </c>
      <c r="M86" s="4">
        <f>I86-K86-L86</f>
        <v>0</v>
      </c>
    </row>
    <row r="87" spans="1:19" x14ac:dyDescent="0.3">
      <c r="A87" s="98"/>
      <c r="B87" s="98"/>
      <c r="C87" s="98"/>
      <c r="D87" s="98"/>
      <c r="E87" s="98"/>
      <c r="F87" s="98"/>
      <c r="G87" s="98"/>
      <c r="H87" s="38">
        <f>0</f>
        <v>0</v>
      </c>
      <c r="I87" s="29">
        <f>G84*H87</f>
        <v>0</v>
      </c>
      <c r="J87">
        <v>4</v>
      </c>
      <c r="N87" s="4">
        <f>IF(ISERR(SEARCH("TRA* 82",C84)),IF(Q87+R87+S87=0,0,I87*(Q87/(Q87+R87+S87))),I87)</f>
        <v>0</v>
      </c>
      <c r="O87" s="4">
        <f>IF(ISERR(SEARCH("TRA* 82",C84)),IF(Q87+R87+S87=0,0,I87*(R87/(Q87+R87+S87))),0)</f>
        <v>0</v>
      </c>
      <c r="P87" s="4">
        <f>IF(ISERR(SEARCH("TRA* 82",C84)),I87-N87-O87,0)</f>
        <v>0</v>
      </c>
      <c r="Q87" s="4">
        <v>0</v>
      </c>
      <c r="R87" s="4">
        <v>0</v>
      </c>
      <c r="S87" s="4">
        <v>0</v>
      </c>
    </row>
    <row r="88" spans="1:19" x14ac:dyDescent="0.3">
      <c r="A88" s="100" t="s">
        <v>87</v>
      </c>
      <c r="B88" s="101"/>
      <c r="C88" s="101"/>
      <c r="D88" s="101"/>
      <c r="E88" s="101"/>
      <c r="F88" s="101"/>
      <c r="G88" s="101"/>
      <c r="H88" s="33">
        <f>H84+H85+H86+H87</f>
        <v>774.28</v>
      </c>
      <c r="I88" s="37">
        <f>I84+I85+I86+I87</f>
        <v>774.28</v>
      </c>
      <c r="J88">
        <v>5</v>
      </c>
    </row>
    <row r="89" spans="1:19" x14ac:dyDescent="0.3">
      <c r="A89" s="102" t="s">
        <v>636</v>
      </c>
      <c r="B89" s="102"/>
      <c r="C89" s="102"/>
      <c r="D89" s="102"/>
      <c r="E89" s="102"/>
      <c r="F89" s="102"/>
      <c r="G89" s="102"/>
      <c r="H89" s="102"/>
      <c r="I89" s="102"/>
    </row>
    <row r="90" spans="1:19" x14ac:dyDescent="0.3">
      <c r="A90" s="98" t="s">
        <v>653</v>
      </c>
      <c r="B90" s="98"/>
      <c r="C90" s="98"/>
      <c r="D90" s="98"/>
      <c r="E90" s="98"/>
      <c r="F90" s="98"/>
      <c r="G90" s="98"/>
      <c r="H90" s="98"/>
      <c r="I90" s="98"/>
    </row>
    <row r="91" spans="1:19" x14ac:dyDescent="0.3">
      <c r="A91" s="98" t="s">
        <v>649</v>
      </c>
      <c r="B91" s="98"/>
      <c r="C91" s="98"/>
      <c r="D91" s="98"/>
      <c r="E91" s="98"/>
      <c r="F91" s="98"/>
      <c r="G91" s="98"/>
      <c r="H91" s="98"/>
      <c r="I91" s="98"/>
    </row>
    <row r="92" spans="1:19" x14ac:dyDescent="0.3">
      <c r="A92" s="98" t="s">
        <v>650</v>
      </c>
      <c r="B92" s="98"/>
      <c r="C92" s="98"/>
      <c r="D92" s="98"/>
      <c r="E92" s="98"/>
      <c r="F92" s="98"/>
      <c r="G92" s="98"/>
      <c r="H92" s="98"/>
      <c r="I92" s="98"/>
    </row>
    <row r="93" spans="1:19" x14ac:dyDescent="0.3">
      <c r="A93" s="98" t="s">
        <v>651</v>
      </c>
      <c r="B93" s="98"/>
      <c r="C93" s="98"/>
      <c r="D93" s="98"/>
      <c r="E93" s="98"/>
      <c r="F93" s="98"/>
      <c r="G93" s="98"/>
      <c r="H93" s="98"/>
      <c r="I93" s="98"/>
    </row>
    <row r="94" spans="1:19" x14ac:dyDescent="0.3">
      <c r="A94" s="97" t="s">
        <v>654</v>
      </c>
      <c r="B94" s="97"/>
      <c r="C94" s="97"/>
      <c r="D94" s="97"/>
      <c r="E94" s="97"/>
      <c r="F94" s="97"/>
      <c r="G94" s="97"/>
      <c r="H94" s="97"/>
      <c r="I94" s="97"/>
    </row>
    <row r="95" spans="1:19" x14ac:dyDescent="0.3">
      <c r="B95" s="2">
        <v>9</v>
      </c>
      <c r="C95" s="3" t="s">
        <v>634</v>
      </c>
      <c r="D95" s="5" t="s">
        <v>29</v>
      </c>
      <c r="G95" s="30">
        <v>1</v>
      </c>
      <c r="H95" s="38">
        <v>678.46</v>
      </c>
      <c r="I95" s="29">
        <f>G95*H95</f>
        <v>678.46</v>
      </c>
      <c r="J95">
        <v>1</v>
      </c>
    </row>
    <row r="96" spans="1:19" x14ac:dyDescent="0.3">
      <c r="D96" s="15" t="str">
        <f>SUBSTITUTE("Sp.mat: 0.00%",".",IF(VALUE("1.2")=1.2,".",","),2)</f>
        <v>Sp.mat: 0.00%</v>
      </c>
      <c r="F96" s="15" t="str">
        <f>SUBSTITUTE("Sp.man: 0.00%",".",IF(VALUE("1.2")=1.2,".",","),2)</f>
        <v>Sp.man: 0.00%</v>
      </c>
      <c r="G96" s="35" t="str">
        <f>SUBSTITUTE("Sp.uti: 0.00%",".",IF(VALUE("1.2")=1.2,".",","),2)</f>
        <v>Sp.uti: 0.00%</v>
      </c>
      <c r="H96" s="38">
        <v>13.58</v>
      </c>
      <c r="I96" s="29">
        <f>G95*H96</f>
        <v>13.58</v>
      </c>
      <c r="J96">
        <v>2</v>
      </c>
    </row>
    <row r="97" spans="1:19" x14ac:dyDescent="0.3">
      <c r="A97" s="88" t="s">
        <v>635</v>
      </c>
      <c r="B97" s="98"/>
      <c r="C97" s="98"/>
      <c r="D97" s="98"/>
      <c r="E97" s="98"/>
      <c r="F97" s="98"/>
      <c r="G97" s="98"/>
      <c r="H97" s="38">
        <f>(1+IF(OR(ISERR(FIND(":",G96)),ISERR(FIND("%",G96))),0,MID(G96,FIND(":",G96)+2,FIND("%",G96)-FIND(":",G96)-2)/100))*0</f>
        <v>0</v>
      </c>
      <c r="I97" s="29">
        <f>G95*H97</f>
        <v>0</v>
      </c>
      <c r="J97">
        <v>3</v>
      </c>
      <c r="K97" s="4">
        <v>0</v>
      </c>
      <c r="L97" s="4">
        <v>0</v>
      </c>
      <c r="M97" s="4">
        <f>I97-K97-L97</f>
        <v>0</v>
      </c>
    </row>
    <row r="98" spans="1:19" x14ac:dyDescent="0.3">
      <c r="A98" s="98"/>
      <c r="B98" s="98"/>
      <c r="C98" s="98"/>
      <c r="D98" s="98"/>
      <c r="E98" s="98"/>
      <c r="F98" s="98"/>
      <c r="G98" s="98"/>
      <c r="H98" s="38">
        <f>0</f>
        <v>0</v>
      </c>
      <c r="I98" s="29">
        <f>G95*H98</f>
        <v>0</v>
      </c>
      <c r="J98">
        <v>4</v>
      </c>
      <c r="N98" s="4">
        <f>IF(ISERR(SEARCH("TRA* 82",C95)),IF(Q98+R98+S98=0,0,I98*(Q98/(Q98+R98+S98))),I98)</f>
        <v>0</v>
      </c>
      <c r="O98" s="4">
        <f>IF(ISERR(SEARCH("TRA* 82",C95)),IF(Q98+R98+S98=0,0,I98*(R98/(Q98+R98+S98))),0)</f>
        <v>0</v>
      </c>
      <c r="P98" s="4">
        <f>IF(ISERR(SEARCH("TRA* 82",C95)),I98-N98-O98,0)</f>
        <v>0</v>
      </c>
      <c r="Q98" s="4">
        <v>0</v>
      </c>
      <c r="R98" s="4">
        <v>0</v>
      </c>
      <c r="S98" s="4">
        <v>0</v>
      </c>
    </row>
    <row r="99" spans="1:19" x14ac:dyDescent="0.3">
      <c r="A99" s="100" t="s">
        <v>87</v>
      </c>
      <c r="B99" s="101"/>
      <c r="C99" s="101"/>
      <c r="D99" s="101"/>
      <c r="E99" s="101"/>
      <c r="F99" s="101"/>
      <c r="G99" s="101"/>
      <c r="H99" s="33">
        <f>H95+H96+H97+H98</f>
        <v>692.04000000000008</v>
      </c>
      <c r="I99" s="37">
        <f>I95+I96+I97+I98</f>
        <v>692.04000000000008</v>
      </c>
      <c r="J99">
        <v>5</v>
      </c>
    </row>
    <row r="100" spans="1:19" x14ac:dyDescent="0.3">
      <c r="A100" s="102" t="s">
        <v>636</v>
      </c>
      <c r="B100" s="102"/>
      <c r="C100" s="102"/>
      <c r="D100" s="102"/>
      <c r="E100" s="102"/>
      <c r="F100" s="102"/>
      <c r="G100" s="102"/>
      <c r="H100" s="102"/>
      <c r="I100" s="102"/>
    </row>
    <row r="101" spans="1:19" x14ac:dyDescent="0.3">
      <c r="A101" s="98" t="s">
        <v>655</v>
      </c>
      <c r="B101" s="98"/>
      <c r="C101" s="98"/>
      <c r="D101" s="98"/>
      <c r="E101" s="98"/>
      <c r="F101" s="98"/>
      <c r="G101" s="98"/>
      <c r="H101" s="98"/>
      <c r="I101" s="98"/>
    </row>
    <row r="102" spans="1:19" x14ac:dyDescent="0.3">
      <c r="A102" s="98" t="s">
        <v>638</v>
      </c>
      <c r="B102" s="98"/>
      <c r="C102" s="98"/>
      <c r="D102" s="98"/>
      <c r="E102" s="98"/>
      <c r="F102" s="98"/>
      <c r="G102" s="98"/>
      <c r="H102" s="98"/>
      <c r="I102" s="98"/>
    </row>
    <row r="103" spans="1:19" x14ac:dyDescent="0.3">
      <c r="A103" s="98" t="s">
        <v>639</v>
      </c>
      <c r="B103" s="98"/>
      <c r="C103" s="98"/>
      <c r="D103" s="98"/>
      <c r="E103" s="98"/>
      <c r="F103" s="98"/>
      <c r="G103" s="98"/>
      <c r="H103" s="98"/>
      <c r="I103" s="98"/>
    </row>
    <row r="104" spans="1:19" x14ac:dyDescent="0.3">
      <c r="A104" s="98" t="s">
        <v>640</v>
      </c>
      <c r="B104" s="98"/>
      <c r="C104" s="98"/>
      <c r="D104" s="98"/>
      <c r="E104" s="98"/>
      <c r="F104" s="98"/>
      <c r="G104" s="98"/>
      <c r="H104" s="98"/>
      <c r="I104" s="98"/>
    </row>
    <row r="105" spans="1:19" x14ac:dyDescent="0.3">
      <c r="A105" s="97" t="s">
        <v>646</v>
      </c>
      <c r="B105" s="97"/>
      <c r="C105" s="97"/>
      <c r="D105" s="97"/>
      <c r="E105" s="97"/>
      <c r="F105" s="97"/>
      <c r="G105" s="97"/>
      <c r="H105" s="97"/>
      <c r="I105" s="97"/>
    </row>
    <row r="106" spans="1:19" x14ac:dyDescent="0.3">
      <c r="B106" s="2">
        <v>10</v>
      </c>
      <c r="C106" s="3" t="s">
        <v>656</v>
      </c>
      <c r="D106" s="5" t="s">
        <v>25</v>
      </c>
      <c r="G106" s="30">
        <v>1500</v>
      </c>
      <c r="H106" s="38">
        <f>2992.78/G106</f>
        <v>1.9951866666666669</v>
      </c>
      <c r="I106" s="29">
        <f>G106*H106</f>
        <v>2992.78</v>
      </c>
      <c r="J106">
        <v>1</v>
      </c>
    </row>
    <row r="107" spans="1:19" x14ac:dyDescent="0.3">
      <c r="D107" s="15" t="str">
        <f>SUBSTITUTE("Sp.mat: 0.00%",".",IF(VALUE("1.2")=1.2,".",","),2)</f>
        <v>Sp.mat: 0.00%</v>
      </c>
      <c r="F107" s="15" t="str">
        <f>SUBSTITUTE("Sp.man: 0.00%",".",IF(VALUE("1.2")=1.2,".",","),2)</f>
        <v>Sp.man: 0.00%</v>
      </c>
      <c r="G107" s="35" t="str">
        <f>SUBSTITUTE("Sp.uti: 0.00%",".",IF(VALUE("1.2")=1.2,".",","),2)</f>
        <v>Sp.uti: 0.00%</v>
      </c>
      <c r="H107" s="38">
        <f>480.51/G106</f>
        <v>0.32034000000000001</v>
      </c>
      <c r="I107" s="29">
        <f>G106*H107</f>
        <v>480.51000000000005</v>
      </c>
      <c r="J107">
        <v>2</v>
      </c>
    </row>
    <row r="108" spans="1:19" x14ac:dyDescent="0.3">
      <c r="A108" s="88" t="s">
        <v>657</v>
      </c>
      <c r="B108" s="98"/>
      <c r="C108" s="98"/>
      <c r="D108" s="98"/>
      <c r="E108" s="98"/>
      <c r="F108" s="98"/>
      <c r="G108" s="98"/>
      <c r="H108" s="38">
        <f>(1+IF(OR(ISERR(FIND(":",G107)),ISERR(FIND("%",G107))),0,MID(G107,FIND(":",G107)+2,FIND("%",G107)-FIND(":",G107)-2)/100))*0</f>
        <v>0</v>
      </c>
      <c r="I108" s="29">
        <f>G106*H108</f>
        <v>0</v>
      </c>
      <c r="J108">
        <v>3</v>
      </c>
      <c r="K108" s="4">
        <v>0</v>
      </c>
      <c r="L108" s="4">
        <v>0</v>
      </c>
      <c r="M108" s="4">
        <f>I108-K108-L108</f>
        <v>0</v>
      </c>
    </row>
    <row r="109" spans="1:19" x14ac:dyDescent="0.3">
      <c r="A109" s="98"/>
      <c r="B109" s="98"/>
      <c r="C109" s="98"/>
      <c r="D109" s="98"/>
      <c r="E109" s="98"/>
      <c r="F109" s="98"/>
      <c r="G109" s="98"/>
      <c r="H109" s="38">
        <f>0</f>
        <v>0</v>
      </c>
      <c r="I109" s="29">
        <f>G106*H109</f>
        <v>0</v>
      </c>
      <c r="J109">
        <v>4</v>
      </c>
      <c r="N109" s="4">
        <f>IF(ISERR(SEARCH("TRA* 82",C106)),IF(Q109+R109+S109=0,0,I109*(Q109/(Q109+R109+S109))),I109)</f>
        <v>0</v>
      </c>
      <c r="O109" s="4">
        <f>IF(ISERR(SEARCH("TRA* 82",C106)),IF(Q109+R109+S109=0,0,I109*(R109/(Q109+R109+S109))),0)</f>
        <v>0</v>
      </c>
      <c r="P109" s="4">
        <f>IF(ISERR(SEARCH("TRA* 82",C106)),I109-N109-O109,0)</f>
        <v>0</v>
      </c>
      <c r="Q109" s="4">
        <v>0</v>
      </c>
      <c r="R109" s="4">
        <v>0</v>
      </c>
      <c r="S109" s="4">
        <v>0</v>
      </c>
    </row>
    <row r="110" spans="1:19" x14ac:dyDescent="0.3">
      <c r="A110" s="96" t="s">
        <v>27</v>
      </c>
      <c r="B110" s="97"/>
      <c r="C110" s="97"/>
      <c r="D110" s="97"/>
      <c r="E110" s="97"/>
      <c r="F110" s="97"/>
      <c r="G110" s="97"/>
      <c r="H110" s="36">
        <f>H106+H107+H108+H109</f>
        <v>2.315526666666667</v>
      </c>
      <c r="I110" s="74">
        <f>I106+I107+I108+I109</f>
        <v>3473.2900000000004</v>
      </c>
      <c r="J110">
        <v>5</v>
      </c>
    </row>
    <row r="111" spans="1:19" x14ac:dyDescent="0.3">
      <c r="B111" s="2">
        <v>11</v>
      </c>
      <c r="C111" s="3" t="s">
        <v>658</v>
      </c>
      <c r="D111" s="5" t="s">
        <v>40</v>
      </c>
      <c r="G111" s="30">
        <v>1900</v>
      </c>
      <c r="H111" s="38">
        <f>59946.66/G111</f>
        <v>31.550873684210529</v>
      </c>
      <c r="I111" s="29">
        <f>G111*H111</f>
        <v>59946.66</v>
      </c>
      <c r="J111">
        <v>1</v>
      </c>
    </row>
    <row r="112" spans="1:19" x14ac:dyDescent="0.3">
      <c r="D112" s="15" t="str">
        <f>SUBSTITUTE("Sp.mat: 0.00%",".",IF(VALUE("1.2")=1.2,".",","),2)</f>
        <v>Sp.mat: 0.00%</v>
      </c>
      <c r="F112" s="15" t="str">
        <f>SUBSTITUTE("Sp.man: 0.00%",".",IF(VALUE("1.2")=1.2,".",","),2)</f>
        <v>Sp.man: 0.00%</v>
      </c>
      <c r="G112" s="35" t="str">
        <f>SUBSTITUTE("Sp.uti: 0.00%",".",IF(VALUE("1.2")=1.2,".",","),2)</f>
        <v>Sp.uti: 0.00%</v>
      </c>
      <c r="H112" s="38">
        <f>4595.28/G111</f>
        <v>2.4185684210526315</v>
      </c>
      <c r="I112" s="29">
        <f>G111*H112</f>
        <v>4595.28</v>
      </c>
      <c r="J112">
        <v>2</v>
      </c>
    </row>
    <row r="113" spans="1:19" x14ac:dyDescent="0.3">
      <c r="A113" s="88" t="s">
        <v>659</v>
      </c>
      <c r="B113" s="98"/>
      <c r="C113" s="98"/>
      <c r="D113" s="98"/>
      <c r="E113" s="98"/>
      <c r="F113" s="98"/>
      <c r="G113" s="98"/>
      <c r="H113" s="38">
        <f>(1+IF(OR(ISERR(FIND(":",G112)),ISERR(FIND("%",G112))),0,MID(G112,FIND(":",G112)+2,FIND("%",G112)-FIND(":",G112)-2)/100))*0</f>
        <v>0</v>
      </c>
      <c r="I113" s="29">
        <f>G111*H113</f>
        <v>0</v>
      </c>
      <c r="J113">
        <v>3</v>
      </c>
      <c r="K113" s="4">
        <v>0</v>
      </c>
      <c r="L113" s="4">
        <v>0</v>
      </c>
      <c r="M113" s="4">
        <f>I113-K113-L113</f>
        <v>0</v>
      </c>
    </row>
    <row r="114" spans="1:19" x14ac:dyDescent="0.3">
      <c r="A114" s="98"/>
      <c r="B114" s="98"/>
      <c r="C114" s="98"/>
      <c r="D114" s="98"/>
      <c r="E114" s="98"/>
      <c r="F114" s="98"/>
      <c r="G114" s="98"/>
      <c r="H114" s="38">
        <f>0</f>
        <v>0</v>
      </c>
      <c r="I114" s="29">
        <f>G111*H114</f>
        <v>0</v>
      </c>
      <c r="J114">
        <v>4</v>
      </c>
      <c r="N114" s="4">
        <f>IF(ISERR(SEARCH("TRA* 82",C111)),IF(Q114+R114+S114=0,0,I114*(Q114/(Q114+R114+S114))),I114)</f>
        <v>0</v>
      </c>
      <c r="O114" s="4">
        <f>IF(ISERR(SEARCH("TRA* 82",C111)),IF(Q114+R114+S114=0,0,I114*(R114/(Q114+R114+S114))),0)</f>
        <v>0</v>
      </c>
      <c r="P114" s="4">
        <f>IF(ISERR(SEARCH("TRA* 82",C111)),I114-N114-O114,0)</f>
        <v>0</v>
      </c>
      <c r="Q114" s="4">
        <v>0</v>
      </c>
      <c r="R114" s="4">
        <v>0</v>
      </c>
      <c r="S114" s="4">
        <v>0</v>
      </c>
    </row>
    <row r="115" spans="1:19" x14ac:dyDescent="0.3">
      <c r="A115" s="96" t="s">
        <v>27</v>
      </c>
      <c r="B115" s="97"/>
      <c r="C115" s="97"/>
      <c r="D115" s="97"/>
      <c r="E115" s="97"/>
      <c r="F115" s="97"/>
      <c r="G115" s="97"/>
      <c r="H115" s="36">
        <f>H111+H112+H113+H114</f>
        <v>33.969442105263163</v>
      </c>
      <c r="I115" s="74">
        <f>I111+I112+I113+I114</f>
        <v>64541.94</v>
      </c>
      <c r="J115">
        <v>5</v>
      </c>
    </row>
    <row r="116" spans="1:19" x14ac:dyDescent="0.3">
      <c r="B116" s="2">
        <v>12</v>
      </c>
      <c r="C116" s="3" t="s">
        <v>393</v>
      </c>
      <c r="D116" s="5" t="s">
        <v>25</v>
      </c>
      <c r="G116" s="30">
        <v>50</v>
      </c>
      <c r="H116" s="38">
        <f>226.07/G116</f>
        <v>4.5213999999999999</v>
      </c>
      <c r="I116" s="29">
        <f>G116*H116</f>
        <v>226.07</v>
      </c>
      <c r="J116">
        <v>1</v>
      </c>
    </row>
    <row r="117" spans="1:19" x14ac:dyDescent="0.3">
      <c r="D117" s="15" t="str">
        <f>SUBSTITUTE("Sp.mat: 0.00%",".",IF(VALUE("1.2")=1.2,".",","),2)</f>
        <v>Sp.mat: 0.00%</v>
      </c>
      <c r="F117" s="15" t="str">
        <f>SUBSTITUTE("Sp.man: 0.00%",".",IF(VALUE("1.2")=1.2,".",","),2)</f>
        <v>Sp.man: 0.00%</v>
      </c>
      <c r="G117" s="35" t="str">
        <f>SUBSTITUTE("Sp.uti: 0.00%",".",IF(VALUE("1.2")=1.2,".",","),2)</f>
        <v>Sp.uti: 0.00%</v>
      </c>
      <c r="H117" s="38">
        <f>880.94/G116</f>
        <v>17.6188</v>
      </c>
      <c r="I117" s="29">
        <f>G116*H117</f>
        <v>880.94</v>
      </c>
      <c r="J117">
        <v>2</v>
      </c>
    </row>
    <row r="118" spans="1:19" x14ac:dyDescent="0.3">
      <c r="A118" s="88" t="s">
        <v>394</v>
      </c>
      <c r="B118" s="98"/>
      <c r="C118" s="98"/>
      <c r="D118" s="98"/>
      <c r="E118" s="98"/>
      <c r="F118" s="98"/>
      <c r="G118" s="98"/>
      <c r="H118" s="38">
        <f>(1+IF(OR(ISERR(FIND(":",G117)),ISERR(FIND("%",G117))),0,MID(G117,FIND(":",G117)+2,FIND("%",G117)-FIND(":",G117)-2)/100))*0</f>
        <v>0</v>
      </c>
      <c r="I118" s="29">
        <f>G116*H118</f>
        <v>0</v>
      </c>
      <c r="J118">
        <v>3</v>
      </c>
      <c r="K118" s="4">
        <v>0</v>
      </c>
      <c r="L118" s="4">
        <v>0</v>
      </c>
      <c r="M118" s="4">
        <f>I118-K118-L118</f>
        <v>0</v>
      </c>
    </row>
    <row r="119" spans="1:19" x14ac:dyDescent="0.3">
      <c r="A119" s="98"/>
      <c r="B119" s="98"/>
      <c r="C119" s="98"/>
      <c r="D119" s="98"/>
      <c r="E119" s="98"/>
      <c r="F119" s="98"/>
      <c r="G119" s="98"/>
      <c r="H119" s="38">
        <f>0</f>
        <v>0</v>
      </c>
      <c r="I119" s="29">
        <f>G116*H119</f>
        <v>0</v>
      </c>
      <c r="J119">
        <v>4</v>
      </c>
      <c r="N119" s="4">
        <f>IF(ISERR(SEARCH("TRA* 82",C116)),IF(Q119+R119+S119=0,0,I119*(Q119/(Q119+R119+S119))),I119)</f>
        <v>0</v>
      </c>
      <c r="O119" s="4">
        <f>IF(ISERR(SEARCH("TRA* 82",C116)),IF(Q119+R119+S119=0,0,I119*(R119/(Q119+R119+S119))),0)</f>
        <v>0</v>
      </c>
      <c r="P119" s="4">
        <f>IF(ISERR(SEARCH("TRA* 82",C116)),I119-N119-O119,0)</f>
        <v>0</v>
      </c>
      <c r="Q119" s="4">
        <v>0</v>
      </c>
      <c r="R119" s="4">
        <v>0</v>
      </c>
      <c r="S119" s="4">
        <v>0</v>
      </c>
    </row>
    <row r="120" spans="1:19" x14ac:dyDescent="0.3">
      <c r="A120" s="96" t="s">
        <v>27</v>
      </c>
      <c r="B120" s="97"/>
      <c r="C120" s="97"/>
      <c r="D120" s="97"/>
      <c r="E120" s="97"/>
      <c r="F120" s="97"/>
      <c r="G120" s="97"/>
      <c r="H120" s="36">
        <f>H116+H117+H118+H119</f>
        <v>22.1402</v>
      </c>
      <c r="I120" s="74">
        <f>I116+I117+I118+I119</f>
        <v>1107.01</v>
      </c>
      <c r="J120">
        <v>5</v>
      </c>
    </row>
    <row r="121" spans="1:19" x14ac:dyDescent="0.3">
      <c r="B121" s="2">
        <v>13</v>
      </c>
      <c r="C121" s="3" t="s">
        <v>398</v>
      </c>
      <c r="D121" s="5" t="s">
        <v>25</v>
      </c>
      <c r="G121" s="30">
        <v>345</v>
      </c>
      <c r="H121" s="38">
        <f>2759.7/G121</f>
        <v>7.9991304347826082</v>
      </c>
      <c r="I121" s="29">
        <f>G121*H121</f>
        <v>2759.7</v>
      </c>
      <c r="J121">
        <v>1</v>
      </c>
    </row>
    <row r="122" spans="1:19" x14ac:dyDescent="0.3">
      <c r="D122" s="15" t="str">
        <f>SUBSTITUTE("Sp.mat: 0.00%",".",IF(VALUE("1.2")=1.2,".",","),2)</f>
        <v>Sp.mat: 0.00%</v>
      </c>
      <c r="F122" s="15" t="str">
        <f>SUBSTITUTE("Sp.man: 0.00%",".",IF(VALUE("1.2")=1.2,".",","),2)</f>
        <v>Sp.man: 0.00%</v>
      </c>
      <c r="G122" s="35" t="str">
        <f>SUBSTITUTE("Sp.uti: 0.00%",".",IF(VALUE("1.2")=1.2,".",","),2)</f>
        <v>Sp.uti: 0.00%</v>
      </c>
      <c r="H122" s="38">
        <f>5249.57/G121</f>
        <v>15.216144927536231</v>
      </c>
      <c r="I122" s="29">
        <f>G121*H122</f>
        <v>5249.57</v>
      </c>
      <c r="J122">
        <v>2</v>
      </c>
    </row>
    <row r="123" spans="1:19" x14ac:dyDescent="0.3">
      <c r="A123" s="88" t="s">
        <v>399</v>
      </c>
      <c r="B123" s="98"/>
      <c r="C123" s="98"/>
      <c r="D123" s="98"/>
      <c r="E123" s="98"/>
      <c r="F123" s="98"/>
      <c r="G123" s="98"/>
      <c r="H123" s="38">
        <f>(1+IF(OR(ISERR(FIND(":",G122)),ISERR(FIND("%",G122))),0,MID(G122,FIND(":",G122)+2,FIND("%",G122)-FIND(":",G122)-2)/100))*0</f>
        <v>0</v>
      </c>
      <c r="I123" s="29">
        <f>G121*H123</f>
        <v>0</v>
      </c>
      <c r="J123">
        <v>3</v>
      </c>
      <c r="K123" s="4">
        <v>0</v>
      </c>
      <c r="L123" s="4">
        <v>0</v>
      </c>
      <c r="M123" s="4">
        <f>I123-K123-L123</f>
        <v>0</v>
      </c>
    </row>
    <row r="124" spans="1:19" x14ac:dyDescent="0.3">
      <c r="A124" s="98"/>
      <c r="B124" s="98"/>
      <c r="C124" s="98"/>
      <c r="D124" s="98"/>
      <c r="E124" s="98"/>
      <c r="F124" s="98"/>
      <c r="G124" s="98"/>
      <c r="H124" s="38">
        <f>0</f>
        <v>0</v>
      </c>
      <c r="I124" s="29">
        <f>G121*H124</f>
        <v>0</v>
      </c>
      <c r="J124">
        <v>4</v>
      </c>
      <c r="N124" s="4">
        <f>IF(ISERR(SEARCH("TRA* 82",C121)),IF(Q124+R124+S124=0,0,I124*(Q124/(Q124+R124+S124))),I124)</f>
        <v>0</v>
      </c>
      <c r="O124" s="4">
        <f>IF(ISERR(SEARCH("TRA* 82",C121)),IF(Q124+R124+S124=0,0,I124*(R124/(Q124+R124+S124))),0)</f>
        <v>0</v>
      </c>
      <c r="P124" s="4">
        <f>IF(ISERR(SEARCH("TRA* 82",C121)),I124-N124-O124,0)</f>
        <v>0</v>
      </c>
      <c r="Q124" s="4">
        <v>0</v>
      </c>
      <c r="R124" s="4">
        <v>0</v>
      </c>
      <c r="S124" s="4">
        <v>0</v>
      </c>
    </row>
    <row r="125" spans="1:19" x14ac:dyDescent="0.3">
      <c r="A125" s="96" t="s">
        <v>27</v>
      </c>
      <c r="B125" s="97"/>
      <c r="C125" s="97"/>
      <c r="D125" s="97"/>
      <c r="E125" s="97"/>
      <c r="F125" s="97"/>
      <c r="G125" s="97"/>
      <c r="H125" s="36">
        <f>H121+H122+H123+H124</f>
        <v>23.215275362318838</v>
      </c>
      <c r="I125" s="74">
        <f>I121+I122+I123+I124</f>
        <v>8009.2699999999995</v>
      </c>
      <c r="J125">
        <v>5</v>
      </c>
    </row>
    <row r="126" spans="1:19" x14ac:dyDescent="0.3">
      <c r="B126" s="2">
        <v>14</v>
      </c>
      <c r="C126" s="3" t="s">
        <v>398</v>
      </c>
      <c r="D126" s="5" t="s">
        <v>25</v>
      </c>
      <c r="G126" s="30">
        <v>215</v>
      </c>
      <c r="H126" s="38">
        <f>2328/G126</f>
        <v>10.827906976744186</v>
      </c>
      <c r="I126" s="29">
        <f>G126*H126</f>
        <v>2328</v>
      </c>
      <c r="J126">
        <v>1</v>
      </c>
    </row>
    <row r="127" spans="1:19" x14ac:dyDescent="0.3">
      <c r="D127" s="15" t="str">
        <f>SUBSTITUTE("Sp.mat: 0.00%",".",IF(VALUE("1.2")=1.2,".",","),2)</f>
        <v>Sp.mat: 0.00%</v>
      </c>
      <c r="F127" s="15" t="str">
        <f>SUBSTITUTE("Sp.man: 0.00%",".",IF(VALUE("1.2")=1.2,".",","),2)</f>
        <v>Sp.man: 0.00%</v>
      </c>
      <c r="G127" s="35" t="str">
        <f>SUBSTITUTE("Sp.uti: 0.00%",".",IF(VALUE("1.2")=1.2,".",","),2)</f>
        <v>Sp.uti: 0.00%</v>
      </c>
      <c r="H127" s="38">
        <f>3271.47/G126</f>
        <v>15.21613953488372</v>
      </c>
      <c r="I127" s="29">
        <f>G126*H127</f>
        <v>3271.47</v>
      </c>
      <c r="J127">
        <v>2</v>
      </c>
    </row>
    <row r="128" spans="1:19" x14ac:dyDescent="0.3">
      <c r="A128" s="88" t="s">
        <v>399</v>
      </c>
      <c r="B128" s="98"/>
      <c r="C128" s="98"/>
      <c r="D128" s="98"/>
      <c r="E128" s="98"/>
      <c r="F128" s="98"/>
      <c r="G128" s="98"/>
      <c r="H128" s="38">
        <f>(1+IF(OR(ISERR(FIND(":",G127)),ISERR(FIND("%",G127))),0,MID(G127,FIND(":",G127)+2,FIND("%",G127)-FIND(":",G127)-2)/100))*0</f>
        <v>0</v>
      </c>
      <c r="I128" s="29">
        <f>G126*H128</f>
        <v>0</v>
      </c>
      <c r="J128">
        <v>3</v>
      </c>
      <c r="K128" s="4">
        <v>0</v>
      </c>
      <c r="L128" s="4">
        <v>0</v>
      </c>
      <c r="M128" s="4">
        <f>I128-K128-L128</f>
        <v>0</v>
      </c>
    </row>
    <row r="129" spans="1:19" x14ac:dyDescent="0.3">
      <c r="A129" s="98"/>
      <c r="B129" s="98"/>
      <c r="C129" s="98"/>
      <c r="D129" s="98"/>
      <c r="E129" s="98"/>
      <c r="F129" s="98"/>
      <c r="G129" s="98"/>
      <c r="H129" s="38">
        <f>0</f>
        <v>0</v>
      </c>
      <c r="I129" s="29">
        <f>G126*H129</f>
        <v>0</v>
      </c>
      <c r="J129">
        <v>4</v>
      </c>
      <c r="N129" s="4">
        <f>IF(ISERR(SEARCH("TRA* 82",C126)),IF(Q129+R129+S129=0,0,I129*(Q129/(Q129+R129+S129))),I129)</f>
        <v>0</v>
      </c>
      <c r="O129" s="4">
        <f>IF(ISERR(SEARCH("TRA* 82",C126)),IF(Q129+R129+S129=0,0,I129*(R129/(Q129+R129+S129))),0)</f>
        <v>0</v>
      </c>
      <c r="P129" s="4">
        <f>IF(ISERR(SEARCH("TRA* 82",C126)),I129-N129-O129,0)</f>
        <v>0</v>
      </c>
      <c r="Q129" s="4">
        <v>0</v>
      </c>
      <c r="R129" s="4">
        <v>0</v>
      </c>
      <c r="S129" s="4">
        <v>0</v>
      </c>
    </row>
    <row r="130" spans="1:19" x14ac:dyDescent="0.3">
      <c r="A130" s="96" t="s">
        <v>27</v>
      </c>
      <c r="B130" s="97"/>
      <c r="C130" s="97"/>
      <c r="D130" s="97"/>
      <c r="E130" s="97"/>
      <c r="F130" s="97"/>
      <c r="G130" s="97"/>
      <c r="H130" s="36">
        <f>H126+H127+H128+H129</f>
        <v>26.044046511627904</v>
      </c>
      <c r="I130" s="74">
        <f>I126+I127+I128+I129</f>
        <v>5599.4699999999993</v>
      </c>
      <c r="J130">
        <v>5</v>
      </c>
    </row>
    <row r="131" spans="1:19" x14ac:dyDescent="0.3">
      <c r="B131" s="2">
        <v>15</v>
      </c>
      <c r="C131" s="3" t="s">
        <v>404</v>
      </c>
      <c r="D131" s="5" t="s">
        <v>25</v>
      </c>
      <c r="G131" s="30">
        <v>85</v>
      </c>
      <c r="H131" s="38">
        <v>11.01</v>
      </c>
      <c r="I131" s="29">
        <f>G131*H131</f>
        <v>935.85</v>
      </c>
      <c r="J131">
        <v>1</v>
      </c>
    </row>
    <row r="132" spans="1:19" x14ac:dyDescent="0.3">
      <c r="D132" s="15" t="str">
        <f>SUBSTITUTE("Sp.mat: 0.00%",".",IF(VALUE("1.2")=1.2,".",","),2)</f>
        <v>Sp.mat: 0.00%</v>
      </c>
      <c r="F132" s="15" t="str">
        <f>SUBSTITUTE("Sp.man: 0.00%",".",IF(VALUE("1.2")=1.2,".",","),2)</f>
        <v>Sp.man: 0.00%</v>
      </c>
      <c r="G132" s="35" t="str">
        <f>SUBSTITUTE("Sp.uti: 0.00%",".",IF(VALUE("1.2")=1.2,".",","),2)</f>
        <v>Sp.uti: 0.00%</v>
      </c>
      <c r="H132" s="38">
        <f>1429.52/G131</f>
        <v>16.817882352941176</v>
      </c>
      <c r="I132" s="29">
        <f>G131*H132</f>
        <v>1429.52</v>
      </c>
      <c r="J132">
        <v>2</v>
      </c>
    </row>
    <row r="133" spans="1:19" x14ac:dyDescent="0.3">
      <c r="A133" s="88" t="s">
        <v>405</v>
      </c>
      <c r="B133" s="98"/>
      <c r="C133" s="98"/>
      <c r="D133" s="98"/>
      <c r="E133" s="98"/>
      <c r="F133" s="98"/>
      <c r="G133" s="98"/>
      <c r="H133" s="38">
        <f>(1+IF(OR(ISERR(FIND(":",G132)),ISERR(FIND("%",G132))),0,MID(G132,FIND(":",G132)+2,FIND("%",G132)-FIND(":",G132)-2)/100))*0</f>
        <v>0</v>
      </c>
      <c r="I133" s="29">
        <f>G131*H133</f>
        <v>0</v>
      </c>
      <c r="J133">
        <v>3</v>
      </c>
      <c r="K133" s="4">
        <v>0</v>
      </c>
      <c r="L133" s="4">
        <v>0</v>
      </c>
      <c r="M133" s="4">
        <f>I133-K133-L133</f>
        <v>0</v>
      </c>
    </row>
    <row r="134" spans="1:19" x14ac:dyDescent="0.3">
      <c r="A134" s="98"/>
      <c r="B134" s="98"/>
      <c r="C134" s="98"/>
      <c r="D134" s="98"/>
      <c r="E134" s="98"/>
      <c r="F134" s="98"/>
      <c r="G134" s="98"/>
      <c r="H134" s="38">
        <f>0</f>
        <v>0</v>
      </c>
      <c r="I134" s="29">
        <f>G131*H134</f>
        <v>0</v>
      </c>
      <c r="J134">
        <v>4</v>
      </c>
      <c r="N134" s="4">
        <f>IF(ISERR(SEARCH("TRA* 82",C131)),IF(Q134+R134+S134=0,0,I134*(Q134/(Q134+R134+S134))),I134)</f>
        <v>0</v>
      </c>
      <c r="O134" s="4">
        <f>IF(ISERR(SEARCH("TRA* 82",C131)),IF(Q134+R134+S134=0,0,I134*(R134/(Q134+R134+S134))),0)</f>
        <v>0</v>
      </c>
      <c r="P134" s="4">
        <f>IF(ISERR(SEARCH("TRA* 82",C131)),I134-N134-O134,0)</f>
        <v>0</v>
      </c>
      <c r="Q134" s="4">
        <v>0</v>
      </c>
      <c r="R134" s="4">
        <v>0</v>
      </c>
      <c r="S134" s="4">
        <v>0</v>
      </c>
    </row>
    <row r="135" spans="1:19" x14ac:dyDescent="0.3">
      <c r="A135" s="96" t="s">
        <v>27</v>
      </c>
      <c r="B135" s="97"/>
      <c r="C135" s="97"/>
      <c r="D135" s="97"/>
      <c r="E135" s="97"/>
      <c r="F135" s="97"/>
      <c r="G135" s="97"/>
      <c r="H135" s="36">
        <f>H131+H132+H133+H134</f>
        <v>27.827882352941174</v>
      </c>
      <c r="I135" s="74">
        <f>I131+I132+I133+I134</f>
        <v>2365.37</v>
      </c>
      <c r="J135">
        <v>5</v>
      </c>
    </row>
    <row r="136" spans="1:19" x14ac:dyDescent="0.3">
      <c r="B136" s="2">
        <v>16</v>
      </c>
      <c r="C136" s="3" t="s">
        <v>404</v>
      </c>
      <c r="D136" s="5" t="s">
        <v>25</v>
      </c>
      <c r="G136" s="30">
        <v>85</v>
      </c>
      <c r="H136" s="38">
        <f>1462.27/G136</f>
        <v>17.203176470588236</v>
      </c>
      <c r="I136" s="29">
        <f>G136*H136</f>
        <v>1462.27</v>
      </c>
      <c r="J136">
        <v>1</v>
      </c>
    </row>
    <row r="137" spans="1:19" x14ac:dyDescent="0.3">
      <c r="D137" s="15" t="str">
        <f>SUBSTITUTE("Sp.mat: 0.00%",".",IF(VALUE("1.2")=1.2,".",","),2)</f>
        <v>Sp.mat: 0.00%</v>
      </c>
      <c r="F137" s="15" t="str">
        <f>SUBSTITUTE("Sp.man: 0.00%",".",IF(VALUE("1.2")=1.2,".",","),2)</f>
        <v>Sp.man: 0.00%</v>
      </c>
      <c r="G137" s="35" t="str">
        <f>SUBSTITUTE("Sp.uti: 0.00%",".",IF(VALUE("1.2")=1.2,".",","),2)</f>
        <v>Sp.uti: 0.00%</v>
      </c>
      <c r="H137" s="38">
        <f>1429.52/G136</f>
        <v>16.817882352941176</v>
      </c>
      <c r="I137" s="29">
        <f>G136*H137</f>
        <v>1429.52</v>
      </c>
      <c r="J137">
        <v>2</v>
      </c>
    </row>
    <row r="138" spans="1:19" x14ac:dyDescent="0.3">
      <c r="A138" s="88" t="s">
        <v>405</v>
      </c>
      <c r="B138" s="98"/>
      <c r="C138" s="98"/>
      <c r="D138" s="98"/>
      <c r="E138" s="98"/>
      <c r="F138" s="98"/>
      <c r="G138" s="98"/>
      <c r="H138" s="38">
        <f>(1+IF(OR(ISERR(FIND(":",G137)),ISERR(FIND("%",G137))),0,MID(G137,FIND(":",G137)+2,FIND("%",G137)-FIND(":",G137)-2)/100))*0</f>
        <v>0</v>
      </c>
      <c r="I138" s="29">
        <f>G136*H138</f>
        <v>0</v>
      </c>
      <c r="J138">
        <v>3</v>
      </c>
      <c r="K138" s="4">
        <v>0</v>
      </c>
      <c r="L138" s="4">
        <v>0</v>
      </c>
      <c r="M138" s="4">
        <f>I138-K138-L138</f>
        <v>0</v>
      </c>
    </row>
    <row r="139" spans="1:19" x14ac:dyDescent="0.3">
      <c r="A139" s="98"/>
      <c r="B139" s="98"/>
      <c r="C139" s="98"/>
      <c r="D139" s="98"/>
      <c r="E139" s="98"/>
      <c r="F139" s="98"/>
      <c r="G139" s="98"/>
      <c r="H139" s="38">
        <f>0</f>
        <v>0</v>
      </c>
      <c r="I139" s="29">
        <f>G136*H139</f>
        <v>0</v>
      </c>
      <c r="J139">
        <v>4</v>
      </c>
      <c r="N139" s="4">
        <f>IF(ISERR(SEARCH("TRA* 82",C136)),IF(Q139+R139+S139=0,0,I139*(Q139/(Q139+R139+S139))),I139)</f>
        <v>0</v>
      </c>
      <c r="O139" s="4">
        <f>IF(ISERR(SEARCH("TRA* 82",C136)),IF(Q139+R139+S139=0,0,I139*(R139/(Q139+R139+S139))),0)</f>
        <v>0</v>
      </c>
      <c r="P139" s="4">
        <f>IF(ISERR(SEARCH("TRA* 82",C136)),I139-N139-O139,0)</f>
        <v>0</v>
      </c>
      <c r="Q139" s="4">
        <v>0</v>
      </c>
      <c r="R139" s="4">
        <v>0</v>
      </c>
      <c r="S139" s="4">
        <v>0</v>
      </c>
    </row>
    <row r="140" spans="1:19" x14ac:dyDescent="0.3">
      <c r="A140" s="96" t="s">
        <v>27</v>
      </c>
      <c r="B140" s="97"/>
      <c r="C140" s="97"/>
      <c r="D140" s="97"/>
      <c r="E140" s="97"/>
      <c r="F140" s="97"/>
      <c r="G140" s="97"/>
      <c r="H140" s="36">
        <f>H136+H137+H138+H139</f>
        <v>34.021058823529415</v>
      </c>
      <c r="I140" s="74">
        <f>I136+I137+I138+I139</f>
        <v>2891.79</v>
      </c>
      <c r="J140">
        <v>5</v>
      </c>
    </row>
    <row r="141" spans="1:19" x14ac:dyDescent="0.3">
      <c r="B141" s="2">
        <v>17</v>
      </c>
      <c r="C141" s="3" t="s">
        <v>407</v>
      </c>
      <c r="D141" s="5" t="s">
        <v>25</v>
      </c>
      <c r="G141" s="30">
        <v>60</v>
      </c>
      <c r="H141" s="38">
        <v>22.17</v>
      </c>
      <c r="I141" s="29">
        <f>G141*H141</f>
        <v>1330.2</v>
      </c>
      <c r="J141">
        <v>1</v>
      </c>
    </row>
    <row r="142" spans="1:19" x14ac:dyDescent="0.3">
      <c r="D142" s="15" t="str">
        <f>SUBSTITUTE("Sp.mat: 0.00%",".",IF(VALUE("1.2")=1.2,".",","),2)</f>
        <v>Sp.mat: 0.00%</v>
      </c>
      <c r="F142" s="15" t="str">
        <f>SUBSTITUTE("Sp.man: 0.00%",".",IF(VALUE("1.2")=1.2,".",","),2)</f>
        <v>Sp.man: 0.00%</v>
      </c>
      <c r="G142" s="35" t="str">
        <f>SUBSTITUTE("Sp.uti: 0.00%",".",IF(VALUE("1.2")=1.2,".",","),2)</f>
        <v>Sp.uti: 0.00%</v>
      </c>
      <c r="H142" s="38">
        <v>18.420000000000002</v>
      </c>
      <c r="I142" s="29">
        <f>G141*H142</f>
        <v>1105.2</v>
      </c>
      <c r="J142">
        <v>2</v>
      </c>
    </row>
    <row r="143" spans="1:19" x14ac:dyDescent="0.3">
      <c r="A143" s="88" t="s">
        <v>408</v>
      </c>
      <c r="B143" s="98"/>
      <c r="C143" s="98"/>
      <c r="D143" s="98"/>
      <c r="E143" s="98"/>
      <c r="F143" s="98"/>
      <c r="G143" s="98"/>
      <c r="H143" s="38">
        <f>(1+IF(OR(ISERR(FIND(":",G142)),ISERR(FIND("%",G142))),0,MID(G142,FIND(":",G142)+2,FIND("%",G142)-FIND(":",G142)-2)/100))*0</f>
        <v>0</v>
      </c>
      <c r="I143" s="29">
        <f>G141*H143</f>
        <v>0</v>
      </c>
      <c r="J143">
        <v>3</v>
      </c>
      <c r="K143" s="4">
        <v>0</v>
      </c>
      <c r="L143" s="4">
        <v>0</v>
      </c>
      <c r="M143" s="4">
        <f>I143-K143-L143</f>
        <v>0</v>
      </c>
    </row>
    <row r="144" spans="1:19" x14ac:dyDescent="0.3">
      <c r="A144" s="98"/>
      <c r="B144" s="98"/>
      <c r="C144" s="98"/>
      <c r="D144" s="98"/>
      <c r="E144" s="98"/>
      <c r="F144" s="98"/>
      <c r="G144" s="98"/>
      <c r="H144" s="38">
        <f>0</f>
        <v>0</v>
      </c>
      <c r="I144" s="29">
        <f>G141*H144</f>
        <v>0</v>
      </c>
      <c r="J144">
        <v>4</v>
      </c>
      <c r="N144" s="4">
        <f>IF(ISERR(SEARCH("TRA* 82",C141)),IF(Q144+R144+S144=0,0,I144*(Q144/(Q144+R144+S144))),I144)</f>
        <v>0</v>
      </c>
      <c r="O144" s="4">
        <f>IF(ISERR(SEARCH("TRA* 82",C141)),IF(Q144+R144+S144=0,0,I144*(R144/(Q144+R144+S144))),0)</f>
        <v>0</v>
      </c>
      <c r="P144" s="4">
        <f>IF(ISERR(SEARCH("TRA* 82",C141)),I144-N144-O144,0)</f>
        <v>0</v>
      </c>
      <c r="Q144" s="4">
        <v>0</v>
      </c>
      <c r="R144" s="4">
        <v>0</v>
      </c>
      <c r="S144" s="4">
        <v>0</v>
      </c>
    </row>
    <row r="145" spans="1:19" x14ac:dyDescent="0.3">
      <c r="A145" s="96" t="s">
        <v>27</v>
      </c>
      <c r="B145" s="97"/>
      <c r="C145" s="97"/>
      <c r="D145" s="97"/>
      <c r="E145" s="97"/>
      <c r="F145" s="97"/>
      <c r="G145" s="97"/>
      <c r="H145" s="36">
        <f>H141+H142+H143+H144</f>
        <v>40.590000000000003</v>
      </c>
      <c r="I145" s="74">
        <f>I141+I142+I143+I144</f>
        <v>2435.4</v>
      </c>
      <c r="J145">
        <v>5</v>
      </c>
    </row>
    <row r="146" spans="1:19" x14ac:dyDescent="0.3">
      <c r="B146" s="2">
        <v>18</v>
      </c>
      <c r="C146" s="3" t="s">
        <v>407</v>
      </c>
      <c r="D146" s="5" t="s">
        <v>25</v>
      </c>
      <c r="G146" s="30">
        <v>80</v>
      </c>
      <c r="H146" s="38">
        <v>28.49</v>
      </c>
      <c r="I146" s="29">
        <f>G146*H146</f>
        <v>2279.1999999999998</v>
      </c>
      <c r="J146">
        <v>1</v>
      </c>
    </row>
    <row r="147" spans="1:19" x14ac:dyDescent="0.3">
      <c r="D147" s="15" t="str">
        <f>SUBSTITUTE("Sp.mat: 0.00%",".",IF(VALUE("1.2")=1.2,".",","),2)</f>
        <v>Sp.mat: 0.00%</v>
      </c>
      <c r="F147" s="15" t="str">
        <f>SUBSTITUTE("Sp.man: 0.00%",".",IF(VALUE("1.2")=1.2,".",","),2)</f>
        <v>Sp.man: 0.00%</v>
      </c>
      <c r="G147" s="35" t="str">
        <f>SUBSTITUTE("Sp.uti: 0.00%",".",IF(VALUE("1.2")=1.2,".",","),2)</f>
        <v>Sp.uti: 0.00%</v>
      </c>
      <c r="H147" s="38">
        <v>18.420000000000002</v>
      </c>
      <c r="I147" s="29">
        <f>G146*H147</f>
        <v>1473.6000000000001</v>
      </c>
      <c r="J147">
        <v>2</v>
      </c>
    </row>
    <row r="148" spans="1:19" x14ac:dyDescent="0.3">
      <c r="A148" s="88" t="s">
        <v>408</v>
      </c>
      <c r="B148" s="98"/>
      <c r="C148" s="98"/>
      <c r="D148" s="98"/>
      <c r="E148" s="98"/>
      <c r="F148" s="98"/>
      <c r="G148" s="98"/>
      <c r="H148" s="38">
        <f>(1+IF(OR(ISERR(FIND(":",G147)),ISERR(FIND("%",G147))),0,MID(G147,FIND(":",G147)+2,FIND("%",G147)-FIND(":",G147)-2)/100))*0</f>
        <v>0</v>
      </c>
      <c r="I148" s="29">
        <f>G146*H148</f>
        <v>0</v>
      </c>
      <c r="J148">
        <v>3</v>
      </c>
      <c r="K148" s="4">
        <v>0</v>
      </c>
      <c r="L148" s="4">
        <v>0</v>
      </c>
      <c r="M148" s="4">
        <f>I148-K148-L148</f>
        <v>0</v>
      </c>
    </row>
    <row r="149" spans="1:19" x14ac:dyDescent="0.3">
      <c r="A149" s="98"/>
      <c r="B149" s="98"/>
      <c r="C149" s="98"/>
      <c r="D149" s="98"/>
      <c r="E149" s="98"/>
      <c r="F149" s="98"/>
      <c r="G149" s="98"/>
      <c r="H149" s="38">
        <f>0</f>
        <v>0</v>
      </c>
      <c r="I149" s="29">
        <f>G146*H149</f>
        <v>0</v>
      </c>
      <c r="J149">
        <v>4</v>
      </c>
      <c r="N149" s="4">
        <f>IF(ISERR(SEARCH("TRA* 82",C146)),IF(Q149+R149+S149=0,0,I149*(Q149/(Q149+R149+S149))),I149)</f>
        <v>0</v>
      </c>
      <c r="O149" s="4">
        <f>IF(ISERR(SEARCH("TRA* 82",C146)),IF(Q149+R149+S149=0,0,I149*(R149/(Q149+R149+S149))),0)</f>
        <v>0</v>
      </c>
      <c r="P149" s="4">
        <f>IF(ISERR(SEARCH("TRA* 82",C146)),I149-N149-O149,0)</f>
        <v>0</v>
      </c>
      <c r="Q149" s="4">
        <v>0</v>
      </c>
      <c r="R149" s="4">
        <v>0</v>
      </c>
      <c r="S149" s="4">
        <v>0</v>
      </c>
    </row>
    <row r="150" spans="1:19" x14ac:dyDescent="0.3">
      <c r="A150" s="96" t="s">
        <v>27</v>
      </c>
      <c r="B150" s="97"/>
      <c r="C150" s="97"/>
      <c r="D150" s="97"/>
      <c r="E150" s="97"/>
      <c r="F150" s="97"/>
      <c r="G150" s="97"/>
      <c r="H150" s="36">
        <f>H146+H147+H148+H149</f>
        <v>46.91</v>
      </c>
      <c r="I150" s="74">
        <f>I146+I147+I148+I149</f>
        <v>3752.8</v>
      </c>
      <c r="J150">
        <v>5</v>
      </c>
    </row>
    <row r="151" spans="1:19" x14ac:dyDescent="0.3">
      <c r="B151" s="2">
        <v>19</v>
      </c>
      <c r="C151" s="3" t="s">
        <v>238</v>
      </c>
      <c r="D151" s="5" t="s">
        <v>25</v>
      </c>
      <c r="G151" s="30">
        <v>840</v>
      </c>
      <c r="H151" s="38">
        <f>220.52/G151</f>
        <v>0.26252380952380955</v>
      </c>
      <c r="I151" s="29">
        <f>G151*H151</f>
        <v>220.52</v>
      </c>
      <c r="J151">
        <v>1</v>
      </c>
    </row>
    <row r="152" spans="1:19" x14ac:dyDescent="0.3">
      <c r="D152" s="15" t="str">
        <f>SUBSTITUTE("Sp.mat: 0.00%",".",IF(VALUE("1.2")=1.2,".",","),2)</f>
        <v>Sp.mat: 0.00%</v>
      </c>
      <c r="F152" s="15" t="str">
        <f>SUBSTITUTE("Sp.man: 0.00%",".",IF(VALUE("1.2")=1.2,".",","),2)</f>
        <v>Sp.man: 0.00%</v>
      </c>
      <c r="G152" s="35" t="str">
        <f>SUBSTITUTE("Sp.uti: 0.00%",".",IF(VALUE("1.2")=1.2,".",","),2)</f>
        <v>Sp.uti: 0.00%</v>
      </c>
      <c r="H152" s="38">
        <f>1614.51/G151</f>
        <v>1.9220357142857143</v>
      </c>
      <c r="I152" s="29">
        <f>G151*H152</f>
        <v>1614.51</v>
      </c>
      <c r="J152">
        <v>2</v>
      </c>
    </row>
    <row r="153" spans="1:19" x14ac:dyDescent="0.3">
      <c r="A153" s="88" t="s">
        <v>239</v>
      </c>
      <c r="B153" s="98"/>
      <c r="C153" s="98"/>
      <c r="D153" s="98"/>
      <c r="E153" s="98"/>
      <c r="F153" s="98"/>
      <c r="G153" s="98"/>
      <c r="H153" s="38">
        <f>26.24/G151</f>
        <v>3.1238095238095235E-2</v>
      </c>
      <c r="I153" s="29">
        <f>G151*H153</f>
        <v>26.24</v>
      </c>
      <c r="J153">
        <v>3</v>
      </c>
      <c r="K153" s="4">
        <v>0</v>
      </c>
      <c r="L153" s="4">
        <v>0</v>
      </c>
      <c r="M153" s="4">
        <f>I153-K153-L153</f>
        <v>26.24</v>
      </c>
    </row>
    <row r="154" spans="1:19" x14ac:dyDescent="0.3">
      <c r="A154" s="98"/>
      <c r="B154" s="98"/>
      <c r="C154" s="98"/>
      <c r="D154" s="98"/>
      <c r="E154" s="98"/>
      <c r="F154" s="98"/>
      <c r="G154" s="98"/>
      <c r="H154" s="38">
        <f>0</f>
        <v>0</v>
      </c>
      <c r="I154" s="29">
        <f>G151*H154</f>
        <v>0</v>
      </c>
      <c r="J154">
        <v>4</v>
      </c>
      <c r="N154" s="4">
        <f>IF(ISERR(SEARCH("TRA* 82",C151)),IF(Q154+R154+S154=0,0,I154*(Q154/(Q154+R154+S154))),I154)</f>
        <v>0</v>
      </c>
      <c r="O154" s="4">
        <f>IF(ISERR(SEARCH("TRA* 82",C151)),IF(Q154+R154+S154=0,0,I154*(R154/(Q154+R154+S154))),0)</f>
        <v>0</v>
      </c>
      <c r="P154" s="4">
        <f>IF(ISERR(SEARCH("TRA* 82",C151)),I154-N154-O154,0)</f>
        <v>0</v>
      </c>
      <c r="Q154" s="4">
        <v>0</v>
      </c>
      <c r="R154" s="4">
        <v>0</v>
      </c>
      <c r="S154" s="4">
        <v>0</v>
      </c>
    </row>
    <row r="155" spans="1:19" x14ac:dyDescent="0.3">
      <c r="A155" s="96" t="s">
        <v>240</v>
      </c>
      <c r="B155" s="97"/>
      <c r="C155" s="97"/>
      <c r="D155" s="97"/>
      <c r="E155" s="97"/>
      <c r="F155" s="97"/>
      <c r="G155" s="97"/>
      <c r="H155" s="36">
        <f>H151+H152+H153+H154</f>
        <v>2.2157976190476192</v>
      </c>
      <c r="I155" s="74">
        <f>I151+I152+I153+I154</f>
        <v>1861.27</v>
      </c>
      <c r="J155">
        <v>5</v>
      </c>
    </row>
    <row r="156" spans="1:19" x14ac:dyDescent="0.3">
      <c r="B156" s="2">
        <v>20</v>
      </c>
      <c r="C156" s="3" t="s">
        <v>565</v>
      </c>
      <c r="D156" s="5" t="s">
        <v>25</v>
      </c>
      <c r="G156" s="30">
        <v>50</v>
      </c>
      <c r="H156" s="38">
        <f>57.79/G156</f>
        <v>1.1557999999999999</v>
      </c>
      <c r="I156" s="29">
        <f>G156*H156</f>
        <v>57.79</v>
      </c>
      <c r="J156">
        <v>1</v>
      </c>
    </row>
    <row r="157" spans="1:19" x14ac:dyDescent="0.3">
      <c r="D157" s="15" t="str">
        <f>SUBSTITUTE("Sp.mat: 0.00%",".",IF(VALUE("1.2")=1.2,".",","),2)</f>
        <v>Sp.mat: 0.00%</v>
      </c>
      <c r="F157" s="15" t="str">
        <f>SUBSTITUTE("Sp.man: 0.00%",".",IF(VALUE("1.2")=1.2,".",","),2)</f>
        <v>Sp.man: 0.00%</v>
      </c>
      <c r="G157" s="35" t="str">
        <f>SUBSTITUTE("Sp.uti: 0.00%",".",IF(VALUE("1.2")=1.2,".",","),2)</f>
        <v>Sp.uti: 0.00%</v>
      </c>
      <c r="H157" s="38">
        <f>(1+IF(OR(ISERR(FIND(":",F157)),ISERR(FIND("%",F157))),0,MID(F157,FIND(":",F157)+2,FIND("%",F157)-FIND(":",F157)-2)/100))*0</f>
        <v>0</v>
      </c>
      <c r="I157" s="29">
        <f>G156*H157</f>
        <v>0</v>
      </c>
      <c r="J157">
        <v>2</v>
      </c>
    </row>
    <row r="158" spans="1:19" x14ac:dyDescent="0.3">
      <c r="A158" s="88" t="s">
        <v>566</v>
      </c>
      <c r="B158" s="98"/>
      <c r="C158" s="98"/>
      <c r="D158" s="98"/>
      <c r="E158" s="98"/>
      <c r="F158" s="98"/>
      <c r="G158" s="98"/>
      <c r="H158" s="38">
        <f>(1+IF(OR(ISERR(FIND(":",G157)),ISERR(FIND("%",G157))),0,MID(G157,FIND(":",G157)+2,FIND("%",G157)-FIND(":",G157)-2)/100))*0</f>
        <v>0</v>
      </c>
      <c r="I158" s="29">
        <f>G156*H158</f>
        <v>0</v>
      </c>
      <c r="J158">
        <v>3</v>
      </c>
      <c r="K158" s="4">
        <v>0</v>
      </c>
      <c r="L158" s="4">
        <v>0</v>
      </c>
      <c r="M158" s="4">
        <f>I158-K158-L158</f>
        <v>0</v>
      </c>
    </row>
    <row r="159" spans="1:19" x14ac:dyDescent="0.3">
      <c r="A159" s="98"/>
      <c r="B159" s="98"/>
      <c r="C159" s="98"/>
      <c r="D159" s="98"/>
      <c r="E159" s="98"/>
      <c r="F159" s="98"/>
      <c r="G159" s="98"/>
      <c r="H159" s="38">
        <f>0</f>
        <v>0</v>
      </c>
      <c r="I159" s="29">
        <f>G156*H159</f>
        <v>0</v>
      </c>
      <c r="J159">
        <v>4</v>
      </c>
      <c r="N159" s="4">
        <f>IF(ISERR(SEARCH("TRA* 82",C156)),IF(Q159+R159+S159=0,0,I159*(Q159/(Q159+R159+S159))),I159)</f>
        <v>0</v>
      </c>
      <c r="O159" s="4">
        <f>IF(ISERR(SEARCH("TRA* 82",C156)),IF(Q159+R159+S159=0,0,I159*(R159/(Q159+R159+S159))),0)</f>
        <v>0</v>
      </c>
      <c r="P159" s="4">
        <f>IF(ISERR(SEARCH("TRA* 82",C156)),I159-N159-O159,0)</f>
        <v>0</v>
      </c>
      <c r="Q159" s="4">
        <v>0</v>
      </c>
      <c r="R159" s="4">
        <v>0</v>
      </c>
      <c r="S159" s="4">
        <v>0</v>
      </c>
    </row>
    <row r="160" spans="1:19" x14ac:dyDescent="0.3">
      <c r="A160" s="96" t="s">
        <v>27</v>
      </c>
      <c r="B160" s="97"/>
      <c r="C160" s="97"/>
      <c r="D160" s="97"/>
      <c r="E160" s="97"/>
      <c r="F160" s="97"/>
      <c r="G160" s="97"/>
      <c r="H160" s="36">
        <f>H156+H157+H158+H159</f>
        <v>1.1557999999999999</v>
      </c>
      <c r="I160" s="74">
        <f>I156+I157+I158+I159</f>
        <v>57.79</v>
      </c>
      <c r="J160">
        <v>5</v>
      </c>
    </row>
    <row r="161" spans="1:19" x14ac:dyDescent="0.3">
      <c r="B161" s="2">
        <v>21</v>
      </c>
      <c r="C161" s="3" t="s">
        <v>621</v>
      </c>
      <c r="D161" s="5" t="s">
        <v>25</v>
      </c>
      <c r="G161" s="30">
        <v>345</v>
      </c>
      <c r="H161" s="38">
        <f>773.79/G161</f>
        <v>2.2428695652173913</v>
      </c>
      <c r="I161" s="29">
        <f>G161*H161</f>
        <v>773.79</v>
      </c>
      <c r="J161">
        <v>1</v>
      </c>
    </row>
    <row r="162" spans="1:19" x14ac:dyDescent="0.3">
      <c r="D162" s="15" t="str">
        <f>SUBSTITUTE("Sp.mat: 0.00%",".",IF(VALUE("1.2")=1.2,".",","),2)</f>
        <v>Sp.mat: 0.00%</v>
      </c>
      <c r="F162" s="15" t="str">
        <f>SUBSTITUTE("Sp.man: 0.00%",".",IF(VALUE("1.2")=1.2,".",","),2)</f>
        <v>Sp.man: 0.00%</v>
      </c>
      <c r="G162" s="35" t="str">
        <f>SUBSTITUTE("Sp.uti: 0.00%",".",IF(VALUE("1.2")=1.2,".",","),2)</f>
        <v>Sp.uti: 0.00%</v>
      </c>
      <c r="H162" s="38">
        <f>(1+IF(OR(ISERR(FIND(":",F162)),ISERR(FIND("%",F162))),0,MID(F162,FIND(":",F162)+2,FIND("%",F162)-FIND(":",F162)-2)/100))*0</f>
        <v>0</v>
      </c>
      <c r="I162" s="29">
        <f>G161*H162</f>
        <v>0</v>
      </c>
      <c r="J162">
        <v>2</v>
      </c>
    </row>
    <row r="163" spans="1:19" x14ac:dyDescent="0.3">
      <c r="A163" s="88" t="s">
        <v>622</v>
      </c>
      <c r="B163" s="98"/>
      <c r="C163" s="98"/>
      <c r="D163" s="98"/>
      <c r="E163" s="98"/>
      <c r="F163" s="98"/>
      <c r="G163" s="98"/>
      <c r="H163" s="38">
        <f>(1+IF(OR(ISERR(FIND(":",G162)),ISERR(FIND("%",G162))),0,MID(G162,FIND(":",G162)+2,FIND("%",G162)-FIND(":",G162)-2)/100))*0</f>
        <v>0</v>
      </c>
      <c r="I163" s="29">
        <f>G161*H163</f>
        <v>0</v>
      </c>
      <c r="J163">
        <v>3</v>
      </c>
      <c r="K163" s="4">
        <v>0</v>
      </c>
      <c r="L163" s="4">
        <v>0</v>
      </c>
      <c r="M163" s="4">
        <f>I163-K163-L163</f>
        <v>0</v>
      </c>
    </row>
    <row r="164" spans="1:19" x14ac:dyDescent="0.3">
      <c r="A164" s="98"/>
      <c r="B164" s="98"/>
      <c r="C164" s="98"/>
      <c r="D164" s="98"/>
      <c r="E164" s="98"/>
      <c r="F164" s="98"/>
      <c r="G164" s="98"/>
      <c r="H164" s="38">
        <f>0</f>
        <v>0</v>
      </c>
      <c r="I164" s="29">
        <f>G161*H164</f>
        <v>0</v>
      </c>
      <c r="J164">
        <v>4</v>
      </c>
      <c r="N164" s="4">
        <f>IF(ISERR(SEARCH("TRA* 82",C161)),IF(Q164+R164+S164=0,0,I164*(Q164/(Q164+R164+S164))),I164)</f>
        <v>0</v>
      </c>
      <c r="O164" s="4">
        <f>IF(ISERR(SEARCH("TRA* 82",C161)),IF(Q164+R164+S164=0,0,I164*(R164/(Q164+R164+S164))),0)</f>
        <v>0</v>
      </c>
      <c r="P164" s="4">
        <f>IF(ISERR(SEARCH("TRA* 82",C161)),I164-N164-O164,0)</f>
        <v>0</v>
      </c>
      <c r="Q164" s="4">
        <v>0</v>
      </c>
      <c r="R164" s="4">
        <v>0</v>
      </c>
      <c r="S164" s="4">
        <v>0</v>
      </c>
    </row>
    <row r="165" spans="1:19" x14ac:dyDescent="0.3">
      <c r="A165" s="96" t="s">
        <v>27</v>
      </c>
      <c r="B165" s="97"/>
      <c r="C165" s="97"/>
      <c r="D165" s="97"/>
      <c r="E165" s="97"/>
      <c r="F165" s="97"/>
      <c r="G165" s="97"/>
      <c r="H165" s="36">
        <f>H161+H162+H163+H164</f>
        <v>2.2428695652173913</v>
      </c>
      <c r="I165" s="74">
        <f>I161+I162+I163+I164</f>
        <v>773.79</v>
      </c>
      <c r="J165">
        <v>5</v>
      </c>
    </row>
    <row r="166" spans="1:19" x14ac:dyDescent="0.3">
      <c r="B166" s="2">
        <v>22</v>
      </c>
      <c r="C166" s="3" t="s">
        <v>623</v>
      </c>
      <c r="D166" s="5" t="s">
        <v>25</v>
      </c>
      <c r="G166" s="30">
        <v>215</v>
      </c>
      <c r="H166" s="38">
        <f>612.97/G166</f>
        <v>2.8510232558139537</v>
      </c>
      <c r="I166" s="29">
        <f>G166*H166</f>
        <v>612.97</v>
      </c>
      <c r="J166">
        <v>1</v>
      </c>
    </row>
    <row r="167" spans="1:19" x14ac:dyDescent="0.3">
      <c r="D167" s="15" t="str">
        <f>SUBSTITUTE("Sp.mat: 0.00%",".",IF(VALUE("1.2")=1.2,".",","),2)</f>
        <v>Sp.mat: 0.00%</v>
      </c>
      <c r="F167" s="15" t="str">
        <f>SUBSTITUTE("Sp.man: 0.00%",".",IF(VALUE("1.2")=1.2,".",","),2)</f>
        <v>Sp.man: 0.00%</v>
      </c>
      <c r="G167" s="35" t="str">
        <f>SUBSTITUTE("Sp.uti: 0.00%",".",IF(VALUE("1.2")=1.2,".",","),2)</f>
        <v>Sp.uti: 0.00%</v>
      </c>
      <c r="H167" s="38">
        <f>(1+IF(OR(ISERR(FIND(":",F167)),ISERR(FIND("%",F167))),0,MID(F167,FIND(":",F167)+2,FIND("%",F167)-FIND(":",F167)-2)/100))*0</f>
        <v>0</v>
      </c>
      <c r="I167" s="29">
        <f>G166*H167</f>
        <v>0</v>
      </c>
      <c r="J167">
        <v>2</v>
      </c>
    </row>
    <row r="168" spans="1:19" x14ac:dyDescent="0.3">
      <c r="A168" s="88" t="s">
        <v>624</v>
      </c>
      <c r="B168" s="98"/>
      <c r="C168" s="98"/>
      <c r="D168" s="98"/>
      <c r="E168" s="98"/>
      <c r="F168" s="98"/>
      <c r="G168" s="98"/>
      <c r="H168" s="38">
        <f>(1+IF(OR(ISERR(FIND(":",G167)),ISERR(FIND("%",G167))),0,MID(G167,FIND(":",G167)+2,FIND("%",G167)-FIND(":",G167)-2)/100))*0</f>
        <v>0</v>
      </c>
      <c r="I168" s="29">
        <f>G166*H168</f>
        <v>0</v>
      </c>
      <c r="J168">
        <v>3</v>
      </c>
      <c r="K168" s="4">
        <v>0</v>
      </c>
      <c r="L168" s="4">
        <v>0</v>
      </c>
      <c r="M168" s="4">
        <f>I168-K168-L168</f>
        <v>0</v>
      </c>
    </row>
    <row r="169" spans="1:19" x14ac:dyDescent="0.3">
      <c r="A169" s="98"/>
      <c r="B169" s="98"/>
      <c r="C169" s="98"/>
      <c r="D169" s="98"/>
      <c r="E169" s="98"/>
      <c r="F169" s="98"/>
      <c r="G169" s="98"/>
      <c r="H169" s="38">
        <f>0</f>
        <v>0</v>
      </c>
      <c r="I169" s="29">
        <f>G166*H169</f>
        <v>0</v>
      </c>
      <c r="J169">
        <v>4</v>
      </c>
      <c r="N169" s="4">
        <f>IF(ISERR(SEARCH("TRA* 82",C166)),IF(Q169+R169+S169=0,0,I169*(Q169/(Q169+R169+S169))),I169)</f>
        <v>0</v>
      </c>
      <c r="O169" s="4">
        <f>IF(ISERR(SEARCH("TRA* 82",C166)),IF(Q169+R169+S169=0,0,I169*(R169/(Q169+R169+S169))),0)</f>
        <v>0</v>
      </c>
      <c r="P169" s="4">
        <f>IF(ISERR(SEARCH("TRA* 82",C166)),I169-N169-O169,0)</f>
        <v>0</v>
      </c>
      <c r="Q169" s="4">
        <v>0</v>
      </c>
      <c r="R169" s="4">
        <v>0</v>
      </c>
      <c r="S169" s="4">
        <v>0</v>
      </c>
    </row>
    <row r="170" spans="1:19" x14ac:dyDescent="0.3">
      <c r="A170" s="96" t="s">
        <v>27</v>
      </c>
      <c r="B170" s="97"/>
      <c r="C170" s="97"/>
      <c r="D170" s="97"/>
      <c r="E170" s="97"/>
      <c r="F170" s="97"/>
      <c r="G170" s="97"/>
      <c r="H170" s="36">
        <f>H166+H167+H168+H169</f>
        <v>2.8510232558139537</v>
      </c>
      <c r="I170" s="74">
        <f>I166+I167+I168+I169</f>
        <v>612.97</v>
      </c>
      <c r="J170">
        <v>5</v>
      </c>
    </row>
    <row r="171" spans="1:19" x14ac:dyDescent="0.3">
      <c r="B171" s="2">
        <v>23</v>
      </c>
      <c r="C171" s="3" t="s">
        <v>625</v>
      </c>
      <c r="D171" s="5" t="s">
        <v>25</v>
      </c>
      <c r="G171" s="30">
        <v>85</v>
      </c>
      <c r="H171" s="38">
        <f>269.57/G171</f>
        <v>3.1714117647058822</v>
      </c>
      <c r="I171" s="29">
        <f>G171*H171</f>
        <v>269.57</v>
      </c>
      <c r="J171">
        <v>1</v>
      </c>
    </row>
    <row r="172" spans="1:19" x14ac:dyDescent="0.3">
      <c r="D172" s="15" t="str">
        <f>SUBSTITUTE("Sp.mat: 0.00%",".",IF(VALUE("1.2")=1.2,".",","),2)</f>
        <v>Sp.mat: 0.00%</v>
      </c>
      <c r="F172" s="15" t="str">
        <f>SUBSTITUTE("Sp.man: 0.00%",".",IF(VALUE("1.2")=1.2,".",","),2)</f>
        <v>Sp.man: 0.00%</v>
      </c>
      <c r="G172" s="35" t="str">
        <f>SUBSTITUTE("Sp.uti: 0.00%",".",IF(VALUE("1.2")=1.2,".",","),2)</f>
        <v>Sp.uti: 0.00%</v>
      </c>
      <c r="H172" s="38">
        <f>(1+IF(OR(ISERR(FIND(":",F172)),ISERR(FIND("%",F172))),0,MID(F172,FIND(":",F172)+2,FIND("%",F172)-FIND(":",F172)-2)/100))*0</f>
        <v>0</v>
      </c>
      <c r="I172" s="29">
        <f>G171*H172</f>
        <v>0</v>
      </c>
      <c r="J172">
        <v>2</v>
      </c>
    </row>
    <row r="173" spans="1:19" x14ac:dyDescent="0.3">
      <c r="A173" s="88" t="s">
        <v>626</v>
      </c>
      <c r="B173" s="98"/>
      <c r="C173" s="98"/>
      <c r="D173" s="98"/>
      <c r="E173" s="98"/>
      <c r="F173" s="98"/>
      <c r="G173" s="98"/>
      <c r="H173" s="38">
        <f>(1+IF(OR(ISERR(FIND(":",G172)),ISERR(FIND("%",G172))),0,MID(G172,FIND(":",G172)+2,FIND("%",G172)-FIND(":",G172)-2)/100))*0</f>
        <v>0</v>
      </c>
      <c r="I173" s="29">
        <f>G171*H173</f>
        <v>0</v>
      </c>
      <c r="J173">
        <v>3</v>
      </c>
      <c r="K173" s="4">
        <v>0</v>
      </c>
      <c r="L173" s="4">
        <v>0</v>
      </c>
      <c r="M173" s="4">
        <f>I173-K173-L173</f>
        <v>0</v>
      </c>
    </row>
    <row r="174" spans="1:19" x14ac:dyDescent="0.3">
      <c r="A174" s="98"/>
      <c r="B174" s="98"/>
      <c r="C174" s="98"/>
      <c r="D174" s="98"/>
      <c r="E174" s="98"/>
      <c r="F174" s="98"/>
      <c r="G174" s="98"/>
      <c r="H174" s="38">
        <f>0</f>
        <v>0</v>
      </c>
      <c r="I174" s="29">
        <f>G171*H174</f>
        <v>0</v>
      </c>
      <c r="J174">
        <v>4</v>
      </c>
      <c r="N174" s="4">
        <f>IF(ISERR(SEARCH("TRA* 82",C171)),IF(Q174+R174+S174=0,0,I174*(Q174/(Q174+R174+S174))),I174)</f>
        <v>0</v>
      </c>
      <c r="O174" s="4">
        <f>IF(ISERR(SEARCH("TRA* 82",C171)),IF(Q174+R174+S174=0,0,I174*(R174/(Q174+R174+S174))),0)</f>
        <v>0</v>
      </c>
      <c r="P174" s="4">
        <f>IF(ISERR(SEARCH("TRA* 82",C171)),I174-N174-O174,0)</f>
        <v>0</v>
      </c>
      <c r="Q174" s="4">
        <v>0</v>
      </c>
      <c r="R174" s="4">
        <v>0</v>
      </c>
      <c r="S174" s="4">
        <v>0</v>
      </c>
    </row>
    <row r="175" spans="1:19" x14ac:dyDescent="0.3">
      <c r="A175" s="96" t="s">
        <v>27</v>
      </c>
      <c r="B175" s="97"/>
      <c r="C175" s="97"/>
      <c r="D175" s="97"/>
      <c r="E175" s="97"/>
      <c r="F175" s="97"/>
      <c r="G175" s="97"/>
      <c r="H175" s="36">
        <f>H171+H172+H173+H174</f>
        <v>3.1714117647058822</v>
      </c>
      <c r="I175" s="74">
        <f>I171+I172+I173+I174</f>
        <v>269.57</v>
      </c>
      <c r="J175">
        <v>5</v>
      </c>
    </row>
    <row r="176" spans="1:19" x14ac:dyDescent="0.3">
      <c r="B176" s="2">
        <v>24</v>
      </c>
      <c r="C176" s="3" t="s">
        <v>660</v>
      </c>
      <c r="D176" s="5" t="s">
        <v>25</v>
      </c>
      <c r="G176" s="30">
        <v>85</v>
      </c>
      <c r="H176" s="38">
        <f>291.35/G176</f>
        <v>3.4276470588235295</v>
      </c>
      <c r="I176" s="29">
        <f>G176*H176</f>
        <v>291.35000000000002</v>
      </c>
      <c r="J176">
        <v>1</v>
      </c>
    </row>
    <row r="177" spans="1:19" x14ac:dyDescent="0.3">
      <c r="D177" s="15" t="str">
        <f>SUBSTITUTE("Sp.mat: 0.00%",".",IF(VALUE("1.2")=1.2,".",","),2)</f>
        <v>Sp.mat: 0.00%</v>
      </c>
      <c r="F177" s="15" t="str">
        <f>SUBSTITUTE("Sp.man: 0.00%",".",IF(VALUE("1.2")=1.2,".",","),2)</f>
        <v>Sp.man: 0.00%</v>
      </c>
      <c r="G177" s="35" t="str">
        <f>SUBSTITUTE("Sp.uti: 0.00%",".",IF(VALUE("1.2")=1.2,".",","),2)</f>
        <v>Sp.uti: 0.00%</v>
      </c>
      <c r="H177" s="38">
        <f>(1+IF(OR(ISERR(FIND(":",F177)),ISERR(FIND("%",F177))),0,MID(F177,FIND(":",F177)+2,FIND("%",F177)-FIND(":",F177)-2)/100))*0</f>
        <v>0</v>
      </c>
      <c r="I177" s="29">
        <f>G176*H177</f>
        <v>0</v>
      </c>
      <c r="J177">
        <v>2</v>
      </c>
    </row>
    <row r="178" spans="1:19" x14ac:dyDescent="0.3">
      <c r="A178" s="88" t="s">
        <v>661</v>
      </c>
      <c r="B178" s="98"/>
      <c r="C178" s="98"/>
      <c r="D178" s="98"/>
      <c r="E178" s="98"/>
      <c r="F178" s="98"/>
      <c r="G178" s="98"/>
      <c r="H178" s="38">
        <f>(1+IF(OR(ISERR(FIND(":",G177)),ISERR(FIND("%",G177))),0,MID(G177,FIND(":",G177)+2,FIND("%",G177)-FIND(":",G177)-2)/100))*0</f>
        <v>0</v>
      </c>
      <c r="I178" s="29">
        <f>G176*H178</f>
        <v>0</v>
      </c>
      <c r="J178">
        <v>3</v>
      </c>
      <c r="K178" s="4">
        <v>0</v>
      </c>
      <c r="L178" s="4">
        <v>0</v>
      </c>
      <c r="M178" s="4">
        <f>I178-K178-L178</f>
        <v>0</v>
      </c>
    </row>
    <row r="179" spans="1:19" x14ac:dyDescent="0.3">
      <c r="A179" s="98"/>
      <c r="B179" s="98"/>
      <c r="C179" s="98"/>
      <c r="D179" s="98"/>
      <c r="E179" s="98"/>
      <c r="F179" s="98"/>
      <c r="G179" s="98"/>
      <c r="H179" s="38">
        <f>0</f>
        <v>0</v>
      </c>
      <c r="I179" s="29">
        <f>G176*H179</f>
        <v>0</v>
      </c>
      <c r="J179">
        <v>4</v>
      </c>
      <c r="N179" s="4">
        <f>IF(ISERR(SEARCH("TRA* 82",C176)),IF(Q179+R179+S179=0,0,I179*(Q179/(Q179+R179+S179))),I179)</f>
        <v>0</v>
      </c>
      <c r="O179" s="4">
        <f>IF(ISERR(SEARCH("TRA* 82",C176)),IF(Q179+R179+S179=0,0,I179*(R179/(Q179+R179+S179))),0)</f>
        <v>0</v>
      </c>
      <c r="P179" s="4">
        <f>IF(ISERR(SEARCH("TRA* 82",C176)),I179-N179-O179,0)</f>
        <v>0</v>
      </c>
      <c r="Q179" s="4">
        <v>0</v>
      </c>
      <c r="R179" s="4">
        <v>0</v>
      </c>
      <c r="S179" s="4">
        <v>0</v>
      </c>
    </row>
    <row r="180" spans="1:19" x14ac:dyDescent="0.3">
      <c r="A180" s="96" t="s">
        <v>27</v>
      </c>
      <c r="B180" s="97"/>
      <c r="C180" s="97"/>
      <c r="D180" s="97"/>
      <c r="E180" s="97"/>
      <c r="F180" s="97"/>
      <c r="G180" s="97"/>
      <c r="H180" s="36">
        <f>H176+H177+H178+H179</f>
        <v>3.4276470588235295</v>
      </c>
      <c r="I180" s="74">
        <f>I176+I177+I178+I179</f>
        <v>291.35000000000002</v>
      </c>
      <c r="J180">
        <v>5</v>
      </c>
    </row>
    <row r="181" spans="1:19" x14ac:dyDescent="0.3">
      <c r="B181" s="2">
        <v>25</v>
      </c>
      <c r="C181" s="3" t="s">
        <v>662</v>
      </c>
      <c r="D181" s="5" t="s">
        <v>25</v>
      </c>
      <c r="G181" s="30">
        <v>60</v>
      </c>
      <c r="H181" s="38">
        <f>230.64/G181</f>
        <v>3.8439999999999999</v>
      </c>
      <c r="I181" s="29">
        <f>G181*H181</f>
        <v>230.64</v>
      </c>
      <c r="J181">
        <v>1</v>
      </c>
    </row>
    <row r="182" spans="1:19" x14ac:dyDescent="0.3">
      <c r="D182" s="15" t="str">
        <f>SUBSTITUTE("Sp.mat: 0.00%",".",IF(VALUE("1.2")=1.2,".",","),2)</f>
        <v>Sp.mat: 0.00%</v>
      </c>
      <c r="F182" s="15" t="str">
        <f>SUBSTITUTE("Sp.man: 0.00%",".",IF(VALUE("1.2")=1.2,".",","),2)</f>
        <v>Sp.man: 0.00%</v>
      </c>
      <c r="G182" s="35" t="str">
        <f>SUBSTITUTE("Sp.uti: 0.00%",".",IF(VALUE("1.2")=1.2,".",","),2)</f>
        <v>Sp.uti: 0.00%</v>
      </c>
      <c r="H182" s="38">
        <f>(1+IF(OR(ISERR(FIND(":",F182)),ISERR(FIND("%",F182))),0,MID(F182,FIND(":",F182)+2,FIND("%",F182)-FIND(":",F182)-2)/100))*0</f>
        <v>0</v>
      </c>
      <c r="I182" s="29">
        <f>G181*H182</f>
        <v>0</v>
      </c>
      <c r="J182">
        <v>2</v>
      </c>
    </row>
    <row r="183" spans="1:19" x14ac:dyDescent="0.3">
      <c r="A183" s="88" t="s">
        <v>663</v>
      </c>
      <c r="B183" s="98"/>
      <c r="C183" s="98"/>
      <c r="D183" s="98"/>
      <c r="E183" s="98"/>
      <c r="F183" s="98"/>
      <c r="G183" s="98"/>
      <c r="H183" s="38">
        <f>(1+IF(OR(ISERR(FIND(":",G182)),ISERR(FIND("%",G182))),0,MID(G182,FIND(":",G182)+2,FIND("%",G182)-FIND(":",G182)-2)/100))*0</f>
        <v>0</v>
      </c>
      <c r="I183" s="29">
        <f>G181*H183</f>
        <v>0</v>
      </c>
      <c r="J183">
        <v>3</v>
      </c>
      <c r="K183" s="4">
        <v>0</v>
      </c>
      <c r="L183" s="4">
        <v>0</v>
      </c>
      <c r="M183" s="4">
        <f>I183-K183-L183</f>
        <v>0</v>
      </c>
    </row>
    <row r="184" spans="1:19" x14ac:dyDescent="0.3">
      <c r="A184" s="98"/>
      <c r="B184" s="98"/>
      <c r="C184" s="98"/>
      <c r="D184" s="98"/>
      <c r="E184" s="98"/>
      <c r="F184" s="98"/>
      <c r="G184" s="98"/>
      <c r="H184" s="38">
        <f>0</f>
        <v>0</v>
      </c>
      <c r="I184" s="29">
        <f>G181*H184</f>
        <v>0</v>
      </c>
      <c r="J184">
        <v>4</v>
      </c>
      <c r="N184" s="4">
        <f>IF(ISERR(SEARCH("TRA* 82",C181)),IF(Q184+R184+S184=0,0,I184*(Q184/(Q184+R184+S184))),I184)</f>
        <v>0</v>
      </c>
      <c r="O184" s="4">
        <f>IF(ISERR(SEARCH("TRA* 82",C181)),IF(Q184+R184+S184=0,0,I184*(R184/(Q184+R184+S184))),0)</f>
        <v>0</v>
      </c>
      <c r="P184" s="4">
        <f>IF(ISERR(SEARCH("TRA* 82",C181)),I184-N184-O184,0)</f>
        <v>0</v>
      </c>
      <c r="Q184" s="4">
        <v>0</v>
      </c>
      <c r="R184" s="4">
        <v>0</v>
      </c>
      <c r="S184" s="4">
        <v>0</v>
      </c>
    </row>
    <row r="185" spans="1:19" x14ac:dyDescent="0.3">
      <c r="A185" s="96" t="s">
        <v>27</v>
      </c>
      <c r="B185" s="97"/>
      <c r="C185" s="97"/>
      <c r="D185" s="97"/>
      <c r="E185" s="97"/>
      <c r="F185" s="97"/>
      <c r="G185" s="97"/>
      <c r="H185" s="36">
        <f>H181+H182+H183+H184</f>
        <v>3.8439999999999999</v>
      </c>
      <c r="I185" s="74">
        <f>I181+I182+I183+I184</f>
        <v>230.64</v>
      </c>
      <c r="J185">
        <v>5</v>
      </c>
    </row>
    <row r="186" spans="1:19" x14ac:dyDescent="0.3">
      <c r="B186" s="2">
        <v>26</v>
      </c>
      <c r="C186" s="3" t="s">
        <v>664</v>
      </c>
      <c r="D186" s="5" t="s">
        <v>40</v>
      </c>
      <c r="G186" s="30">
        <v>25</v>
      </c>
      <c r="H186" s="38">
        <v>23.46</v>
      </c>
      <c r="I186" s="29">
        <f>G186*H186</f>
        <v>586.5</v>
      </c>
      <c r="J186">
        <v>1</v>
      </c>
    </row>
    <row r="187" spans="1:19" x14ac:dyDescent="0.3">
      <c r="D187" s="15" t="str">
        <f>SUBSTITUTE("Sp.mat: 0.00%",".",IF(VALUE("1.2")=1.2,".",","),2)</f>
        <v>Sp.mat: 0.00%</v>
      </c>
      <c r="F187" s="15" t="str">
        <f>SUBSTITUTE("Sp.man: 0.00%",".",IF(VALUE("1.2")=1.2,".",","),2)</f>
        <v>Sp.man: 0.00%</v>
      </c>
      <c r="G187" s="35" t="str">
        <f>SUBSTITUTE("Sp.uti: 0.00%",".",IF(VALUE("1.2")=1.2,".",","),2)</f>
        <v>Sp.uti: 0.00%</v>
      </c>
      <c r="H187" s="38">
        <v>13.93</v>
      </c>
      <c r="I187" s="29">
        <f>G186*H187</f>
        <v>348.25</v>
      </c>
      <c r="J187">
        <v>2</v>
      </c>
    </row>
    <row r="188" spans="1:19" x14ac:dyDescent="0.3">
      <c r="A188" s="88" t="s">
        <v>665</v>
      </c>
      <c r="B188" s="98"/>
      <c r="C188" s="98"/>
      <c r="D188" s="98"/>
      <c r="E188" s="98"/>
      <c r="F188" s="98"/>
      <c r="G188" s="98"/>
      <c r="H188" s="38">
        <f>(1+IF(OR(ISERR(FIND(":",G187)),ISERR(FIND("%",G187))),0,MID(G187,FIND(":",G187)+2,FIND("%",G187)-FIND(":",G187)-2)/100))*0</f>
        <v>0</v>
      </c>
      <c r="I188" s="29">
        <f>G186*H188</f>
        <v>0</v>
      </c>
      <c r="J188">
        <v>3</v>
      </c>
      <c r="K188" s="4">
        <v>0</v>
      </c>
      <c r="L188" s="4">
        <v>0</v>
      </c>
      <c r="M188" s="4">
        <f>I188-K188-L188</f>
        <v>0</v>
      </c>
    </row>
    <row r="189" spans="1:19" x14ac:dyDescent="0.3">
      <c r="A189" s="98"/>
      <c r="B189" s="98"/>
      <c r="C189" s="98"/>
      <c r="D189" s="98"/>
      <c r="E189" s="98"/>
      <c r="F189" s="98"/>
      <c r="G189" s="98"/>
      <c r="H189" s="38">
        <f>0</f>
        <v>0</v>
      </c>
      <c r="I189" s="29">
        <f>G186*H189</f>
        <v>0</v>
      </c>
      <c r="J189">
        <v>4</v>
      </c>
      <c r="N189" s="4">
        <f>IF(ISERR(SEARCH("TRA* 82",C186)),IF(Q189+R189+S189=0,0,I189*(Q189/(Q189+R189+S189))),I189)</f>
        <v>0</v>
      </c>
      <c r="O189" s="4">
        <f>IF(ISERR(SEARCH("TRA* 82",C186)),IF(Q189+R189+S189=0,0,I189*(R189/(Q189+R189+S189))),0)</f>
        <v>0</v>
      </c>
      <c r="P189" s="4">
        <f>IF(ISERR(SEARCH("TRA* 82",C186)),I189-N189-O189,0)</f>
        <v>0</v>
      </c>
      <c r="Q189" s="4">
        <v>0</v>
      </c>
      <c r="R189" s="4">
        <v>0</v>
      </c>
      <c r="S189" s="4">
        <v>0</v>
      </c>
    </row>
    <row r="190" spans="1:19" x14ac:dyDescent="0.3">
      <c r="A190" s="100" t="s">
        <v>87</v>
      </c>
      <c r="B190" s="101"/>
      <c r="C190" s="101"/>
      <c r="D190" s="101"/>
      <c r="E190" s="101"/>
      <c r="F190" s="101"/>
      <c r="G190" s="101"/>
      <c r="H190" s="33">
        <f>H186+H187+H188+H189</f>
        <v>37.39</v>
      </c>
      <c r="I190" s="37">
        <f>I186+I187+I188+I189</f>
        <v>934.75</v>
      </c>
      <c r="J190">
        <v>5</v>
      </c>
    </row>
    <row r="191" spans="1:19" x14ac:dyDescent="0.3">
      <c r="A191" s="99" t="s">
        <v>666</v>
      </c>
      <c r="B191" s="99"/>
      <c r="C191" s="99"/>
      <c r="D191" s="99"/>
      <c r="E191" s="99"/>
      <c r="F191" s="99"/>
      <c r="G191" s="99"/>
      <c r="H191" s="99"/>
      <c r="I191" s="99"/>
    </row>
    <row r="192" spans="1:19" x14ac:dyDescent="0.3">
      <c r="B192" s="2">
        <v>27</v>
      </c>
      <c r="C192" s="3" t="s">
        <v>331</v>
      </c>
      <c r="D192" s="5" t="s">
        <v>29</v>
      </c>
      <c r="G192" s="30">
        <v>44</v>
      </c>
      <c r="H192" s="38">
        <v>17.93</v>
      </c>
      <c r="I192" s="29">
        <f>G192*H192</f>
        <v>788.92</v>
      </c>
      <c r="J192">
        <v>1</v>
      </c>
    </row>
    <row r="193" spans="1:19" x14ac:dyDescent="0.3">
      <c r="D193" s="15" t="str">
        <f>SUBSTITUTE("Sp.mat: 0.00%",".",IF(VALUE("1.2")=1.2,".",","),2)</f>
        <v>Sp.mat: 0.00%</v>
      </c>
      <c r="F193" s="15" t="str">
        <f>SUBSTITUTE("Sp.man: 0.00%",".",IF(VALUE("1.2")=1.2,".",","),2)</f>
        <v>Sp.man: 0.00%</v>
      </c>
      <c r="G193" s="35" t="str">
        <f>SUBSTITUTE("Sp.uti: 0.00%",".",IF(VALUE("1.2")=1.2,".",","),2)</f>
        <v>Sp.uti: 0.00%</v>
      </c>
      <c r="H193" s="38">
        <v>4</v>
      </c>
      <c r="I193" s="29">
        <f>G192*H193</f>
        <v>176</v>
      </c>
      <c r="J193">
        <v>2</v>
      </c>
    </row>
    <row r="194" spans="1:19" x14ac:dyDescent="0.3">
      <c r="A194" s="88" t="s">
        <v>332</v>
      </c>
      <c r="B194" s="98"/>
      <c r="C194" s="98"/>
      <c r="D194" s="98"/>
      <c r="E194" s="98"/>
      <c r="F194" s="98"/>
      <c r="G194" s="98"/>
      <c r="H194" s="38">
        <f>(1+IF(OR(ISERR(FIND(":",G193)),ISERR(FIND("%",G193))),0,MID(G193,FIND(":",G193)+2,FIND("%",G193)-FIND(":",G193)-2)/100))*0</f>
        <v>0</v>
      </c>
      <c r="I194" s="29">
        <f>G192*H194</f>
        <v>0</v>
      </c>
      <c r="J194">
        <v>3</v>
      </c>
      <c r="K194" s="4">
        <v>0</v>
      </c>
      <c r="L194" s="4">
        <v>0</v>
      </c>
      <c r="M194" s="4">
        <f>I194-K194-L194</f>
        <v>0</v>
      </c>
    </row>
    <row r="195" spans="1:19" x14ac:dyDescent="0.3">
      <c r="A195" s="98"/>
      <c r="B195" s="98"/>
      <c r="C195" s="98"/>
      <c r="D195" s="98"/>
      <c r="E195" s="98"/>
      <c r="F195" s="98"/>
      <c r="G195" s="98"/>
      <c r="H195" s="38">
        <f>0</f>
        <v>0</v>
      </c>
      <c r="I195" s="29">
        <f>G192*H195</f>
        <v>0</v>
      </c>
      <c r="J195">
        <v>4</v>
      </c>
      <c r="N195" s="4">
        <f>IF(ISERR(SEARCH("TRA* 82",C192)),IF(Q195+R195+S195=0,0,I195*(Q195/(Q195+R195+S195))),I195)</f>
        <v>0</v>
      </c>
      <c r="O195" s="4">
        <f>IF(ISERR(SEARCH("TRA* 82",C192)),IF(Q195+R195+S195=0,0,I195*(R195/(Q195+R195+S195))),0)</f>
        <v>0</v>
      </c>
      <c r="P195" s="4">
        <f>IF(ISERR(SEARCH("TRA* 82",C192)),I195-N195-O195,0)</f>
        <v>0</v>
      </c>
      <c r="Q195" s="4">
        <v>0</v>
      </c>
      <c r="R195" s="4">
        <v>0</v>
      </c>
      <c r="S195" s="4">
        <v>0</v>
      </c>
    </row>
    <row r="196" spans="1:19" x14ac:dyDescent="0.3">
      <c r="A196" s="100" t="s">
        <v>87</v>
      </c>
      <c r="B196" s="101"/>
      <c r="C196" s="101"/>
      <c r="D196" s="101"/>
      <c r="E196" s="101"/>
      <c r="F196" s="101"/>
      <c r="G196" s="101"/>
      <c r="H196" s="33">
        <f>H192+H193+H194+H195</f>
        <v>21.93</v>
      </c>
      <c r="I196" s="37">
        <f>I192+I193+I194+I195</f>
        <v>964.92</v>
      </c>
      <c r="J196">
        <v>5</v>
      </c>
    </row>
    <row r="197" spans="1:19" x14ac:dyDescent="0.3">
      <c r="A197" s="99" t="s">
        <v>370</v>
      </c>
      <c r="B197" s="99"/>
      <c r="C197" s="99"/>
      <c r="D197" s="99"/>
      <c r="E197" s="99"/>
      <c r="F197" s="99"/>
      <c r="G197" s="99"/>
      <c r="H197" s="99"/>
      <c r="I197" s="99"/>
    </row>
    <row r="198" spans="1:19" x14ac:dyDescent="0.3">
      <c r="B198" s="2">
        <v>28</v>
      </c>
      <c r="C198" s="3" t="s">
        <v>372</v>
      </c>
      <c r="D198" s="5" t="s">
        <v>29</v>
      </c>
      <c r="G198" s="30">
        <v>44</v>
      </c>
      <c r="H198" s="38">
        <v>20.21</v>
      </c>
      <c r="I198" s="29">
        <f>G198*H198</f>
        <v>889.24</v>
      </c>
      <c r="J198">
        <v>1</v>
      </c>
    </row>
    <row r="199" spans="1:19" x14ac:dyDescent="0.3">
      <c r="D199" s="15" t="str">
        <f>SUBSTITUTE("Sp.mat: 0.00%",".",IF(VALUE("1.2")=1.2,".",","),2)</f>
        <v>Sp.mat: 0.00%</v>
      </c>
      <c r="F199" s="15" t="str">
        <f>SUBSTITUTE("Sp.man: 0.00%",".",IF(VALUE("1.2")=1.2,".",","),2)</f>
        <v>Sp.man: 0.00%</v>
      </c>
      <c r="G199" s="35" t="str">
        <f>SUBSTITUTE("Sp.uti: 0.00%",".",IF(VALUE("1.2")=1.2,".",","),2)</f>
        <v>Sp.uti: 0.00%</v>
      </c>
      <c r="H199" s="38">
        <v>4</v>
      </c>
      <c r="I199" s="29">
        <f>G198*H199</f>
        <v>176</v>
      </c>
      <c r="J199">
        <v>2</v>
      </c>
    </row>
    <row r="200" spans="1:19" x14ac:dyDescent="0.3">
      <c r="A200" s="88" t="s">
        <v>373</v>
      </c>
      <c r="B200" s="98"/>
      <c r="C200" s="98"/>
      <c r="D200" s="98"/>
      <c r="E200" s="98"/>
      <c r="F200" s="98"/>
      <c r="G200" s="98"/>
      <c r="H200" s="38">
        <f>(1+IF(OR(ISERR(FIND(":",G199)),ISERR(FIND("%",G199))),0,MID(G199,FIND(":",G199)+2,FIND("%",G199)-FIND(":",G199)-2)/100))*0</f>
        <v>0</v>
      </c>
      <c r="I200" s="29">
        <f>G198*H200</f>
        <v>0</v>
      </c>
      <c r="J200">
        <v>3</v>
      </c>
      <c r="K200" s="4">
        <v>0</v>
      </c>
      <c r="L200" s="4">
        <v>0</v>
      </c>
      <c r="M200" s="4">
        <f>I200-K200-L200</f>
        <v>0</v>
      </c>
    </row>
    <row r="201" spans="1:19" x14ac:dyDescent="0.3">
      <c r="A201" s="98"/>
      <c r="B201" s="98"/>
      <c r="C201" s="98"/>
      <c r="D201" s="98"/>
      <c r="E201" s="98"/>
      <c r="F201" s="98"/>
      <c r="G201" s="98"/>
      <c r="H201" s="38">
        <f>0</f>
        <v>0</v>
      </c>
      <c r="I201" s="29">
        <f>G198*H201</f>
        <v>0</v>
      </c>
      <c r="J201">
        <v>4</v>
      </c>
      <c r="N201" s="4">
        <f>IF(ISERR(SEARCH("TRA* 82",C198)),IF(Q201+R201+S201=0,0,I201*(Q201/(Q201+R201+S201))),I201)</f>
        <v>0</v>
      </c>
      <c r="O201" s="4">
        <f>IF(ISERR(SEARCH("TRA* 82",C198)),IF(Q201+R201+S201=0,0,I201*(R201/(Q201+R201+S201))),0)</f>
        <v>0</v>
      </c>
      <c r="P201" s="4">
        <f>IF(ISERR(SEARCH("TRA* 82",C198)),I201-N201-O201,0)</f>
        <v>0</v>
      </c>
      <c r="Q201" s="4">
        <v>0</v>
      </c>
      <c r="R201" s="4">
        <v>0</v>
      </c>
      <c r="S201" s="4">
        <v>0</v>
      </c>
    </row>
    <row r="202" spans="1:19" x14ac:dyDescent="0.3">
      <c r="A202" s="100" t="s">
        <v>87</v>
      </c>
      <c r="B202" s="101"/>
      <c r="C202" s="101"/>
      <c r="D202" s="101"/>
      <c r="E202" s="101"/>
      <c r="F202" s="101"/>
      <c r="G202" s="101"/>
      <c r="H202" s="33">
        <f>H198+H199+H200+H201</f>
        <v>24.21</v>
      </c>
      <c r="I202" s="37">
        <f>I198+I199+I200+I201</f>
        <v>1065.24</v>
      </c>
      <c r="J202">
        <v>5</v>
      </c>
    </row>
    <row r="203" spans="1:19" x14ac:dyDescent="0.3">
      <c r="A203" s="99" t="s">
        <v>374</v>
      </c>
      <c r="B203" s="99"/>
      <c r="C203" s="99"/>
      <c r="D203" s="99"/>
      <c r="E203" s="99"/>
      <c r="F203" s="99"/>
      <c r="G203" s="99"/>
      <c r="H203" s="99"/>
      <c r="I203" s="99"/>
    </row>
    <row r="204" spans="1:19" x14ac:dyDescent="0.3">
      <c r="B204" s="2">
        <v>29</v>
      </c>
      <c r="C204" s="3" t="s">
        <v>338</v>
      </c>
      <c r="D204" s="5" t="s">
        <v>29</v>
      </c>
      <c r="G204" s="30">
        <v>4</v>
      </c>
      <c r="H204" s="38">
        <v>51.02</v>
      </c>
      <c r="I204" s="29">
        <f>G204*H204</f>
        <v>204.08</v>
      </c>
      <c r="J204">
        <v>1</v>
      </c>
    </row>
    <row r="205" spans="1:19" x14ac:dyDescent="0.3">
      <c r="D205" s="15" t="str">
        <f>SUBSTITUTE("Sp.mat: 0.00%",".",IF(VALUE("1.2")=1.2,".",","),2)</f>
        <v>Sp.mat: 0.00%</v>
      </c>
      <c r="F205" s="15" t="str">
        <f>SUBSTITUTE("Sp.man: 0.00%",".",IF(VALUE("1.2")=1.2,".",","),2)</f>
        <v>Sp.man: 0.00%</v>
      </c>
      <c r="G205" s="35" t="str">
        <f>SUBSTITUTE("Sp.uti: 0.00%",".",IF(VALUE("1.2")=1.2,".",","),2)</f>
        <v>Sp.uti: 0.00%</v>
      </c>
      <c r="H205" s="38">
        <v>8.81</v>
      </c>
      <c r="I205" s="29">
        <f>G204*H205</f>
        <v>35.24</v>
      </c>
      <c r="J205">
        <v>2</v>
      </c>
    </row>
    <row r="206" spans="1:19" x14ac:dyDescent="0.3">
      <c r="A206" s="88" t="s">
        <v>339</v>
      </c>
      <c r="B206" s="98"/>
      <c r="C206" s="98"/>
      <c r="D206" s="98"/>
      <c r="E206" s="98"/>
      <c r="F206" s="98"/>
      <c r="G206" s="98"/>
      <c r="H206" s="38">
        <f>(1+IF(OR(ISERR(FIND(":",G205)),ISERR(FIND("%",G205))),0,MID(G205,FIND(":",G205)+2,FIND("%",G205)-FIND(":",G205)-2)/100))*0</f>
        <v>0</v>
      </c>
      <c r="I206" s="29">
        <f>G204*H206</f>
        <v>0</v>
      </c>
      <c r="J206">
        <v>3</v>
      </c>
      <c r="K206" s="4">
        <v>0</v>
      </c>
      <c r="L206" s="4">
        <v>0</v>
      </c>
      <c r="M206" s="4">
        <f>I206-K206-L206</f>
        <v>0</v>
      </c>
    </row>
    <row r="207" spans="1:19" x14ac:dyDescent="0.3">
      <c r="A207" s="98"/>
      <c r="B207" s="98"/>
      <c r="C207" s="98"/>
      <c r="D207" s="98"/>
      <c r="E207" s="98"/>
      <c r="F207" s="98"/>
      <c r="G207" s="98"/>
      <c r="H207" s="38">
        <f>0</f>
        <v>0</v>
      </c>
      <c r="I207" s="29">
        <f>G204*H207</f>
        <v>0</v>
      </c>
      <c r="J207">
        <v>4</v>
      </c>
      <c r="N207" s="4">
        <f>IF(ISERR(SEARCH("TRA* 82",C204)),IF(Q207+R207+S207=0,0,I207*(Q207/(Q207+R207+S207))),I207)</f>
        <v>0</v>
      </c>
      <c r="O207" s="4">
        <f>IF(ISERR(SEARCH("TRA* 82",C204)),IF(Q207+R207+S207=0,0,I207*(R207/(Q207+R207+S207))),0)</f>
        <v>0</v>
      </c>
      <c r="P207" s="4">
        <f>IF(ISERR(SEARCH("TRA* 82",C204)),I207-N207-O207,0)</f>
        <v>0</v>
      </c>
      <c r="Q207" s="4">
        <v>0</v>
      </c>
      <c r="R207" s="4">
        <v>0</v>
      </c>
      <c r="S207" s="4">
        <v>0</v>
      </c>
    </row>
    <row r="208" spans="1:19" x14ac:dyDescent="0.3">
      <c r="A208" s="100" t="s">
        <v>27</v>
      </c>
      <c r="B208" s="101"/>
      <c r="C208" s="101"/>
      <c r="D208" s="101"/>
      <c r="E208" s="101"/>
      <c r="F208" s="101"/>
      <c r="G208" s="101"/>
      <c r="H208" s="33">
        <f>H204+H205+H206+H207</f>
        <v>59.830000000000005</v>
      </c>
      <c r="I208" s="37">
        <f>I204+I205+I206+I207</f>
        <v>239.32000000000002</v>
      </c>
      <c r="J208">
        <v>5</v>
      </c>
    </row>
    <row r="209" spans="1:19" x14ac:dyDescent="0.3">
      <c r="A209" s="99" t="s">
        <v>341</v>
      </c>
      <c r="B209" s="99"/>
      <c r="C209" s="99"/>
      <c r="D209" s="99"/>
      <c r="E209" s="99"/>
      <c r="F209" s="99"/>
      <c r="G209" s="99"/>
      <c r="H209" s="99"/>
      <c r="I209" s="99"/>
    </row>
    <row r="210" spans="1:19" x14ac:dyDescent="0.3">
      <c r="B210" s="2">
        <v>30</v>
      </c>
      <c r="C210" s="3" t="s">
        <v>342</v>
      </c>
      <c r="D210" s="5" t="s">
        <v>29</v>
      </c>
      <c r="G210" s="30">
        <v>2</v>
      </c>
      <c r="H210" s="38">
        <v>78.989999999999995</v>
      </c>
      <c r="I210" s="29">
        <f>G210*H210</f>
        <v>157.97999999999999</v>
      </c>
      <c r="J210">
        <v>1</v>
      </c>
    </row>
    <row r="211" spans="1:19" x14ac:dyDescent="0.3">
      <c r="D211" s="15" t="str">
        <f>SUBSTITUTE("Sp.mat: 0.00%",".",IF(VALUE("1.2")=1.2,".",","),2)</f>
        <v>Sp.mat: 0.00%</v>
      </c>
      <c r="F211" s="15" t="str">
        <f>SUBSTITUTE("Sp.man: 0.00%",".",IF(VALUE("1.2")=1.2,".",","),2)</f>
        <v>Sp.man: 0.00%</v>
      </c>
      <c r="G211" s="35" t="str">
        <f>SUBSTITUTE("Sp.uti: 0.00%",".",IF(VALUE("1.2")=1.2,".",","),2)</f>
        <v>Sp.uti: 0.00%</v>
      </c>
      <c r="H211" s="38">
        <v>12.01</v>
      </c>
      <c r="I211" s="29">
        <f>G210*H211</f>
        <v>24.02</v>
      </c>
      <c r="J211">
        <v>2</v>
      </c>
    </row>
    <row r="212" spans="1:19" x14ac:dyDescent="0.3">
      <c r="A212" s="88" t="s">
        <v>343</v>
      </c>
      <c r="B212" s="98"/>
      <c r="C212" s="98"/>
      <c r="D212" s="98"/>
      <c r="E212" s="98"/>
      <c r="F212" s="98"/>
      <c r="G212" s="98"/>
      <c r="H212" s="38">
        <f>(1+IF(OR(ISERR(FIND(":",G211)),ISERR(FIND("%",G211))),0,MID(G211,FIND(":",G211)+2,FIND("%",G211)-FIND(":",G211)-2)/100))*0</f>
        <v>0</v>
      </c>
      <c r="I212" s="29">
        <f>G210*H212</f>
        <v>0</v>
      </c>
      <c r="J212">
        <v>3</v>
      </c>
      <c r="K212" s="4">
        <v>0</v>
      </c>
      <c r="L212" s="4">
        <v>0</v>
      </c>
      <c r="M212" s="4">
        <f>I212-K212-L212</f>
        <v>0</v>
      </c>
    </row>
    <row r="213" spans="1:19" x14ac:dyDescent="0.3">
      <c r="A213" s="98"/>
      <c r="B213" s="98"/>
      <c r="C213" s="98"/>
      <c r="D213" s="98"/>
      <c r="E213" s="98"/>
      <c r="F213" s="98"/>
      <c r="G213" s="98"/>
      <c r="H213" s="38">
        <f>0</f>
        <v>0</v>
      </c>
      <c r="I213" s="29">
        <f>G210*H213</f>
        <v>0</v>
      </c>
      <c r="J213">
        <v>4</v>
      </c>
      <c r="N213" s="4">
        <f>IF(ISERR(SEARCH("TRA* 82",C210)),IF(Q213+R213+S213=0,0,I213*(Q213/(Q213+R213+S213))),I213)</f>
        <v>0</v>
      </c>
      <c r="O213" s="4">
        <f>IF(ISERR(SEARCH("TRA* 82",C210)),IF(Q213+R213+S213=0,0,I213*(R213/(Q213+R213+S213))),0)</f>
        <v>0</v>
      </c>
      <c r="P213" s="4">
        <f>IF(ISERR(SEARCH("TRA* 82",C210)),I213-N213-O213,0)</f>
        <v>0</v>
      </c>
      <c r="Q213" s="4">
        <v>0</v>
      </c>
      <c r="R213" s="4">
        <v>0</v>
      </c>
      <c r="S213" s="4">
        <v>0</v>
      </c>
    </row>
    <row r="214" spans="1:19" x14ac:dyDescent="0.3">
      <c r="A214" s="100" t="s">
        <v>27</v>
      </c>
      <c r="B214" s="101"/>
      <c r="C214" s="101"/>
      <c r="D214" s="101"/>
      <c r="E214" s="101"/>
      <c r="F214" s="101"/>
      <c r="G214" s="101"/>
      <c r="H214" s="33">
        <f>H210+H211+H212+H213</f>
        <v>91</v>
      </c>
      <c r="I214" s="37">
        <f>I210+I211+I212+I213</f>
        <v>182</v>
      </c>
      <c r="J214">
        <v>5</v>
      </c>
    </row>
    <row r="215" spans="1:19" x14ac:dyDescent="0.3">
      <c r="A215" s="99" t="s">
        <v>344</v>
      </c>
      <c r="B215" s="99"/>
      <c r="C215" s="99"/>
      <c r="D215" s="99"/>
      <c r="E215" s="99"/>
      <c r="F215" s="99"/>
      <c r="G215" s="99"/>
      <c r="H215" s="99"/>
      <c r="I215" s="99"/>
    </row>
    <row r="216" spans="1:19" x14ac:dyDescent="0.3">
      <c r="B216" s="2">
        <v>31</v>
      </c>
      <c r="C216" s="3" t="s">
        <v>265</v>
      </c>
      <c r="D216" s="5" t="s">
        <v>133</v>
      </c>
      <c r="G216" s="30">
        <v>1700</v>
      </c>
      <c r="H216" s="38">
        <f>(1+IF(OR(ISERR(FIND(":",D217)),ISERR(FIND("%",D217))),0,MID(D217,FIND(":",D217)+2,FIND("%",D217)-FIND(":",D217)-2)/100))*0</f>
        <v>0</v>
      </c>
      <c r="I216" s="29">
        <f>G216*H216</f>
        <v>0</v>
      </c>
      <c r="J216">
        <v>1</v>
      </c>
    </row>
    <row r="217" spans="1:19" x14ac:dyDescent="0.3">
      <c r="D217" s="15" t="str">
        <f>SUBSTITUTE("Sp.mat: 0.00%",".",IF(VALUE("1.2")=1.2,".",","),2)</f>
        <v>Sp.mat: 0.00%</v>
      </c>
      <c r="F217" s="15" t="str">
        <f>SUBSTITUTE("Sp.man: 0.00%",".",IF(VALUE("1.2")=1.2,".",","),2)</f>
        <v>Sp.man: 0.00%</v>
      </c>
      <c r="G217" s="35" t="str">
        <f>SUBSTITUTE("Sp.uti: 0.00%",".",IF(VALUE("1.2")=1.2,".",","),2)</f>
        <v>Sp.uti: 0.00%</v>
      </c>
      <c r="H217" s="38">
        <f>2995.18/G216</f>
        <v>1.7618705882352941</v>
      </c>
      <c r="I217" s="29">
        <f>G216*H217</f>
        <v>2995.18</v>
      </c>
      <c r="J217">
        <v>2</v>
      </c>
    </row>
    <row r="218" spans="1:19" x14ac:dyDescent="0.3">
      <c r="A218" s="88" t="s">
        <v>667</v>
      </c>
      <c r="B218" s="98"/>
      <c r="C218" s="98"/>
      <c r="D218" s="98"/>
      <c r="E218" s="98"/>
      <c r="F218" s="98"/>
      <c r="G218" s="98"/>
      <c r="H218" s="38">
        <f>(1+IF(OR(ISERR(FIND(":",G217)),ISERR(FIND("%",G217))),0,MID(G217,FIND(":",G217)+2,FIND("%",G217)-FIND(":",G217)-2)/100))*0</f>
        <v>0</v>
      </c>
      <c r="I218" s="29">
        <f>G216*H218</f>
        <v>0</v>
      </c>
      <c r="J218">
        <v>3</v>
      </c>
      <c r="K218" s="4">
        <v>0</v>
      </c>
      <c r="L218" s="4">
        <v>0</v>
      </c>
      <c r="M218" s="4">
        <f>I218-K218-L218</f>
        <v>0</v>
      </c>
    </row>
    <row r="219" spans="1:19" x14ac:dyDescent="0.3">
      <c r="A219" s="98"/>
      <c r="B219" s="98"/>
      <c r="C219" s="98"/>
      <c r="D219" s="98"/>
      <c r="E219" s="98"/>
      <c r="F219" s="98"/>
      <c r="G219" s="98"/>
      <c r="H219" s="38">
        <f>0</f>
        <v>0</v>
      </c>
      <c r="I219" s="29">
        <f>G216*H219</f>
        <v>0</v>
      </c>
      <c r="J219">
        <v>4</v>
      </c>
      <c r="N219" s="4">
        <f>IF(ISERR(SEARCH("TRA* 82",C216)),IF(Q219+R219+S219=0,0,I219*(Q219/(Q219+R219+S219))),I219)</f>
        <v>0</v>
      </c>
      <c r="O219" s="4">
        <f>IF(ISERR(SEARCH("TRA* 82",C216)),IF(Q219+R219+S219=0,0,I219*(R219/(Q219+R219+S219))),0)</f>
        <v>0</v>
      </c>
      <c r="P219" s="4">
        <f>IF(ISERR(SEARCH("TRA* 82",C216)),I219-N219-O219,0)</f>
        <v>0</v>
      </c>
      <c r="Q219" s="4">
        <v>0</v>
      </c>
      <c r="R219" s="4">
        <v>0</v>
      </c>
      <c r="S219" s="4">
        <v>0</v>
      </c>
    </row>
    <row r="220" spans="1:19" x14ac:dyDescent="0.3">
      <c r="A220" s="100" t="s">
        <v>87</v>
      </c>
      <c r="B220" s="101"/>
      <c r="C220" s="101"/>
      <c r="D220" s="101"/>
      <c r="E220" s="101"/>
      <c r="F220" s="101"/>
      <c r="G220" s="101"/>
      <c r="H220" s="33">
        <f>H216+H217+H218+H219</f>
        <v>1.7618705882352941</v>
      </c>
      <c r="I220" s="37">
        <f>I216+I217+I218+I219</f>
        <v>2995.18</v>
      </c>
      <c r="J220">
        <v>5</v>
      </c>
    </row>
    <row r="221" spans="1:19" x14ac:dyDescent="0.3">
      <c r="A221" s="99" t="s">
        <v>447</v>
      </c>
      <c r="B221" s="99"/>
      <c r="C221" s="99"/>
      <c r="D221" s="99"/>
      <c r="E221" s="99"/>
      <c r="F221" s="99"/>
      <c r="G221" s="99"/>
      <c r="H221" s="99"/>
      <c r="I221" s="99"/>
    </row>
    <row r="222" spans="1:19" x14ac:dyDescent="0.3">
      <c r="B222" s="2">
        <v>32</v>
      </c>
      <c r="C222" s="3" t="s">
        <v>445</v>
      </c>
      <c r="D222" s="5" t="s">
        <v>133</v>
      </c>
      <c r="G222" s="30">
        <v>78</v>
      </c>
      <c r="H222" s="38">
        <f>(1+IF(OR(ISERR(FIND(":",D223)),ISERR(FIND("%",D223))),0,MID(D223,FIND(":",D223)+2,FIND("%",D223)-FIND(":",D223)-2)/100))*0</f>
        <v>0</v>
      </c>
      <c r="I222" s="29">
        <f>G222*H222</f>
        <v>0</v>
      </c>
      <c r="J222">
        <v>1</v>
      </c>
    </row>
    <row r="223" spans="1:19" x14ac:dyDescent="0.3">
      <c r="D223" s="15" t="str">
        <f>SUBSTITUTE("Sp.mat: 0.00%",".",IF(VALUE("1.2")=1.2,".",","),2)</f>
        <v>Sp.mat: 0.00%</v>
      </c>
      <c r="F223" s="15" t="str">
        <f>SUBSTITUTE("Sp.man: 0.00%",".",IF(VALUE("1.2")=1.2,".",","),2)</f>
        <v>Sp.man: 0.00%</v>
      </c>
      <c r="G223" s="35" t="str">
        <f>SUBSTITUTE("Sp.uti: 0.00%",".",IF(VALUE("1.2")=1.2,".",","),2)</f>
        <v>Sp.uti: 0.00%</v>
      </c>
      <c r="H223" s="38">
        <f>124.93/G222</f>
        <v>1.6016666666666668</v>
      </c>
      <c r="I223" s="29">
        <f>G222*H223</f>
        <v>124.93</v>
      </c>
      <c r="J223">
        <v>2</v>
      </c>
    </row>
    <row r="224" spans="1:19" x14ac:dyDescent="0.3">
      <c r="A224" s="88" t="s">
        <v>668</v>
      </c>
      <c r="B224" s="98"/>
      <c r="C224" s="98"/>
      <c r="D224" s="98"/>
      <c r="E224" s="98"/>
      <c r="F224" s="98"/>
      <c r="G224" s="98"/>
      <c r="H224" s="38">
        <f>(1+IF(OR(ISERR(FIND(":",G223)),ISERR(FIND("%",G223))),0,MID(G223,FIND(":",G223)+2,FIND("%",G223)-FIND(":",G223)-2)/100))*0</f>
        <v>0</v>
      </c>
      <c r="I224" s="29">
        <f>G222*H224</f>
        <v>0</v>
      </c>
      <c r="J224">
        <v>3</v>
      </c>
      <c r="K224" s="4">
        <v>0</v>
      </c>
      <c r="L224" s="4">
        <v>0</v>
      </c>
      <c r="M224" s="4">
        <f>I224-K224-L224</f>
        <v>0</v>
      </c>
    </row>
    <row r="225" spans="1:19" x14ac:dyDescent="0.3">
      <c r="A225" s="98"/>
      <c r="B225" s="98"/>
      <c r="C225" s="98"/>
      <c r="D225" s="98"/>
      <c r="E225" s="98"/>
      <c r="F225" s="98"/>
      <c r="G225" s="98"/>
      <c r="H225" s="38">
        <f>0</f>
        <v>0</v>
      </c>
      <c r="I225" s="29">
        <f>G222*H225</f>
        <v>0</v>
      </c>
      <c r="J225">
        <v>4</v>
      </c>
      <c r="N225" s="4">
        <f>IF(ISERR(SEARCH("TRA* 82",C222)),IF(Q225+R225+S225=0,0,I225*(Q225/(Q225+R225+S225))),I225)</f>
        <v>0</v>
      </c>
      <c r="O225" s="4">
        <f>IF(ISERR(SEARCH("TRA* 82",C222)),IF(Q225+R225+S225=0,0,I225*(R225/(Q225+R225+S225))),0)</f>
        <v>0</v>
      </c>
      <c r="P225" s="4">
        <f>IF(ISERR(SEARCH("TRA* 82",C222)),I225-N225-O225,0)</f>
        <v>0</v>
      </c>
      <c r="Q225" s="4">
        <v>0</v>
      </c>
      <c r="R225" s="4">
        <v>0</v>
      </c>
      <c r="S225" s="4">
        <v>0</v>
      </c>
    </row>
    <row r="226" spans="1:19" x14ac:dyDescent="0.3">
      <c r="A226" s="100" t="s">
        <v>87</v>
      </c>
      <c r="B226" s="101"/>
      <c r="C226" s="101"/>
      <c r="D226" s="101"/>
      <c r="E226" s="101"/>
      <c r="F226" s="101"/>
      <c r="G226" s="101"/>
      <c r="H226" s="33">
        <f>H222+H223+H224+H225</f>
        <v>1.6016666666666668</v>
      </c>
      <c r="I226" s="37">
        <f>I222+I223+I224+I225</f>
        <v>124.93</v>
      </c>
      <c r="J226">
        <v>5</v>
      </c>
    </row>
    <row r="227" spans="1:19" x14ac:dyDescent="0.3">
      <c r="A227" s="99" t="s">
        <v>447</v>
      </c>
      <c r="B227" s="99"/>
      <c r="C227" s="99"/>
      <c r="D227" s="99"/>
      <c r="E227" s="99"/>
      <c r="F227" s="99"/>
      <c r="G227" s="99"/>
      <c r="H227" s="99"/>
      <c r="I227" s="99"/>
    </row>
    <row r="228" spans="1:19" x14ac:dyDescent="0.3">
      <c r="B228" s="2">
        <v>33</v>
      </c>
      <c r="C228" s="3" t="s">
        <v>448</v>
      </c>
      <c r="D228" s="5" t="s">
        <v>133</v>
      </c>
      <c r="G228" s="30">
        <v>14</v>
      </c>
      <c r="H228" s="38">
        <f>(1+IF(OR(ISERR(FIND(":",D229)),ISERR(FIND("%",D229))),0,MID(D229,FIND(":",D229)+2,FIND("%",D229)-FIND(":",D229)-2)/100))*0</f>
        <v>0</v>
      </c>
      <c r="I228" s="29">
        <f>G228*H228</f>
        <v>0</v>
      </c>
      <c r="J228">
        <v>1</v>
      </c>
    </row>
    <row r="229" spans="1:19" x14ac:dyDescent="0.3">
      <c r="D229" s="15" t="str">
        <f>SUBSTITUTE("Sp.mat: 0.00%",".",IF(VALUE("1.2")=1.2,".",","),2)</f>
        <v>Sp.mat: 0.00%</v>
      </c>
      <c r="F229" s="15" t="str">
        <f>SUBSTITUTE("Sp.man: 0.00%",".",IF(VALUE("1.2")=1.2,".",","),2)</f>
        <v>Sp.man: 0.00%</v>
      </c>
      <c r="G229" s="35" t="str">
        <f>SUBSTITUTE("Sp.uti: 0.00%",".",IF(VALUE("1.2")=1.2,".",","),2)</f>
        <v>Sp.uti: 0.00%</v>
      </c>
      <c r="H229" s="38">
        <f>33.64/G228</f>
        <v>2.402857142857143</v>
      </c>
      <c r="I229" s="29">
        <f>G228*H229</f>
        <v>33.64</v>
      </c>
      <c r="J229">
        <v>2</v>
      </c>
    </row>
    <row r="230" spans="1:19" x14ac:dyDescent="0.3">
      <c r="A230" s="88" t="s">
        <v>669</v>
      </c>
      <c r="B230" s="98"/>
      <c r="C230" s="98"/>
      <c r="D230" s="98"/>
      <c r="E230" s="98"/>
      <c r="F230" s="98"/>
      <c r="G230" s="98"/>
      <c r="H230" s="38">
        <f>(1+IF(OR(ISERR(FIND(":",G229)),ISERR(FIND("%",G229))),0,MID(G229,FIND(":",G229)+2,FIND("%",G229)-FIND(":",G229)-2)/100))*0</f>
        <v>0</v>
      </c>
      <c r="I230" s="29">
        <f>G228*H230</f>
        <v>0</v>
      </c>
      <c r="J230">
        <v>3</v>
      </c>
      <c r="K230" s="4">
        <v>0</v>
      </c>
      <c r="L230" s="4">
        <v>0</v>
      </c>
      <c r="M230" s="4">
        <f>I230-K230-L230</f>
        <v>0</v>
      </c>
    </row>
    <row r="231" spans="1:19" x14ac:dyDescent="0.3">
      <c r="A231" s="98"/>
      <c r="B231" s="98"/>
      <c r="C231" s="98"/>
      <c r="D231" s="98"/>
      <c r="E231" s="98"/>
      <c r="F231" s="98"/>
      <c r="G231" s="98"/>
      <c r="H231" s="38">
        <f>0</f>
        <v>0</v>
      </c>
      <c r="I231" s="29">
        <f>G228*H231</f>
        <v>0</v>
      </c>
      <c r="J231">
        <v>4</v>
      </c>
      <c r="N231" s="4">
        <f>IF(ISERR(SEARCH("TRA* 82",C228)),IF(Q231+R231+S231=0,0,I231*(Q231/(Q231+R231+S231))),I231)</f>
        <v>0</v>
      </c>
      <c r="O231" s="4">
        <f>IF(ISERR(SEARCH("TRA* 82",C228)),IF(Q231+R231+S231=0,0,I231*(R231/(Q231+R231+S231))),0)</f>
        <v>0</v>
      </c>
      <c r="P231" s="4">
        <f>IF(ISERR(SEARCH("TRA* 82",C228)),I231-N231-O231,0)</f>
        <v>0</v>
      </c>
      <c r="Q231" s="4">
        <v>0</v>
      </c>
      <c r="R231" s="4">
        <v>0</v>
      </c>
      <c r="S231" s="4">
        <v>0</v>
      </c>
    </row>
    <row r="232" spans="1:19" x14ac:dyDescent="0.3">
      <c r="A232" s="100" t="s">
        <v>87</v>
      </c>
      <c r="B232" s="101"/>
      <c r="C232" s="101"/>
      <c r="D232" s="101"/>
      <c r="E232" s="101"/>
      <c r="F232" s="101"/>
      <c r="G232" s="101"/>
      <c r="H232" s="33">
        <f>H228+H229+H230+H231</f>
        <v>2.402857142857143</v>
      </c>
      <c r="I232" s="37">
        <f>I228+I229+I230+I231</f>
        <v>33.64</v>
      </c>
      <c r="J232">
        <v>5</v>
      </c>
    </row>
    <row r="233" spans="1:19" x14ac:dyDescent="0.3">
      <c r="A233" s="99" t="s">
        <v>447</v>
      </c>
      <c r="B233" s="99"/>
      <c r="C233" s="99"/>
      <c r="D233" s="99"/>
      <c r="E233" s="99"/>
      <c r="F233" s="99"/>
      <c r="G233" s="99"/>
      <c r="H233" s="99"/>
      <c r="I233" s="99"/>
    </row>
    <row r="234" spans="1:19" x14ac:dyDescent="0.3">
      <c r="B234" s="2">
        <v>34</v>
      </c>
      <c r="C234" s="3" t="s">
        <v>450</v>
      </c>
      <c r="D234" s="5" t="s">
        <v>25</v>
      </c>
      <c r="G234" s="30">
        <v>17395</v>
      </c>
      <c r="H234" s="38">
        <f>(1+IF(OR(ISERR(FIND(":",D235)),ISERR(FIND("%",D235))),0,MID(D235,FIND(":",D235)+2,FIND("%",D235)-FIND(":",D235)-2)/100))*0</f>
        <v>0</v>
      </c>
      <c r="I234" s="29">
        <f>G234*H234</f>
        <v>0</v>
      </c>
      <c r="J234">
        <v>1</v>
      </c>
    </row>
    <row r="235" spans="1:19" x14ac:dyDescent="0.3">
      <c r="D235" s="15" t="str">
        <f>SUBSTITUTE("Sp.mat: 0.00%",".",IF(VALUE("1.2")=1.2,".",","),2)</f>
        <v>Sp.mat: 0.00%</v>
      </c>
      <c r="F235" s="15" t="str">
        <f>SUBSTITUTE("Sp.man: 0.00%",".",IF(VALUE("1.2")=1.2,".",","),2)</f>
        <v>Sp.man: 0.00%</v>
      </c>
      <c r="G235" s="35" t="str">
        <f>SUBSTITUTE("Sp.uti: 0.00%",".",IF(VALUE("1.2")=1.2,".",","),2)</f>
        <v>Sp.uti: 0.00%</v>
      </c>
      <c r="H235" s="38">
        <f>25075.41/G234</f>
        <v>1.4415297499281403</v>
      </c>
      <c r="I235" s="29">
        <f>G234*H235</f>
        <v>25075.41</v>
      </c>
      <c r="J235">
        <v>2</v>
      </c>
    </row>
    <row r="236" spans="1:19" x14ac:dyDescent="0.3">
      <c r="A236" s="88" t="s">
        <v>670</v>
      </c>
      <c r="B236" s="98"/>
      <c r="C236" s="98"/>
      <c r="D236" s="98"/>
      <c r="E236" s="98"/>
      <c r="F236" s="98"/>
      <c r="G236" s="98"/>
      <c r="H236" s="38">
        <f>4457.85/G234</f>
        <v>0.25627191721759129</v>
      </c>
      <c r="I236" s="29">
        <f>G234*H236</f>
        <v>4457.8500000000004</v>
      </c>
      <c r="J236">
        <v>3</v>
      </c>
      <c r="K236" s="4">
        <v>0</v>
      </c>
      <c r="L236" s="4">
        <v>8349.6</v>
      </c>
      <c r="M236" s="4">
        <f>I236-K236-L236</f>
        <v>-3891.75</v>
      </c>
    </row>
    <row r="237" spans="1:19" x14ac:dyDescent="0.3">
      <c r="A237" s="98"/>
      <c r="B237" s="98"/>
      <c r="C237" s="98"/>
      <c r="D237" s="98"/>
      <c r="E237" s="98"/>
      <c r="F237" s="98"/>
      <c r="G237" s="98"/>
      <c r="H237" s="38">
        <f>0</f>
        <v>0</v>
      </c>
      <c r="I237" s="29">
        <f>G234*H237</f>
        <v>0</v>
      </c>
      <c r="J237">
        <v>4</v>
      </c>
      <c r="N237" s="4">
        <f>IF(ISERR(SEARCH("TRA* 82",C234)),IF(Q237+R237+S237=0,0,I237*(Q237/(Q237+R237+S237))),I237)</f>
        <v>0</v>
      </c>
      <c r="O237" s="4">
        <f>IF(ISERR(SEARCH("TRA* 82",C234)),IF(Q237+R237+S237=0,0,I237*(R237/(Q237+R237+S237))),0)</f>
        <v>0</v>
      </c>
      <c r="P237" s="4">
        <f>IF(ISERR(SEARCH("TRA* 82",C234)),I237-N237-O237,0)</f>
        <v>0</v>
      </c>
      <c r="Q237" s="4">
        <v>0</v>
      </c>
      <c r="R237" s="4">
        <v>0</v>
      </c>
      <c r="S237" s="4">
        <v>0</v>
      </c>
    </row>
    <row r="238" spans="1:19" x14ac:dyDescent="0.3">
      <c r="A238" s="96" t="s">
        <v>27</v>
      </c>
      <c r="B238" s="97"/>
      <c r="C238" s="97"/>
      <c r="D238" s="97"/>
      <c r="E238" s="97"/>
      <c r="F238" s="97"/>
      <c r="G238" s="97"/>
      <c r="H238" s="36">
        <f>H234+H235+H236+H237</f>
        <v>1.6978016671457317</v>
      </c>
      <c r="I238" s="74">
        <f>I234+I235+I236+I237</f>
        <v>29533.260000000002</v>
      </c>
      <c r="J238">
        <v>5</v>
      </c>
    </row>
    <row r="239" spans="1:19" x14ac:dyDescent="0.3">
      <c r="B239" s="2">
        <v>35</v>
      </c>
      <c r="C239" s="3" t="s">
        <v>452</v>
      </c>
      <c r="D239" s="5" t="s">
        <v>25</v>
      </c>
      <c r="G239" s="30">
        <v>385</v>
      </c>
      <c r="H239" s="38">
        <f>(1+IF(OR(ISERR(FIND(":",D240)),ISERR(FIND("%",D240))),0,MID(D240,FIND(":",D240)+2,FIND("%",D240)-FIND(":",D240)-2)/100))*0</f>
        <v>0</v>
      </c>
      <c r="I239" s="29">
        <f>G239*H239</f>
        <v>0</v>
      </c>
      <c r="J239">
        <v>1</v>
      </c>
    </row>
    <row r="240" spans="1:19" x14ac:dyDescent="0.3">
      <c r="D240" s="15" t="str">
        <f>SUBSTITUTE("Sp.mat: 0.00%",".",IF(VALUE("1.2")=1.2,".",","),2)</f>
        <v>Sp.mat: 0.00%</v>
      </c>
      <c r="F240" s="15" t="str">
        <f>SUBSTITUTE("Sp.man: 0.00%",".",IF(VALUE("1.2")=1.2,".",","),2)</f>
        <v>Sp.man: 0.00%</v>
      </c>
      <c r="G240" s="35" t="str">
        <f>SUBSTITUTE("Sp.uti: 0.00%",".",IF(VALUE("1.2")=1.2,".",","),2)</f>
        <v>Sp.uti: 0.00%</v>
      </c>
      <c r="H240" s="38">
        <f>678.32/G239</f>
        <v>1.76187012987013</v>
      </c>
      <c r="I240" s="29">
        <f>G239*H240</f>
        <v>678.32</v>
      </c>
      <c r="J240">
        <v>2</v>
      </c>
    </row>
    <row r="241" spans="1:19" x14ac:dyDescent="0.3">
      <c r="A241" s="88" t="s">
        <v>453</v>
      </c>
      <c r="B241" s="98"/>
      <c r="C241" s="98"/>
      <c r="D241" s="98"/>
      <c r="E241" s="98"/>
      <c r="F241" s="98"/>
      <c r="G241" s="98"/>
      <c r="H241" s="38">
        <f>123.33/G239</f>
        <v>0.32033766233766231</v>
      </c>
      <c r="I241" s="29">
        <f>G239*H241</f>
        <v>123.32999999999998</v>
      </c>
      <c r="J241">
        <v>3</v>
      </c>
      <c r="K241" s="4">
        <v>0</v>
      </c>
      <c r="L241" s="4">
        <v>231</v>
      </c>
      <c r="M241" s="4">
        <f>I241-K241-L241</f>
        <v>-107.67000000000002</v>
      </c>
    </row>
    <row r="242" spans="1:19" x14ac:dyDescent="0.3">
      <c r="A242" s="98"/>
      <c r="B242" s="98"/>
      <c r="C242" s="98"/>
      <c r="D242" s="98"/>
      <c r="E242" s="98"/>
      <c r="F242" s="98"/>
      <c r="G242" s="98"/>
      <c r="H242" s="38">
        <f>0</f>
        <v>0</v>
      </c>
      <c r="I242" s="29">
        <f>G239*H242</f>
        <v>0</v>
      </c>
      <c r="J242">
        <v>4</v>
      </c>
      <c r="N242" s="4">
        <f>IF(ISERR(SEARCH("TRA* 82",C239)),IF(Q242+R242+S242=0,0,I242*(Q242/(Q242+R242+S242))),I242)</f>
        <v>0</v>
      </c>
      <c r="O242" s="4">
        <f>IF(ISERR(SEARCH("TRA* 82",C239)),IF(Q242+R242+S242=0,0,I242*(R242/(Q242+R242+S242))),0)</f>
        <v>0</v>
      </c>
      <c r="P242" s="4">
        <f>IF(ISERR(SEARCH("TRA* 82",C239)),I242-N242-O242,0)</f>
        <v>0</v>
      </c>
      <c r="Q242" s="4">
        <v>0</v>
      </c>
      <c r="R242" s="4">
        <v>0</v>
      </c>
      <c r="S242" s="4">
        <v>0</v>
      </c>
    </row>
    <row r="243" spans="1:19" x14ac:dyDescent="0.3">
      <c r="A243" s="96" t="s">
        <v>27</v>
      </c>
      <c r="B243" s="97"/>
      <c r="C243" s="97"/>
      <c r="D243" s="97"/>
      <c r="E243" s="97"/>
      <c r="F243" s="97"/>
      <c r="G243" s="97"/>
      <c r="H243" s="36">
        <f>H239+H240+H241+H242</f>
        <v>2.0822077922077922</v>
      </c>
      <c r="I243" s="74">
        <f>I239+I240+I241+I242</f>
        <v>801.65000000000009</v>
      </c>
      <c r="J243">
        <v>5</v>
      </c>
    </row>
    <row r="244" spans="1:19" x14ac:dyDescent="0.3">
      <c r="B244" s="2">
        <v>36</v>
      </c>
      <c r="C244" s="3" t="s">
        <v>454</v>
      </c>
      <c r="D244" s="5" t="s">
        <v>25</v>
      </c>
      <c r="G244" s="30">
        <v>140</v>
      </c>
      <c r="H244" s="38">
        <f>(1+IF(OR(ISERR(FIND(":",D245)),ISERR(FIND("%",D245))),0,MID(D245,FIND(":",D245)+2,FIND("%",D245)-FIND(":",D245)-2)/100))*0</f>
        <v>0</v>
      </c>
      <c r="I244" s="29">
        <f>G244*H244</f>
        <v>0</v>
      </c>
      <c r="J244">
        <v>1</v>
      </c>
    </row>
    <row r="245" spans="1:19" x14ac:dyDescent="0.3">
      <c r="D245" s="15" t="str">
        <f>SUBSTITUTE("Sp.mat: 0.00%",".",IF(VALUE("1.2")=1.2,".",","),2)</f>
        <v>Sp.mat: 0.00%</v>
      </c>
      <c r="F245" s="15" t="str">
        <f>SUBSTITUTE("Sp.man: 0.00%",".",IF(VALUE("1.2")=1.2,".",","),2)</f>
        <v>Sp.man: 0.00%</v>
      </c>
      <c r="G245" s="35" t="str">
        <f>SUBSTITUTE("Sp.uti: 0.00%",".",IF(VALUE("1.2")=1.2,".",","),2)</f>
        <v>Sp.uti: 0.00%</v>
      </c>
      <c r="H245" s="38">
        <f>291.51/G244</f>
        <v>2.0822142857142856</v>
      </c>
      <c r="I245" s="29">
        <f>G244*H245</f>
        <v>291.51</v>
      </c>
      <c r="J245">
        <v>2</v>
      </c>
    </row>
    <row r="246" spans="1:19" x14ac:dyDescent="0.3">
      <c r="A246" s="88" t="s">
        <v>455</v>
      </c>
      <c r="B246" s="98"/>
      <c r="C246" s="98"/>
      <c r="D246" s="98"/>
      <c r="E246" s="98"/>
      <c r="F246" s="98"/>
      <c r="G246" s="98"/>
      <c r="H246" s="38">
        <f>53.82/G244</f>
        <v>0.38442857142857145</v>
      </c>
      <c r="I246" s="29">
        <f>G244*H246</f>
        <v>53.82</v>
      </c>
      <c r="J246">
        <v>3</v>
      </c>
      <c r="K246" s="4">
        <v>0</v>
      </c>
      <c r="L246" s="4">
        <v>100.8</v>
      </c>
      <c r="M246" s="4">
        <f>I246-K246-L246</f>
        <v>-46.98</v>
      </c>
    </row>
    <row r="247" spans="1:19" x14ac:dyDescent="0.3">
      <c r="A247" s="98"/>
      <c r="B247" s="98"/>
      <c r="C247" s="98"/>
      <c r="D247" s="98"/>
      <c r="E247" s="98"/>
      <c r="F247" s="98"/>
      <c r="G247" s="98"/>
      <c r="H247" s="38">
        <f>0</f>
        <v>0</v>
      </c>
      <c r="I247" s="29">
        <f>G244*H247</f>
        <v>0</v>
      </c>
      <c r="J247">
        <v>4</v>
      </c>
      <c r="N247" s="4">
        <f>IF(ISERR(SEARCH("TRA* 82",C244)),IF(Q247+R247+S247=0,0,I247*(Q247/(Q247+R247+S247))),I247)</f>
        <v>0</v>
      </c>
      <c r="O247" s="4">
        <f>IF(ISERR(SEARCH("TRA* 82",C244)),IF(Q247+R247+S247=0,0,I247*(R247/(Q247+R247+S247))),0)</f>
        <v>0</v>
      </c>
      <c r="P247" s="4">
        <f>IF(ISERR(SEARCH("TRA* 82",C244)),I247-N247-O247,0)</f>
        <v>0</v>
      </c>
      <c r="Q247" s="4">
        <v>0</v>
      </c>
      <c r="R247" s="4">
        <v>0</v>
      </c>
      <c r="S247" s="4">
        <v>0</v>
      </c>
    </row>
    <row r="248" spans="1:19" x14ac:dyDescent="0.3">
      <c r="A248" s="96" t="s">
        <v>27</v>
      </c>
      <c r="B248" s="97"/>
      <c r="C248" s="97"/>
      <c r="D248" s="97"/>
      <c r="E248" s="97"/>
      <c r="F248" s="97"/>
      <c r="G248" s="97"/>
      <c r="H248" s="36">
        <f>H244+H245+H246+H247</f>
        <v>2.4666428571428569</v>
      </c>
      <c r="I248" s="74">
        <f>I244+I245+I246+I247</f>
        <v>345.33</v>
      </c>
      <c r="J248">
        <v>5</v>
      </c>
    </row>
    <row r="249" spans="1:19" x14ac:dyDescent="0.3">
      <c r="B249" s="2">
        <v>37</v>
      </c>
      <c r="C249" s="3" t="s">
        <v>460</v>
      </c>
      <c r="D249" s="5" t="s">
        <v>25</v>
      </c>
      <c r="G249" s="30">
        <v>17395</v>
      </c>
      <c r="H249" s="38">
        <f>(1+IF(OR(ISERR(FIND(":",D250)),ISERR(FIND("%",D250))),0,MID(D250,FIND(":",D250)+2,FIND("%",D250)-FIND(":",D250)-2)/100))*0</f>
        <v>0</v>
      </c>
      <c r="I249" s="29">
        <f>G249*H249</f>
        <v>0</v>
      </c>
      <c r="J249">
        <v>1</v>
      </c>
    </row>
    <row r="250" spans="1:19" x14ac:dyDescent="0.3">
      <c r="D250" s="15" t="str">
        <f>SUBSTITUTE("Sp.mat: 0.00%",".",IF(VALUE("1.2")=1.2,".",","),2)</f>
        <v>Sp.mat: 0.00%</v>
      </c>
      <c r="F250" s="15" t="str">
        <f>SUBSTITUTE("Sp.man: 0.00%",".",IF(VALUE("1.2")=1.2,".",","),2)</f>
        <v>Sp.man: 0.00%</v>
      </c>
      <c r="G250" s="35" t="str">
        <f>SUBSTITUTE("Sp.uti: 0.00%",".",IF(VALUE("1.2")=1.2,".",","),2)</f>
        <v>Sp.uti: 0.00%</v>
      </c>
      <c r="H250" s="38">
        <f>22289.26/G249</f>
        <v>1.2813601609657947</v>
      </c>
      <c r="I250" s="29">
        <f>G249*H250</f>
        <v>22289.26</v>
      </c>
      <c r="J250">
        <v>2</v>
      </c>
    </row>
    <row r="251" spans="1:19" x14ac:dyDescent="0.3">
      <c r="A251" s="88" t="s">
        <v>671</v>
      </c>
      <c r="B251" s="98"/>
      <c r="C251" s="98"/>
      <c r="D251" s="98"/>
      <c r="E251" s="98"/>
      <c r="F251" s="98"/>
      <c r="G251" s="98"/>
      <c r="H251" s="38">
        <f>(1+IF(OR(ISERR(FIND(":",G250)),ISERR(FIND("%",G250))),0,MID(G250,FIND(":",G250)+2,FIND("%",G250)-FIND(":",G250)-2)/100))*0</f>
        <v>0</v>
      </c>
      <c r="I251" s="29">
        <f>G249*H251</f>
        <v>0</v>
      </c>
      <c r="J251">
        <v>3</v>
      </c>
      <c r="K251" s="4">
        <v>0</v>
      </c>
      <c r="L251" s="4">
        <v>0</v>
      </c>
      <c r="M251" s="4">
        <f>I251-K251-L251</f>
        <v>0</v>
      </c>
    </row>
    <row r="252" spans="1:19" x14ac:dyDescent="0.3">
      <c r="A252" s="98"/>
      <c r="B252" s="98"/>
      <c r="C252" s="98"/>
      <c r="D252" s="98"/>
      <c r="E252" s="98"/>
      <c r="F252" s="98"/>
      <c r="G252" s="98"/>
      <c r="H252" s="38">
        <f>0</f>
        <v>0</v>
      </c>
      <c r="I252" s="29">
        <f>G249*H252</f>
        <v>0</v>
      </c>
      <c r="J252">
        <v>4</v>
      </c>
      <c r="N252" s="4">
        <f>IF(ISERR(SEARCH("TRA* 82",C249)),IF(Q252+R252+S252=0,0,I252*(Q252/(Q252+R252+S252))),I252)</f>
        <v>0</v>
      </c>
      <c r="O252" s="4">
        <f>IF(ISERR(SEARCH("TRA* 82",C249)),IF(Q252+R252+S252=0,0,I252*(R252/(Q252+R252+S252))),0)</f>
        <v>0</v>
      </c>
      <c r="P252" s="4">
        <f>IF(ISERR(SEARCH("TRA* 82",C249)),I252-N252-O252,0)</f>
        <v>0</v>
      </c>
      <c r="Q252" s="4">
        <v>0</v>
      </c>
      <c r="R252" s="4">
        <v>0</v>
      </c>
      <c r="S252" s="4">
        <v>0</v>
      </c>
    </row>
    <row r="253" spans="1:19" x14ac:dyDescent="0.3">
      <c r="A253" s="96" t="s">
        <v>27</v>
      </c>
      <c r="B253" s="97"/>
      <c r="C253" s="97"/>
      <c r="D253" s="97"/>
      <c r="E253" s="97"/>
      <c r="F253" s="97"/>
      <c r="G253" s="97"/>
      <c r="H253" s="36">
        <f>H249+H250+H251+H252</f>
        <v>1.2813601609657947</v>
      </c>
      <c r="I253" s="74">
        <f>I249+I250+I251+I252</f>
        <v>22289.26</v>
      </c>
      <c r="J253">
        <v>5</v>
      </c>
    </row>
    <row r="254" spans="1:19" x14ac:dyDescent="0.3">
      <c r="B254" s="2">
        <v>38</v>
      </c>
      <c r="C254" s="3" t="s">
        <v>462</v>
      </c>
      <c r="D254" s="5" t="s">
        <v>25</v>
      </c>
      <c r="G254" s="30">
        <v>385</v>
      </c>
      <c r="H254" s="38">
        <f>(1+IF(OR(ISERR(FIND(":",D255)),ISERR(FIND("%",D255))),0,MID(D255,FIND(":",D255)+2,FIND("%",D255)-FIND(":",D255)-2)/100))*0</f>
        <v>0</v>
      </c>
      <c r="I254" s="29">
        <f>G254*H254</f>
        <v>0</v>
      </c>
      <c r="J254">
        <v>1</v>
      </c>
    </row>
    <row r="255" spans="1:19" x14ac:dyDescent="0.3">
      <c r="D255" s="15" t="str">
        <f>SUBSTITUTE("Sp.mat: 0.00%",".",IF(VALUE("1.2")=1.2,".",","),2)</f>
        <v>Sp.mat: 0.00%</v>
      </c>
      <c r="F255" s="15" t="str">
        <f>SUBSTITUTE("Sp.man: 0.00%",".",IF(VALUE("1.2")=1.2,".",","),2)</f>
        <v>Sp.man: 0.00%</v>
      </c>
      <c r="G255" s="35" t="str">
        <f>SUBSTITUTE("Sp.uti: 0.00%",".",IF(VALUE("1.2")=1.2,".",","),2)</f>
        <v>Sp.uti: 0.00%</v>
      </c>
      <c r="H255" s="38">
        <f>616.65/G254</f>
        <v>1.6016883116883116</v>
      </c>
      <c r="I255" s="29">
        <f>G254*H255</f>
        <v>616.65</v>
      </c>
      <c r="J255">
        <v>2</v>
      </c>
    </row>
    <row r="256" spans="1:19" x14ac:dyDescent="0.3">
      <c r="A256" s="88" t="s">
        <v>672</v>
      </c>
      <c r="B256" s="98"/>
      <c r="C256" s="98"/>
      <c r="D256" s="98"/>
      <c r="E256" s="98"/>
      <c r="F256" s="98"/>
      <c r="G256" s="98"/>
      <c r="H256" s="38">
        <f>(1+IF(OR(ISERR(FIND(":",G255)),ISERR(FIND("%",G255))),0,MID(G255,FIND(":",G255)+2,FIND("%",G255)-FIND(":",G255)-2)/100))*0</f>
        <v>0</v>
      </c>
      <c r="I256" s="29">
        <f>G254*H256</f>
        <v>0</v>
      </c>
      <c r="J256">
        <v>3</v>
      </c>
      <c r="K256" s="4">
        <v>0</v>
      </c>
      <c r="L256" s="4">
        <v>0</v>
      </c>
      <c r="M256" s="4">
        <f>I256-K256-L256</f>
        <v>0</v>
      </c>
    </row>
    <row r="257" spans="1:19" x14ac:dyDescent="0.3">
      <c r="A257" s="98"/>
      <c r="B257" s="98"/>
      <c r="C257" s="98"/>
      <c r="D257" s="98"/>
      <c r="E257" s="98"/>
      <c r="F257" s="98"/>
      <c r="G257" s="98"/>
      <c r="H257" s="38">
        <f>0</f>
        <v>0</v>
      </c>
      <c r="I257" s="29">
        <f>G254*H257</f>
        <v>0</v>
      </c>
      <c r="J257">
        <v>4</v>
      </c>
      <c r="N257" s="4">
        <f>IF(ISERR(SEARCH("TRA* 82",C254)),IF(Q257+R257+S257=0,0,I257*(Q257/(Q257+R257+S257))),I257)</f>
        <v>0</v>
      </c>
      <c r="O257" s="4">
        <f>IF(ISERR(SEARCH("TRA* 82",C254)),IF(Q257+R257+S257=0,0,I257*(R257/(Q257+R257+S257))),0)</f>
        <v>0</v>
      </c>
      <c r="P257" s="4">
        <f>IF(ISERR(SEARCH("TRA* 82",C254)),I257-N257-O257,0)</f>
        <v>0</v>
      </c>
      <c r="Q257" s="4">
        <v>0</v>
      </c>
      <c r="R257" s="4">
        <v>0</v>
      </c>
      <c r="S257" s="4">
        <v>0</v>
      </c>
    </row>
    <row r="258" spans="1:19" x14ac:dyDescent="0.3">
      <c r="A258" s="96" t="s">
        <v>27</v>
      </c>
      <c r="B258" s="97"/>
      <c r="C258" s="97"/>
      <c r="D258" s="97"/>
      <c r="E258" s="97"/>
      <c r="F258" s="97"/>
      <c r="G258" s="97"/>
      <c r="H258" s="36">
        <f>H254+H255+H256+H257</f>
        <v>1.6016883116883116</v>
      </c>
      <c r="I258" s="74">
        <f>I254+I255+I256+I257</f>
        <v>616.65</v>
      </c>
      <c r="J258">
        <v>5</v>
      </c>
    </row>
    <row r="259" spans="1:19" x14ac:dyDescent="0.3">
      <c r="B259" s="2">
        <v>39</v>
      </c>
      <c r="C259" s="3" t="s">
        <v>464</v>
      </c>
      <c r="D259" s="5" t="s">
        <v>25</v>
      </c>
      <c r="G259" s="30">
        <v>140</v>
      </c>
      <c r="H259" s="38">
        <f>(1+IF(OR(ISERR(FIND(":",D260)),ISERR(FIND("%",D260))),0,MID(D260,FIND(":",D260)+2,FIND("%",D260)-FIND(":",D260)-2)/100))*0</f>
        <v>0</v>
      </c>
      <c r="I259" s="29">
        <f>G259*H259</f>
        <v>0</v>
      </c>
      <c r="J259">
        <v>1</v>
      </c>
    </row>
    <row r="260" spans="1:19" x14ac:dyDescent="0.3">
      <c r="D260" s="15" t="str">
        <f>SUBSTITUTE("Sp.mat: 0.00%",".",IF(VALUE("1.2")=1.2,".",","),2)</f>
        <v>Sp.mat: 0.00%</v>
      </c>
      <c r="F260" s="15" t="str">
        <f>SUBSTITUTE("Sp.man: 0.00%",".",IF(VALUE("1.2")=1.2,".",","),2)</f>
        <v>Sp.man: 0.00%</v>
      </c>
      <c r="G260" s="35" t="str">
        <f>SUBSTITUTE("Sp.uti: 0.00%",".",IF(VALUE("1.2")=1.2,".",","),2)</f>
        <v>Sp.uti: 0.00%</v>
      </c>
      <c r="H260" s="38">
        <f>269.09/G259</f>
        <v>1.9220714285714284</v>
      </c>
      <c r="I260" s="29">
        <f>G259*H260</f>
        <v>269.08999999999997</v>
      </c>
      <c r="J260">
        <v>2</v>
      </c>
    </row>
    <row r="261" spans="1:19" x14ac:dyDescent="0.3">
      <c r="A261" s="88" t="s">
        <v>465</v>
      </c>
      <c r="B261" s="98"/>
      <c r="C261" s="98"/>
      <c r="D261" s="98"/>
      <c r="E261" s="98"/>
      <c r="F261" s="98"/>
      <c r="G261" s="98"/>
      <c r="H261" s="38">
        <f>(1+IF(OR(ISERR(FIND(":",G260)),ISERR(FIND("%",G260))),0,MID(G260,FIND(":",G260)+2,FIND("%",G260)-FIND(":",G260)-2)/100))*0</f>
        <v>0</v>
      </c>
      <c r="I261" s="29">
        <f>G259*H261</f>
        <v>0</v>
      </c>
      <c r="J261">
        <v>3</v>
      </c>
      <c r="K261" s="4">
        <v>0</v>
      </c>
      <c r="L261" s="4">
        <v>0</v>
      </c>
      <c r="M261" s="4">
        <f>I261-K261-L261</f>
        <v>0</v>
      </c>
    </row>
    <row r="262" spans="1:19" x14ac:dyDescent="0.3">
      <c r="A262" s="98"/>
      <c r="B262" s="98"/>
      <c r="C262" s="98"/>
      <c r="D262" s="98"/>
      <c r="E262" s="98"/>
      <c r="F262" s="98"/>
      <c r="G262" s="98"/>
      <c r="H262" s="38">
        <f>0</f>
        <v>0</v>
      </c>
      <c r="I262" s="29">
        <f>G259*H262</f>
        <v>0</v>
      </c>
      <c r="J262">
        <v>4</v>
      </c>
      <c r="N262" s="4">
        <f>IF(ISERR(SEARCH("TRA* 82",C259)),IF(Q262+R262+S262=0,0,I262*(Q262/(Q262+R262+S262))),I262)</f>
        <v>0</v>
      </c>
      <c r="O262" s="4">
        <f>IF(ISERR(SEARCH("TRA* 82",C259)),IF(Q262+R262+S262=0,0,I262*(R262/(Q262+R262+S262))),0)</f>
        <v>0</v>
      </c>
      <c r="P262" s="4">
        <f>IF(ISERR(SEARCH("TRA* 82",C259)),I262-N262-O262,0)</f>
        <v>0</v>
      </c>
      <c r="Q262" s="4">
        <v>0</v>
      </c>
      <c r="R262" s="4">
        <v>0</v>
      </c>
      <c r="S262" s="4">
        <v>0</v>
      </c>
    </row>
    <row r="263" spans="1:19" x14ac:dyDescent="0.3">
      <c r="A263" s="96" t="s">
        <v>27</v>
      </c>
      <c r="B263" s="97"/>
      <c r="C263" s="97"/>
      <c r="D263" s="97"/>
      <c r="E263" s="97"/>
      <c r="F263" s="97"/>
      <c r="G263" s="97"/>
      <c r="H263" s="36">
        <f>H259+H260+H261+H262</f>
        <v>1.9220714285714284</v>
      </c>
      <c r="I263" s="74">
        <f>I259+I260+I261+I262</f>
        <v>269.08999999999997</v>
      </c>
      <c r="J263">
        <v>5</v>
      </c>
    </row>
    <row r="264" spans="1:19" x14ac:dyDescent="0.3">
      <c r="B264" s="2">
        <v>40</v>
      </c>
      <c r="C264" s="3" t="s">
        <v>470</v>
      </c>
      <c r="D264" s="5" t="s">
        <v>40</v>
      </c>
      <c r="G264" s="30">
        <v>140</v>
      </c>
      <c r="H264" s="38">
        <f>733.94/G264</f>
        <v>5.2424285714285714</v>
      </c>
      <c r="I264" s="29">
        <f>G264*H264</f>
        <v>733.94</v>
      </c>
      <c r="J264">
        <v>1</v>
      </c>
    </row>
    <row r="265" spans="1:19" x14ac:dyDescent="0.3">
      <c r="D265" s="15" t="str">
        <f>SUBSTITUTE("Sp.mat: 0.00%",".",IF(VALUE("1.2")=1.2,".",","),2)</f>
        <v>Sp.mat: 0.00%</v>
      </c>
      <c r="F265" s="15" t="str">
        <f>SUBSTITUTE("Sp.man: 0.00%",".",IF(VALUE("1.2")=1.2,".",","),2)</f>
        <v>Sp.man: 0.00%</v>
      </c>
      <c r="G265" s="35" t="str">
        <f>SUBSTITUTE("Sp.uti: 0.00%",".",IF(VALUE("1.2")=1.2,".",","),2)</f>
        <v>Sp.uti: 0.00%</v>
      </c>
      <c r="H265" s="38">
        <f>1233.31/G264</f>
        <v>8.8093571428571433</v>
      </c>
      <c r="I265" s="29">
        <f>G264*H265</f>
        <v>1233.3100000000002</v>
      </c>
      <c r="J265">
        <v>2</v>
      </c>
    </row>
    <row r="266" spans="1:19" x14ac:dyDescent="0.3">
      <c r="A266" s="88" t="s">
        <v>673</v>
      </c>
      <c r="B266" s="98"/>
      <c r="C266" s="98"/>
      <c r="D266" s="98"/>
      <c r="E266" s="98"/>
      <c r="F266" s="98"/>
      <c r="G266" s="98"/>
      <c r="H266" s="38">
        <f>3.5/G264</f>
        <v>2.5000000000000001E-2</v>
      </c>
      <c r="I266" s="29">
        <f>G264*H266</f>
        <v>3.5</v>
      </c>
      <c r="J266">
        <v>3</v>
      </c>
      <c r="K266" s="4">
        <v>0</v>
      </c>
      <c r="L266" s="4">
        <v>0</v>
      </c>
      <c r="M266" s="4">
        <f>I266-K266-L266</f>
        <v>3.5</v>
      </c>
    </row>
    <row r="267" spans="1:19" x14ac:dyDescent="0.3">
      <c r="A267" s="98"/>
      <c r="B267" s="98"/>
      <c r="C267" s="98"/>
      <c r="D267" s="98"/>
      <c r="E267" s="98"/>
      <c r="F267" s="98"/>
      <c r="G267" s="98"/>
      <c r="H267" s="38">
        <f>0</f>
        <v>0</v>
      </c>
      <c r="I267" s="29">
        <f>G264*H267</f>
        <v>0</v>
      </c>
      <c r="J267">
        <v>4</v>
      </c>
      <c r="N267" s="4">
        <f>IF(ISERR(SEARCH("TRA* 82",C264)),IF(Q267+R267+S267=0,0,I267*(Q267/(Q267+R267+S267))),I267)</f>
        <v>0</v>
      </c>
      <c r="O267" s="4">
        <f>IF(ISERR(SEARCH("TRA* 82",C264)),IF(Q267+R267+S267=0,0,I267*(R267/(Q267+R267+S267))),0)</f>
        <v>0</v>
      </c>
      <c r="P267" s="4">
        <f>IF(ISERR(SEARCH("TRA* 82",C264)),I267-N267-O267,0)</f>
        <v>0</v>
      </c>
      <c r="Q267" s="4">
        <v>0</v>
      </c>
      <c r="R267" s="4">
        <v>0</v>
      </c>
      <c r="S267" s="4">
        <v>0</v>
      </c>
    </row>
    <row r="268" spans="1:19" x14ac:dyDescent="0.3">
      <c r="A268" s="96" t="s">
        <v>27</v>
      </c>
      <c r="B268" s="97"/>
      <c r="C268" s="97"/>
      <c r="D268" s="97"/>
      <c r="E268" s="97"/>
      <c r="F268" s="97"/>
      <c r="G268" s="97"/>
      <c r="H268" s="36">
        <f>H264+H265+H266+H267</f>
        <v>14.076785714285714</v>
      </c>
      <c r="I268" s="74">
        <f>I264+I265+I266+I267</f>
        <v>1970.7500000000002</v>
      </c>
      <c r="J268">
        <v>5</v>
      </c>
    </row>
    <row r="269" spans="1:19" x14ac:dyDescent="0.3">
      <c r="B269" s="2">
        <v>41</v>
      </c>
      <c r="C269" s="3" t="s">
        <v>472</v>
      </c>
      <c r="D269" s="5" t="s">
        <v>40</v>
      </c>
      <c r="G269" s="30">
        <v>140</v>
      </c>
      <c r="H269" s="38">
        <f>(1+IF(OR(ISERR(FIND(":",D270)),ISERR(FIND("%",D270))),0,MID(D270,FIND(":",D270)+2,FIND("%",D270)-FIND(":",D270)-2)/100))*0</f>
        <v>0</v>
      </c>
      <c r="I269" s="29">
        <f>G269*H269</f>
        <v>0</v>
      </c>
      <c r="J269">
        <v>1</v>
      </c>
    </row>
    <row r="270" spans="1:19" x14ac:dyDescent="0.3">
      <c r="D270" s="15" t="str">
        <f>SUBSTITUTE("Sp.mat: 0.00%",".",IF(VALUE("1.2")=1.2,".",","),2)</f>
        <v>Sp.mat: 0.00%</v>
      </c>
      <c r="F270" s="15" t="str">
        <f>SUBSTITUTE("Sp.man: 0.00%",".",IF(VALUE("1.2")=1.2,".",","),2)</f>
        <v>Sp.man: 0.00%</v>
      </c>
      <c r="G270" s="35" t="str">
        <f>SUBSTITUTE("Sp.uti: 0.00%",".",IF(VALUE("1.2")=1.2,".",","),2)</f>
        <v>Sp.uti: 0.00%</v>
      </c>
      <c r="H270" s="38">
        <f>739.99/G269</f>
        <v>5.2856428571428573</v>
      </c>
      <c r="I270" s="29">
        <f>G269*H270</f>
        <v>739.99</v>
      </c>
      <c r="J270">
        <v>2</v>
      </c>
    </row>
    <row r="271" spans="1:19" x14ac:dyDescent="0.3">
      <c r="A271" s="88" t="s">
        <v>674</v>
      </c>
      <c r="B271" s="98"/>
      <c r="C271" s="98"/>
      <c r="D271" s="98"/>
      <c r="E271" s="98"/>
      <c r="F271" s="98"/>
      <c r="G271" s="98"/>
      <c r="H271" s="38">
        <f>224.24/G269</f>
        <v>1.6017142857142859</v>
      </c>
      <c r="I271" s="29">
        <f>G269*H271</f>
        <v>224.24</v>
      </c>
      <c r="J271">
        <v>3</v>
      </c>
      <c r="K271" s="4">
        <v>0</v>
      </c>
      <c r="L271" s="4">
        <v>420</v>
      </c>
      <c r="M271" s="4">
        <f>I271-K271-L271</f>
        <v>-195.76</v>
      </c>
    </row>
    <row r="272" spans="1:19" x14ac:dyDescent="0.3">
      <c r="A272" s="98"/>
      <c r="B272" s="98"/>
      <c r="C272" s="98"/>
      <c r="D272" s="98"/>
      <c r="E272" s="98"/>
      <c r="F272" s="98"/>
      <c r="G272" s="98"/>
      <c r="H272" s="38">
        <f>0</f>
        <v>0</v>
      </c>
      <c r="I272" s="29">
        <f>G269*H272</f>
        <v>0</v>
      </c>
      <c r="J272">
        <v>4</v>
      </c>
      <c r="N272" s="4">
        <f>IF(ISERR(SEARCH("TRA* 82",C269)),IF(Q272+R272+S272=0,0,I272*(Q272/(Q272+R272+S272))),I272)</f>
        <v>0</v>
      </c>
      <c r="O272" s="4">
        <f>IF(ISERR(SEARCH("TRA* 82",C269)),IF(Q272+R272+S272=0,0,I272*(R272/(Q272+R272+S272))),0)</f>
        <v>0</v>
      </c>
      <c r="P272" s="4">
        <f>IF(ISERR(SEARCH("TRA* 82",C269)),I272-N272-O272,0)</f>
        <v>0</v>
      </c>
      <c r="Q272" s="4">
        <v>0</v>
      </c>
      <c r="R272" s="4">
        <v>0</v>
      </c>
      <c r="S272" s="4">
        <v>0</v>
      </c>
    </row>
    <row r="273" spans="1:19" x14ac:dyDescent="0.3">
      <c r="A273" s="96" t="s">
        <v>27</v>
      </c>
      <c r="B273" s="97"/>
      <c r="C273" s="97"/>
      <c r="D273" s="97"/>
      <c r="E273" s="97"/>
      <c r="F273" s="97"/>
      <c r="G273" s="97"/>
      <c r="H273" s="36">
        <f>H269+H270+H271+H272</f>
        <v>6.8873571428571427</v>
      </c>
      <c r="I273" s="74">
        <f>I269+I270+I271+I272</f>
        <v>964.23</v>
      </c>
      <c r="J273">
        <v>5</v>
      </c>
    </row>
    <row r="274" spans="1:19" x14ac:dyDescent="0.3">
      <c r="B274" s="2">
        <v>42</v>
      </c>
      <c r="C274" s="3" t="s">
        <v>627</v>
      </c>
      <c r="D274" s="5" t="s">
        <v>29</v>
      </c>
      <c r="G274" s="30">
        <v>29</v>
      </c>
      <c r="H274" s="38">
        <f>13933.39/G274</f>
        <v>480.46172413793101</v>
      </c>
      <c r="I274" s="29">
        <f>G274*H274</f>
        <v>13933.39</v>
      </c>
      <c r="J274">
        <v>1</v>
      </c>
    </row>
    <row r="275" spans="1:19" x14ac:dyDescent="0.3">
      <c r="D275" s="15" t="str">
        <f>SUBSTITUTE("Sp.mat: 0.00%",".",IF(VALUE("1.2")=1.2,".",","),2)</f>
        <v>Sp.mat: 0.00%</v>
      </c>
      <c r="F275" s="15" t="str">
        <f>SUBSTITUTE("Sp.man: 0.00%",".",IF(VALUE("1.2")=1.2,".",","),2)</f>
        <v>Sp.man: 0.00%</v>
      </c>
      <c r="G275" s="35" t="str">
        <f>SUBSTITUTE("Sp.uti: 0.00%",".",IF(VALUE("1.2")=1.2,".",","),2)</f>
        <v>Sp.uti: 0.00%</v>
      </c>
      <c r="H275" s="38">
        <f>1718.62/G274</f>
        <v>59.262758620689652</v>
      </c>
      <c r="I275" s="29">
        <f>G274*H275</f>
        <v>1718.62</v>
      </c>
      <c r="J275">
        <v>2</v>
      </c>
    </row>
    <row r="276" spans="1:19" x14ac:dyDescent="0.3">
      <c r="A276" s="88" t="s">
        <v>675</v>
      </c>
      <c r="B276" s="98"/>
      <c r="C276" s="98"/>
      <c r="D276" s="98"/>
      <c r="E276" s="98"/>
      <c r="F276" s="98"/>
      <c r="G276" s="98"/>
      <c r="H276" s="38">
        <f>(1+IF(OR(ISERR(FIND(":",G275)),ISERR(FIND("%",G275))),0,MID(G275,FIND(":",G275)+2,FIND("%",G275)-FIND(":",G275)-2)/100))*0</f>
        <v>0</v>
      </c>
      <c r="I276" s="29">
        <f>G274*H276</f>
        <v>0</v>
      </c>
      <c r="J276">
        <v>3</v>
      </c>
      <c r="K276" s="4">
        <v>0</v>
      </c>
      <c r="L276" s="4">
        <v>0</v>
      </c>
      <c r="M276" s="4">
        <f>I276-K276-L276</f>
        <v>0</v>
      </c>
    </row>
    <row r="277" spans="1:19" x14ac:dyDescent="0.3">
      <c r="A277" s="98"/>
      <c r="B277" s="98"/>
      <c r="C277" s="98"/>
      <c r="D277" s="98"/>
      <c r="E277" s="98"/>
      <c r="F277" s="98"/>
      <c r="G277" s="98"/>
      <c r="H277" s="38">
        <f>0</f>
        <v>0</v>
      </c>
      <c r="I277" s="29">
        <f>G274*H277</f>
        <v>0</v>
      </c>
      <c r="J277">
        <v>4</v>
      </c>
      <c r="N277" s="4">
        <f>IF(ISERR(SEARCH("TRA* 82",C274)),IF(Q277+R277+S277=0,0,I277*(Q277/(Q277+R277+S277))),I277)</f>
        <v>0</v>
      </c>
      <c r="O277" s="4">
        <f>IF(ISERR(SEARCH("TRA* 82",C274)),IF(Q277+R277+S277=0,0,I277*(R277/(Q277+R277+S277))),0)</f>
        <v>0</v>
      </c>
      <c r="P277" s="4">
        <f>IF(ISERR(SEARCH("TRA* 82",C274)),I277-N277-O277,0)</f>
        <v>0</v>
      </c>
      <c r="Q277" s="4">
        <v>0</v>
      </c>
      <c r="R277" s="4">
        <v>0</v>
      </c>
      <c r="S277" s="4">
        <v>0</v>
      </c>
    </row>
    <row r="278" spans="1:19" x14ac:dyDescent="0.3">
      <c r="A278" s="100" t="s">
        <v>87</v>
      </c>
      <c r="B278" s="101"/>
      <c r="C278" s="101"/>
      <c r="D278" s="101"/>
      <c r="E278" s="101"/>
      <c r="F278" s="101"/>
      <c r="G278" s="101"/>
      <c r="H278" s="33">
        <f>H274+H275+H276+H277</f>
        <v>539.72448275862064</v>
      </c>
      <c r="I278" s="37">
        <f>I274+I275+I276+I277</f>
        <v>15652.009999999998</v>
      </c>
      <c r="J278">
        <v>5</v>
      </c>
    </row>
    <row r="279" spans="1:19" x14ac:dyDescent="0.3">
      <c r="A279" s="99" t="s">
        <v>629</v>
      </c>
      <c r="B279" s="99"/>
      <c r="C279" s="99"/>
      <c r="D279" s="99"/>
      <c r="E279" s="99"/>
      <c r="F279" s="99"/>
      <c r="G279" s="99"/>
      <c r="H279" s="99"/>
      <c r="I279" s="99"/>
    </row>
    <row r="280" spans="1:19" x14ac:dyDescent="0.3">
      <c r="B280" s="16" t="s">
        <v>58</v>
      </c>
      <c r="E280" s="4">
        <f>SUMIF(J12:J278,"1",I12:I278)</f>
        <v>149386.70000000001</v>
      </c>
      <c r="F280" s="4">
        <f>SUMIF(J12:J278,"2",I12:I278)</f>
        <v>85387.239999999991</v>
      </c>
      <c r="G280" s="29">
        <f>SUMIF(J12:J278,"3",I12:I278)</f>
        <v>4888.9799999999996</v>
      </c>
      <c r="H280" s="29">
        <f>SUMIF(J12:J278,"4",I12:I278)</f>
        <v>0</v>
      </c>
      <c r="I280" s="29">
        <f>SUMIF(J12:J278,"5",I12:I278)</f>
        <v>239662.92000000004</v>
      </c>
      <c r="K280" s="4">
        <f>SUMIF(J12:J278,"3",K12:K278)</f>
        <v>0</v>
      </c>
      <c r="L280" s="4">
        <f>SUMIF(J12:J278,"3",L12:L278)</f>
        <v>9101.4</v>
      </c>
      <c r="M280" s="4">
        <f>SUMIF(J12:J278,"3",M12:M278)</f>
        <v>-4212.42</v>
      </c>
      <c r="N280" s="4">
        <f>SUMIF(J12:J278,"4",N12:N278)</f>
        <v>0</v>
      </c>
      <c r="O280" s="4">
        <f>SUMIF(J12:J278,"4",O12:O278)</f>
        <v>0</v>
      </c>
      <c r="P280" s="4">
        <f>SUMIF(J12:J278,"4",P12:P278)</f>
        <v>0</v>
      </c>
      <c r="Q280" s="4">
        <f>SUMIF(J12:J278,"4",Q12:Q278)</f>
        <v>0</v>
      </c>
      <c r="R280" s="4">
        <f>SUMIF(J12:J278,"4",R12:R278)</f>
        <v>0</v>
      </c>
      <c r="S280" s="4">
        <f>SUMIF(J12:J278,"4",S12:S278)</f>
        <v>0</v>
      </c>
    </row>
    <row r="281" spans="1:19" x14ac:dyDescent="0.3">
      <c r="B281" s="107" t="s">
        <v>72</v>
      </c>
      <c r="C281" s="108"/>
      <c r="D281" s="26" t="s">
        <v>73</v>
      </c>
      <c r="E281" s="26"/>
      <c r="F281" s="26"/>
      <c r="G281" s="109"/>
      <c r="H281" s="36"/>
      <c r="I281" s="110">
        <f>I280</f>
        <v>239662.92000000004</v>
      </c>
    </row>
  </sheetData>
  <mergeCells count="147">
    <mergeCell ref="A1:D1"/>
    <mergeCell ref="A2:I2"/>
    <mergeCell ref="A3:I3"/>
    <mergeCell ref="A4:I4"/>
    <mergeCell ref="A5:H5"/>
    <mergeCell ref="A14:G15"/>
    <mergeCell ref="A25:I25"/>
    <mergeCell ref="A26:I26"/>
    <mergeCell ref="A27:I27"/>
    <mergeCell ref="A28:I28"/>
    <mergeCell ref="A31:G32"/>
    <mergeCell ref="A33:G33"/>
    <mergeCell ref="A16:G16"/>
    <mergeCell ref="A17:I17"/>
    <mergeCell ref="A20:G21"/>
    <mergeCell ref="A22:G22"/>
    <mergeCell ref="A23:I23"/>
    <mergeCell ref="A24:I24"/>
    <mergeCell ref="A42:G43"/>
    <mergeCell ref="A44:G44"/>
    <mergeCell ref="A45:I45"/>
    <mergeCell ref="A46:I46"/>
    <mergeCell ref="A47:I47"/>
    <mergeCell ref="A48:I48"/>
    <mergeCell ref="A34:I34"/>
    <mergeCell ref="A35:I35"/>
    <mergeCell ref="A36:I36"/>
    <mergeCell ref="A37:I37"/>
    <mergeCell ref="A38:I38"/>
    <mergeCell ref="A39:I39"/>
    <mergeCell ref="A58:I58"/>
    <mergeCell ref="A59:I59"/>
    <mergeCell ref="A60:I60"/>
    <mergeCell ref="A61:I61"/>
    <mergeCell ref="A64:G65"/>
    <mergeCell ref="A66:G66"/>
    <mergeCell ref="A49:I49"/>
    <mergeCell ref="A50:I50"/>
    <mergeCell ref="A53:G54"/>
    <mergeCell ref="A55:G55"/>
    <mergeCell ref="A56:I56"/>
    <mergeCell ref="A57:I57"/>
    <mergeCell ref="A75:G76"/>
    <mergeCell ref="A77:G77"/>
    <mergeCell ref="A78:I78"/>
    <mergeCell ref="A79:I79"/>
    <mergeCell ref="A80:I80"/>
    <mergeCell ref="A81:I81"/>
    <mergeCell ref="A67:I67"/>
    <mergeCell ref="A68:I68"/>
    <mergeCell ref="A69:I69"/>
    <mergeCell ref="A70:I70"/>
    <mergeCell ref="A71:I71"/>
    <mergeCell ref="A72:I72"/>
    <mergeCell ref="A91:I91"/>
    <mergeCell ref="A92:I92"/>
    <mergeCell ref="A93:I93"/>
    <mergeCell ref="A94:I94"/>
    <mergeCell ref="A97:G98"/>
    <mergeCell ref="A99:G99"/>
    <mergeCell ref="A82:I82"/>
    <mergeCell ref="A83:I83"/>
    <mergeCell ref="A86:G87"/>
    <mergeCell ref="A88:G88"/>
    <mergeCell ref="A89:I89"/>
    <mergeCell ref="A90:I90"/>
    <mergeCell ref="A108:G109"/>
    <mergeCell ref="A110:G110"/>
    <mergeCell ref="A113:G114"/>
    <mergeCell ref="A115:G115"/>
    <mergeCell ref="A118:G119"/>
    <mergeCell ref="A120:G120"/>
    <mergeCell ref="A100:I100"/>
    <mergeCell ref="A101:I101"/>
    <mergeCell ref="A102:I102"/>
    <mergeCell ref="A103:I103"/>
    <mergeCell ref="A104:I104"/>
    <mergeCell ref="A105:I105"/>
    <mergeCell ref="A138:G139"/>
    <mergeCell ref="A140:G140"/>
    <mergeCell ref="A143:G144"/>
    <mergeCell ref="A145:G145"/>
    <mergeCell ref="A148:G149"/>
    <mergeCell ref="A150:G150"/>
    <mergeCell ref="A123:G124"/>
    <mergeCell ref="A125:G125"/>
    <mergeCell ref="A128:G129"/>
    <mergeCell ref="A130:G130"/>
    <mergeCell ref="A133:G134"/>
    <mergeCell ref="A135:G135"/>
    <mergeCell ref="A168:G169"/>
    <mergeCell ref="A170:G170"/>
    <mergeCell ref="A173:G174"/>
    <mergeCell ref="A175:G175"/>
    <mergeCell ref="A178:G179"/>
    <mergeCell ref="A180:G180"/>
    <mergeCell ref="A153:G154"/>
    <mergeCell ref="A155:G155"/>
    <mergeCell ref="A158:G159"/>
    <mergeCell ref="A160:G160"/>
    <mergeCell ref="A163:G164"/>
    <mergeCell ref="A165:G165"/>
    <mergeCell ref="A196:G196"/>
    <mergeCell ref="A197:I197"/>
    <mergeCell ref="A200:G201"/>
    <mergeCell ref="A202:G202"/>
    <mergeCell ref="A203:I203"/>
    <mergeCell ref="A206:G207"/>
    <mergeCell ref="A183:G184"/>
    <mergeCell ref="A185:G185"/>
    <mergeCell ref="A188:G189"/>
    <mergeCell ref="A190:G190"/>
    <mergeCell ref="A191:I191"/>
    <mergeCell ref="A194:G195"/>
    <mergeCell ref="A220:G220"/>
    <mergeCell ref="A221:I221"/>
    <mergeCell ref="A224:G225"/>
    <mergeCell ref="A226:G226"/>
    <mergeCell ref="A227:I227"/>
    <mergeCell ref="A230:G231"/>
    <mergeCell ref="A208:G208"/>
    <mergeCell ref="A209:I209"/>
    <mergeCell ref="A212:G213"/>
    <mergeCell ref="A214:G214"/>
    <mergeCell ref="A215:I215"/>
    <mergeCell ref="A218:G219"/>
    <mergeCell ref="A246:G247"/>
    <mergeCell ref="A248:G248"/>
    <mergeCell ref="A251:G252"/>
    <mergeCell ref="A253:G253"/>
    <mergeCell ref="A256:G257"/>
    <mergeCell ref="A258:G258"/>
    <mergeCell ref="A232:G232"/>
    <mergeCell ref="A233:I233"/>
    <mergeCell ref="A236:G237"/>
    <mergeCell ref="A238:G238"/>
    <mergeCell ref="A241:G242"/>
    <mergeCell ref="A243:G243"/>
    <mergeCell ref="A276:G277"/>
    <mergeCell ref="A278:G278"/>
    <mergeCell ref="A279:I279"/>
    <mergeCell ref="A261:G262"/>
    <mergeCell ref="A263:G263"/>
    <mergeCell ref="A266:G267"/>
    <mergeCell ref="A268:G268"/>
    <mergeCell ref="A271:G272"/>
    <mergeCell ref="A273:G273"/>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35" manualBreakCount="35">
    <brk id="39" max="16383" man="1"/>
    <brk id="105" max="16383" man="1"/>
    <brk id="110" max="16383" man="1"/>
    <brk id="115" max="16383" man="1"/>
    <brk id="120" max="16383" man="1"/>
    <brk id="125" max="16383" man="1"/>
    <brk id="130" max="16383" man="1"/>
    <brk id="135" max="16383" man="1"/>
    <brk id="140" max="16383" man="1"/>
    <brk id="145" max="16383" man="1"/>
    <brk id="150" max="16383" man="1"/>
    <brk id="155" max="16383" man="1"/>
    <brk id="160" max="16383" man="1"/>
    <brk id="165" max="16383" man="1"/>
    <brk id="170" max="16383" man="1"/>
    <brk id="175" max="16383" man="1"/>
    <brk id="180" max="16383" man="1"/>
    <brk id="185" max="16383" man="1"/>
    <brk id="191" max="16383" man="1"/>
    <brk id="197" max="16383" man="1"/>
    <brk id="203" max="16383" man="1"/>
    <brk id="209" max="16383" man="1"/>
    <brk id="215" max="16383" man="1"/>
    <brk id="221" max="16383" man="1"/>
    <brk id="227" max="16383" man="1"/>
    <brk id="233" max="16383" man="1"/>
    <brk id="238" max="16383" man="1"/>
    <brk id="243" max="16383" man="1"/>
    <brk id="248" max="16383" man="1"/>
    <brk id="253" max="16383" man="1"/>
    <brk id="258" max="16383" man="1"/>
    <brk id="263" max="16383" man="1"/>
    <brk id="268" max="16383" man="1"/>
    <brk id="273" max="16383" man="1"/>
    <brk id="279"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17F9-3163-49BA-9798-85323EE831B5}">
  <sheetPr>
    <tabColor rgb="FF92D050"/>
  </sheetPr>
  <dimension ref="A1:T272"/>
  <sheetViews>
    <sheetView topLeftCell="A262" workbookViewId="0">
      <selection activeCell="I273" sqref="I273"/>
    </sheetView>
  </sheetViews>
  <sheetFormatPr defaultRowHeight="14.4" outlineLevelCol="1" x14ac:dyDescent="0.3"/>
  <cols>
    <col min="1" max="1" width="0.33203125" style="1" customWidth="1"/>
    <col min="2" max="2" width="5.77734375" style="2" customWidth="1"/>
    <col min="3" max="3" width="25.33203125" style="3" customWidth="1"/>
    <col min="4" max="4" width="14.5546875" style="5" customWidth="1"/>
    <col min="5" max="5" width="14.5546875" customWidth="1"/>
    <col min="7" max="7" width="15.77734375" style="30" customWidth="1"/>
    <col min="8" max="8" width="14.5546875" style="38" customWidth="1"/>
    <col min="9" max="9" width="14.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84</v>
      </c>
      <c r="B4" s="98"/>
      <c r="C4" s="98"/>
      <c r="D4" s="98"/>
      <c r="E4" s="98"/>
      <c r="F4" s="98"/>
      <c r="G4" s="98"/>
      <c r="H4" s="98"/>
      <c r="I4" s="98"/>
    </row>
    <row r="5" spans="1:19" ht="15" thickBot="1" x14ac:dyDescent="0.35">
      <c r="A5" s="82" t="s">
        <v>676</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677</v>
      </c>
      <c r="D12" s="13" t="s">
        <v>29</v>
      </c>
      <c r="E12" s="14"/>
      <c r="F12" s="14"/>
      <c r="G12" s="41">
        <v>64</v>
      </c>
      <c r="H12" s="71">
        <f>1662.82/G12</f>
        <v>25.981562499999999</v>
      </c>
      <c r="I12" s="32">
        <f>G12*H12</f>
        <v>1662.82</v>
      </c>
      <c r="J12">
        <v>1</v>
      </c>
    </row>
    <row r="13" spans="1:19" x14ac:dyDescent="0.3">
      <c r="D13" s="15" t="str">
        <f>SUBSTITUTE("Sp.mat: 0.00%",".",IF(VALUE("1.2")=1.2,".",","),2)</f>
        <v>Sp.mat: 0.00%</v>
      </c>
      <c r="F13" s="15" t="str">
        <f>SUBSTITUTE("Sp.man: 0.00%",".",IF(VALUE("1.2")=1.2,".",","),2)</f>
        <v>Sp.man: 0.00%</v>
      </c>
      <c r="G13" s="35" t="str">
        <f>SUBSTITUTE("Sp.uti: 0.00%",".",IF(VALUE("1.2")=1.2,".",","),2)</f>
        <v>Sp.uti: 0.00%</v>
      </c>
      <c r="H13" s="38">
        <f>1537.63/G12</f>
        <v>24.025468750000002</v>
      </c>
      <c r="I13" s="29">
        <f>G12*H13</f>
        <v>1537.63</v>
      </c>
      <c r="J13">
        <v>2</v>
      </c>
    </row>
    <row r="14" spans="1:19" x14ac:dyDescent="0.3">
      <c r="A14" s="88" t="s">
        <v>678</v>
      </c>
      <c r="B14" s="98"/>
      <c r="C14" s="98"/>
      <c r="D14" s="98"/>
      <c r="E14" s="98"/>
      <c r="F14" s="98"/>
      <c r="G14" s="98"/>
      <c r="H14" s="38">
        <v>7.0000000000000007E-2</v>
      </c>
      <c r="I14" s="29">
        <f>G12*H14</f>
        <v>4.4800000000000004</v>
      </c>
      <c r="J14">
        <v>3</v>
      </c>
      <c r="K14" s="4">
        <v>0</v>
      </c>
      <c r="L14" s="4">
        <v>8.2560000000000002</v>
      </c>
      <c r="M14" s="4">
        <f>I14-K14-L14</f>
        <v>-3.7759999999999998</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96" t="s">
        <v>679</v>
      </c>
      <c r="B16" s="97"/>
      <c r="C16" s="97"/>
      <c r="D16" s="97"/>
      <c r="E16" s="97"/>
      <c r="F16" s="97"/>
      <c r="G16" s="97"/>
      <c r="H16" s="36">
        <f>H12+H13+H14+H15</f>
        <v>50.077031249999997</v>
      </c>
      <c r="I16" s="74">
        <f>I12+I13+I14+I15</f>
        <v>3204.93</v>
      </c>
      <c r="J16">
        <v>5</v>
      </c>
    </row>
    <row r="17" spans="1:19" x14ac:dyDescent="0.3">
      <c r="B17" s="2">
        <v>2</v>
      </c>
      <c r="C17" s="3" t="s">
        <v>680</v>
      </c>
      <c r="D17" s="5" t="s">
        <v>29</v>
      </c>
      <c r="G17" s="30">
        <v>8</v>
      </c>
      <c r="H17" s="38">
        <v>845.16</v>
      </c>
      <c r="I17" s="29">
        <f>G17*H17</f>
        <v>6761.28</v>
      </c>
      <c r="J17">
        <v>1</v>
      </c>
    </row>
    <row r="18" spans="1:19" x14ac:dyDescent="0.3">
      <c r="D18" s="15" t="str">
        <f>SUBSTITUTE("Sp.mat: 0.00%",".",IF(VALUE("1.2")=1.2,".",","),2)</f>
        <v>Sp.mat: 0.00%</v>
      </c>
      <c r="F18" s="15" t="str">
        <f>SUBSTITUTE("Sp.man: 0.00%",".",IF(VALUE("1.2")=1.2,".",","),2)</f>
        <v>Sp.man: 0.00%</v>
      </c>
      <c r="G18" s="35" t="str">
        <f>SUBSTITUTE("Sp.uti: 0.00%",".",IF(VALUE("1.2")=1.2,".",","),2)</f>
        <v>Sp.uti: 0.00%</v>
      </c>
      <c r="H18" s="38">
        <f>(1+IF(OR(ISERR(FIND(":",F18)),ISERR(FIND("%",F18))),0,MID(F18,FIND(":",F18)+2,FIND("%",F18)-FIND(":",F18)-2)/100))*0</f>
        <v>0</v>
      </c>
      <c r="I18" s="29">
        <f>G17*H18</f>
        <v>0</v>
      </c>
      <c r="J18">
        <v>2</v>
      </c>
    </row>
    <row r="19" spans="1:19" x14ac:dyDescent="0.3">
      <c r="A19" s="88" t="s">
        <v>681</v>
      </c>
      <c r="B19" s="98"/>
      <c r="C19" s="98"/>
      <c r="D19" s="98"/>
      <c r="E19" s="98"/>
      <c r="F19" s="98"/>
      <c r="G19" s="98"/>
      <c r="H19" s="38">
        <f>(1+IF(OR(ISERR(FIND(":",G18)),ISERR(FIND("%",G18))),0,MID(G18,FIND(":",G18)+2,FIND("%",G18)-FIND(":",G18)-2)/100))*0</f>
        <v>0</v>
      </c>
      <c r="I19" s="29">
        <f>G17*H19</f>
        <v>0</v>
      </c>
      <c r="J19">
        <v>3</v>
      </c>
      <c r="K19" s="4">
        <v>0</v>
      </c>
      <c r="L19" s="4">
        <v>0</v>
      </c>
      <c r="M19" s="4">
        <f>I19-K19-L19</f>
        <v>0</v>
      </c>
    </row>
    <row r="20" spans="1:19" x14ac:dyDescent="0.3">
      <c r="A20" s="98"/>
      <c r="B20" s="98"/>
      <c r="C20" s="98"/>
      <c r="D20" s="98"/>
      <c r="E20" s="98"/>
      <c r="F20" s="98"/>
      <c r="G20" s="98"/>
      <c r="H20" s="38">
        <f>0</f>
        <v>0</v>
      </c>
      <c r="I20" s="29">
        <f>G17*H20</f>
        <v>0</v>
      </c>
      <c r="J20">
        <v>4</v>
      </c>
      <c r="N20" s="4">
        <f>IF(ISERR(SEARCH("TRA* 82",C17)),IF(Q20+R20+S20=0,0,I20*(Q20/(Q20+R20+S20))),I20)</f>
        <v>0</v>
      </c>
      <c r="O20" s="4">
        <f>IF(ISERR(SEARCH("TRA* 82",C17)),IF(Q20+R20+S20=0,0,I20*(R20/(Q20+R20+S20))),0)</f>
        <v>0</v>
      </c>
      <c r="P20" s="4">
        <f>IF(ISERR(SEARCH("TRA* 82",C17)),I20-N20-O20,0)</f>
        <v>0</v>
      </c>
      <c r="Q20" s="4">
        <v>0</v>
      </c>
      <c r="R20" s="4">
        <v>0</v>
      </c>
      <c r="S20" s="4">
        <v>0</v>
      </c>
    </row>
    <row r="21" spans="1:19" x14ac:dyDescent="0.3">
      <c r="A21" s="96" t="s">
        <v>27</v>
      </c>
      <c r="B21" s="97"/>
      <c r="C21" s="97"/>
      <c r="D21" s="97"/>
      <c r="E21" s="97"/>
      <c r="F21" s="97"/>
      <c r="G21" s="97"/>
      <c r="H21" s="36">
        <f>H17+H18+H19+H20</f>
        <v>845.16</v>
      </c>
      <c r="I21" s="74">
        <f>I17+I18+I19+I20</f>
        <v>6761.28</v>
      </c>
      <c r="J21">
        <v>5</v>
      </c>
    </row>
    <row r="22" spans="1:19" x14ac:dyDescent="0.3">
      <c r="B22" s="2">
        <v>3</v>
      </c>
      <c r="C22" s="3" t="s">
        <v>682</v>
      </c>
      <c r="D22" s="5" t="s">
        <v>29</v>
      </c>
      <c r="G22" s="30">
        <v>7</v>
      </c>
      <c r="H22" s="38">
        <v>862.2</v>
      </c>
      <c r="I22" s="29">
        <f>G22*H22</f>
        <v>6035.4000000000005</v>
      </c>
      <c r="J22">
        <v>1</v>
      </c>
    </row>
    <row r="23" spans="1:19" x14ac:dyDescent="0.3">
      <c r="D23" s="15" t="str">
        <f>SUBSTITUTE("Sp.mat: 0.00%",".",IF(VALUE("1.2")=1.2,".",","),2)</f>
        <v>Sp.mat: 0.00%</v>
      </c>
      <c r="F23" s="15" t="str">
        <f>SUBSTITUTE("Sp.man: 0.00%",".",IF(VALUE("1.2")=1.2,".",","),2)</f>
        <v>Sp.man: 0.00%</v>
      </c>
      <c r="G23" s="35" t="str">
        <f>SUBSTITUTE("Sp.uti: 0.00%",".",IF(VALUE("1.2")=1.2,".",","),2)</f>
        <v>Sp.uti: 0.00%</v>
      </c>
      <c r="H23" s="38">
        <f>(1+IF(OR(ISERR(FIND(":",F23)),ISERR(FIND("%",F23))),0,MID(F23,FIND(":",F23)+2,FIND("%",F23)-FIND(":",F23)-2)/100))*0</f>
        <v>0</v>
      </c>
      <c r="I23" s="29">
        <f>G22*H23</f>
        <v>0</v>
      </c>
      <c r="J23">
        <v>2</v>
      </c>
    </row>
    <row r="24" spans="1:19" x14ac:dyDescent="0.3">
      <c r="A24" s="88" t="s">
        <v>683</v>
      </c>
      <c r="B24" s="98"/>
      <c r="C24" s="98"/>
      <c r="D24" s="98"/>
      <c r="E24" s="98"/>
      <c r="F24" s="98"/>
      <c r="G24" s="98"/>
      <c r="H24" s="38">
        <f>(1+IF(OR(ISERR(FIND(":",G23)),ISERR(FIND("%",G23))),0,MID(G23,FIND(":",G23)+2,FIND("%",G23)-FIND(":",G23)-2)/100))*0</f>
        <v>0</v>
      </c>
      <c r="I24" s="29">
        <f>G22*H24</f>
        <v>0</v>
      </c>
      <c r="J24">
        <v>3</v>
      </c>
      <c r="K24" s="4">
        <v>0</v>
      </c>
      <c r="L24" s="4">
        <v>0</v>
      </c>
      <c r="M24" s="4">
        <f>I24-K24-L24</f>
        <v>0</v>
      </c>
    </row>
    <row r="25" spans="1:19" x14ac:dyDescent="0.3">
      <c r="A25" s="98"/>
      <c r="B25" s="98"/>
      <c r="C25" s="98"/>
      <c r="D25" s="98"/>
      <c r="E25" s="98"/>
      <c r="F25" s="98"/>
      <c r="G25" s="98"/>
      <c r="H25" s="38">
        <f>0</f>
        <v>0</v>
      </c>
      <c r="I25" s="29">
        <f>G22*H25</f>
        <v>0</v>
      </c>
      <c r="J25">
        <v>4</v>
      </c>
      <c r="N25" s="4">
        <f>IF(ISERR(SEARCH("TRA* 82",C22)),IF(Q25+R25+S25=0,0,I25*(Q25/(Q25+R25+S25))),I25)</f>
        <v>0</v>
      </c>
      <c r="O25" s="4">
        <f>IF(ISERR(SEARCH("TRA* 82",C22)),IF(Q25+R25+S25=0,0,I25*(R25/(Q25+R25+S25))),0)</f>
        <v>0</v>
      </c>
      <c r="P25" s="4">
        <f>IF(ISERR(SEARCH("TRA* 82",C22)),I25-N25-O25,0)</f>
        <v>0</v>
      </c>
      <c r="Q25" s="4">
        <v>0</v>
      </c>
      <c r="R25" s="4">
        <v>0</v>
      </c>
      <c r="S25" s="4">
        <v>0</v>
      </c>
    </row>
    <row r="26" spans="1:19" x14ac:dyDescent="0.3">
      <c r="A26" s="96" t="s">
        <v>27</v>
      </c>
      <c r="B26" s="97"/>
      <c r="C26" s="97"/>
      <c r="D26" s="97"/>
      <c r="E26" s="97"/>
      <c r="F26" s="97"/>
      <c r="G26" s="97"/>
      <c r="H26" s="36">
        <f>H22+H23+H24+H25</f>
        <v>862.2</v>
      </c>
      <c r="I26" s="74">
        <f>I22+I23+I24+I25</f>
        <v>6035.4000000000005</v>
      </c>
      <c r="J26">
        <v>5</v>
      </c>
    </row>
    <row r="27" spans="1:19" x14ac:dyDescent="0.3">
      <c r="B27" s="2">
        <v>4</v>
      </c>
      <c r="C27" s="3" t="s">
        <v>684</v>
      </c>
      <c r="D27" s="5" t="s">
        <v>29</v>
      </c>
      <c r="G27" s="30">
        <v>27</v>
      </c>
      <c r="H27" s="38">
        <f>28036.03/G27</f>
        <v>1038.3714814814814</v>
      </c>
      <c r="I27" s="29">
        <f>G27*H27</f>
        <v>28036.03</v>
      </c>
      <c r="J27">
        <v>1</v>
      </c>
    </row>
    <row r="28" spans="1:19" x14ac:dyDescent="0.3">
      <c r="D28" s="15" t="str">
        <f>SUBSTITUTE("Sp.mat: 0.00%",".",IF(VALUE("1.2")=1.2,".",","),2)</f>
        <v>Sp.mat: 0.00%</v>
      </c>
      <c r="F28" s="15" t="str">
        <f>SUBSTITUTE("Sp.man: 0.00%",".",IF(VALUE("1.2")=1.2,".",","),2)</f>
        <v>Sp.man: 0.00%</v>
      </c>
      <c r="G28" s="35" t="str">
        <f>SUBSTITUTE("Sp.uti: 0.00%",".",IF(VALUE("1.2")=1.2,".",","),2)</f>
        <v>Sp.uti: 0.00%</v>
      </c>
      <c r="H28" s="38">
        <f>(1+IF(OR(ISERR(FIND(":",F28)),ISERR(FIND("%",F28))),0,MID(F28,FIND(":",F28)+2,FIND("%",F28)-FIND(":",F28)-2)/100))*0</f>
        <v>0</v>
      </c>
      <c r="I28" s="29">
        <f>G27*H28</f>
        <v>0</v>
      </c>
      <c r="J28">
        <v>2</v>
      </c>
    </row>
    <row r="29" spans="1:19" x14ac:dyDescent="0.3">
      <c r="A29" s="88" t="s">
        <v>685</v>
      </c>
      <c r="B29" s="98"/>
      <c r="C29" s="98"/>
      <c r="D29" s="98"/>
      <c r="E29" s="98"/>
      <c r="F29" s="98"/>
      <c r="G29" s="98"/>
      <c r="H29" s="38">
        <f>(1+IF(OR(ISERR(FIND(":",G28)),ISERR(FIND("%",G28))),0,MID(G28,FIND(":",G28)+2,FIND("%",G28)-FIND(":",G28)-2)/100))*0</f>
        <v>0</v>
      </c>
      <c r="I29" s="29">
        <f>G27*H29</f>
        <v>0</v>
      </c>
      <c r="J29">
        <v>3</v>
      </c>
      <c r="K29" s="4">
        <v>0</v>
      </c>
      <c r="L29" s="4">
        <v>0</v>
      </c>
      <c r="M29" s="4">
        <f>I29-K29-L29</f>
        <v>0</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96" t="s">
        <v>27</v>
      </c>
      <c r="B31" s="97"/>
      <c r="C31" s="97"/>
      <c r="D31" s="97"/>
      <c r="E31" s="97"/>
      <c r="F31" s="97"/>
      <c r="G31" s="97"/>
      <c r="H31" s="36">
        <f>H27+H28+H29+H30</f>
        <v>1038.3714814814814</v>
      </c>
      <c r="I31" s="74">
        <f>I27+I28+I29+I30</f>
        <v>28036.03</v>
      </c>
      <c r="J31">
        <v>5</v>
      </c>
    </row>
    <row r="32" spans="1:19" x14ac:dyDescent="0.3">
      <c r="B32" s="2">
        <v>5</v>
      </c>
      <c r="C32" s="3" t="s">
        <v>686</v>
      </c>
      <c r="D32" s="5" t="s">
        <v>29</v>
      </c>
      <c r="G32" s="30">
        <v>22</v>
      </c>
      <c r="H32" s="38">
        <v>1157.68</v>
      </c>
      <c r="I32" s="29">
        <f>G32*H32</f>
        <v>25468.960000000003</v>
      </c>
      <c r="J32">
        <v>1</v>
      </c>
    </row>
    <row r="33" spans="1:19" x14ac:dyDescent="0.3">
      <c r="D33" s="15" t="str">
        <f>SUBSTITUTE("Sp.mat: 0.00%",".",IF(VALUE("1.2")=1.2,".",","),2)</f>
        <v>Sp.mat: 0.00%</v>
      </c>
      <c r="F33" s="15" t="str">
        <f>SUBSTITUTE("Sp.man: 0.00%",".",IF(VALUE("1.2")=1.2,".",","),2)</f>
        <v>Sp.man: 0.00%</v>
      </c>
      <c r="G33" s="35" t="str">
        <f>SUBSTITUTE("Sp.uti: 0.00%",".",IF(VALUE("1.2")=1.2,".",","),2)</f>
        <v>Sp.uti: 0.00%</v>
      </c>
      <c r="H33" s="38">
        <f>(1+IF(OR(ISERR(FIND(":",F33)),ISERR(FIND("%",F33))),0,MID(F33,FIND(":",F33)+2,FIND("%",F33)-FIND(":",F33)-2)/100))*0</f>
        <v>0</v>
      </c>
      <c r="I33" s="29">
        <f>G32*H33</f>
        <v>0</v>
      </c>
      <c r="J33">
        <v>2</v>
      </c>
    </row>
    <row r="34" spans="1:19" x14ac:dyDescent="0.3">
      <c r="A34" s="88" t="s">
        <v>687</v>
      </c>
      <c r="B34" s="98"/>
      <c r="C34" s="98"/>
      <c r="D34" s="98"/>
      <c r="E34" s="98"/>
      <c r="F34" s="98"/>
      <c r="G34" s="98"/>
      <c r="H34" s="38">
        <f>(1+IF(OR(ISERR(FIND(":",G33)),ISERR(FIND("%",G33))),0,MID(G33,FIND(":",G33)+2,FIND("%",G33)-FIND(":",G33)-2)/100))*0</f>
        <v>0</v>
      </c>
      <c r="I34" s="29">
        <f>G32*H34</f>
        <v>0</v>
      </c>
      <c r="J34">
        <v>3</v>
      </c>
      <c r="K34" s="4">
        <v>0</v>
      </c>
      <c r="L34" s="4">
        <v>0</v>
      </c>
      <c r="M34" s="4">
        <f>I34-K34-L34</f>
        <v>0</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96" t="s">
        <v>27</v>
      </c>
      <c r="B36" s="97"/>
      <c r="C36" s="97"/>
      <c r="D36" s="97"/>
      <c r="E36" s="97"/>
      <c r="F36" s="97"/>
      <c r="G36" s="97"/>
      <c r="H36" s="36">
        <f>H32+H33+H34+H35</f>
        <v>1157.68</v>
      </c>
      <c r="I36" s="74">
        <f>I32+I33+I34+I35</f>
        <v>25468.960000000003</v>
      </c>
      <c r="J36">
        <v>5</v>
      </c>
    </row>
    <row r="37" spans="1:19" x14ac:dyDescent="0.3">
      <c r="B37" s="2">
        <v>6</v>
      </c>
      <c r="C37" s="3" t="s">
        <v>393</v>
      </c>
      <c r="D37" s="5" t="s">
        <v>25</v>
      </c>
      <c r="G37" s="30">
        <v>200</v>
      </c>
      <c r="H37" s="38">
        <f>1089.34/G37</f>
        <v>5.4466999999999999</v>
      </c>
      <c r="I37" s="29">
        <f>G37*H37</f>
        <v>1089.3399999999999</v>
      </c>
      <c r="J37">
        <v>1</v>
      </c>
    </row>
    <row r="38" spans="1:19" x14ac:dyDescent="0.3">
      <c r="D38" s="15" t="str">
        <f>SUBSTITUTE("Sp.mat: 0.00%",".",IF(VALUE("1.2")=1.2,".",","),2)</f>
        <v>Sp.mat: 0.00%</v>
      </c>
      <c r="F38" s="15" t="str">
        <f>SUBSTITUTE("Sp.man: 0.00%",".",IF(VALUE("1.2")=1.2,".",","),2)</f>
        <v>Sp.man: 0.00%</v>
      </c>
      <c r="G38" s="35" t="str">
        <f>SUBSTITUTE("Sp.uti: 0.00%",".",IF(VALUE("1.2")=1.2,".",","),2)</f>
        <v>Sp.uti: 0.00%</v>
      </c>
      <c r="H38" s="38">
        <f>3523.74/G37</f>
        <v>17.6187</v>
      </c>
      <c r="I38" s="29">
        <f>G37*H38</f>
        <v>3523.7400000000002</v>
      </c>
      <c r="J38">
        <v>2</v>
      </c>
    </row>
    <row r="39" spans="1:19" x14ac:dyDescent="0.3">
      <c r="A39" s="88" t="s">
        <v>394</v>
      </c>
      <c r="B39" s="98"/>
      <c r="C39" s="98"/>
      <c r="D39" s="98"/>
      <c r="E39" s="98"/>
      <c r="F39" s="98"/>
      <c r="G39" s="98"/>
      <c r="H39" s="38">
        <f>(1+IF(OR(ISERR(FIND(":",G38)),ISERR(FIND("%",G38))),0,MID(G38,FIND(":",G38)+2,FIND("%",G38)-FIND(":",G38)-2)/100))*0</f>
        <v>0</v>
      </c>
      <c r="I39" s="29">
        <f>G37*H39</f>
        <v>0</v>
      </c>
      <c r="J39">
        <v>3</v>
      </c>
      <c r="K39" s="4">
        <v>0</v>
      </c>
      <c r="L39" s="4">
        <v>0</v>
      </c>
      <c r="M39" s="4">
        <f>I39-K39-L39</f>
        <v>0</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100" t="s">
        <v>27</v>
      </c>
      <c r="B41" s="101"/>
      <c r="C41" s="101"/>
      <c r="D41" s="101"/>
      <c r="E41" s="101"/>
      <c r="F41" s="101"/>
      <c r="G41" s="101"/>
      <c r="H41" s="33">
        <f>H37+H38+H39+H40</f>
        <v>23.0654</v>
      </c>
      <c r="I41" s="37">
        <f>I37+I38+I39+I40</f>
        <v>4613.08</v>
      </c>
      <c r="J41">
        <v>5</v>
      </c>
    </row>
    <row r="42" spans="1:19" x14ac:dyDescent="0.3">
      <c r="A42" s="102" t="s">
        <v>396</v>
      </c>
      <c r="B42" s="102"/>
      <c r="C42" s="102"/>
      <c r="D42" s="102"/>
      <c r="E42" s="102"/>
      <c r="F42" s="102"/>
      <c r="G42" s="102"/>
      <c r="H42" s="102"/>
      <c r="I42" s="102"/>
    </row>
    <row r="43" spans="1:19" x14ac:dyDescent="0.3">
      <c r="A43" s="97" t="s">
        <v>397</v>
      </c>
      <c r="B43" s="97"/>
      <c r="C43" s="97"/>
      <c r="D43" s="97"/>
      <c r="E43" s="97"/>
      <c r="F43" s="97"/>
      <c r="G43" s="97"/>
      <c r="H43" s="97"/>
      <c r="I43" s="97"/>
    </row>
    <row r="44" spans="1:19" x14ac:dyDescent="0.3">
      <c r="B44" s="2">
        <v>7</v>
      </c>
      <c r="C44" s="3" t="s">
        <v>398</v>
      </c>
      <c r="D44" s="5" t="s">
        <v>25</v>
      </c>
      <c r="G44" s="30">
        <v>500</v>
      </c>
      <c r="H44" s="38">
        <f>3999.56/G44</f>
        <v>7.9991199999999996</v>
      </c>
      <c r="I44" s="29">
        <f>G44*H44</f>
        <v>3999.56</v>
      </c>
      <c r="J44">
        <v>1</v>
      </c>
    </row>
    <row r="45" spans="1:19" x14ac:dyDescent="0.3">
      <c r="D45" s="15" t="str">
        <f>SUBSTITUTE("Sp.mat: 0.00%",".",IF(VALUE("1.2")=1.2,".",","),2)</f>
        <v>Sp.mat: 0.00%</v>
      </c>
      <c r="F45" s="15" t="str">
        <f>SUBSTITUTE("Sp.man: 0.00%",".",IF(VALUE("1.2")=1.2,".",","),2)</f>
        <v>Sp.man: 0.00%</v>
      </c>
      <c r="G45" s="35" t="str">
        <f>SUBSTITUTE("Sp.uti: 0.00%",".",IF(VALUE("1.2")=1.2,".",","),2)</f>
        <v>Sp.uti: 0.00%</v>
      </c>
      <c r="H45" s="38">
        <f>7608.08/G44</f>
        <v>15.21616</v>
      </c>
      <c r="I45" s="29">
        <f>G44*H45</f>
        <v>7608.08</v>
      </c>
      <c r="J45">
        <v>2</v>
      </c>
    </row>
    <row r="46" spans="1:19" x14ac:dyDescent="0.3">
      <c r="A46" s="88" t="s">
        <v>399</v>
      </c>
      <c r="B46" s="98"/>
      <c r="C46" s="98"/>
      <c r="D46" s="98"/>
      <c r="E46" s="98"/>
      <c r="F46" s="98"/>
      <c r="G46" s="98"/>
      <c r="H46" s="38">
        <f>(1+IF(OR(ISERR(FIND(":",G45)),ISERR(FIND("%",G45))),0,MID(G45,FIND(":",G45)+2,FIND("%",G45)-FIND(":",G45)-2)/100))*0</f>
        <v>0</v>
      </c>
      <c r="I46" s="29">
        <f>G44*H46</f>
        <v>0</v>
      </c>
      <c r="J46">
        <v>3</v>
      </c>
      <c r="K46" s="4">
        <v>0</v>
      </c>
      <c r="L46" s="4">
        <v>0</v>
      </c>
      <c r="M46" s="4">
        <f>I46-K46-L46</f>
        <v>0</v>
      </c>
    </row>
    <row r="47" spans="1:19" x14ac:dyDescent="0.3">
      <c r="A47" s="98"/>
      <c r="B47" s="98"/>
      <c r="C47" s="98"/>
      <c r="D47" s="98"/>
      <c r="E47" s="98"/>
      <c r="F47" s="98"/>
      <c r="G47" s="98"/>
      <c r="H47" s="38">
        <f>0</f>
        <v>0</v>
      </c>
      <c r="I47" s="29">
        <f>G44*H47</f>
        <v>0</v>
      </c>
      <c r="J47">
        <v>4</v>
      </c>
      <c r="N47" s="4">
        <f>IF(ISERR(SEARCH("TRA* 82",C44)),IF(Q47+R47+S47=0,0,I47*(Q47/(Q47+R47+S47))),I47)</f>
        <v>0</v>
      </c>
      <c r="O47" s="4">
        <f>IF(ISERR(SEARCH("TRA* 82",C44)),IF(Q47+R47+S47=0,0,I47*(R47/(Q47+R47+S47))),0)</f>
        <v>0</v>
      </c>
      <c r="P47" s="4">
        <f>IF(ISERR(SEARCH("TRA* 82",C44)),I47-N47-O47,0)</f>
        <v>0</v>
      </c>
      <c r="Q47" s="4">
        <v>0</v>
      </c>
      <c r="R47" s="4">
        <v>0</v>
      </c>
      <c r="S47" s="4">
        <v>0</v>
      </c>
    </row>
    <row r="48" spans="1:19" x14ac:dyDescent="0.3">
      <c r="A48" s="100" t="s">
        <v>27</v>
      </c>
      <c r="B48" s="101"/>
      <c r="C48" s="101"/>
      <c r="D48" s="101"/>
      <c r="E48" s="101"/>
      <c r="F48" s="101"/>
      <c r="G48" s="101"/>
      <c r="H48" s="33">
        <f>H44+H45+H46+H47</f>
        <v>23.21528</v>
      </c>
      <c r="I48" s="37">
        <f>I44+I45+I46+I47</f>
        <v>11607.64</v>
      </c>
      <c r="J48">
        <v>5</v>
      </c>
    </row>
    <row r="49" spans="1:19" x14ac:dyDescent="0.3">
      <c r="A49" s="102" t="s">
        <v>400</v>
      </c>
      <c r="B49" s="102"/>
      <c r="C49" s="102"/>
      <c r="D49" s="102"/>
      <c r="E49" s="102"/>
      <c r="F49" s="102"/>
      <c r="G49" s="102"/>
      <c r="H49" s="102"/>
      <c r="I49" s="102"/>
    </row>
    <row r="50" spans="1:19" x14ac:dyDescent="0.3">
      <c r="A50" s="97" t="s">
        <v>410</v>
      </c>
      <c r="B50" s="97"/>
      <c r="C50" s="97"/>
      <c r="D50" s="97"/>
      <c r="E50" s="97"/>
      <c r="F50" s="97"/>
      <c r="G50" s="97"/>
      <c r="H50" s="97"/>
      <c r="I50" s="97"/>
    </row>
    <row r="51" spans="1:19" x14ac:dyDescent="0.3">
      <c r="B51" s="2">
        <v>8</v>
      </c>
      <c r="C51" s="3" t="s">
        <v>398</v>
      </c>
      <c r="D51" s="5" t="s">
        <v>25</v>
      </c>
      <c r="G51" s="30">
        <v>260</v>
      </c>
      <c r="H51" s="38">
        <f>2815.26/G51</f>
        <v>10.827923076923078</v>
      </c>
      <c r="I51" s="29">
        <f>G51*H51</f>
        <v>2815.26</v>
      </c>
      <c r="J51">
        <v>1</v>
      </c>
    </row>
    <row r="52" spans="1:19" x14ac:dyDescent="0.3">
      <c r="D52" s="15" t="str">
        <f>SUBSTITUTE("Sp.mat: 0.00%",".",IF(VALUE("1.2")=1.2,".",","),2)</f>
        <v>Sp.mat: 0.00%</v>
      </c>
      <c r="F52" s="15" t="str">
        <f>SUBSTITUTE("Sp.man: 0.00%",".",IF(VALUE("1.2")=1.2,".",","),2)</f>
        <v>Sp.man: 0.00%</v>
      </c>
      <c r="G52" s="35" t="str">
        <f>SUBSTITUTE("Sp.uti: 0.00%",".",IF(VALUE("1.2")=1.2,".",","),2)</f>
        <v>Sp.uti: 0.00%</v>
      </c>
      <c r="H52" s="38">
        <f>3956.2/G51</f>
        <v>15.216153846153846</v>
      </c>
      <c r="I52" s="29">
        <f>G51*H52</f>
        <v>3956.2</v>
      </c>
      <c r="J52">
        <v>2</v>
      </c>
    </row>
    <row r="53" spans="1:19" x14ac:dyDescent="0.3">
      <c r="A53" s="88" t="s">
        <v>399</v>
      </c>
      <c r="B53" s="98"/>
      <c r="C53" s="98"/>
      <c r="D53" s="98"/>
      <c r="E53" s="98"/>
      <c r="F53" s="98"/>
      <c r="G53" s="98"/>
      <c r="H53" s="38">
        <f>(1+IF(OR(ISERR(FIND(":",G52)),ISERR(FIND("%",G52))),0,MID(G52,FIND(":",G52)+2,FIND("%",G52)-FIND(":",G52)-2)/100))*0</f>
        <v>0</v>
      </c>
      <c r="I53" s="29">
        <f>G51*H53</f>
        <v>0</v>
      </c>
      <c r="J53">
        <v>3</v>
      </c>
      <c r="K53" s="4">
        <v>0</v>
      </c>
      <c r="L53" s="4">
        <v>0</v>
      </c>
      <c r="M53" s="4">
        <f>I53-K53-L53</f>
        <v>0</v>
      </c>
    </row>
    <row r="54" spans="1:19" x14ac:dyDescent="0.3">
      <c r="A54" s="98"/>
      <c r="B54" s="98"/>
      <c r="C54" s="98"/>
      <c r="D54" s="98"/>
      <c r="E54" s="98"/>
      <c r="F54" s="98"/>
      <c r="G54" s="98"/>
      <c r="H54" s="38">
        <f>0</f>
        <v>0</v>
      </c>
      <c r="I54" s="29">
        <f>G51*H54</f>
        <v>0</v>
      </c>
      <c r="J54">
        <v>4</v>
      </c>
      <c r="N54" s="4">
        <f>IF(ISERR(SEARCH("TRA* 82",C51)),IF(Q54+R54+S54=0,0,I54*(Q54/(Q54+R54+S54))),I54)</f>
        <v>0</v>
      </c>
      <c r="O54" s="4">
        <f>IF(ISERR(SEARCH("TRA* 82",C51)),IF(Q54+R54+S54=0,0,I54*(R54/(Q54+R54+S54))),0)</f>
        <v>0</v>
      </c>
      <c r="P54" s="4">
        <f>IF(ISERR(SEARCH("TRA* 82",C51)),I54-N54-O54,0)</f>
        <v>0</v>
      </c>
      <c r="Q54" s="4">
        <v>0</v>
      </c>
      <c r="R54" s="4">
        <v>0</v>
      </c>
      <c r="S54" s="4">
        <v>0</v>
      </c>
    </row>
    <row r="55" spans="1:19" x14ac:dyDescent="0.3">
      <c r="A55" s="100" t="s">
        <v>27</v>
      </c>
      <c r="B55" s="101"/>
      <c r="C55" s="101"/>
      <c r="D55" s="101"/>
      <c r="E55" s="101"/>
      <c r="F55" s="101"/>
      <c r="G55" s="101"/>
      <c r="H55" s="33">
        <f>H51+H52+H53+H54</f>
        <v>26.044076923076922</v>
      </c>
      <c r="I55" s="37">
        <f>I51+I52+I53+I54</f>
        <v>6771.46</v>
      </c>
      <c r="J55">
        <v>5</v>
      </c>
    </row>
    <row r="56" spans="1:19" x14ac:dyDescent="0.3">
      <c r="A56" s="102" t="s">
        <v>401</v>
      </c>
      <c r="B56" s="102"/>
      <c r="C56" s="102"/>
      <c r="D56" s="102"/>
      <c r="E56" s="102"/>
      <c r="F56" s="102"/>
      <c r="G56" s="102"/>
      <c r="H56" s="102"/>
      <c r="I56" s="102"/>
    </row>
    <row r="57" spans="1:19" x14ac:dyDescent="0.3">
      <c r="A57" s="97" t="s">
        <v>402</v>
      </c>
      <c r="B57" s="97"/>
      <c r="C57" s="97"/>
      <c r="D57" s="97"/>
      <c r="E57" s="97"/>
      <c r="F57" s="97"/>
      <c r="G57" s="97"/>
      <c r="H57" s="97"/>
      <c r="I57" s="97"/>
    </row>
    <row r="58" spans="1:19" x14ac:dyDescent="0.3">
      <c r="B58" s="2">
        <v>9</v>
      </c>
      <c r="C58" s="3" t="s">
        <v>404</v>
      </c>
      <c r="D58" s="5" t="s">
        <v>25</v>
      </c>
      <c r="G58" s="30">
        <v>100</v>
      </c>
      <c r="H58" s="38">
        <v>11.01</v>
      </c>
      <c r="I58" s="29">
        <f>G58*H58</f>
        <v>1101</v>
      </c>
      <c r="J58">
        <v>1</v>
      </c>
    </row>
    <row r="59" spans="1:19" x14ac:dyDescent="0.3">
      <c r="D59" s="15" t="str">
        <f>SUBSTITUTE("Sp.mat: 0.00%",".",IF(VALUE("1.2")=1.2,".",","),2)</f>
        <v>Sp.mat: 0.00%</v>
      </c>
      <c r="F59" s="15" t="str">
        <f>SUBSTITUTE("Sp.man: 0.00%",".",IF(VALUE("1.2")=1.2,".",","),2)</f>
        <v>Sp.man: 0.00%</v>
      </c>
      <c r="G59" s="35" t="str">
        <f>SUBSTITUTE("Sp.uti: 0.00%",".",IF(VALUE("1.2")=1.2,".",","),2)</f>
        <v>Sp.uti: 0.00%</v>
      </c>
      <c r="H59" s="38">
        <f>1681.79/G58</f>
        <v>16.817899999999998</v>
      </c>
      <c r="I59" s="29">
        <f>G58*H59</f>
        <v>1681.7899999999997</v>
      </c>
      <c r="J59">
        <v>2</v>
      </c>
    </row>
    <row r="60" spans="1:19" x14ac:dyDescent="0.3">
      <c r="A60" s="88" t="s">
        <v>405</v>
      </c>
      <c r="B60" s="98"/>
      <c r="C60" s="98"/>
      <c r="D60" s="98"/>
      <c r="E60" s="98"/>
      <c r="F60" s="98"/>
      <c r="G60" s="98"/>
      <c r="H60" s="38">
        <f>(1+IF(OR(ISERR(FIND(":",G59)),ISERR(FIND("%",G59))),0,MID(G59,FIND(":",G59)+2,FIND("%",G59)-FIND(":",G59)-2)/100))*0</f>
        <v>0</v>
      </c>
      <c r="I60" s="29">
        <f>G58*H60</f>
        <v>0</v>
      </c>
      <c r="J60">
        <v>3</v>
      </c>
      <c r="K60" s="4">
        <v>0</v>
      </c>
      <c r="L60" s="4">
        <v>0</v>
      </c>
      <c r="M60" s="4">
        <f>I60-K60-L60</f>
        <v>0</v>
      </c>
    </row>
    <row r="61" spans="1:19" x14ac:dyDescent="0.3">
      <c r="A61" s="98"/>
      <c r="B61" s="98"/>
      <c r="C61" s="98"/>
      <c r="D61" s="98"/>
      <c r="E61" s="98"/>
      <c r="F61" s="98"/>
      <c r="G61" s="98"/>
      <c r="H61" s="38">
        <f>0</f>
        <v>0</v>
      </c>
      <c r="I61" s="29">
        <f>G58*H61</f>
        <v>0</v>
      </c>
      <c r="J61">
        <v>4</v>
      </c>
      <c r="N61" s="4">
        <f>IF(ISERR(SEARCH("TRA* 82",C58)),IF(Q61+R61+S61=0,0,I61*(Q61/(Q61+R61+S61))),I61)</f>
        <v>0</v>
      </c>
      <c r="O61" s="4">
        <f>IF(ISERR(SEARCH("TRA* 82",C58)),IF(Q61+R61+S61=0,0,I61*(R61/(Q61+R61+S61))),0)</f>
        <v>0</v>
      </c>
      <c r="P61" s="4">
        <f>IF(ISERR(SEARCH("TRA* 82",C58)),I61-N61-O61,0)</f>
        <v>0</v>
      </c>
      <c r="Q61" s="4">
        <v>0</v>
      </c>
      <c r="R61" s="4">
        <v>0</v>
      </c>
      <c r="S61" s="4">
        <v>0</v>
      </c>
    </row>
    <row r="62" spans="1:19" x14ac:dyDescent="0.3">
      <c r="A62" s="100" t="s">
        <v>27</v>
      </c>
      <c r="B62" s="101"/>
      <c r="C62" s="101"/>
      <c r="D62" s="101"/>
      <c r="E62" s="101"/>
      <c r="F62" s="101"/>
      <c r="G62" s="101"/>
      <c r="H62" s="33">
        <f>H58+H59+H60+H61</f>
        <v>27.8279</v>
      </c>
      <c r="I62" s="37">
        <f>I58+I59+I60+I61</f>
        <v>2782.79</v>
      </c>
      <c r="J62">
        <v>5</v>
      </c>
    </row>
    <row r="63" spans="1:19" x14ac:dyDescent="0.3">
      <c r="A63" s="102" t="s">
        <v>403</v>
      </c>
      <c r="B63" s="102"/>
      <c r="C63" s="102"/>
      <c r="D63" s="102"/>
      <c r="E63" s="102"/>
      <c r="F63" s="102"/>
      <c r="G63" s="102"/>
      <c r="H63" s="102"/>
      <c r="I63" s="102"/>
    </row>
    <row r="64" spans="1:19" x14ac:dyDescent="0.3">
      <c r="A64" s="97" t="s">
        <v>402</v>
      </c>
      <c r="B64" s="97"/>
      <c r="C64" s="97"/>
      <c r="D64" s="97"/>
      <c r="E64" s="97"/>
      <c r="F64" s="97"/>
      <c r="G64" s="97"/>
      <c r="H64" s="97"/>
      <c r="I64" s="97"/>
    </row>
    <row r="65" spans="1:19" x14ac:dyDescent="0.3">
      <c r="B65" s="2">
        <v>10</v>
      </c>
      <c r="C65" s="3" t="s">
        <v>404</v>
      </c>
      <c r="D65" s="5" t="s">
        <v>25</v>
      </c>
      <c r="G65" s="30">
        <v>130</v>
      </c>
      <c r="H65" s="38">
        <f>2236.42/G65</f>
        <v>17.203230769230771</v>
      </c>
      <c r="I65" s="29">
        <f>G65*H65</f>
        <v>2236.42</v>
      </c>
      <c r="J65">
        <v>1</v>
      </c>
    </row>
    <row r="66" spans="1:19" x14ac:dyDescent="0.3">
      <c r="D66" s="15" t="str">
        <f>SUBSTITUTE("Sp.mat: 0.00%",".",IF(VALUE("1.2")=1.2,".",","),2)</f>
        <v>Sp.mat: 0.00%</v>
      </c>
      <c r="F66" s="15" t="str">
        <f>SUBSTITUTE("Sp.man: 0.00%",".",IF(VALUE("1.2")=1.2,".",","),2)</f>
        <v>Sp.man: 0.00%</v>
      </c>
      <c r="G66" s="35" t="str">
        <f>SUBSTITUTE("Sp.uti: 0.00%",".",IF(VALUE("1.2")=1.2,".",","),2)</f>
        <v>Sp.uti: 0.00%</v>
      </c>
      <c r="H66" s="38">
        <f>2186.32/G65</f>
        <v>16.817846153846155</v>
      </c>
      <c r="I66" s="29">
        <f>G65*H66</f>
        <v>2186.3200000000002</v>
      </c>
      <c r="J66">
        <v>2</v>
      </c>
    </row>
    <row r="67" spans="1:19" x14ac:dyDescent="0.3">
      <c r="A67" s="88" t="s">
        <v>405</v>
      </c>
      <c r="B67" s="98"/>
      <c r="C67" s="98"/>
      <c r="D67" s="98"/>
      <c r="E67" s="98"/>
      <c r="F67" s="98"/>
      <c r="G67" s="98"/>
      <c r="H67" s="38">
        <f>(1+IF(OR(ISERR(FIND(":",G66)),ISERR(FIND("%",G66))),0,MID(G66,FIND(":",G66)+2,FIND("%",G66)-FIND(":",G66)-2)/100))*0</f>
        <v>0</v>
      </c>
      <c r="I67" s="29">
        <f>G65*H67</f>
        <v>0</v>
      </c>
      <c r="J67">
        <v>3</v>
      </c>
      <c r="K67" s="4">
        <v>0</v>
      </c>
      <c r="L67" s="4">
        <v>0</v>
      </c>
      <c r="M67" s="4">
        <f>I67-K67-L67</f>
        <v>0</v>
      </c>
    </row>
    <row r="68" spans="1:19" x14ac:dyDescent="0.3">
      <c r="A68" s="98"/>
      <c r="B68" s="98"/>
      <c r="C68" s="98"/>
      <c r="D68" s="98"/>
      <c r="E68" s="98"/>
      <c r="F68" s="98"/>
      <c r="G68" s="98"/>
      <c r="H68" s="38">
        <f>0</f>
        <v>0</v>
      </c>
      <c r="I68" s="29">
        <f>G65*H68</f>
        <v>0</v>
      </c>
      <c r="J68">
        <v>4</v>
      </c>
      <c r="N68" s="4">
        <f>IF(ISERR(SEARCH("TRA* 82",C65)),IF(Q68+R68+S68=0,0,I68*(Q68/(Q68+R68+S68))),I68)</f>
        <v>0</v>
      </c>
      <c r="O68" s="4">
        <f>IF(ISERR(SEARCH("TRA* 82",C65)),IF(Q68+R68+S68=0,0,I68*(R68/(Q68+R68+S68))),0)</f>
        <v>0</v>
      </c>
      <c r="P68" s="4">
        <f>IF(ISERR(SEARCH("TRA* 82",C65)),I68-N68-O68,0)</f>
        <v>0</v>
      </c>
      <c r="Q68" s="4">
        <v>0</v>
      </c>
      <c r="R68" s="4">
        <v>0</v>
      </c>
      <c r="S68" s="4">
        <v>0</v>
      </c>
    </row>
    <row r="69" spans="1:19" x14ac:dyDescent="0.3">
      <c r="A69" s="100" t="s">
        <v>27</v>
      </c>
      <c r="B69" s="101"/>
      <c r="C69" s="101"/>
      <c r="D69" s="101"/>
      <c r="E69" s="101"/>
      <c r="F69" s="101"/>
      <c r="G69" s="101"/>
      <c r="H69" s="33">
        <f>H65+H66+H67+H68</f>
        <v>34.021076923076926</v>
      </c>
      <c r="I69" s="37">
        <f>I65+I66+I67+I68</f>
        <v>4422.74</v>
      </c>
      <c r="J69">
        <v>5</v>
      </c>
    </row>
    <row r="70" spans="1:19" x14ac:dyDescent="0.3">
      <c r="A70" s="102" t="s">
        <v>406</v>
      </c>
      <c r="B70" s="102"/>
      <c r="C70" s="102"/>
      <c r="D70" s="102"/>
      <c r="E70" s="102"/>
      <c r="F70" s="102"/>
      <c r="G70" s="102"/>
      <c r="H70" s="102"/>
      <c r="I70" s="102"/>
    </row>
    <row r="71" spans="1:19" x14ac:dyDescent="0.3">
      <c r="A71" s="97" t="s">
        <v>410</v>
      </c>
      <c r="B71" s="97"/>
      <c r="C71" s="97"/>
      <c r="D71" s="97"/>
      <c r="E71" s="97"/>
      <c r="F71" s="97"/>
      <c r="G71" s="97"/>
      <c r="H71" s="97"/>
      <c r="I71" s="97"/>
    </row>
    <row r="72" spans="1:19" x14ac:dyDescent="0.3">
      <c r="B72" s="2">
        <v>11</v>
      </c>
      <c r="C72" s="3" t="s">
        <v>407</v>
      </c>
      <c r="D72" s="5" t="s">
        <v>25</v>
      </c>
      <c r="G72" s="30">
        <v>180</v>
      </c>
      <c r="H72" s="38">
        <v>22.17</v>
      </c>
      <c r="I72" s="29">
        <f>G72*H72</f>
        <v>3990.6000000000004</v>
      </c>
      <c r="J72">
        <v>1</v>
      </c>
    </row>
    <row r="73" spans="1:19" x14ac:dyDescent="0.3">
      <c r="D73" s="15" t="str">
        <f>SUBSTITUTE("Sp.mat: 0.00%",".",IF(VALUE("1.2")=1.2,".",","),2)</f>
        <v>Sp.mat: 0.00%</v>
      </c>
      <c r="F73" s="15" t="str">
        <f>SUBSTITUTE("Sp.man: 0.00%",".",IF(VALUE("1.2")=1.2,".",","),2)</f>
        <v>Sp.man: 0.00%</v>
      </c>
      <c r="G73" s="35" t="str">
        <f>SUBSTITUTE("Sp.uti: 0.00%",".",IF(VALUE("1.2")=1.2,".",","),2)</f>
        <v>Sp.uti: 0.00%</v>
      </c>
      <c r="H73" s="38">
        <v>18.420000000000002</v>
      </c>
      <c r="I73" s="29">
        <f>G72*H73</f>
        <v>3315.6000000000004</v>
      </c>
      <c r="J73">
        <v>2</v>
      </c>
    </row>
    <row r="74" spans="1:19" x14ac:dyDescent="0.3">
      <c r="A74" s="88" t="s">
        <v>408</v>
      </c>
      <c r="B74" s="98"/>
      <c r="C74" s="98"/>
      <c r="D74" s="98"/>
      <c r="E74" s="98"/>
      <c r="F74" s="98"/>
      <c r="G74" s="98"/>
      <c r="H74" s="38">
        <f>(1+IF(OR(ISERR(FIND(":",G73)),ISERR(FIND("%",G73))),0,MID(G73,FIND(":",G73)+2,FIND("%",G73)-FIND(":",G73)-2)/100))*0</f>
        <v>0</v>
      </c>
      <c r="I74" s="29">
        <f>G72*H74</f>
        <v>0</v>
      </c>
      <c r="J74">
        <v>3</v>
      </c>
      <c r="K74" s="4">
        <v>0</v>
      </c>
      <c r="L74" s="4">
        <v>0</v>
      </c>
      <c r="M74" s="4">
        <f>I74-K74-L74</f>
        <v>0</v>
      </c>
    </row>
    <row r="75" spans="1:19" x14ac:dyDescent="0.3">
      <c r="A75" s="98"/>
      <c r="B75" s="98"/>
      <c r="C75" s="98"/>
      <c r="D75" s="98"/>
      <c r="E75" s="98"/>
      <c r="F75" s="98"/>
      <c r="G75" s="98"/>
      <c r="H75" s="38">
        <f>0</f>
        <v>0</v>
      </c>
      <c r="I75" s="29">
        <f>G72*H75</f>
        <v>0</v>
      </c>
      <c r="J75">
        <v>4</v>
      </c>
      <c r="N75" s="4">
        <f>IF(ISERR(SEARCH("TRA* 82",C72)),IF(Q75+R75+S75=0,0,I75*(Q75/(Q75+R75+S75))),I75)</f>
        <v>0</v>
      </c>
      <c r="O75" s="4">
        <f>IF(ISERR(SEARCH("TRA* 82",C72)),IF(Q75+R75+S75=0,0,I75*(R75/(Q75+R75+S75))),0)</f>
        <v>0</v>
      </c>
      <c r="P75" s="4">
        <f>IF(ISERR(SEARCH("TRA* 82",C72)),I75-N75-O75,0)</f>
        <v>0</v>
      </c>
      <c r="Q75" s="4">
        <v>0</v>
      </c>
      <c r="R75" s="4">
        <v>0</v>
      </c>
      <c r="S75" s="4">
        <v>0</v>
      </c>
    </row>
    <row r="76" spans="1:19" x14ac:dyDescent="0.3">
      <c r="A76" s="100" t="s">
        <v>27</v>
      </c>
      <c r="B76" s="101"/>
      <c r="C76" s="101"/>
      <c r="D76" s="101"/>
      <c r="E76" s="101"/>
      <c r="F76" s="101"/>
      <c r="G76" s="101"/>
      <c r="H76" s="33">
        <f>H72+H73+H74+H75</f>
        <v>40.590000000000003</v>
      </c>
      <c r="I76" s="37">
        <f>I72+I73+I74+I75</f>
        <v>7306.2000000000007</v>
      </c>
      <c r="J76">
        <v>5</v>
      </c>
    </row>
    <row r="77" spans="1:19" x14ac:dyDescent="0.3">
      <c r="A77" s="102" t="s">
        <v>688</v>
      </c>
      <c r="B77" s="102"/>
      <c r="C77" s="102"/>
      <c r="D77" s="102"/>
      <c r="E77" s="102"/>
      <c r="F77" s="102"/>
      <c r="G77" s="102"/>
      <c r="H77" s="102"/>
      <c r="I77" s="102"/>
    </row>
    <row r="78" spans="1:19" x14ac:dyDescent="0.3">
      <c r="A78" s="97" t="s">
        <v>402</v>
      </c>
      <c r="B78" s="97"/>
      <c r="C78" s="97"/>
      <c r="D78" s="97"/>
      <c r="E78" s="97"/>
      <c r="F78" s="97"/>
      <c r="G78" s="97"/>
      <c r="H78" s="97"/>
      <c r="I78" s="97"/>
    </row>
    <row r="79" spans="1:19" x14ac:dyDescent="0.3">
      <c r="B79" s="2">
        <v>12</v>
      </c>
      <c r="C79" s="3" t="s">
        <v>407</v>
      </c>
      <c r="D79" s="5" t="s">
        <v>25</v>
      </c>
      <c r="G79" s="30">
        <v>85</v>
      </c>
      <c r="H79" s="38">
        <v>28.49</v>
      </c>
      <c r="I79" s="29">
        <f>G79*H79</f>
        <v>2421.65</v>
      </c>
      <c r="J79">
        <v>1</v>
      </c>
    </row>
    <row r="80" spans="1:19" x14ac:dyDescent="0.3">
      <c r="D80" s="15" t="str">
        <f>SUBSTITUTE("Sp.mat: 0.00%",".",IF(VALUE("1.2")=1.2,".",","),2)</f>
        <v>Sp.mat: 0.00%</v>
      </c>
      <c r="F80" s="15" t="str">
        <f>SUBSTITUTE("Sp.man: 0.00%",".",IF(VALUE("1.2")=1.2,".",","),2)</f>
        <v>Sp.man: 0.00%</v>
      </c>
      <c r="G80" s="35" t="str">
        <f>SUBSTITUTE("Sp.uti: 0.00%",".",IF(VALUE("1.2")=1.2,".",","),2)</f>
        <v>Sp.uti: 0.00%</v>
      </c>
      <c r="H80" s="38">
        <v>18.420000000000002</v>
      </c>
      <c r="I80" s="29">
        <f>G79*H80</f>
        <v>1565.7</v>
      </c>
      <c r="J80">
        <v>2</v>
      </c>
    </row>
    <row r="81" spans="1:19" x14ac:dyDescent="0.3">
      <c r="A81" s="88" t="s">
        <v>408</v>
      </c>
      <c r="B81" s="98"/>
      <c r="C81" s="98"/>
      <c r="D81" s="98"/>
      <c r="E81" s="98"/>
      <c r="F81" s="98"/>
      <c r="G81" s="98"/>
      <c r="H81" s="38">
        <f>(1+IF(OR(ISERR(FIND(":",G80)),ISERR(FIND("%",G80))),0,MID(G80,FIND(":",G80)+2,FIND("%",G80)-FIND(":",G80)-2)/100))*0</f>
        <v>0</v>
      </c>
      <c r="I81" s="29">
        <f>G79*H81</f>
        <v>0</v>
      </c>
      <c r="J81">
        <v>3</v>
      </c>
      <c r="K81" s="4">
        <v>0</v>
      </c>
      <c r="L81" s="4">
        <v>0</v>
      </c>
      <c r="M81" s="4">
        <f>I81-K81-L81</f>
        <v>0</v>
      </c>
    </row>
    <row r="82" spans="1:19" x14ac:dyDescent="0.3">
      <c r="A82" s="98"/>
      <c r="B82" s="98"/>
      <c r="C82" s="98"/>
      <c r="D82" s="98"/>
      <c r="E82" s="98"/>
      <c r="F82" s="98"/>
      <c r="G82" s="98"/>
      <c r="H82" s="38">
        <f>0</f>
        <v>0</v>
      </c>
      <c r="I82" s="29">
        <f>G79*H82</f>
        <v>0</v>
      </c>
      <c r="J82">
        <v>4</v>
      </c>
      <c r="N82" s="4">
        <f>IF(ISERR(SEARCH("TRA* 82",C79)),IF(Q82+R82+S82=0,0,I82*(Q82/(Q82+R82+S82))),I82)</f>
        <v>0</v>
      </c>
      <c r="O82" s="4">
        <f>IF(ISERR(SEARCH("TRA* 82",C79)),IF(Q82+R82+S82=0,0,I82*(R82/(Q82+R82+S82))),0)</f>
        <v>0</v>
      </c>
      <c r="P82" s="4">
        <f>IF(ISERR(SEARCH("TRA* 82",C79)),I82-N82-O82,0)</f>
        <v>0</v>
      </c>
      <c r="Q82" s="4">
        <v>0</v>
      </c>
      <c r="R82" s="4">
        <v>0</v>
      </c>
      <c r="S82" s="4">
        <v>0</v>
      </c>
    </row>
    <row r="83" spans="1:19" x14ac:dyDescent="0.3">
      <c r="A83" s="100" t="s">
        <v>27</v>
      </c>
      <c r="B83" s="101"/>
      <c r="C83" s="101"/>
      <c r="D83" s="101"/>
      <c r="E83" s="101"/>
      <c r="F83" s="101"/>
      <c r="G83" s="101"/>
      <c r="H83" s="33">
        <f>H79+H80+H81+H82</f>
        <v>46.91</v>
      </c>
      <c r="I83" s="37">
        <f>I79+I80+I81+I82</f>
        <v>3987.3500000000004</v>
      </c>
      <c r="J83">
        <v>5</v>
      </c>
    </row>
    <row r="84" spans="1:19" x14ac:dyDescent="0.3">
      <c r="A84" s="102" t="s">
        <v>409</v>
      </c>
      <c r="B84" s="102"/>
      <c r="C84" s="102"/>
      <c r="D84" s="102"/>
      <c r="E84" s="102"/>
      <c r="F84" s="102"/>
      <c r="G84" s="102"/>
      <c r="H84" s="102"/>
      <c r="I84" s="102"/>
    </row>
    <row r="85" spans="1:19" x14ac:dyDescent="0.3">
      <c r="A85" s="97" t="s">
        <v>410</v>
      </c>
      <c r="B85" s="97"/>
      <c r="C85" s="97"/>
      <c r="D85" s="97"/>
      <c r="E85" s="97"/>
      <c r="F85" s="97"/>
      <c r="G85" s="97"/>
      <c r="H85" s="97"/>
      <c r="I85" s="97"/>
    </row>
    <row r="86" spans="1:19" x14ac:dyDescent="0.3">
      <c r="B86" s="2">
        <v>13</v>
      </c>
      <c r="C86" s="3" t="s">
        <v>411</v>
      </c>
      <c r="D86" s="5" t="s">
        <v>25</v>
      </c>
      <c r="G86" s="30">
        <v>150</v>
      </c>
      <c r="H86" s="38">
        <v>37.89</v>
      </c>
      <c r="I86" s="29">
        <f>G86*H86</f>
        <v>5683.5</v>
      </c>
      <c r="J86">
        <v>1</v>
      </c>
    </row>
    <row r="87" spans="1:19" x14ac:dyDescent="0.3">
      <c r="D87" s="15" t="str">
        <f>SUBSTITUTE("Sp.mat: 0.00%",".",IF(VALUE("1.2")=1.2,".",","),2)</f>
        <v>Sp.mat: 0.00%</v>
      </c>
      <c r="F87" s="15" t="str">
        <f>SUBSTITUTE("Sp.man: 0.00%",".",IF(VALUE("1.2")=1.2,".",","),2)</f>
        <v>Sp.man: 0.00%</v>
      </c>
      <c r="G87" s="35" t="str">
        <f>SUBSTITUTE("Sp.uti: 0.00%",".",IF(VALUE("1.2")=1.2,".",","),2)</f>
        <v>Sp.uti: 0.00%</v>
      </c>
      <c r="H87" s="38">
        <f>3243.44/G86</f>
        <v>21.622933333333332</v>
      </c>
      <c r="I87" s="29">
        <f>G86*H87</f>
        <v>3243.44</v>
      </c>
      <c r="J87">
        <v>2</v>
      </c>
    </row>
    <row r="88" spans="1:19" x14ac:dyDescent="0.3">
      <c r="A88" s="88" t="s">
        <v>412</v>
      </c>
      <c r="B88" s="98"/>
      <c r="C88" s="98"/>
      <c r="D88" s="98"/>
      <c r="E88" s="98"/>
      <c r="F88" s="98"/>
      <c r="G88" s="98"/>
      <c r="H88" s="38">
        <f>(1+IF(OR(ISERR(FIND(":",G87)),ISERR(FIND("%",G87))),0,MID(G87,FIND(":",G87)+2,FIND("%",G87)-FIND(":",G87)-2)/100))*0</f>
        <v>0</v>
      </c>
      <c r="I88" s="29">
        <f>G86*H88</f>
        <v>0</v>
      </c>
      <c r="J88">
        <v>3</v>
      </c>
      <c r="K88" s="4">
        <v>0</v>
      </c>
      <c r="L88" s="4">
        <v>0</v>
      </c>
      <c r="M88" s="4">
        <f>I88-K88-L88</f>
        <v>0</v>
      </c>
    </row>
    <row r="89" spans="1:19" x14ac:dyDescent="0.3">
      <c r="A89" s="98"/>
      <c r="B89" s="98"/>
      <c r="C89" s="98"/>
      <c r="D89" s="98"/>
      <c r="E89" s="98"/>
      <c r="F89" s="98"/>
      <c r="G89" s="98"/>
      <c r="H89" s="38">
        <f>0</f>
        <v>0</v>
      </c>
      <c r="I89" s="29">
        <f>G86*H89</f>
        <v>0</v>
      </c>
      <c r="J89">
        <v>4</v>
      </c>
      <c r="N89" s="4">
        <f>IF(ISERR(SEARCH("TRA* 82",C86)),IF(Q89+R89+S89=0,0,I89*(Q89/(Q89+R89+S89))),I89)</f>
        <v>0</v>
      </c>
      <c r="O89" s="4">
        <f>IF(ISERR(SEARCH("TRA* 82",C86)),IF(Q89+R89+S89=0,0,I89*(R89/(Q89+R89+S89))),0)</f>
        <v>0</v>
      </c>
      <c r="P89" s="4">
        <f>IF(ISERR(SEARCH("TRA* 82",C86)),I89-N89-O89,0)</f>
        <v>0</v>
      </c>
      <c r="Q89" s="4">
        <v>0</v>
      </c>
      <c r="R89" s="4">
        <v>0</v>
      </c>
      <c r="S89" s="4">
        <v>0</v>
      </c>
    </row>
    <row r="90" spans="1:19" x14ac:dyDescent="0.3">
      <c r="A90" s="100" t="s">
        <v>27</v>
      </c>
      <c r="B90" s="101"/>
      <c r="C90" s="101"/>
      <c r="D90" s="101"/>
      <c r="E90" s="101"/>
      <c r="F90" s="101"/>
      <c r="G90" s="101"/>
      <c r="H90" s="33">
        <f>H86+H87+H88+H89</f>
        <v>59.512933333333336</v>
      </c>
      <c r="I90" s="37">
        <f>I86+I87+I88+I89</f>
        <v>8926.94</v>
      </c>
      <c r="J90">
        <v>5</v>
      </c>
    </row>
    <row r="91" spans="1:19" x14ac:dyDescent="0.3">
      <c r="A91" s="102" t="s">
        <v>413</v>
      </c>
      <c r="B91" s="102"/>
      <c r="C91" s="102"/>
      <c r="D91" s="102"/>
      <c r="E91" s="102"/>
      <c r="F91" s="102"/>
      <c r="G91" s="102"/>
      <c r="H91" s="102"/>
      <c r="I91" s="102"/>
    </row>
    <row r="92" spans="1:19" x14ac:dyDescent="0.3">
      <c r="A92" s="97" t="s">
        <v>410</v>
      </c>
      <c r="B92" s="97"/>
      <c r="C92" s="97"/>
      <c r="D92" s="97"/>
      <c r="E92" s="97"/>
      <c r="F92" s="97"/>
      <c r="G92" s="97"/>
      <c r="H92" s="97"/>
      <c r="I92" s="97"/>
    </row>
    <row r="93" spans="1:19" x14ac:dyDescent="0.3">
      <c r="B93" s="2">
        <v>14</v>
      </c>
      <c r="C93" s="3" t="s">
        <v>238</v>
      </c>
      <c r="D93" s="5" t="s">
        <v>25</v>
      </c>
      <c r="G93" s="30">
        <v>1605</v>
      </c>
      <c r="H93" s="38">
        <f>421.34/G93</f>
        <v>0.26251713395638626</v>
      </c>
      <c r="I93" s="29">
        <f>G93*H93</f>
        <v>421.34</v>
      </c>
      <c r="J93">
        <v>1</v>
      </c>
    </row>
    <row r="94" spans="1:19" x14ac:dyDescent="0.3">
      <c r="D94" s="15" t="str">
        <f>SUBSTITUTE("Sp.mat: 0.00%",".",IF(VALUE("1.2")=1.2,".",","),2)</f>
        <v>Sp.mat: 0.00%</v>
      </c>
      <c r="F94" s="15" t="str">
        <f>SUBSTITUTE("Sp.man: 0.00%",".",IF(VALUE("1.2")=1.2,".",","),2)</f>
        <v>Sp.man: 0.00%</v>
      </c>
      <c r="G94" s="35" t="str">
        <f>SUBSTITUTE("Sp.uti: 0.00%",".",IF(VALUE("1.2")=1.2,".",","),2)</f>
        <v>Sp.uti: 0.00%</v>
      </c>
      <c r="H94" s="38">
        <f>3084.87/G93</f>
        <v>1.9220373831775701</v>
      </c>
      <c r="I94" s="29">
        <f>G93*H94</f>
        <v>3084.87</v>
      </c>
      <c r="J94">
        <v>2</v>
      </c>
    </row>
    <row r="95" spans="1:19" x14ac:dyDescent="0.3">
      <c r="A95" s="88" t="s">
        <v>689</v>
      </c>
      <c r="B95" s="98"/>
      <c r="C95" s="98"/>
      <c r="D95" s="98"/>
      <c r="E95" s="98"/>
      <c r="F95" s="98"/>
      <c r="G95" s="98"/>
      <c r="H95" s="38">
        <f>50.13/G93</f>
        <v>3.1233644859813087E-2</v>
      </c>
      <c r="I95" s="29">
        <f>G93*H95</f>
        <v>50.13</v>
      </c>
      <c r="J95">
        <v>3</v>
      </c>
      <c r="K95" s="4">
        <v>0</v>
      </c>
      <c r="L95" s="4">
        <v>0</v>
      </c>
      <c r="M95" s="4">
        <f>I95-K95-L95</f>
        <v>50.13</v>
      </c>
    </row>
    <row r="96" spans="1:19" x14ac:dyDescent="0.3">
      <c r="A96" s="98"/>
      <c r="B96" s="98"/>
      <c r="C96" s="98"/>
      <c r="D96" s="98"/>
      <c r="E96" s="98"/>
      <c r="F96" s="98"/>
      <c r="G96" s="98"/>
      <c r="H96" s="38">
        <f>0</f>
        <v>0</v>
      </c>
      <c r="I96" s="29">
        <f>G93*H96</f>
        <v>0</v>
      </c>
      <c r="J96">
        <v>4</v>
      </c>
      <c r="N96" s="4">
        <f>IF(ISERR(SEARCH("TRA* 82",C93)),IF(Q96+R96+S96=0,0,I96*(Q96/(Q96+R96+S96))),I96)</f>
        <v>0</v>
      </c>
      <c r="O96" s="4">
        <f>IF(ISERR(SEARCH("TRA* 82",C93)),IF(Q96+R96+S96=0,0,I96*(R96/(Q96+R96+S96))),0)</f>
        <v>0</v>
      </c>
      <c r="P96" s="4">
        <f>IF(ISERR(SEARCH("TRA* 82",C93)),I96-N96-O96,0)</f>
        <v>0</v>
      </c>
      <c r="Q96" s="4">
        <v>0</v>
      </c>
      <c r="R96" s="4">
        <v>0</v>
      </c>
      <c r="S96" s="4">
        <v>0</v>
      </c>
    </row>
    <row r="97" spans="1:19" x14ac:dyDescent="0.3">
      <c r="A97" s="96" t="s">
        <v>240</v>
      </c>
      <c r="B97" s="97"/>
      <c r="C97" s="97"/>
      <c r="D97" s="97"/>
      <c r="E97" s="97"/>
      <c r="F97" s="97"/>
      <c r="G97" s="97"/>
      <c r="H97" s="36">
        <f>H93+H94+H95+H96</f>
        <v>2.2157881619937694</v>
      </c>
      <c r="I97" s="74">
        <f>I93+I94+I95+I96</f>
        <v>3556.34</v>
      </c>
      <c r="J97">
        <v>5</v>
      </c>
    </row>
    <row r="98" spans="1:19" x14ac:dyDescent="0.3">
      <c r="B98" s="2">
        <v>15</v>
      </c>
      <c r="C98" s="3" t="s">
        <v>619</v>
      </c>
      <c r="D98" s="5" t="s">
        <v>25</v>
      </c>
      <c r="G98" s="30">
        <v>200</v>
      </c>
      <c r="H98" s="38">
        <f>363.05/G98</f>
        <v>1.81525</v>
      </c>
      <c r="I98" s="29">
        <f>G98*H98</f>
        <v>363.05</v>
      </c>
      <c r="J98">
        <v>1</v>
      </c>
    </row>
    <row r="99" spans="1:19" x14ac:dyDescent="0.3">
      <c r="D99" s="15" t="str">
        <f>SUBSTITUTE("Sp.mat: 0.00%",".",IF(VALUE("1.2")=1.2,".",","),2)</f>
        <v>Sp.mat: 0.00%</v>
      </c>
      <c r="F99" s="15" t="str">
        <f>SUBSTITUTE("Sp.man: 0.00%",".",IF(VALUE("1.2")=1.2,".",","),2)</f>
        <v>Sp.man: 0.00%</v>
      </c>
      <c r="G99" s="35" t="str">
        <f>SUBSTITUTE("Sp.uti: 0.00%",".",IF(VALUE("1.2")=1.2,".",","),2)</f>
        <v>Sp.uti: 0.00%</v>
      </c>
      <c r="H99" s="38">
        <f>(1+IF(OR(ISERR(FIND(":",F99)),ISERR(FIND("%",F99))),0,MID(F99,FIND(":",F99)+2,FIND("%",F99)-FIND(":",F99)-2)/100))*0</f>
        <v>0</v>
      </c>
      <c r="I99" s="29">
        <f>G98*H99</f>
        <v>0</v>
      </c>
      <c r="J99">
        <v>2</v>
      </c>
    </row>
    <row r="100" spans="1:19" x14ac:dyDescent="0.3">
      <c r="A100" s="88" t="s">
        <v>690</v>
      </c>
      <c r="B100" s="98"/>
      <c r="C100" s="98"/>
      <c r="D100" s="98"/>
      <c r="E100" s="98"/>
      <c r="F100" s="98"/>
      <c r="G100" s="98"/>
      <c r="H100" s="38">
        <f>(1+IF(OR(ISERR(FIND(":",G99)),ISERR(FIND("%",G99))),0,MID(G99,FIND(":",G99)+2,FIND("%",G99)-FIND(":",G99)-2)/100))*0</f>
        <v>0</v>
      </c>
      <c r="I100" s="29">
        <f>G98*H100</f>
        <v>0</v>
      </c>
      <c r="J100">
        <v>3</v>
      </c>
      <c r="K100" s="4">
        <v>0</v>
      </c>
      <c r="L100" s="4">
        <v>0</v>
      </c>
      <c r="M100" s="4">
        <f>I100-K100-L100</f>
        <v>0</v>
      </c>
    </row>
    <row r="101" spans="1:19" x14ac:dyDescent="0.3">
      <c r="A101" s="98"/>
      <c r="B101" s="98"/>
      <c r="C101" s="98"/>
      <c r="D101" s="98"/>
      <c r="E101" s="98"/>
      <c r="F101" s="98"/>
      <c r="G101" s="98"/>
      <c r="H101" s="38">
        <f>0</f>
        <v>0</v>
      </c>
      <c r="I101" s="29">
        <f>G98*H101</f>
        <v>0</v>
      </c>
      <c r="J101">
        <v>4</v>
      </c>
      <c r="N101" s="4">
        <f>IF(ISERR(SEARCH("TRA* 82",C98)),IF(Q101+R101+S101=0,0,I101*(Q101/(Q101+R101+S101))),I101)</f>
        <v>0</v>
      </c>
      <c r="O101" s="4">
        <f>IF(ISERR(SEARCH("TRA* 82",C98)),IF(Q101+R101+S101=0,0,I101*(R101/(Q101+R101+S101))),0)</f>
        <v>0</v>
      </c>
      <c r="P101" s="4">
        <f>IF(ISERR(SEARCH("TRA* 82",C98)),I101-N101-O101,0)</f>
        <v>0</v>
      </c>
      <c r="Q101" s="4">
        <v>0</v>
      </c>
      <c r="R101" s="4">
        <v>0</v>
      </c>
      <c r="S101" s="4">
        <v>0</v>
      </c>
    </row>
    <row r="102" spans="1:19" x14ac:dyDescent="0.3">
      <c r="A102" s="96" t="s">
        <v>27</v>
      </c>
      <c r="B102" s="97"/>
      <c r="C102" s="97"/>
      <c r="D102" s="97"/>
      <c r="E102" s="97"/>
      <c r="F102" s="97"/>
      <c r="G102" s="97"/>
      <c r="H102" s="36">
        <f>H98+H99+H100+H101</f>
        <v>1.81525</v>
      </c>
      <c r="I102" s="74">
        <f>I98+I99+I100+I101</f>
        <v>363.05</v>
      </c>
      <c r="J102">
        <v>5</v>
      </c>
    </row>
    <row r="103" spans="1:19" x14ac:dyDescent="0.3">
      <c r="B103" s="2">
        <v>16</v>
      </c>
      <c r="C103" s="3" t="s">
        <v>621</v>
      </c>
      <c r="D103" s="5" t="s">
        <v>25</v>
      </c>
      <c r="G103" s="30">
        <v>500</v>
      </c>
      <c r="H103" s="38">
        <f>1121.19/G103</f>
        <v>2.2423800000000003</v>
      </c>
      <c r="I103" s="29">
        <f>G103*H103</f>
        <v>1121.19</v>
      </c>
      <c r="J103">
        <v>1</v>
      </c>
    </row>
    <row r="104" spans="1:19" x14ac:dyDescent="0.3">
      <c r="D104" s="15" t="str">
        <f>SUBSTITUTE("Sp.mat: 0.00%",".",IF(VALUE("1.2")=1.2,".",","),2)</f>
        <v>Sp.mat: 0.00%</v>
      </c>
      <c r="F104" s="15" t="str">
        <f>SUBSTITUTE("Sp.man: 0.00%",".",IF(VALUE("1.2")=1.2,".",","),2)</f>
        <v>Sp.man: 0.00%</v>
      </c>
      <c r="G104" s="35" t="str">
        <f>SUBSTITUTE("Sp.uti: 0.00%",".",IF(VALUE("1.2")=1.2,".",","),2)</f>
        <v>Sp.uti: 0.00%</v>
      </c>
      <c r="H104" s="38">
        <f>(1+IF(OR(ISERR(FIND(":",F104)),ISERR(FIND("%",F104))),0,MID(F104,FIND(":",F104)+2,FIND("%",F104)-FIND(":",F104)-2)/100))*0</f>
        <v>0</v>
      </c>
      <c r="I104" s="29">
        <f>G103*H104</f>
        <v>0</v>
      </c>
      <c r="J104">
        <v>2</v>
      </c>
    </row>
    <row r="105" spans="1:19" x14ac:dyDescent="0.3">
      <c r="A105" s="88" t="s">
        <v>691</v>
      </c>
      <c r="B105" s="98"/>
      <c r="C105" s="98"/>
      <c r="D105" s="98"/>
      <c r="E105" s="98"/>
      <c r="F105" s="98"/>
      <c r="G105" s="98"/>
      <c r="H105" s="38">
        <f>(1+IF(OR(ISERR(FIND(":",G104)),ISERR(FIND("%",G104))),0,MID(G104,FIND(":",G104)+2,FIND("%",G104)-FIND(":",G104)-2)/100))*0</f>
        <v>0</v>
      </c>
      <c r="I105" s="29">
        <f>G103*H105</f>
        <v>0</v>
      </c>
      <c r="J105">
        <v>3</v>
      </c>
      <c r="K105" s="4">
        <v>0</v>
      </c>
      <c r="L105" s="4">
        <v>0</v>
      </c>
      <c r="M105" s="4">
        <f>I105-K105-L105</f>
        <v>0</v>
      </c>
    </row>
    <row r="106" spans="1:19" x14ac:dyDescent="0.3">
      <c r="A106" s="98"/>
      <c r="B106" s="98"/>
      <c r="C106" s="98"/>
      <c r="D106" s="98"/>
      <c r="E106" s="98"/>
      <c r="F106" s="98"/>
      <c r="G106" s="98"/>
      <c r="H106" s="38">
        <f>0</f>
        <v>0</v>
      </c>
      <c r="I106" s="29">
        <f>G103*H106</f>
        <v>0</v>
      </c>
      <c r="J106">
        <v>4</v>
      </c>
      <c r="N106" s="4">
        <f>IF(ISERR(SEARCH("TRA* 82",C103)),IF(Q106+R106+S106=0,0,I106*(Q106/(Q106+R106+S106))),I106)</f>
        <v>0</v>
      </c>
      <c r="O106" s="4">
        <f>IF(ISERR(SEARCH("TRA* 82",C103)),IF(Q106+R106+S106=0,0,I106*(R106/(Q106+R106+S106))),0)</f>
        <v>0</v>
      </c>
      <c r="P106" s="4">
        <f>IF(ISERR(SEARCH("TRA* 82",C103)),I106-N106-O106,0)</f>
        <v>0</v>
      </c>
      <c r="Q106" s="4">
        <v>0</v>
      </c>
      <c r="R106" s="4">
        <v>0</v>
      </c>
      <c r="S106" s="4">
        <v>0</v>
      </c>
    </row>
    <row r="107" spans="1:19" x14ac:dyDescent="0.3">
      <c r="A107" s="96" t="s">
        <v>27</v>
      </c>
      <c r="B107" s="97"/>
      <c r="C107" s="97"/>
      <c r="D107" s="97"/>
      <c r="E107" s="97"/>
      <c r="F107" s="97"/>
      <c r="G107" s="97"/>
      <c r="H107" s="36">
        <f>H103+H104+H105+H106</f>
        <v>2.2423800000000003</v>
      </c>
      <c r="I107" s="74">
        <f>I103+I104+I105+I106</f>
        <v>1121.19</v>
      </c>
      <c r="J107">
        <v>5</v>
      </c>
    </row>
    <row r="108" spans="1:19" x14ac:dyDescent="0.3">
      <c r="B108" s="2">
        <v>17</v>
      </c>
      <c r="C108" s="3" t="s">
        <v>623</v>
      </c>
      <c r="D108" s="5" t="s">
        <v>25</v>
      </c>
      <c r="G108" s="30">
        <v>260</v>
      </c>
      <c r="H108" s="38">
        <f>741.27/G108</f>
        <v>2.8510384615384616</v>
      </c>
      <c r="I108" s="29">
        <f>G108*H108</f>
        <v>741.27</v>
      </c>
      <c r="J108">
        <v>1</v>
      </c>
    </row>
    <row r="109" spans="1:19" x14ac:dyDescent="0.3">
      <c r="D109" s="15" t="str">
        <f>SUBSTITUTE("Sp.mat: 0.00%",".",IF(VALUE("1.2")=1.2,".",","),2)</f>
        <v>Sp.mat: 0.00%</v>
      </c>
      <c r="F109" s="15" t="str">
        <f>SUBSTITUTE("Sp.man: 0.00%",".",IF(VALUE("1.2")=1.2,".",","),2)</f>
        <v>Sp.man: 0.00%</v>
      </c>
      <c r="G109" s="35" t="str">
        <f>SUBSTITUTE("Sp.uti: 0.00%",".",IF(VALUE("1.2")=1.2,".",","),2)</f>
        <v>Sp.uti: 0.00%</v>
      </c>
      <c r="H109" s="38">
        <f>(1+IF(OR(ISERR(FIND(":",F109)),ISERR(FIND("%",F109))),0,MID(F109,FIND(":",F109)+2,FIND("%",F109)-FIND(":",F109)-2)/100))*0</f>
        <v>0</v>
      </c>
      <c r="I109" s="29">
        <f>G108*H109</f>
        <v>0</v>
      </c>
      <c r="J109">
        <v>2</v>
      </c>
    </row>
    <row r="110" spans="1:19" x14ac:dyDescent="0.3">
      <c r="A110" s="88" t="s">
        <v>692</v>
      </c>
      <c r="B110" s="98"/>
      <c r="C110" s="98"/>
      <c r="D110" s="98"/>
      <c r="E110" s="98"/>
      <c r="F110" s="98"/>
      <c r="G110" s="98"/>
      <c r="H110" s="38">
        <f>(1+IF(OR(ISERR(FIND(":",G109)),ISERR(FIND("%",G109))),0,MID(G109,FIND(":",G109)+2,FIND("%",G109)-FIND(":",G109)-2)/100))*0</f>
        <v>0</v>
      </c>
      <c r="I110" s="29">
        <f>G108*H110</f>
        <v>0</v>
      </c>
      <c r="J110">
        <v>3</v>
      </c>
      <c r="K110" s="4">
        <v>0</v>
      </c>
      <c r="L110" s="4">
        <v>0</v>
      </c>
      <c r="M110" s="4">
        <f>I110-K110-L110</f>
        <v>0</v>
      </c>
    </row>
    <row r="111" spans="1:19" x14ac:dyDescent="0.3">
      <c r="A111" s="98"/>
      <c r="B111" s="98"/>
      <c r="C111" s="98"/>
      <c r="D111" s="98"/>
      <c r="E111" s="98"/>
      <c r="F111" s="98"/>
      <c r="G111" s="98"/>
      <c r="H111" s="38">
        <f>0</f>
        <v>0</v>
      </c>
      <c r="I111" s="29">
        <f>G108*H111</f>
        <v>0</v>
      </c>
      <c r="J111">
        <v>4</v>
      </c>
      <c r="N111" s="4">
        <f>IF(ISERR(SEARCH("TRA* 82",C108)),IF(Q111+R111+S111=0,0,I111*(Q111/(Q111+R111+S111))),I111)</f>
        <v>0</v>
      </c>
      <c r="O111" s="4">
        <f>IF(ISERR(SEARCH("TRA* 82",C108)),IF(Q111+R111+S111=0,0,I111*(R111/(Q111+R111+S111))),0)</f>
        <v>0</v>
      </c>
      <c r="P111" s="4">
        <f>IF(ISERR(SEARCH("TRA* 82",C108)),I111-N111-O111,0)</f>
        <v>0</v>
      </c>
      <c r="Q111" s="4">
        <v>0</v>
      </c>
      <c r="R111" s="4">
        <v>0</v>
      </c>
      <c r="S111" s="4">
        <v>0</v>
      </c>
    </row>
    <row r="112" spans="1:19" x14ac:dyDescent="0.3">
      <c r="A112" s="96" t="s">
        <v>27</v>
      </c>
      <c r="B112" s="97"/>
      <c r="C112" s="97"/>
      <c r="D112" s="97"/>
      <c r="E112" s="97"/>
      <c r="F112" s="97"/>
      <c r="G112" s="97"/>
      <c r="H112" s="36">
        <f>H108+H109+H110+H111</f>
        <v>2.8510384615384616</v>
      </c>
      <c r="I112" s="74">
        <f>I108+I109+I110+I111</f>
        <v>741.27</v>
      </c>
      <c r="J112">
        <v>5</v>
      </c>
    </row>
    <row r="113" spans="1:19" x14ac:dyDescent="0.3">
      <c r="B113" s="2">
        <v>18</v>
      </c>
      <c r="C113" s="3" t="s">
        <v>625</v>
      </c>
      <c r="D113" s="5" t="s">
        <v>25</v>
      </c>
      <c r="G113" s="30">
        <v>100</v>
      </c>
      <c r="H113" s="38">
        <f>317.14/G113</f>
        <v>3.1713999999999998</v>
      </c>
      <c r="I113" s="29">
        <f>G113*H113</f>
        <v>317.14</v>
      </c>
      <c r="J113">
        <v>1</v>
      </c>
    </row>
    <row r="114" spans="1:19" x14ac:dyDescent="0.3">
      <c r="D114" s="15" t="str">
        <f>SUBSTITUTE("Sp.mat: 0.00%",".",IF(VALUE("1.2")=1.2,".",","),2)</f>
        <v>Sp.mat: 0.00%</v>
      </c>
      <c r="F114" s="15" t="str">
        <f>SUBSTITUTE("Sp.man: 0.00%",".",IF(VALUE("1.2")=1.2,".",","),2)</f>
        <v>Sp.man: 0.00%</v>
      </c>
      <c r="G114" s="35" t="str">
        <f>SUBSTITUTE("Sp.uti: 0.00%",".",IF(VALUE("1.2")=1.2,".",","),2)</f>
        <v>Sp.uti: 0.00%</v>
      </c>
      <c r="H114" s="38">
        <f>(1+IF(OR(ISERR(FIND(":",F114)),ISERR(FIND("%",F114))),0,MID(F114,FIND(":",F114)+2,FIND("%",F114)-FIND(":",F114)-2)/100))*0</f>
        <v>0</v>
      </c>
      <c r="I114" s="29">
        <f>G113*H114</f>
        <v>0</v>
      </c>
      <c r="J114">
        <v>2</v>
      </c>
    </row>
    <row r="115" spans="1:19" x14ac:dyDescent="0.3">
      <c r="A115" s="88" t="s">
        <v>693</v>
      </c>
      <c r="B115" s="98"/>
      <c r="C115" s="98"/>
      <c r="D115" s="98"/>
      <c r="E115" s="98"/>
      <c r="F115" s="98"/>
      <c r="G115" s="98"/>
      <c r="H115" s="38">
        <f>(1+IF(OR(ISERR(FIND(":",G114)),ISERR(FIND("%",G114))),0,MID(G114,FIND(":",G114)+2,FIND("%",G114)-FIND(":",G114)-2)/100))*0</f>
        <v>0</v>
      </c>
      <c r="I115" s="29">
        <f>G113*H115</f>
        <v>0</v>
      </c>
      <c r="J115">
        <v>3</v>
      </c>
      <c r="K115" s="4">
        <v>0</v>
      </c>
      <c r="L115" s="4">
        <v>0</v>
      </c>
      <c r="M115" s="4">
        <f>I115-K115-L115</f>
        <v>0</v>
      </c>
    </row>
    <row r="116" spans="1:19" x14ac:dyDescent="0.3">
      <c r="A116" s="98"/>
      <c r="B116" s="98"/>
      <c r="C116" s="98"/>
      <c r="D116" s="98"/>
      <c r="E116" s="98"/>
      <c r="F116" s="98"/>
      <c r="G116" s="98"/>
      <c r="H116" s="38">
        <f>0</f>
        <v>0</v>
      </c>
      <c r="I116" s="29">
        <f>G113*H116</f>
        <v>0</v>
      </c>
      <c r="J116">
        <v>4</v>
      </c>
      <c r="N116" s="4">
        <f>IF(ISERR(SEARCH("TRA* 82",C113)),IF(Q116+R116+S116=0,0,I116*(Q116/(Q116+R116+S116))),I116)</f>
        <v>0</v>
      </c>
      <c r="O116" s="4">
        <f>IF(ISERR(SEARCH("TRA* 82",C113)),IF(Q116+R116+S116=0,0,I116*(R116/(Q116+R116+S116))),0)</f>
        <v>0</v>
      </c>
      <c r="P116" s="4">
        <f>IF(ISERR(SEARCH("TRA* 82",C113)),I116-N116-O116,0)</f>
        <v>0</v>
      </c>
      <c r="Q116" s="4">
        <v>0</v>
      </c>
      <c r="R116" s="4">
        <v>0</v>
      </c>
      <c r="S116" s="4">
        <v>0</v>
      </c>
    </row>
    <row r="117" spans="1:19" x14ac:dyDescent="0.3">
      <c r="A117" s="96" t="s">
        <v>27</v>
      </c>
      <c r="B117" s="97"/>
      <c r="C117" s="97"/>
      <c r="D117" s="97"/>
      <c r="E117" s="97"/>
      <c r="F117" s="97"/>
      <c r="G117" s="97"/>
      <c r="H117" s="36">
        <f>H113+H114+H115+H116</f>
        <v>3.1713999999999998</v>
      </c>
      <c r="I117" s="74">
        <f>I113+I114+I115+I116</f>
        <v>317.14</v>
      </c>
      <c r="J117">
        <v>5</v>
      </c>
    </row>
    <row r="118" spans="1:19" x14ac:dyDescent="0.3">
      <c r="B118" s="2">
        <v>19</v>
      </c>
      <c r="C118" s="3" t="s">
        <v>660</v>
      </c>
      <c r="D118" s="5" t="s">
        <v>25</v>
      </c>
      <c r="G118" s="30">
        <v>130</v>
      </c>
      <c r="H118" s="38">
        <f>445.59/G118</f>
        <v>3.4276153846153843</v>
      </c>
      <c r="I118" s="29">
        <f>G118*H118</f>
        <v>445.59</v>
      </c>
      <c r="J118">
        <v>1</v>
      </c>
    </row>
    <row r="119" spans="1:19" x14ac:dyDescent="0.3">
      <c r="D119" s="15" t="str">
        <f>SUBSTITUTE("Sp.mat: 0.00%",".",IF(VALUE("1.2")=1.2,".",","),2)</f>
        <v>Sp.mat: 0.00%</v>
      </c>
      <c r="F119" s="15" t="str">
        <f>SUBSTITUTE("Sp.man: 0.00%",".",IF(VALUE("1.2")=1.2,".",","),2)</f>
        <v>Sp.man: 0.00%</v>
      </c>
      <c r="G119" s="35" t="str">
        <f>SUBSTITUTE("Sp.uti: 0.00%",".",IF(VALUE("1.2")=1.2,".",","),2)</f>
        <v>Sp.uti: 0.00%</v>
      </c>
      <c r="H119" s="38">
        <f>(1+IF(OR(ISERR(FIND(":",F119)),ISERR(FIND("%",F119))),0,MID(F119,FIND(":",F119)+2,FIND("%",F119)-FIND(":",F119)-2)/100))*0</f>
        <v>0</v>
      </c>
      <c r="I119" s="29">
        <f>G118*H119</f>
        <v>0</v>
      </c>
      <c r="J119">
        <v>2</v>
      </c>
    </row>
    <row r="120" spans="1:19" x14ac:dyDescent="0.3">
      <c r="A120" s="88" t="s">
        <v>694</v>
      </c>
      <c r="B120" s="98"/>
      <c r="C120" s="98"/>
      <c r="D120" s="98"/>
      <c r="E120" s="98"/>
      <c r="F120" s="98"/>
      <c r="G120" s="98"/>
      <c r="H120" s="38">
        <f>(1+IF(OR(ISERR(FIND(":",G119)),ISERR(FIND("%",G119))),0,MID(G119,FIND(":",G119)+2,FIND("%",G119)-FIND(":",G119)-2)/100))*0</f>
        <v>0</v>
      </c>
      <c r="I120" s="29">
        <f>G118*H120</f>
        <v>0</v>
      </c>
      <c r="J120">
        <v>3</v>
      </c>
      <c r="K120" s="4">
        <v>0</v>
      </c>
      <c r="L120" s="4">
        <v>0</v>
      </c>
      <c r="M120" s="4">
        <f>I120-K120-L120</f>
        <v>0</v>
      </c>
    </row>
    <row r="121" spans="1:19" x14ac:dyDescent="0.3">
      <c r="A121" s="98"/>
      <c r="B121" s="98"/>
      <c r="C121" s="98"/>
      <c r="D121" s="98"/>
      <c r="E121" s="98"/>
      <c r="F121" s="98"/>
      <c r="G121" s="98"/>
      <c r="H121" s="38">
        <f>0</f>
        <v>0</v>
      </c>
      <c r="I121" s="29">
        <f>G118*H121</f>
        <v>0</v>
      </c>
      <c r="J121">
        <v>4</v>
      </c>
      <c r="N121" s="4">
        <f>IF(ISERR(SEARCH("TRA* 82",C118)),IF(Q121+R121+S121=0,0,I121*(Q121/(Q121+R121+S121))),I121)</f>
        <v>0</v>
      </c>
      <c r="O121" s="4">
        <f>IF(ISERR(SEARCH("TRA* 82",C118)),IF(Q121+R121+S121=0,0,I121*(R121/(Q121+R121+S121))),0)</f>
        <v>0</v>
      </c>
      <c r="P121" s="4">
        <f>IF(ISERR(SEARCH("TRA* 82",C118)),I121-N121-O121,0)</f>
        <v>0</v>
      </c>
      <c r="Q121" s="4">
        <v>0</v>
      </c>
      <c r="R121" s="4">
        <v>0</v>
      </c>
      <c r="S121" s="4">
        <v>0</v>
      </c>
    </row>
    <row r="122" spans="1:19" x14ac:dyDescent="0.3">
      <c r="A122" s="96" t="s">
        <v>27</v>
      </c>
      <c r="B122" s="97"/>
      <c r="C122" s="97"/>
      <c r="D122" s="97"/>
      <c r="E122" s="97"/>
      <c r="F122" s="97"/>
      <c r="G122" s="97"/>
      <c r="H122" s="36">
        <f>H118+H119+H120+H121</f>
        <v>3.4276153846153843</v>
      </c>
      <c r="I122" s="74">
        <f>I118+I119+I120+I121</f>
        <v>445.59</v>
      </c>
      <c r="J122">
        <v>5</v>
      </c>
    </row>
    <row r="123" spans="1:19" x14ac:dyDescent="0.3">
      <c r="B123" s="2">
        <v>20</v>
      </c>
      <c r="C123" s="3" t="s">
        <v>662</v>
      </c>
      <c r="D123" s="5" t="s">
        <v>25</v>
      </c>
      <c r="G123" s="30">
        <v>180</v>
      </c>
      <c r="H123" s="38">
        <f>691.93/G123</f>
        <v>3.8440555555555553</v>
      </c>
      <c r="I123" s="29">
        <f>G123*H123</f>
        <v>691.93</v>
      </c>
      <c r="J123">
        <v>1</v>
      </c>
    </row>
    <row r="124" spans="1:19" x14ac:dyDescent="0.3">
      <c r="D124" s="15" t="str">
        <f>SUBSTITUTE("Sp.mat: 0.00%",".",IF(VALUE("1.2")=1.2,".",","),2)</f>
        <v>Sp.mat: 0.00%</v>
      </c>
      <c r="F124" s="15" t="str">
        <f>SUBSTITUTE("Sp.man: 0.00%",".",IF(VALUE("1.2")=1.2,".",","),2)</f>
        <v>Sp.man: 0.00%</v>
      </c>
      <c r="G124" s="35" t="str">
        <f>SUBSTITUTE("Sp.uti: 0.00%",".",IF(VALUE("1.2")=1.2,".",","),2)</f>
        <v>Sp.uti: 0.00%</v>
      </c>
      <c r="H124" s="38">
        <f>(1+IF(OR(ISERR(FIND(":",F124)),ISERR(FIND("%",F124))),0,MID(F124,FIND(":",F124)+2,FIND("%",F124)-FIND(":",F124)-2)/100))*0</f>
        <v>0</v>
      </c>
      <c r="I124" s="29">
        <f>G123*H124</f>
        <v>0</v>
      </c>
      <c r="J124">
        <v>2</v>
      </c>
    </row>
    <row r="125" spans="1:19" x14ac:dyDescent="0.3">
      <c r="A125" s="88" t="s">
        <v>695</v>
      </c>
      <c r="B125" s="98"/>
      <c r="C125" s="98"/>
      <c r="D125" s="98"/>
      <c r="E125" s="98"/>
      <c r="F125" s="98"/>
      <c r="G125" s="98"/>
      <c r="H125" s="38">
        <f>(1+IF(OR(ISERR(FIND(":",G124)),ISERR(FIND("%",G124))),0,MID(G124,FIND(":",G124)+2,FIND("%",G124)-FIND(":",G124)-2)/100))*0</f>
        <v>0</v>
      </c>
      <c r="I125" s="29">
        <f>G123*H125</f>
        <v>0</v>
      </c>
      <c r="J125">
        <v>3</v>
      </c>
      <c r="K125" s="4">
        <v>0</v>
      </c>
      <c r="L125" s="4">
        <v>0</v>
      </c>
      <c r="M125" s="4">
        <f>I125-K125-L125</f>
        <v>0</v>
      </c>
    </row>
    <row r="126" spans="1:19" x14ac:dyDescent="0.3">
      <c r="A126" s="98"/>
      <c r="B126" s="98"/>
      <c r="C126" s="98"/>
      <c r="D126" s="98"/>
      <c r="E126" s="98"/>
      <c r="F126" s="98"/>
      <c r="G126" s="98"/>
      <c r="H126" s="38">
        <f>0</f>
        <v>0</v>
      </c>
      <c r="I126" s="29">
        <f>G123*H126</f>
        <v>0</v>
      </c>
      <c r="J126">
        <v>4</v>
      </c>
      <c r="N126" s="4">
        <f>IF(ISERR(SEARCH("TRA* 82",C123)),IF(Q126+R126+S126=0,0,I126*(Q126/(Q126+R126+S126))),I126)</f>
        <v>0</v>
      </c>
      <c r="O126" s="4">
        <f>IF(ISERR(SEARCH("TRA* 82",C123)),IF(Q126+R126+S126=0,0,I126*(R126/(Q126+R126+S126))),0)</f>
        <v>0</v>
      </c>
      <c r="P126" s="4">
        <f>IF(ISERR(SEARCH("TRA* 82",C123)),I126-N126-O126,0)</f>
        <v>0</v>
      </c>
      <c r="Q126" s="4">
        <v>0</v>
      </c>
      <c r="R126" s="4">
        <v>0</v>
      </c>
      <c r="S126" s="4">
        <v>0</v>
      </c>
    </row>
    <row r="127" spans="1:19" x14ac:dyDescent="0.3">
      <c r="A127" s="96" t="s">
        <v>27</v>
      </c>
      <c r="B127" s="97"/>
      <c r="C127" s="97"/>
      <c r="D127" s="97"/>
      <c r="E127" s="97"/>
      <c r="F127" s="97"/>
      <c r="G127" s="97"/>
      <c r="H127" s="36">
        <f>H123+H124+H125+H126</f>
        <v>3.8440555555555553</v>
      </c>
      <c r="I127" s="74">
        <f>I123+I124+I125+I126</f>
        <v>691.93</v>
      </c>
      <c r="J127">
        <v>5</v>
      </c>
    </row>
    <row r="128" spans="1:19" x14ac:dyDescent="0.3">
      <c r="B128" s="2">
        <v>21</v>
      </c>
      <c r="C128" s="3" t="s">
        <v>696</v>
      </c>
      <c r="D128" s="5" t="s">
        <v>25</v>
      </c>
      <c r="G128" s="30">
        <v>85</v>
      </c>
      <c r="H128" s="38">
        <f>386.2/G128</f>
        <v>4.5435294117647054</v>
      </c>
      <c r="I128" s="29">
        <f>G128*H128</f>
        <v>386.19999999999993</v>
      </c>
      <c r="J128">
        <v>1</v>
      </c>
    </row>
    <row r="129" spans="1:19" x14ac:dyDescent="0.3">
      <c r="D129" s="15" t="str">
        <f>SUBSTITUTE("Sp.mat: 0.00%",".",IF(VALUE("1.2")=1.2,".",","),2)</f>
        <v>Sp.mat: 0.00%</v>
      </c>
      <c r="F129" s="15" t="str">
        <f>SUBSTITUTE("Sp.man: 0.00%",".",IF(VALUE("1.2")=1.2,".",","),2)</f>
        <v>Sp.man: 0.00%</v>
      </c>
      <c r="G129" s="35" t="str">
        <f>SUBSTITUTE("Sp.uti: 0.00%",".",IF(VALUE("1.2")=1.2,".",","),2)</f>
        <v>Sp.uti: 0.00%</v>
      </c>
      <c r="H129" s="38">
        <f>(1+IF(OR(ISERR(FIND(":",F129)),ISERR(FIND("%",F129))),0,MID(F129,FIND(":",F129)+2,FIND("%",F129)-FIND(":",F129)-2)/100))*0</f>
        <v>0</v>
      </c>
      <c r="I129" s="29">
        <f>G128*H129</f>
        <v>0</v>
      </c>
      <c r="J129">
        <v>2</v>
      </c>
    </row>
    <row r="130" spans="1:19" x14ac:dyDescent="0.3">
      <c r="A130" s="88" t="s">
        <v>697</v>
      </c>
      <c r="B130" s="98"/>
      <c r="C130" s="98"/>
      <c r="D130" s="98"/>
      <c r="E130" s="98"/>
      <c r="F130" s="98"/>
      <c r="G130" s="98"/>
      <c r="H130" s="38">
        <f>(1+IF(OR(ISERR(FIND(":",G129)),ISERR(FIND("%",G129))),0,MID(G129,FIND(":",G129)+2,FIND("%",G129)-FIND(":",G129)-2)/100))*0</f>
        <v>0</v>
      </c>
      <c r="I130" s="29">
        <f>G128*H130</f>
        <v>0</v>
      </c>
      <c r="J130">
        <v>3</v>
      </c>
      <c r="K130" s="4">
        <v>0</v>
      </c>
      <c r="L130" s="4">
        <v>0</v>
      </c>
      <c r="M130" s="4">
        <f>I130-K130-L130</f>
        <v>0</v>
      </c>
    </row>
    <row r="131" spans="1:19" x14ac:dyDescent="0.3">
      <c r="A131" s="98"/>
      <c r="B131" s="98"/>
      <c r="C131" s="98"/>
      <c r="D131" s="98"/>
      <c r="E131" s="98"/>
      <c r="F131" s="98"/>
      <c r="G131" s="98"/>
      <c r="H131" s="38">
        <f>0</f>
        <v>0</v>
      </c>
      <c r="I131" s="29">
        <f>G128*H131</f>
        <v>0</v>
      </c>
      <c r="J131">
        <v>4</v>
      </c>
      <c r="N131" s="4">
        <f>IF(ISERR(SEARCH("TRA* 82",C128)),IF(Q131+R131+S131=0,0,I131*(Q131/(Q131+R131+S131))),I131)</f>
        <v>0</v>
      </c>
      <c r="O131" s="4">
        <f>IF(ISERR(SEARCH("TRA* 82",C128)),IF(Q131+R131+S131=0,0,I131*(R131/(Q131+R131+S131))),0)</f>
        <v>0</v>
      </c>
      <c r="P131" s="4">
        <f>IF(ISERR(SEARCH("TRA* 82",C128)),I131-N131-O131,0)</f>
        <v>0</v>
      </c>
      <c r="Q131" s="4">
        <v>0</v>
      </c>
      <c r="R131" s="4">
        <v>0</v>
      </c>
      <c r="S131" s="4">
        <v>0</v>
      </c>
    </row>
    <row r="132" spans="1:19" x14ac:dyDescent="0.3">
      <c r="A132" s="96" t="s">
        <v>27</v>
      </c>
      <c r="B132" s="97"/>
      <c r="C132" s="97"/>
      <c r="D132" s="97"/>
      <c r="E132" s="97"/>
      <c r="F132" s="97"/>
      <c r="G132" s="97"/>
      <c r="H132" s="36">
        <f>H128+H129+H130+H131</f>
        <v>4.5435294117647054</v>
      </c>
      <c r="I132" s="74">
        <f>I128+I129+I130+I131</f>
        <v>386.19999999999993</v>
      </c>
      <c r="J132">
        <v>5</v>
      </c>
    </row>
    <row r="133" spans="1:19" x14ac:dyDescent="0.3">
      <c r="B133" s="2">
        <v>22</v>
      </c>
      <c r="C133" s="3" t="s">
        <v>698</v>
      </c>
      <c r="D133" s="5" t="s">
        <v>25</v>
      </c>
      <c r="G133" s="30">
        <v>150</v>
      </c>
      <c r="H133" s="38">
        <f>931.39/G133</f>
        <v>6.2092666666666663</v>
      </c>
      <c r="I133" s="29">
        <f>G133*H133</f>
        <v>931.39</v>
      </c>
      <c r="J133">
        <v>1</v>
      </c>
    </row>
    <row r="134" spans="1:19" x14ac:dyDescent="0.3">
      <c r="D134" s="15" t="str">
        <f>SUBSTITUTE("Sp.mat: 0.00%",".",IF(VALUE("1.2")=1.2,".",","),2)</f>
        <v>Sp.mat: 0.00%</v>
      </c>
      <c r="F134" s="15" t="str">
        <f>SUBSTITUTE("Sp.man: 0.00%",".",IF(VALUE("1.2")=1.2,".",","),2)</f>
        <v>Sp.man: 0.00%</v>
      </c>
      <c r="G134" s="35" t="str">
        <f>SUBSTITUTE("Sp.uti: 0.00%",".",IF(VALUE("1.2")=1.2,".",","),2)</f>
        <v>Sp.uti: 0.00%</v>
      </c>
      <c r="H134" s="38">
        <f>(1+IF(OR(ISERR(FIND(":",F134)),ISERR(FIND("%",F134))),0,MID(F134,FIND(":",F134)+2,FIND("%",F134)-FIND(":",F134)-2)/100))*0</f>
        <v>0</v>
      </c>
      <c r="I134" s="29">
        <f>G133*H134</f>
        <v>0</v>
      </c>
      <c r="J134">
        <v>2</v>
      </c>
    </row>
    <row r="135" spans="1:19" x14ac:dyDescent="0.3">
      <c r="A135" s="88" t="s">
        <v>699</v>
      </c>
      <c r="B135" s="98"/>
      <c r="C135" s="98"/>
      <c r="D135" s="98"/>
      <c r="E135" s="98"/>
      <c r="F135" s="98"/>
      <c r="G135" s="98"/>
      <c r="H135" s="38">
        <f>(1+IF(OR(ISERR(FIND(":",G134)),ISERR(FIND("%",G134))),0,MID(G134,FIND(":",G134)+2,FIND("%",G134)-FIND(":",G134)-2)/100))*0</f>
        <v>0</v>
      </c>
      <c r="I135" s="29">
        <f>G133*H135</f>
        <v>0</v>
      </c>
      <c r="J135">
        <v>3</v>
      </c>
      <c r="K135" s="4">
        <v>0</v>
      </c>
      <c r="L135" s="4">
        <v>0</v>
      </c>
      <c r="M135" s="4">
        <f>I135-K135-L135</f>
        <v>0</v>
      </c>
    </row>
    <row r="136" spans="1:19" x14ac:dyDescent="0.3">
      <c r="A136" s="98"/>
      <c r="B136" s="98"/>
      <c r="C136" s="98"/>
      <c r="D136" s="98"/>
      <c r="E136" s="98"/>
      <c r="F136" s="98"/>
      <c r="G136" s="98"/>
      <c r="H136" s="38">
        <f>0</f>
        <v>0</v>
      </c>
      <c r="I136" s="29">
        <f>G133*H136</f>
        <v>0</v>
      </c>
      <c r="J136">
        <v>4</v>
      </c>
      <c r="N136" s="4">
        <f>IF(ISERR(SEARCH("TRA* 82",C133)),IF(Q136+R136+S136=0,0,I136*(Q136/(Q136+R136+S136))),I136)</f>
        <v>0</v>
      </c>
      <c r="O136" s="4">
        <f>IF(ISERR(SEARCH("TRA* 82",C133)),IF(Q136+R136+S136=0,0,I136*(R136/(Q136+R136+S136))),0)</f>
        <v>0</v>
      </c>
      <c r="P136" s="4">
        <f>IF(ISERR(SEARCH("TRA* 82",C133)),I136-N136-O136,0)</f>
        <v>0</v>
      </c>
      <c r="Q136" s="4">
        <v>0</v>
      </c>
      <c r="R136" s="4">
        <v>0</v>
      </c>
      <c r="S136" s="4">
        <v>0</v>
      </c>
    </row>
    <row r="137" spans="1:19" x14ac:dyDescent="0.3">
      <c r="A137" s="96" t="s">
        <v>27</v>
      </c>
      <c r="B137" s="97"/>
      <c r="C137" s="97"/>
      <c r="D137" s="97"/>
      <c r="E137" s="97"/>
      <c r="F137" s="97"/>
      <c r="G137" s="97"/>
      <c r="H137" s="36">
        <f>H133+H134+H135+H136</f>
        <v>6.2092666666666663</v>
      </c>
      <c r="I137" s="74">
        <f>I133+I134+I135+I136</f>
        <v>931.39</v>
      </c>
      <c r="J137">
        <v>5</v>
      </c>
    </row>
    <row r="138" spans="1:19" x14ac:dyDescent="0.3">
      <c r="B138" s="2">
        <v>23</v>
      </c>
      <c r="C138" s="3" t="s">
        <v>664</v>
      </c>
      <c r="D138" s="5" t="s">
        <v>40</v>
      </c>
      <c r="G138" s="30">
        <v>0.94</v>
      </c>
      <c r="H138" s="38">
        <v>24.35</v>
      </c>
      <c r="I138" s="29">
        <f>G138*H138</f>
        <v>22.888999999999999</v>
      </c>
      <c r="J138">
        <v>1</v>
      </c>
    </row>
    <row r="139" spans="1:19" x14ac:dyDescent="0.3">
      <c r="D139" s="15" t="str">
        <f>SUBSTITUTE("Sp.mat: 0.00%",".",IF(VALUE("1.2")=1.2,".",","),2)</f>
        <v>Sp.mat: 0.00%</v>
      </c>
      <c r="F139" s="15" t="str">
        <f>SUBSTITUTE("Sp.man: 0.00%",".",IF(VALUE("1.2")=1.2,".",","),2)</f>
        <v>Sp.man: 0.00%</v>
      </c>
      <c r="G139" s="35" t="str">
        <f>SUBSTITUTE("Sp.uti: 0.00%",".",IF(VALUE("1.2")=1.2,".",","),2)</f>
        <v>Sp.uti: 0.00%</v>
      </c>
      <c r="H139" s="38">
        <v>13.93</v>
      </c>
      <c r="I139" s="29">
        <f>G138*H139</f>
        <v>13.094199999999999</v>
      </c>
      <c r="J139">
        <v>2</v>
      </c>
    </row>
    <row r="140" spans="1:19" x14ac:dyDescent="0.3">
      <c r="A140" s="88" t="s">
        <v>665</v>
      </c>
      <c r="B140" s="98"/>
      <c r="C140" s="98"/>
      <c r="D140" s="98"/>
      <c r="E140" s="98"/>
      <c r="F140" s="98"/>
      <c r="G140" s="98"/>
      <c r="H140" s="38">
        <f>(1+IF(OR(ISERR(FIND(":",G139)),ISERR(FIND("%",G139))),0,MID(G139,FIND(":",G139)+2,FIND("%",G139)-FIND(":",G139)-2)/100))*0</f>
        <v>0</v>
      </c>
      <c r="I140" s="29">
        <f>G138*H140</f>
        <v>0</v>
      </c>
      <c r="J140">
        <v>3</v>
      </c>
      <c r="K140" s="4">
        <v>0</v>
      </c>
      <c r="L140" s="4">
        <v>0</v>
      </c>
      <c r="M140" s="4">
        <f>I140-K140-L140</f>
        <v>0</v>
      </c>
    </row>
    <row r="141" spans="1:19" x14ac:dyDescent="0.3">
      <c r="A141" s="98"/>
      <c r="B141" s="98"/>
      <c r="C141" s="98"/>
      <c r="D141" s="98"/>
      <c r="E141" s="98"/>
      <c r="F141" s="98"/>
      <c r="G141" s="98"/>
      <c r="H141" s="38">
        <f>0</f>
        <v>0</v>
      </c>
      <c r="I141" s="29">
        <f>G138*H141</f>
        <v>0</v>
      </c>
      <c r="J141">
        <v>4</v>
      </c>
      <c r="N141" s="4">
        <f>IF(ISERR(SEARCH("TRA* 82",C138)),IF(Q141+R141+S141=0,0,I141*(Q141/(Q141+R141+S141))),I141)</f>
        <v>0</v>
      </c>
      <c r="O141" s="4">
        <f>IF(ISERR(SEARCH("TRA* 82",C138)),IF(Q141+R141+S141=0,0,I141*(R141/(Q141+R141+S141))),0)</f>
        <v>0</v>
      </c>
      <c r="P141" s="4">
        <f>IF(ISERR(SEARCH("TRA* 82",C138)),I141-N141-O141,0)</f>
        <v>0</v>
      </c>
      <c r="Q141" s="4">
        <v>0</v>
      </c>
      <c r="R141" s="4">
        <v>0</v>
      </c>
      <c r="S141" s="4">
        <v>0</v>
      </c>
    </row>
    <row r="142" spans="1:19" x14ac:dyDescent="0.3">
      <c r="A142" s="100" t="s">
        <v>87</v>
      </c>
      <c r="B142" s="101"/>
      <c r="C142" s="101"/>
      <c r="D142" s="101"/>
      <c r="E142" s="101"/>
      <c r="F142" s="101"/>
      <c r="G142" s="101"/>
      <c r="H142" s="33">
        <f>H138+H139+H140+H141</f>
        <v>38.28</v>
      </c>
      <c r="I142" s="37">
        <f>I138+I139+I140+I141</f>
        <v>35.983199999999997</v>
      </c>
      <c r="J142">
        <v>5</v>
      </c>
    </row>
    <row r="143" spans="1:19" x14ac:dyDescent="0.3">
      <c r="A143" s="99" t="s">
        <v>700</v>
      </c>
      <c r="B143" s="99"/>
      <c r="C143" s="99"/>
      <c r="D143" s="99"/>
      <c r="E143" s="99"/>
      <c r="F143" s="99"/>
      <c r="G143" s="99"/>
      <c r="H143" s="99"/>
      <c r="I143" s="99"/>
    </row>
    <row r="144" spans="1:19" x14ac:dyDescent="0.3">
      <c r="B144" s="2">
        <v>24</v>
      </c>
      <c r="C144" s="3" t="s">
        <v>445</v>
      </c>
      <c r="D144" s="5" t="s">
        <v>133</v>
      </c>
      <c r="G144" s="30">
        <v>119</v>
      </c>
      <c r="H144" s="38">
        <f>(1+IF(OR(ISERR(FIND(":",D145)),ISERR(FIND("%",D145))),0,MID(D145,FIND(":",D145)+2,FIND("%",D145)-FIND(":",D145)-2)/100))*0</f>
        <v>0</v>
      </c>
      <c r="I144" s="29">
        <f>G144*H144</f>
        <v>0</v>
      </c>
      <c r="J144">
        <v>1</v>
      </c>
    </row>
    <row r="145" spans="1:19" x14ac:dyDescent="0.3">
      <c r="D145" s="15" t="str">
        <f>SUBSTITUTE("Sp.mat: 0.00%",".",IF(VALUE("1.2")=1.2,".",","),2)</f>
        <v>Sp.mat: 0.00%</v>
      </c>
      <c r="F145" s="15" t="str">
        <f>SUBSTITUTE("Sp.man: 0.00%",".",IF(VALUE("1.2")=1.2,".",","),2)</f>
        <v>Sp.man: 0.00%</v>
      </c>
      <c r="G145" s="35" t="str">
        <f>SUBSTITUTE("Sp.uti: 0.00%",".",IF(VALUE("1.2")=1.2,".",","),2)</f>
        <v>Sp.uti: 0.00%</v>
      </c>
      <c r="H145" s="38">
        <f>190.6/G144</f>
        <v>1.6016806722689074</v>
      </c>
      <c r="I145" s="29">
        <f>G144*H145</f>
        <v>190.6</v>
      </c>
      <c r="J145">
        <v>2</v>
      </c>
    </row>
    <row r="146" spans="1:19" x14ac:dyDescent="0.3">
      <c r="A146" s="88" t="s">
        <v>701</v>
      </c>
      <c r="B146" s="98"/>
      <c r="C146" s="98"/>
      <c r="D146" s="98"/>
      <c r="E146" s="98"/>
      <c r="F146" s="98"/>
      <c r="G146" s="98"/>
      <c r="H146" s="38">
        <f>(1+IF(OR(ISERR(FIND(":",G145)),ISERR(FIND("%",G145))),0,MID(G145,FIND(":",G145)+2,FIND("%",G145)-FIND(":",G145)-2)/100))*0</f>
        <v>0</v>
      </c>
      <c r="I146" s="29">
        <f>G144*H146</f>
        <v>0</v>
      </c>
      <c r="J146">
        <v>3</v>
      </c>
      <c r="K146" s="4">
        <v>0</v>
      </c>
      <c r="L146" s="4">
        <v>0</v>
      </c>
      <c r="M146" s="4">
        <f>I146-K146-L146</f>
        <v>0</v>
      </c>
    </row>
    <row r="147" spans="1:19" x14ac:dyDescent="0.3">
      <c r="A147" s="98"/>
      <c r="B147" s="98"/>
      <c r="C147" s="98"/>
      <c r="D147" s="98"/>
      <c r="E147" s="98"/>
      <c r="F147" s="98"/>
      <c r="G147" s="98"/>
      <c r="H147" s="38">
        <f>0</f>
        <v>0</v>
      </c>
      <c r="I147" s="29">
        <f>G144*H147</f>
        <v>0</v>
      </c>
      <c r="J147">
        <v>4</v>
      </c>
      <c r="N147" s="4">
        <f>IF(ISERR(SEARCH("TRA* 82",C144)),IF(Q147+R147+S147=0,0,I147*(Q147/(Q147+R147+S147))),I147)</f>
        <v>0</v>
      </c>
      <c r="O147" s="4">
        <f>IF(ISERR(SEARCH("TRA* 82",C144)),IF(Q147+R147+S147=0,0,I147*(R147/(Q147+R147+S147))),0)</f>
        <v>0</v>
      </c>
      <c r="P147" s="4">
        <f>IF(ISERR(SEARCH("TRA* 82",C144)),I147-N147-O147,0)</f>
        <v>0</v>
      </c>
      <c r="Q147" s="4">
        <v>0</v>
      </c>
      <c r="R147" s="4">
        <v>0</v>
      </c>
      <c r="S147" s="4">
        <v>0</v>
      </c>
    </row>
    <row r="148" spans="1:19" x14ac:dyDescent="0.3">
      <c r="A148" s="100" t="s">
        <v>87</v>
      </c>
      <c r="B148" s="101"/>
      <c r="C148" s="101"/>
      <c r="D148" s="101"/>
      <c r="E148" s="101"/>
      <c r="F148" s="101"/>
      <c r="G148" s="101"/>
      <c r="H148" s="33">
        <f>H144+H145+H146+H147</f>
        <v>1.6016806722689074</v>
      </c>
      <c r="I148" s="37">
        <f>I144+I145+I146+I147</f>
        <v>190.6</v>
      </c>
      <c r="J148">
        <v>5</v>
      </c>
    </row>
    <row r="149" spans="1:19" x14ac:dyDescent="0.3">
      <c r="A149" s="99" t="s">
        <v>447</v>
      </c>
      <c r="B149" s="99"/>
      <c r="C149" s="99"/>
      <c r="D149" s="99"/>
      <c r="E149" s="99"/>
      <c r="F149" s="99"/>
      <c r="G149" s="99"/>
      <c r="H149" s="99"/>
      <c r="I149" s="99"/>
    </row>
    <row r="150" spans="1:19" x14ac:dyDescent="0.3">
      <c r="B150" s="2">
        <v>25</v>
      </c>
      <c r="C150" s="3" t="s">
        <v>448</v>
      </c>
      <c r="D150" s="5" t="s">
        <v>133</v>
      </c>
      <c r="G150" s="30">
        <v>41.5</v>
      </c>
      <c r="H150" s="38">
        <f>(1+IF(OR(ISERR(FIND(":",D151)),ISERR(FIND("%",D151))),0,MID(D151,FIND(":",D151)+2,FIND("%",D151)-FIND(":",D151)-2)/100))*0</f>
        <v>0</v>
      </c>
      <c r="I150" s="29">
        <f>G150*H150</f>
        <v>0</v>
      </c>
      <c r="J150">
        <v>1</v>
      </c>
    </row>
    <row r="151" spans="1:19" x14ac:dyDescent="0.3">
      <c r="D151" s="15" t="str">
        <f>SUBSTITUTE("Sp.mat: 0.00%",".",IF(VALUE("1.2")=1.2,".",","),2)</f>
        <v>Sp.mat: 0.00%</v>
      </c>
      <c r="F151" s="15" t="str">
        <f>SUBSTITUTE("Sp.man: 0.00%",".",IF(VALUE("1.2")=1.2,".",","),2)</f>
        <v>Sp.man: 0.00%</v>
      </c>
      <c r="G151" s="35" t="str">
        <f>SUBSTITUTE("Sp.uti: 0.00%",".",IF(VALUE("1.2")=1.2,".",","),2)</f>
        <v>Sp.uti: 0.00%</v>
      </c>
      <c r="H151" s="38">
        <f>99.71/G150</f>
        <v>2.4026506024096386</v>
      </c>
      <c r="I151" s="29">
        <f>G150*H151</f>
        <v>99.71</v>
      </c>
      <c r="J151">
        <v>2</v>
      </c>
    </row>
    <row r="152" spans="1:19" x14ac:dyDescent="0.3">
      <c r="A152" s="88" t="s">
        <v>449</v>
      </c>
      <c r="B152" s="98"/>
      <c r="C152" s="98"/>
      <c r="D152" s="98"/>
      <c r="E152" s="98"/>
      <c r="F152" s="98"/>
      <c r="G152" s="98"/>
      <c r="H152" s="38">
        <f>(1+IF(OR(ISERR(FIND(":",G151)),ISERR(FIND("%",G151))),0,MID(G151,FIND(":",G151)+2,FIND("%",G151)-FIND(":",G151)-2)/100))*0</f>
        <v>0</v>
      </c>
      <c r="I152" s="29">
        <f>G150*H152</f>
        <v>0</v>
      </c>
      <c r="J152">
        <v>3</v>
      </c>
      <c r="K152" s="4">
        <v>0</v>
      </c>
      <c r="L152" s="4">
        <v>0</v>
      </c>
      <c r="M152" s="4">
        <f>I152-K152-L152</f>
        <v>0</v>
      </c>
    </row>
    <row r="153" spans="1:19" x14ac:dyDescent="0.3">
      <c r="A153" s="98"/>
      <c r="B153" s="98"/>
      <c r="C153" s="98"/>
      <c r="D153" s="98"/>
      <c r="E153" s="98"/>
      <c r="F153" s="98"/>
      <c r="G153" s="98"/>
      <c r="H153" s="38">
        <f>0</f>
        <v>0</v>
      </c>
      <c r="I153" s="29">
        <f>G150*H153</f>
        <v>0</v>
      </c>
      <c r="J153">
        <v>4</v>
      </c>
      <c r="N153" s="4">
        <f>IF(ISERR(SEARCH("TRA* 82",C150)),IF(Q153+R153+S153=0,0,I153*(Q153/(Q153+R153+S153))),I153)</f>
        <v>0</v>
      </c>
      <c r="O153" s="4">
        <f>IF(ISERR(SEARCH("TRA* 82",C150)),IF(Q153+R153+S153=0,0,I153*(R153/(Q153+R153+S153))),0)</f>
        <v>0</v>
      </c>
      <c r="P153" s="4">
        <f>IF(ISERR(SEARCH("TRA* 82",C150)),I153-N153-O153,0)</f>
        <v>0</v>
      </c>
      <c r="Q153" s="4">
        <v>0</v>
      </c>
      <c r="R153" s="4">
        <v>0</v>
      </c>
      <c r="S153" s="4">
        <v>0</v>
      </c>
    </row>
    <row r="154" spans="1:19" x14ac:dyDescent="0.3">
      <c r="A154" s="100" t="s">
        <v>87</v>
      </c>
      <c r="B154" s="101"/>
      <c r="C154" s="101"/>
      <c r="D154" s="101"/>
      <c r="E154" s="101"/>
      <c r="F154" s="101"/>
      <c r="G154" s="101"/>
      <c r="H154" s="33">
        <f>H150+H151+H152+H153</f>
        <v>2.4026506024096386</v>
      </c>
      <c r="I154" s="37">
        <f>I150+I151+I152+I153</f>
        <v>99.71</v>
      </c>
      <c r="J154">
        <v>5</v>
      </c>
    </row>
    <row r="155" spans="1:19" x14ac:dyDescent="0.3">
      <c r="A155" s="99" t="s">
        <v>447</v>
      </c>
      <c r="B155" s="99"/>
      <c r="C155" s="99"/>
      <c r="D155" s="99"/>
      <c r="E155" s="99"/>
      <c r="F155" s="99"/>
      <c r="G155" s="99"/>
      <c r="H155" s="99"/>
      <c r="I155" s="99"/>
    </row>
    <row r="156" spans="1:19" x14ac:dyDescent="0.3">
      <c r="B156" s="2">
        <v>26</v>
      </c>
      <c r="C156" s="3" t="s">
        <v>450</v>
      </c>
      <c r="D156" s="5" t="s">
        <v>25</v>
      </c>
      <c r="G156" s="30">
        <v>700</v>
      </c>
      <c r="H156" s="38">
        <f>(1+IF(OR(ISERR(FIND(":",D157)),ISERR(FIND("%",D157))),0,MID(D157,FIND(":",D157)+2,FIND("%",D157)-FIND(":",D157)-2)/100))*0</f>
        <v>0</v>
      </c>
      <c r="I156" s="29">
        <f>G156*H156</f>
        <v>0</v>
      </c>
      <c r="J156">
        <v>1</v>
      </c>
    </row>
    <row r="157" spans="1:19" x14ac:dyDescent="0.3">
      <c r="D157" s="15" t="str">
        <f>SUBSTITUTE("Sp.mat: 0.00%",".",IF(VALUE("1.2")=1.2,".",","),2)</f>
        <v>Sp.mat: 0.00%</v>
      </c>
      <c r="F157" s="15" t="str">
        <f>SUBSTITUTE("Sp.man: 0.00%",".",IF(VALUE("1.2")=1.2,".",","),2)</f>
        <v>Sp.man: 0.00%</v>
      </c>
      <c r="G157" s="35" t="str">
        <f>SUBSTITUTE("Sp.uti: 0.00%",".",IF(VALUE("1.2")=1.2,".",","),2)</f>
        <v>Sp.uti: 0.00%</v>
      </c>
      <c r="H157" s="38">
        <f>1009.07/G156</f>
        <v>1.4415285714285715</v>
      </c>
      <c r="I157" s="29">
        <f>G156*H157</f>
        <v>1009.07</v>
      </c>
      <c r="J157">
        <v>2</v>
      </c>
    </row>
    <row r="158" spans="1:19" x14ac:dyDescent="0.3">
      <c r="A158" s="88" t="s">
        <v>451</v>
      </c>
      <c r="B158" s="98"/>
      <c r="C158" s="98"/>
      <c r="D158" s="98"/>
      <c r="E158" s="98"/>
      <c r="F158" s="98"/>
      <c r="G158" s="98"/>
      <c r="H158" s="38">
        <f>179.39/G156</f>
        <v>0.25627142857142854</v>
      </c>
      <c r="I158" s="29">
        <f>G156*H158</f>
        <v>179.39</v>
      </c>
      <c r="J158">
        <v>3</v>
      </c>
      <c r="K158" s="4">
        <v>0</v>
      </c>
      <c r="L158" s="4">
        <v>336</v>
      </c>
      <c r="M158" s="4">
        <f>I158-K158-L158</f>
        <v>-156.61000000000001</v>
      </c>
    </row>
    <row r="159" spans="1:19" x14ac:dyDescent="0.3">
      <c r="A159" s="98"/>
      <c r="B159" s="98"/>
      <c r="C159" s="98"/>
      <c r="D159" s="98"/>
      <c r="E159" s="98"/>
      <c r="F159" s="98"/>
      <c r="G159" s="98"/>
      <c r="H159" s="38">
        <f>0</f>
        <v>0</v>
      </c>
      <c r="I159" s="29">
        <f>G156*H159</f>
        <v>0</v>
      </c>
      <c r="J159">
        <v>4</v>
      </c>
      <c r="N159" s="4">
        <f>IF(ISERR(SEARCH("TRA* 82",C156)),IF(Q159+R159+S159=0,0,I159*(Q159/(Q159+R159+S159))),I159)</f>
        <v>0</v>
      </c>
      <c r="O159" s="4">
        <f>IF(ISERR(SEARCH("TRA* 82",C156)),IF(Q159+R159+S159=0,0,I159*(R159/(Q159+R159+S159))),0)</f>
        <v>0</v>
      </c>
      <c r="P159" s="4">
        <f>IF(ISERR(SEARCH("TRA* 82",C156)),I159-N159-O159,0)</f>
        <v>0</v>
      </c>
      <c r="Q159" s="4">
        <v>0</v>
      </c>
      <c r="R159" s="4">
        <v>0</v>
      </c>
      <c r="S159" s="4">
        <v>0</v>
      </c>
    </row>
    <row r="160" spans="1:19" x14ac:dyDescent="0.3">
      <c r="A160" s="96" t="s">
        <v>27</v>
      </c>
      <c r="B160" s="97"/>
      <c r="C160" s="97"/>
      <c r="D160" s="97"/>
      <c r="E160" s="97"/>
      <c r="F160" s="97"/>
      <c r="G160" s="97"/>
      <c r="H160" s="36">
        <f>H156+H157+H158+H159</f>
        <v>1.6978</v>
      </c>
      <c r="I160" s="74">
        <f>I156+I157+I158+I159</f>
        <v>1188.46</v>
      </c>
      <c r="J160">
        <v>5</v>
      </c>
    </row>
    <row r="161" spans="1:19" x14ac:dyDescent="0.3">
      <c r="B161" s="2">
        <v>27</v>
      </c>
      <c r="C161" s="3" t="s">
        <v>452</v>
      </c>
      <c r="D161" s="5" t="s">
        <v>25</v>
      </c>
      <c r="G161" s="30">
        <v>490</v>
      </c>
      <c r="H161" s="38">
        <f>(1+IF(OR(ISERR(FIND(":",D162)),ISERR(FIND("%",D162))),0,MID(D162,FIND(":",D162)+2,FIND("%",D162)-FIND(":",D162)-2)/100))*0</f>
        <v>0</v>
      </c>
      <c r="I161" s="29">
        <f>G161*H161</f>
        <v>0</v>
      </c>
      <c r="J161">
        <v>1</v>
      </c>
    </row>
    <row r="162" spans="1:19" x14ac:dyDescent="0.3">
      <c r="D162" s="15" t="str">
        <f>SUBSTITUTE("Sp.mat: 0.00%",".",IF(VALUE("1.2")=1.2,".",","),2)</f>
        <v>Sp.mat: 0.00%</v>
      </c>
      <c r="F162" s="15" t="str">
        <f>SUBSTITUTE("Sp.man: 0.00%",".",IF(VALUE("1.2")=1.2,".",","),2)</f>
        <v>Sp.man: 0.00%</v>
      </c>
      <c r="G162" s="35" t="str">
        <f>SUBSTITUTE("Sp.uti: 0.00%",".",IF(VALUE("1.2")=1.2,".",","),2)</f>
        <v>Sp.uti: 0.00%</v>
      </c>
      <c r="H162" s="38">
        <f>863.32/G161</f>
        <v>1.7618775510204083</v>
      </c>
      <c r="I162" s="29">
        <f>G161*H162</f>
        <v>863.32</v>
      </c>
      <c r="J162">
        <v>2</v>
      </c>
    </row>
    <row r="163" spans="1:19" x14ac:dyDescent="0.3">
      <c r="A163" s="88" t="s">
        <v>453</v>
      </c>
      <c r="B163" s="98"/>
      <c r="C163" s="98"/>
      <c r="D163" s="98"/>
      <c r="E163" s="98"/>
      <c r="F163" s="98"/>
      <c r="G163" s="98"/>
      <c r="H163" s="38">
        <f>156.97/G161</f>
        <v>0.32034693877551018</v>
      </c>
      <c r="I163" s="29">
        <f>G161*H163</f>
        <v>156.97</v>
      </c>
      <c r="J163">
        <v>3</v>
      </c>
      <c r="K163" s="4">
        <v>0</v>
      </c>
      <c r="L163" s="4">
        <v>294</v>
      </c>
      <c r="M163" s="4">
        <f>I163-K163-L163</f>
        <v>-137.03</v>
      </c>
    </row>
    <row r="164" spans="1:19" x14ac:dyDescent="0.3">
      <c r="A164" s="98"/>
      <c r="B164" s="98"/>
      <c r="C164" s="98"/>
      <c r="D164" s="98"/>
      <c r="E164" s="98"/>
      <c r="F164" s="98"/>
      <c r="G164" s="98"/>
      <c r="H164" s="38">
        <f>0</f>
        <v>0</v>
      </c>
      <c r="I164" s="29">
        <f>G161*H164</f>
        <v>0</v>
      </c>
      <c r="J164">
        <v>4</v>
      </c>
      <c r="N164" s="4">
        <f>IF(ISERR(SEARCH("TRA* 82",C161)),IF(Q164+R164+S164=0,0,I164*(Q164/(Q164+R164+S164))),I164)</f>
        <v>0</v>
      </c>
      <c r="O164" s="4">
        <f>IF(ISERR(SEARCH("TRA* 82",C161)),IF(Q164+R164+S164=0,0,I164*(R164/(Q164+R164+S164))),0)</f>
        <v>0</v>
      </c>
      <c r="P164" s="4">
        <f>IF(ISERR(SEARCH("TRA* 82",C161)),I164-N164-O164,0)</f>
        <v>0</v>
      </c>
      <c r="Q164" s="4">
        <v>0</v>
      </c>
      <c r="R164" s="4">
        <v>0</v>
      </c>
      <c r="S164" s="4">
        <v>0</v>
      </c>
    </row>
    <row r="165" spans="1:19" x14ac:dyDescent="0.3">
      <c r="A165" s="96" t="s">
        <v>27</v>
      </c>
      <c r="B165" s="97"/>
      <c r="C165" s="97"/>
      <c r="D165" s="97"/>
      <c r="E165" s="97"/>
      <c r="F165" s="97"/>
      <c r="G165" s="97"/>
      <c r="H165" s="36">
        <f>H161+H162+H163+H164</f>
        <v>2.0822244897959186</v>
      </c>
      <c r="I165" s="74">
        <f>I161+I162+I163+I164</f>
        <v>1020.2900000000001</v>
      </c>
      <c r="J165">
        <v>5</v>
      </c>
    </row>
    <row r="166" spans="1:19" x14ac:dyDescent="0.3">
      <c r="B166" s="2">
        <v>28</v>
      </c>
      <c r="C166" s="3" t="s">
        <v>454</v>
      </c>
      <c r="D166" s="5" t="s">
        <v>25</v>
      </c>
      <c r="G166" s="30">
        <v>180</v>
      </c>
      <c r="H166" s="38">
        <f>(1+IF(OR(ISERR(FIND(":",D167)),ISERR(FIND("%",D167))),0,MID(D167,FIND(":",D167)+2,FIND("%",D167)-FIND(":",D167)-2)/100))*0</f>
        <v>0</v>
      </c>
      <c r="I166" s="29">
        <f>G166*H166</f>
        <v>0</v>
      </c>
      <c r="J166">
        <v>1</v>
      </c>
    </row>
    <row r="167" spans="1:19" x14ac:dyDescent="0.3">
      <c r="D167" s="15" t="str">
        <f>SUBSTITUTE("Sp.mat: 0.00%",".",IF(VALUE("1.2")=1.2,".",","),2)</f>
        <v>Sp.mat: 0.00%</v>
      </c>
      <c r="F167" s="15" t="str">
        <f>SUBSTITUTE("Sp.man: 0.00%",".",IF(VALUE("1.2")=1.2,".",","),2)</f>
        <v>Sp.man: 0.00%</v>
      </c>
      <c r="G167" s="35" t="str">
        <f>SUBSTITUTE("Sp.uti: 0.00%",".",IF(VALUE("1.2")=1.2,".",","),2)</f>
        <v>Sp.uti: 0.00%</v>
      </c>
      <c r="H167" s="38">
        <f>374.8/G166</f>
        <v>2.0822222222222222</v>
      </c>
      <c r="I167" s="29">
        <f>G166*H167</f>
        <v>374.8</v>
      </c>
      <c r="J167">
        <v>2</v>
      </c>
    </row>
    <row r="168" spans="1:19" x14ac:dyDescent="0.3">
      <c r="A168" s="88" t="s">
        <v>455</v>
      </c>
      <c r="B168" s="98"/>
      <c r="C168" s="98"/>
      <c r="D168" s="98"/>
      <c r="E168" s="98"/>
      <c r="F168" s="98"/>
      <c r="G168" s="98"/>
      <c r="H168" s="38">
        <f>69.19/G166</f>
        <v>0.38438888888888889</v>
      </c>
      <c r="I168" s="29">
        <f>G166*H168</f>
        <v>69.19</v>
      </c>
      <c r="J168">
        <v>3</v>
      </c>
      <c r="K168" s="4">
        <v>0</v>
      </c>
      <c r="L168" s="4">
        <v>129.6</v>
      </c>
      <c r="M168" s="4">
        <f>I168-K168-L168</f>
        <v>-60.41</v>
      </c>
    </row>
    <row r="169" spans="1:19" x14ac:dyDescent="0.3">
      <c r="A169" s="98"/>
      <c r="B169" s="98"/>
      <c r="C169" s="98"/>
      <c r="D169" s="98"/>
      <c r="E169" s="98"/>
      <c r="F169" s="98"/>
      <c r="G169" s="98"/>
      <c r="H169" s="38">
        <f>0</f>
        <v>0</v>
      </c>
      <c r="I169" s="29">
        <f>G166*H169</f>
        <v>0</v>
      </c>
      <c r="J169">
        <v>4</v>
      </c>
      <c r="N169" s="4">
        <f>IF(ISERR(SEARCH("TRA* 82",C166)),IF(Q169+R169+S169=0,0,I169*(Q169/(Q169+R169+S169))),I169)</f>
        <v>0</v>
      </c>
      <c r="O169" s="4">
        <f>IF(ISERR(SEARCH("TRA* 82",C166)),IF(Q169+R169+S169=0,0,I169*(R169/(Q169+R169+S169))),0)</f>
        <v>0</v>
      </c>
      <c r="P169" s="4">
        <f>IF(ISERR(SEARCH("TRA* 82",C166)),I169-N169-O169,0)</f>
        <v>0</v>
      </c>
      <c r="Q169" s="4">
        <v>0</v>
      </c>
      <c r="R169" s="4">
        <v>0</v>
      </c>
      <c r="S169" s="4">
        <v>0</v>
      </c>
    </row>
    <row r="170" spans="1:19" x14ac:dyDescent="0.3">
      <c r="A170" s="96" t="s">
        <v>27</v>
      </c>
      <c r="B170" s="97"/>
      <c r="C170" s="97"/>
      <c r="D170" s="97"/>
      <c r="E170" s="97"/>
      <c r="F170" s="97"/>
      <c r="G170" s="97"/>
      <c r="H170" s="36">
        <f>H166+H167+H168+H169</f>
        <v>2.4666111111111109</v>
      </c>
      <c r="I170" s="74">
        <f>I166+I167+I168+I169</f>
        <v>443.99</v>
      </c>
      <c r="J170">
        <v>5</v>
      </c>
    </row>
    <row r="171" spans="1:19" x14ac:dyDescent="0.3">
      <c r="B171" s="2">
        <v>29</v>
      </c>
      <c r="C171" s="3" t="s">
        <v>456</v>
      </c>
      <c r="D171" s="5" t="s">
        <v>25</v>
      </c>
      <c r="G171" s="30">
        <v>235</v>
      </c>
      <c r="H171" s="38">
        <f>(1+IF(OR(ISERR(FIND(":",D172)),ISERR(FIND("%",D172))),0,MID(D172,FIND(":",D172)+2,FIND("%",D172)-FIND(":",D172)-2)/100))*0</f>
        <v>0</v>
      </c>
      <c r="I171" s="29">
        <f>G171*H171</f>
        <v>0</v>
      </c>
      <c r="J171">
        <v>1</v>
      </c>
    </row>
    <row r="172" spans="1:19" x14ac:dyDescent="0.3">
      <c r="D172" s="15" t="str">
        <f>SUBSTITUTE("Sp.mat: 0.00%",".",IF(VALUE("1.2")=1.2,".",","),2)</f>
        <v>Sp.mat: 0.00%</v>
      </c>
      <c r="F172" s="15" t="str">
        <f>SUBSTITUTE("Sp.man: 0.00%",".",IF(VALUE("1.2")=1.2,".",","),2)</f>
        <v>Sp.man: 0.00%</v>
      </c>
      <c r="G172" s="35" t="str">
        <f>SUBSTITUTE("Sp.uti: 0.00%",".",IF(VALUE("1.2")=1.2,".",","),2)</f>
        <v>Sp.uti: 0.00%</v>
      </c>
      <c r="H172" s="38">
        <f>564.6/G171</f>
        <v>2.4025531914893619</v>
      </c>
      <c r="I172" s="29">
        <f>G171*H172</f>
        <v>564.6</v>
      </c>
      <c r="J172">
        <v>2</v>
      </c>
    </row>
    <row r="173" spans="1:19" x14ac:dyDescent="0.3">
      <c r="A173" s="88" t="s">
        <v>457</v>
      </c>
      <c r="B173" s="98"/>
      <c r="C173" s="98"/>
      <c r="D173" s="98"/>
      <c r="E173" s="98"/>
      <c r="F173" s="98"/>
      <c r="G173" s="98"/>
      <c r="H173" s="38">
        <f>105.39/G171</f>
        <v>0.44846808510638297</v>
      </c>
      <c r="I173" s="29">
        <f>G171*H173</f>
        <v>105.39</v>
      </c>
      <c r="J173">
        <v>3</v>
      </c>
      <c r="K173" s="4">
        <v>0</v>
      </c>
      <c r="L173" s="4">
        <v>197.4</v>
      </c>
      <c r="M173" s="4">
        <f>I173-K173-L173</f>
        <v>-92.01</v>
      </c>
    </row>
    <row r="174" spans="1:19" x14ac:dyDescent="0.3">
      <c r="A174" s="98"/>
      <c r="B174" s="98"/>
      <c r="C174" s="98"/>
      <c r="D174" s="98"/>
      <c r="E174" s="98"/>
      <c r="F174" s="98"/>
      <c r="G174" s="98"/>
      <c r="H174" s="38">
        <f>0</f>
        <v>0</v>
      </c>
      <c r="I174" s="29">
        <f>G171*H174</f>
        <v>0</v>
      </c>
      <c r="J174">
        <v>4</v>
      </c>
      <c r="N174" s="4">
        <f>IF(ISERR(SEARCH("TRA* 82",C171)),IF(Q174+R174+S174=0,0,I174*(Q174/(Q174+R174+S174))),I174)</f>
        <v>0</v>
      </c>
      <c r="O174" s="4">
        <f>IF(ISERR(SEARCH("TRA* 82",C171)),IF(Q174+R174+S174=0,0,I174*(R174/(Q174+R174+S174))),0)</f>
        <v>0</v>
      </c>
      <c r="P174" s="4">
        <f>IF(ISERR(SEARCH("TRA* 82",C171)),I174-N174-O174,0)</f>
        <v>0</v>
      </c>
      <c r="Q174" s="4">
        <v>0</v>
      </c>
      <c r="R174" s="4">
        <v>0</v>
      </c>
      <c r="S174" s="4">
        <v>0</v>
      </c>
    </row>
    <row r="175" spans="1:19" x14ac:dyDescent="0.3">
      <c r="A175" s="96" t="s">
        <v>27</v>
      </c>
      <c r="B175" s="97"/>
      <c r="C175" s="97"/>
      <c r="D175" s="97"/>
      <c r="E175" s="97"/>
      <c r="F175" s="97"/>
      <c r="G175" s="97"/>
      <c r="H175" s="36">
        <f>H171+H172+H173+H174</f>
        <v>2.8510212765957448</v>
      </c>
      <c r="I175" s="74">
        <f>I171+I172+I173+I174</f>
        <v>669.99</v>
      </c>
      <c r="J175">
        <v>5</v>
      </c>
    </row>
    <row r="176" spans="1:19" x14ac:dyDescent="0.3">
      <c r="B176" s="2">
        <v>30</v>
      </c>
      <c r="C176" s="3" t="s">
        <v>460</v>
      </c>
      <c r="D176" s="5" t="s">
        <v>25</v>
      </c>
      <c r="G176" s="30">
        <v>700</v>
      </c>
      <c r="H176" s="38">
        <f>(1+IF(OR(ISERR(FIND(":",D177)),ISERR(FIND("%",D177))),0,MID(D177,FIND(":",D177)+2,FIND("%",D177)-FIND(":",D177)-2)/100))*0</f>
        <v>0</v>
      </c>
      <c r="I176" s="29">
        <f>G176*H176</f>
        <v>0</v>
      </c>
      <c r="J176">
        <v>1</v>
      </c>
    </row>
    <row r="177" spans="1:19" x14ac:dyDescent="0.3">
      <c r="D177" s="15" t="str">
        <f>SUBSTITUTE("Sp.mat: 0.00%",".",IF(VALUE("1.2")=1.2,".",","),2)</f>
        <v>Sp.mat: 0.00%</v>
      </c>
      <c r="F177" s="15" t="str">
        <f>SUBSTITUTE("Sp.man: 0.00%",".",IF(VALUE("1.2")=1.2,".",","),2)</f>
        <v>Sp.man: 0.00%</v>
      </c>
      <c r="G177" s="35" t="str">
        <f>SUBSTITUTE("Sp.uti: 0.00%",".",IF(VALUE("1.2")=1.2,".",","),2)</f>
        <v>Sp.uti: 0.00%</v>
      </c>
      <c r="H177" s="38">
        <f>896.95/G176</f>
        <v>1.2813571428571429</v>
      </c>
      <c r="I177" s="29">
        <f>G176*H177</f>
        <v>896.95</v>
      </c>
      <c r="J177">
        <v>2</v>
      </c>
    </row>
    <row r="178" spans="1:19" x14ac:dyDescent="0.3">
      <c r="A178" s="88" t="s">
        <v>461</v>
      </c>
      <c r="B178" s="98"/>
      <c r="C178" s="98"/>
      <c r="D178" s="98"/>
      <c r="E178" s="98"/>
      <c r="F178" s="98"/>
      <c r="G178" s="98"/>
      <c r="H178" s="38">
        <f>(1+IF(OR(ISERR(FIND(":",G177)),ISERR(FIND("%",G177))),0,MID(G177,FIND(":",G177)+2,FIND("%",G177)-FIND(":",G177)-2)/100))*0</f>
        <v>0</v>
      </c>
      <c r="I178" s="29">
        <f>G176*H178</f>
        <v>0</v>
      </c>
      <c r="J178">
        <v>3</v>
      </c>
      <c r="K178" s="4">
        <v>0</v>
      </c>
      <c r="L178" s="4">
        <v>0</v>
      </c>
      <c r="M178" s="4">
        <f>I178-K178-L178</f>
        <v>0</v>
      </c>
    </row>
    <row r="179" spans="1:19" x14ac:dyDescent="0.3">
      <c r="A179" s="98"/>
      <c r="B179" s="98"/>
      <c r="C179" s="98"/>
      <c r="D179" s="98"/>
      <c r="E179" s="98"/>
      <c r="F179" s="98"/>
      <c r="G179" s="98"/>
      <c r="H179" s="38">
        <f>0</f>
        <v>0</v>
      </c>
      <c r="I179" s="29">
        <f>G176*H179</f>
        <v>0</v>
      </c>
      <c r="J179">
        <v>4</v>
      </c>
      <c r="N179" s="4">
        <f>IF(ISERR(SEARCH("TRA* 82",C176)),IF(Q179+R179+S179=0,0,I179*(Q179/(Q179+R179+S179))),I179)</f>
        <v>0</v>
      </c>
      <c r="O179" s="4">
        <f>IF(ISERR(SEARCH("TRA* 82",C176)),IF(Q179+R179+S179=0,0,I179*(R179/(Q179+R179+S179))),0)</f>
        <v>0</v>
      </c>
      <c r="P179" s="4">
        <f>IF(ISERR(SEARCH("TRA* 82",C176)),I179-N179-O179,0)</f>
        <v>0</v>
      </c>
      <c r="Q179" s="4">
        <v>0</v>
      </c>
      <c r="R179" s="4">
        <v>0</v>
      </c>
      <c r="S179" s="4">
        <v>0</v>
      </c>
    </row>
    <row r="180" spans="1:19" x14ac:dyDescent="0.3">
      <c r="A180" s="96" t="s">
        <v>27</v>
      </c>
      <c r="B180" s="97"/>
      <c r="C180" s="97"/>
      <c r="D180" s="97"/>
      <c r="E180" s="97"/>
      <c r="F180" s="97"/>
      <c r="G180" s="97"/>
      <c r="H180" s="36">
        <f>H176+H177+H178+H179</f>
        <v>1.2813571428571429</v>
      </c>
      <c r="I180" s="74">
        <f>I176+I177+I178+I179</f>
        <v>896.95</v>
      </c>
      <c r="J180">
        <v>5</v>
      </c>
    </row>
    <row r="181" spans="1:19" x14ac:dyDescent="0.3">
      <c r="B181" s="2">
        <v>31</v>
      </c>
      <c r="C181" s="3" t="s">
        <v>462</v>
      </c>
      <c r="D181" s="5" t="s">
        <v>25</v>
      </c>
      <c r="G181" s="30">
        <v>490</v>
      </c>
      <c r="H181" s="38">
        <f>(1+IF(OR(ISERR(FIND(":",D182)),ISERR(FIND("%",D182))),0,MID(D182,FIND(":",D182)+2,FIND("%",D182)-FIND(":",D182)-2)/100))*0</f>
        <v>0</v>
      </c>
      <c r="I181" s="29">
        <f>G181*H181</f>
        <v>0</v>
      </c>
      <c r="J181">
        <v>1</v>
      </c>
    </row>
    <row r="182" spans="1:19" x14ac:dyDescent="0.3">
      <c r="D182" s="15" t="str">
        <f>SUBSTITUTE("Sp.mat: 0.00%",".",IF(VALUE("1.2")=1.2,".",","),2)</f>
        <v>Sp.mat: 0.00%</v>
      </c>
      <c r="F182" s="15" t="str">
        <f>SUBSTITUTE("Sp.man: 0.00%",".",IF(VALUE("1.2")=1.2,".",","),2)</f>
        <v>Sp.man: 0.00%</v>
      </c>
      <c r="G182" s="35" t="str">
        <f>SUBSTITUTE("Sp.uti: 0.00%",".",IF(VALUE("1.2")=1.2,".",","),2)</f>
        <v>Sp.uti: 0.00%</v>
      </c>
      <c r="H182" s="38">
        <f>784.83/G181</f>
        <v>1.6016938775510206</v>
      </c>
      <c r="I182" s="29">
        <f>G181*H182</f>
        <v>784.83</v>
      </c>
      <c r="J182">
        <v>2</v>
      </c>
    </row>
    <row r="183" spans="1:19" x14ac:dyDescent="0.3">
      <c r="A183" s="88" t="s">
        <v>463</v>
      </c>
      <c r="B183" s="98"/>
      <c r="C183" s="98"/>
      <c r="D183" s="98"/>
      <c r="E183" s="98"/>
      <c r="F183" s="98"/>
      <c r="G183" s="98"/>
      <c r="H183" s="38">
        <f>(1+IF(OR(ISERR(FIND(":",G182)),ISERR(FIND("%",G182))),0,MID(G182,FIND(":",G182)+2,FIND("%",G182)-FIND(":",G182)-2)/100))*0</f>
        <v>0</v>
      </c>
      <c r="I183" s="29">
        <f>G181*H183</f>
        <v>0</v>
      </c>
      <c r="J183">
        <v>3</v>
      </c>
      <c r="K183" s="4">
        <v>0</v>
      </c>
      <c r="L183" s="4">
        <v>0</v>
      </c>
      <c r="M183" s="4">
        <f>I183-K183-L183</f>
        <v>0</v>
      </c>
    </row>
    <row r="184" spans="1:19" x14ac:dyDescent="0.3">
      <c r="A184" s="98"/>
      <c r="B184" s="98"/>
      <c r="C184" s="98"/>
      <c r="D184" s="98"/>
      <c r="E184" s="98"/>
      <c r="F184" s="98"/>
      <c r="G184" s="98"/>
      <c r="H184" s="38">
        <f>0</f>
        <v>0</v>
      </c>
      <c r="I184" s="29">
        <f>G181*H184</f>
        <v>0</v>
      </c>
      <c r="J184">
        <v>4</v>
      </c>
      <c r="N184" s="4">
        <f>IF(ISERR(SEARCH("TRA* 82",C181)),IF(Q184+R184+S184=0,0,I184*(Q184/(Q184+R184+S184))),I184)</f>
        <v>0</v>
      </c>
      <c r="O184" s="4">
        <f>IF(ISERR(SEARCH("TRA* 82",C181)),IF(Q184+R184+S184=0,0,I184*(R184/(Q184+R184+S184))),0)</f>
        <v>0</v>
      </c>
      <c r="P184" s="4">
        <f>IF(ISERR(SEARCH("TRA* 82",C181)),I184-N184-O184,0)</f>
        <v>0</v>
      </c>
      <c r="Q184" s="4">
        <v>0</v>
      </c>
      <c r="R184" s="4">
        <v>0</v>
      </c>
      <c r="S184" s="4">
        <v>0</v>
      </c>
    </row>
    <row r="185" spans="1:19" x14ac:dyDescent="0.3">
      <c r="A185" s="96" t="s">
        <v>27</v>
      </c>
      <c r="B185" s="97"/>
      <c r="C185" s="97"/>
      <c r="D185" s="97"/>
      <c r="E185" s="97"/>
      <c r="F185" s="97"/>
      <c r="G185" s="97"/>
      <c r="H185" s="36">
        <f>H181+H182+H183+H184</f>
        <v>1.6016938775510206</v>
      </c>
      <c r="I185" s="74">
        <f>I181+I182+I183+I184</f>
        <v>784.83</v>
      </c>
      <c r="J185">
        <v>5</v>
      </c>
    </row>
    <row r="186" spans="1:19" x14ac:dyDescent="0.3">
      <c r="B186" s="2">
        <v>32</v>
      </c>
      <c r="C186" s="3" t="s">
        <v>464</v>
      </c>
      <c r="D186" s="5" t="s">
        <v>25</v>
      </c>
      <c r="G186" s="30">
        <v>180</v>
      </c>
      <c r="H186" s="38">
        <f>(1+IF(OR(ISERR(FIND(":",D187)),ISERR(FIND("%",D187))),0,MID(D187,FIND(":",D187)+2,FIND("%",D187)-FIND(":",D187)-2)/100))*0</f>
        <v>0</v>
      </c>
      <c r="I186" s="29">
        <f>G186*H186</f>
        <v>0</v>
      </c>
      <c r="J186">
        <v>1</v>
      </c>
    </row>
    <row r="187" spans="1:19" x14ac:dyDescent="0.3">
      <c r="D187" s="15" t="str">
        <f>SUBSTITUTE("Sp.mat: 0.00%",".",IF(VALUE("1.2")=1.2,".",","),2)</f>
        <v>Sp.mat: 0.00%</v>
      </c>
      <c r="F187" s="15" t="str">
        <f>SUBSTITUTE("Sp.man: 0.00%",".",IF(VALUE("1.2")=1.2,".",","),2)</f>
        <v>Sp.man: 0.00%</v>
      </c>
      <c r="G187" s="35" t="str">
        <f>SUBSTITUTE("Sp.uti: 0.00%",".",IF(VALUE("1.2")=1.2,".",","),2)</f>
        <v>Sp.uti: 0.00%</v>
      </c>
      <c r="H187" s="38">
        <f>345.97/G186</f>
        <v>1.9220555555555556</v>
      </c>
      <c r="I187" s="29">
        <f>G186*H187</f>
        <v>345.97</v>
      </c>
      <c r="J187">
        <v>2</v>
      </c>
    </row>
    <row r="188" spans="1:19" x14ac:dyDescent="0.3">
      <c r="A188" s="88" t="s">
        <v>465</v>
      </c>
      <c r="B188" s="98"/>
      <c r="C188" s="98"/>
      <c r="D188" s="98"/>
      <c r="E188" s="98"/>
      <c r="F188" s="98"/>
      <c r="G188" s="98"/>
      <c r="H188" s="38">
        <f>(1+IF(OR(ISERR(FIND(":",G187)),ISERR(FIND("%",G187))),0,MID(G187,FIND(":",G187)+2,FIND("%",G187)-FIND(":",G187)-2)/100))*0</f>
        <v>0</v>
      </c>
      <c r="I188" s="29">
        <f>G186*H188</f>
        <v>0</v>
      </c>
      <c r="J188">
        <v>3</v>
      </c>
      <c r="K188" s="4">
        <v>0</v>
      </c>
      <c r="L188" s="4">
        <v>0</v>
      </c>
      <c r="M188" s="4">
        <f>I188-K188-L188</f>
        <v>0</v>
      </c>
    </row>
    <row r="189" spans="1:19" x14ac:dyDescent="0.3">
      <c r="A189" s="98"/>
      <c r="B189" s="98"/>
      <c r="C189" s="98"/>
      <c r="D189" s="98"/>
      <c r="E189" s="98"/>
      <c r="F189" s="98"/>
      <c r="G189" s="98"/>
      <c r="H189" s="38">
        <f>0</f>
        <v>0</v>
      </c>
      <c r="I189" s="29">
        <f>G186*H189</f>
        <v>0</v>
      </c>
      <c r="J189">
        <v>4</v>
      </c>
      <c r="N189" s="4">
        <f>IF(ISERR(SEARCH("TRA* 82",C186)),IF(Q189+R189+S189=0,0,I189*(Q189/(Q189+R189+S189))),I189)</f>
        <v>0</v>
      </c>
      <c r="O189" s="4">
        <f>IF(ISERR(SEARCH("TRA* 82",C186)),IF(Q189+R189+S189=0,0,I189*(R189/(Q189+R189+S189))),0)</f>
        <v>0</v>
      </c>
      <c r="P189" s="4">
        <f>IF(ISERR(SEARCH("TRA* 82",C186)),I189-N189-O189,0)</f>
        <v>0</v>
      </c>
      <c r="Q189" s="4">
        <v>0</v>
      </c>
      <c r="R189" s="4">
        <v>0</v>
      </c>
      <c r="S189" s="4">
        <v>0</v>
      </c>
    </row>
    <row r="190" spans="1:19" x14ac:dyDescent="0.3">
      <c r="A190" s="96" t="s">
        <v>27</v>
      </c>
      <c r="B190" s="97"/>
      <c r="C190" s="97"/>
      <c r="D190" s="97"/>
      <c r="E190" s="97"/>
      <c r="F190" s="97"/>
      <c r="G190" s="97"/>
      <c r="H190" s="36">
        <f>H186+H187+H188+H189</f>
        <v>1.9220555555555556</v>
      </c>
      <c r="I190" s="74">
        <f>I186+I187+I188+I189</f>
        <v>345.97</v>
      </c>
      <c r="J190">
        <v>5</v>
      </c>
    </row>
    <row r="191" spans="1:19" x14ac:dyDescent="0.3">
      <c r="B191" s="2">
        <v>33</v>
      </c>
      <c r="C191" s="3" t="s">
        <v>466</v>
      </c>
      <c r="D191" s="5" t="s">
        <v>25</v>
      </c>
      <c r="G191" s="30">
        <v>235</v>
      </c>
      <c r="H191" s="38">
        <f>(1+IF(OR(ISERR(FIND(":",D192)),ISERR(FIND("%",D192))),0,MID(D192,FIND(":",D192)+2,FIND("%",D192)-FIND(":",D192)-2)/100))*0</f>
        <v>0</v>
      </c>
      <c r="I191" s="29">
        <f>G191*H191</f>
        <v>0</v>
      </c>
      <c r="J191">
        <v>1</v>
      </c>
    </row>
    <row r="192" spans="1:19" x14ac:dyDescent="0.3">
      <c r="D192" s="15" t="str">
        <f>SUBSTITUTE("Sp.mat: 0.00%",".",IF(VALUE("1.2")=1.2,".",","),2)</f>
        <v>Sp.mat: 0.00%</v>
      </c>
      <c r="F192" s="15" t="str">
        <f>SUBSTITUTE("Sp.man: 0.00%",".",IF(VALUE("1.2")=1.2,".",","),2)</f>
        <v>Sp.man: 0.00%</v>
      </c>
      <c r="G192" s="35" t="str">
        <f>SUBSTITUTE("Sp.uti: 0.00%",".",IF(VALUE("1.2")=1.2,".",","),2)</f>
        <v>Sp.uti: 0.00%</v>
      </c>
      <c r="H192" s="38">
        <f>526.96/G191</f>
        <v>2.2423829787234042</v>
      </c>
      <c r="I192" s="29">
        <f>G191*H192</f>
        <v>526.96</v>
      </c>
      <c r="J192">
        <v>2</v>
      </c>
    </row>
    <row r="193" spans="1:19" x14ac:dyDescent="0.3">
      <c r="A193" s="88" t="s">
        <v>467</v>
      </c>
      <c r="B193" s="98"/>
      <c r="C193" s="98"/>
      <c r="D193" s="98"/>
      <c r="E193" s="98"/>
      <c r="F193" s="98"/>
      <c r="G193" s="98"/>
      <c r="H193" s="38">
        <f>(1+IF(OR(ISERR(FIND(":",G192)),ISERR(FIND("%",G192))),0,MID(G192,FIND(":",G192)+2,FIND("%",G192)-FIND(":",G192)-2)/100))*0</f>
        <v>0</v>
      </c>
      <c r="I193" s="29">
        <f>G191*H193</f>
        <v>0</v>
      </c>
      <c r="J193">
        <v>3</v>
      </c>
      <c r="K193" s="4">
        <v>0</v>
      </c>
      <c r="L193" s="4">
        <v>0</v>
      </c>
      <c r="M193" s="4">
        <f>I193-K193-L193</f>
        <v>0</v>
      </c>
    </row>
    <row r="194" spans="1:19" x14ac:dyDescent="0.3">
      <c r="A194" s="98"/>
      <c r="B194" s="98"/>
      <c r="C194" s="98"/>
      <c r="D194" s="98"/>
      <c r="E194" s="98"/>
      <c r="F194" s="98"/>
      <c r="G194" s="98"/>
      <c r="H194" s="38">
        <f>0</f>
        <v>0</v>
      </c>
      <c r="I194" s="29">
        <f>G191*H194</f>
        <v>0</v>
      </c>
      <c r="J194">
        <v>4</v>
      </c>
      <c r="N194" s="4">
        <f>IF(ISERR(SEARCH("TRA* 82",C191)),IF(Q194+R194+S194=0,0,I194*(Q194/(Q194+R194+S194))),I194)</f>
        <v>0</v>
      </c>
      <c r="O194" s="4">
        <f>IF(ISERR(SEARCH("TRA* 82",C191)),IF(Q194+R194+S194=0,0,I194*(R194/(Q194+R194+S194))),0)</f>
        <v>0</v>
      </c>
      <c r="P194" s="4">
        <f>IF(ISERR(SEARCH("TRA* 82",C191)),I194-N194-O194,0)</f>
        <v>0</v>
      </c>
      <c r="Q194" s="4">
        <v>0</v>
      </c>
      <c r="R194" s="4">
        <v>0</v>
      </c>
      <c r="S194" s="4">
        <v>0</v>
      </c>
    </row>
    <row r="195" spans="1:19" x14ac:dyDescent="0.3">
      <c r="A195" s="96" t="s">
        <v>27</v>
      </c>
      <c r="B195" s="97"/>
      <c r="C195" s="97"/>
      <c r="D195" s="97"/>
      <c r="E195" s="97"/>
      <c r="F195" s="97"/>
      <c r="G195" s="97"/>
      <c r="H195" s="36">
        <f>H191+H192+H193+H194</f>
        <v>2.2423829787234042</v>
      </c>
      <c r="I195" s="74">
        <f>I191+I192+I193+I194</f>
        <v>526.96</v>
      </c>
      <c r="J195">
        <v>5</v>
      </c>
    </row>
    <row r="196" spans="1:19" x14ac:dyDescent="0.3">
      <c r="B196" s="2">
        <v>34</v>
      </c>
      <c r="C196" s="3" t="s">
        <v>474</v>
      </c>
      <c r="D196" s="5" t="s">
        <v>29</v>
      </c>
      <c r="G196" s="30">
        <v>64</v>
      </c>
      <c r="H196" s="38">
        <f>(1+IF(OR(ISERR(FIND(":",D197)),ISERR(FIND("%",D197))),0,MID(D197,FIND(":",D197)+2,FIND("%",D197)-FIND(":",D197)-2)/100))*0</f>
        <v>0</v>
      </c>
      <c r="I196" s="29">
        <f>G196*H196</f>
        <v>0</v>
      </c>
      <c r="J196">
        <v>1</v>
      </c>
    </row>
    <row r="197" spans="1:19" x14ac:dyDescent="0.3">
      <c r="D197" s="15" t="str">
        <f>SUBSTITUTE("Sp.mat: 0.00%",".",IF(VALUE("1.2")=1.2,".",","),2)</f>
        <v>Sp.mat: 0.00%</v>
      </c>
      <c r="F197" s="15" t="str">
        <f>SUBSTITUTE("Sp.man: 0.00%",".",IF(VALUE("1.2")=1.2,".",","),2)</f>
        <v>Sp.man: 0.00%</v>
      </c>
      <c r="G197" s="35" t="str">
        <f>SUBSTITUTE("Sp.uti: 0.00%",".",IF(VALUE("1.2")=1.2,".",","),2)</f>
        <v>Sp.uti: 0.00%</v>
      </c>
      <c r="H197" s="38">
        <v>38.44</v>
      </c>
      <c r="I197" s="29">
        <f>G196*H197</f>
        <v>2460.16</v>
      </c>
      <c r="J197">
        <v>2</v>
      </c>
    </row>
    <row r="198" spans="1:19" x14ac:dyDescent="0.3">
      <c r="A198" s="88" t="s">
        <v>475</v>
      </c>
      <c r="B198" s="98"/>
      <c r="C198" s="98"/>
      <c r="D198" s="98"/>
      <c r="E198" s="98"/>
      <c r="F198" s="98"/>
      <c r="G198" s="98"/>
      <c r="H198" s="38">
        <v>19.22</v>
      </c>
      <c r="I198" s="29">
        <f>G196*H198</f>
        <v>1230.08</v>
      </c>
      <c r="J198">
        <v>3</v>
      </c>
      <c r="K198" s="4">
        <v>2304</v>
      </c>
      <c r="L198" s="4">
        <v>0</v>
      </c>
      <c r="M198" s="4">
        <f>I198-K198-L198</f>
        <v>-1073.92</v>
      </c>
    </row>
    <row r="199" spans="1:19" x14ac:dyDescent="0.3">
      <c r="A199" s="98"/>
      <c r="B199" s="98"/>
      <c r="C199" s="98"/>
      <c r="D199" s="98"/>
      <c r="E199" s="98"/>
      <c r="F199" s="98"/>
      <c r="G199" s="98"/>
      <c r="H199" s="38">
        <f>0</f>
        <v>0</v>
      </c>
      <c r="I199" s="29">
        <f>G196*H199</f>
        <v>0</v>
      </c>
      <c r="J199">
        <v>4</v>
      </c>
      <c r="N199" s="4">
        <f>IF(ISERR(SEARCH("TRA* 82",C196)),IF(Q199+R199+S199=0,0,I199*(Q199/(Q199+R199+S199))),I199)</f>
        <v>0</v>
      </c>
      <c r="O199" s="4">
        <f>IF(ISERR(SEARCH("TRA* 82",C196)),IF(Q199+R199+S199=0,0,I199*(R199/(Q199+R199+S199))),0)</f>
        <v>0</v>
      </c>
      <c r="P199" s="4">
        <f>IF(ISERR(SEARCH("TRA* 82",C196)),I199-N199-O199,0)</f>
        <v>0</v>
      </c>
      <c r="Q199" s="4">
        <v>0</v>
      </c>
      <c r="R199" s="4">
        <v>0</v>
      </c>
      <c r="S199" s="4">
        <v>0</v>
      </c>
    </row>
    <row r="200" spans="1:19" x14ac:dyDescent="0.3">
      <c r="A200" s="96" t="s">
        <v>702</v>
      </c>
      <c r="B200" s="97"/>
      <c r="C200" s="97"/>
      <c r="D200" s="97"/>
      <c r="E200" s="97"/>
      <c r="F200" s="97"/>
      <c r="G200" s="97"/>
      <c r="H200" s="36">
        <f>H196+H197+H198+H199</f>
        <v>57.66</v>
      </c>
      <c r="I200" s="74">
        <f>I196+I197+I198+I199</f>
        <v>3690.24</v>
      </c>
      <c r="J200">
        <v>5</v>
      </c>
    </row>
    <row r="201" spans="1:19" x14ac:dyDescent="0.3">
      <c r="B201" s="2">
        <v>35</v>
      </c>
      <c r="C201" s="3" t="s">
        <v>470</v>
      </c>
      <c r="D201" s="5" t="s">
        <v>40</v>
      </c>
      <c r="G201" s="30">
        <v>260</v>
      </c>
      <c r="H201" s="38">
        <f>1363.03/G201</f>
        <v>5.2424230769230764</v>
      </c>
      <c r="I201" s="29">
        <f>G201*H201</f>
        <v>1363.03</v>
      </c>
      <c r="J201">
        <v>1</v>
      </c>
    </row>
    <row r="202" spans="1:19" x14ac:dyDescent="0.3">
      <c r="D202" s="15" t="str">
        <f>SUBSTITUTE("Sp.mat: 0.00%",".",IF(VALUE("1.2")=1.2,".",","),2)</f>
        <v>Sp.mat: 0.00%</v>
      </c>
      <c r="F202" s="15" t="str">
        <f>SUBSTITUTE("Sp.man: 0.00%",".",IF(VALUE("1.2")=1.2,".",","),2)</f>
        <v>Sp.man: 0.00%</v>
      </c>
      <c r="G202" s="35" t="str">
        <f>SUBSTITUTE("Sp.uti: 0.00%",".",IF(VALUE("1.2")=1.2,".",","),2)</f>
        <v>Sp.uti: 0.00%</v>
      </c>
      <c r="H202" s="38">
        <f>2290.43/G201</f>
        <v>8.8093461538461533</v>
      </c>
      <c r="I202" s="29">
        <f>G201*H202</f>
        <v>2290.4299999999998</v>
      </c>
      <c r="J202">
        <v>2</v>
      </c>
    </row>
    <row r="203" spans="1:19" x14ac:dyDescent="0.3">
      <c r="A203" s="88" t="s">
        <v>471</v>
      </c>
      <c r="B203" s="98"/>
      <c r="C203" s="98"/>
      <c r="D203" s="98"/>
      <c r="E203" s="98"/>
      <c r="F203" s="98"/>
      <c r="G203" s="98"/>
      <c r="H203" s="38">
        <f>6.5/G201</f>
        <v>2.5000000000000001E-2</v>
      </c>
      <c r="I203" s="29">
        <f>G201*H203</f>
        <v>6.5</v>
      </c>
      <c r="J203">
        <v>3</v>
      </c>
      <c r="K203" s="4">
        <v>0</v>
      </c>
      <c r="L203" s="4">
        <v>0</v>
      </c>
      <c r="M203" s="4">
        <f>I203-K203-L203</f>
        <v>6.5</v>
      </c>
    </row>
    <row r="204" spans="1:19" x14ac:dyDescent="0.3">
      <c r="A204" s="98"/>
      <c r="B204" s="98"/>
      <c r="C204" s="98"/>
      <c r="D204" s="98"/>
      <c r="E204" s="98"/>
      <c r="F204" s="98"/>
      <c r="G204" s="98"/>
      <c r="H204" s="38">
        <f>0</f>
        <v>0</v>
      </c>
      <c r="I204" s="29">
        <f>G201*H204</f>
        <v>0</v>
      </c>
      <c r="J204">
        <v>4</v>
      </c>
      <c r="N204" s="4">
        <f>IF(ISERR(SEARCH("TRA* 82",C201)),IF(Q204+R204+S204=0,0,I204*(Q204/(Q204+R204+S204))),I204)</f>
        <v>0</v>
      </c>
      <c r="O204" s="4">
        <f>IF(ISERR(SEARCH("TRA* 82",C201)),IF(Q204+R204+S204=0,0,I204*(R204/(Q204+R204+S204))),0)</f>
        <v>0</v>
      </c>
      <c r="P204" s="4">
        <f>IF(ISERR(SEARCH("TRA* 82",C201)),I204-N204-O204,0)</f>
        <v>0</v>
      </c>
      <c r="Q204" s="4">
        <v>0</v>
      </c>
      <c r="R204" s="4">
        <v>0</v>
      </c>
      <c r="S204" s="4">
        <v>0</v>
      </c>
    </row>
    <row r="205" spans="1:19" x14ac:dyDescent="0.3">
      <c r="A205" s="96" t="s">
        <v>27</v>
      </c>
      <c r="B205" s="97"/>
      <c r="C205" s="97"/>
      <c r="D205" s="97"/>
      <c r="E205" s="97"/>
      <c r="F205" s="97"/>
      <c r="G205" s="97"/>
      <c r="H205" s="36">
        <f>H201+H202+H203+H204</f>
        <v>14.07676923076923</v>
      </c>
      <c r="I205" s="74">
        <f>I201+I202+I203+I204</f>
        <v>3659.96</v>
      </c>
      <c r="J205">
        <v>5</v>
      </c>
    </row>
    <row r="206" spans="1:19" x14ac:dyDescent="0.3">
      <c r="B206" s="2">
        <v>36</v>
      </c>
      <c r="C206" s="3" t="s">
        <v>703</v>
      </c>
      <c r="D206" s="5" t="s">
        <v>40</v>
      </c>
      <c r="G206" s="30">
        <v>260</v>
      </c>
      <c r="H206" s="38">
        <f>(1+IF(OR(ISERR(FIND(":",D207)),ISERR(FIND("%",D207))),0,MID(D207,FIND(":",D207)+2,FIND("%",D207)-FIND(":",D207)-2)/100))*0</f>
        <v>0</v>
      </c>
      <c r="I206" s="29">
        <f>G206*H206</f>
        <v>0</v>
      </c>
      <c r="J206">
        <v>1</v>
      </c>
    </row>
    <row r="207" spans="1:19" x14ac:dyDescent="0.3">
      <c r="D207" s="15" t="str">
        <f>SUBSTITUTE("Sp.mat: 0.00%",".",IF(VALUE("1.2")=1.2,".",","),2)</f>
        <v>Sp.mat: 0.00%</v>
      </c>
      <c r="F207" s="15" t="str">
        <f>SUBSTITUTE("Sp.man: 0.00%",".",IF(VALUE("1.2")=1.2,".",","),2)</f>
        <v>Sp.man: 0.00%</v>
      </c>
      <c r="G207" s="35" t="str">
        <f>SUBSTITUTE("Sp.uti: 0.00%",".",IF(VALUE("1.2")=1.2,".",","),2)</f>
        <v>Sp.uti: 0.00%</v>
      </c>
      <c r="H207" s="38">
        <f>1082.75/G206</f>
        <v>4.164423076923077</v>
      </c>
      <c r="I207" s="29">
        <f>G206*H207</f>
        <v>1082.75</v>
      </c>
      <c r="J207">
        <v>2</v>
      </c>
    </row>
    <row r="208" spans="1:19" x14ac:dyDescent="0.3">
      <c r="A208" s="88" t="s">
        <v>704</v>
      </c>
      <c r="B208" s="98"/>
      <c r="C208" s="98"/>
      <c r="D208" s="98"/>
      <c r="E208" s="98"/>
      <c r="F208" s="98"/>
      <c r="G208" s="98"/>
      <c r="H208" s="38">
        <f>333.15/G206</f>
        <v>1.2813461538461537</v>
      </c>
      <c r="I208" s="29">
        <f>G206*H208</f>
        <v>333.15</v>
      </c>
      <c r="J208">
        <v>3</v>
      </c>
      <c r="K208" s="4">
        <v>0</v>
      </c>
      <c r="L208" s="4">
        <v>624</v>
      </c>
      <c r="M208" s="4">
        <f>I208-K208-L208</f>
        <v>-290.85000000000002</v>
      </c>
    </row>
    <row r="209" spans="1:19" x14ac:dyDescent="0.3">
      <c r="A209" s="98"/>
      <c r="B209" s="98"/>
      <c r="C209" s="98"/>
      <c r="D209" s="98"/>
      <c r="E209" s="98"/>
      <c r="F209" s="98"/>
      <c r="G209" s="98"/>
      <c r="H209" s="38">
        <f>0</f>
        <v>0</v>
      </c>
      <c r="I209" s="29">
        <f>G206*H209</f>
        <v>0</v>
      </c>
      <c r="J209">
        <v>4</v>
      </c>
      <c r="N209" s="4">
        <f>IF(ISERR(SEARCH("TRA* 82",C206)),IF(Q209+R209+S209=0,0,I209*(Q209/(Q209+R209+S209))),I209)</f>
        <v>0</v>
      </c>
      <c r="O209" s="4">
        <f>IF(ISERR(SEARCH("TRA* 82",C206)),IF(Q209+R209+S209=0,0,I209*(R209/(Q209+R209+S209))),0)</f>
        <v>0</v>
      </c>
      <c r="P209" s="4">
        <f>IF(ISERR(SEARCH("TRA* 82",C206)),I209-N209-O209,0)</f>
        <v>0</v>
      </c>
      <c r="Q209" s="4">
        <v>0</v>
      </c>
      <c r="R209" s="4">
        <v>0</v>
      </c>
      <c r="S209" s="4">
        <v>0</v>
      </c>
    </row>
    <row r="210" spans="1:19" x14ac:dyDescent="0.3">
      <c r="A210" s="96" t="s">
        <v>27</v>
      </c>
      <c r="B210" s="97"/>
      <c r="C210" s="97"/>
      <c r="D210" s="97"/>
      <c r="E210" s="97"/>
      <c r="F210" s="97"/>
      <c r="G210" s="97"/>
      <c r="H210" s="36">
        <f>H206+H207+H208+H209</f>
        <v>5.4457692307692307</v>
      </c>
      <c r="I210" s="74">
        <f>I206+I207+I208+I209</f>
        <v>1415.9</v>
      </c>
      <c r="J210">
        <v>5</v>
      </c>
    </row>
    <row r="211" spans="1:19" x14ac:dyDescent="0.3">
      <c r="B211" s="2">
        <v>37</v>
      </c>
      <c r="C211" s="3" t="s">
        <v>705</v>
      </c>
      <c r="D211" s="5" t="s">
        <v>29</v>
      </c>
      <c r="G211" s="30">
        <v>4</v>
      </c>
      <c r="H211" s="38">
        <v>25.51</v>
      </c>
      <c r="I211" s="29">
        <f>G211*H211</f>
        <v>102.04</v>
      </c>
      <c r="J211">
        <v>1</v>
      </c>
    </row>
    <row r="212" spans="1:19" x14ac:dyDescent="0.3">
      <c r="D212" s="15" t="str">
        <f>SUBSTITUTE("Sp.mat: 0.00%",".",IF(VALUE("1.2")=1.2,".",","),2)</f>
        <v>Sp.mat: 0.00%</v>
      </c>
      <c r="F212" s="15" t="str">
        <f>SUBSTITUTE("Sp.man: 0.00%",".",IF(VALUE("1.2")=1.2,".",","),2)</f>
        <v>Sp.man: 0.00%</v>
      </c>
      <c r="G212" s="35" t="str">
        <f>SUBSTITUTE("Sp.uti: 0.00%",".",IF(VALUE("1.2")=1.2,".",","),2)</f>
        <v>Sp.uti: 0.00%</v>
      </c>
      <c r="H212" s="38">
        <v>92.02</v>
      </c>
      <c r="I212" s="29">
        <f>G211*H212</f>
        <v>368.08</v>
      </c>
      <c r="J212">
        <v>2</v>
      </c>
    </row>
    <row r="213" spans="1:19" x14ac:dyDescent="0.3">
      <c r="A213" s="88" t="s">
        <v>706</v>
      </c>
      <c r="B213" s="98"/>
      <c r="C213" s="98"/>
      <c r="D213" s="98"/>
      <c r="E213" s="98"/>
      <c r="F213" s="98"/>
      <c r="G213" s="98"/>
      <c r="H213" s="38">
        <v>21.86</v>
      </c>
      <c r="I213" s="29">
        <f>G211*H213</f>
        <v>87.44</v>
      </c>
      <c r="J213">
        <v>3</v>
      </c>
      <c r="K213" s="4">
        <v>0</v>
      </c>
      <c r="L213" s="4">
        <v>0</v>
      </c>
      <c r="M213" s="4">
        <f>I213-K213-L213</f>
        <v>87.44</v>
      </c>
    </row>
    <row r="214" spans="1:19" x14ac:dyDescent="0.3">
      <c r="A214" s="98"/>
      <c r="B214" s="98"/>
      <c r="C214" s="98"/>
      <c r="D214" s="98"/>
      <c r="E214" s="98"/>
      <c r="F214" s="98"/>
      <c r="G214" s="98"/>
      <c r="H214" s="38">
        <f>0</f>
        <v>0</v>
      </c>
      <c r="I214" s="29">
        <f>G211*H214</f>
        <v>0</v>
      </c>
      <c r="J214">
        <v>4</v>
      </c>
      <c r="N214" s="4">
        <f>IF(ISERR(SEARCH("TRA* 82",C211)),IF(Q214+R214+S214=0,0,I214*(Q214/(Q214+R214+S214))),I214)</f>
        <v>0</v>
      </c>
      <c r="O214" s="4">
        <f>IF(ISERR(SEARCH("TRA* 82",C211)),IF(Q214+R214+S214=0,0,I214*(R214/(Q214+R214+S214))),0)</f>
        <v>0</v>
      </c>
      <c r="P214" s="4">
        <f>IF(ISERR(SEARCH("TRA* 82",C211)),I214-N214-O214,0)</f>
        <v>0</v>
      </c>
      <c r="Q214" s="4">
        <v>0</v>
      </c>
      <c r="R214" s="4">
        <v>0</v>
      </c>
      <c r="S214" s="4">
        <v>0</v>
      </c>
    </row>
    <row r="215" spans="1:19" x14ac:dyDescent="0.3">
      <c r="A215" s="96" t="s">
        <v>27</v>
      </c>
      <c r="B215" s="97"/>
      <c r="C215" s="97"/>
      <c r="D215" s="97"/>
      <c r="E215" s="97"/>
      <c r="F215" s="97"/>
      <c r="G215" s="97"/>
      <c r="H215" s="36">
        <f>H211+H212+H213+H214</f>
        <v>139.38999999999999</v>
      </c>
      <c r="I215" s="74">
        <f>I211+I212+I213+I214</f>
        <v>557.55999999999995</v>
      </c>
      <c r="J215">
        <v>5</v>
      </c>
    </row>
    <row r="216" spans="1:19" x14ac:dyDescent="0.3">
      <c r="B216" s="2">
        <v>38</v>
      </c>
      <c r="C216" s="3" t="s">
        <v>707</v>
      </c>
      <c r="D216" s="5" t="s">
        <v>29</v>
      </c>
      <c r="G216" s="30">
        <v>2</v>
      </c>
      <c r="H216" s="38">
        <v>1568.82</v>
      </c>
      <c r="I216" s="29">
        <f>G216*H216</f>
        <v>3137.64</v>
      </c>
      <c r="J216">
        <v>1</v>
      </c>
    </row>
    <row r="217" spans="1:19" x14ac:dyDescent="0.3">
      <c r="D217" s="15" t="str">
        <f>SUBSTITUTE("Sp.mat: 0.00%",".",IF(VALUE("1.2")=1.2,".",","),2)</f>
        <v>Sp.mat: 0.00%</v>
      </c>
      <c r="F217" s="15" t="str">
        <f>SUBSTITUTE("Sp.man: 0.00%",".",IF(VALUE("1.2")=1.2,".",","),2)</f>
        <v>Sp.man: 0.00%</v>
      </c>
      <c r="G217" s="35" t="str">
        <f>SUBSTITUTE("Sp.uti: 0.00%",".",IF(VALUE("1.2")=1.2,".",","),2)</f>
        <v>Sp.uti: 0.00%</v>
      </c>
      <c r="H217" s="38">
        <f>(1+IF(OR(ISERR(FIND(":",F217)),ISERR(FIND("%",F217))),0,MID(F217,FIND(":",F217)+2,FIND("%",F217)-FIND(":",F217)-2)/100))*0</f>
        <v>0</v>
      </c>
      <c r="I217" s="29">
        <f>G216*H217</f>
        <v>0</v>
      </c>
      <c r="J217">
        <v>2</v>
      </c>
    </row>
    <row r="218" spans="1:19" x14ac:dyDescent="0.3">
      <c r="A218" s="88" t="s">
        <v>708</v>
      </c>
      <c r="B218" s="98"/>
      <c r="C218" s="98"/>
      <c r="D218" s="98"/>
      <c r="E218" s="98"/>
      <c r="F218" s="98"/>
      <c r="G218" s="98"/>
      <c r="H218" s="38">
        <f>(1+IF(OR(ISERR(FIND(":",G217)),ISERR(FIND("%",G217))),0,MID(G217,FIND(":",G217)+2,FIND("%",G217)-FIND(":",G217)-2)/100))*0</f>
        <v>0</v>
      </c>
      <c r="I218" s="29">
        <f>G216*H218</f>
        <v>0</v>
      </c>
      <c r="J218">
        <v>3</v>
      </c>
      <c r="K218" s="4">
        <v>0</v>
      </c>
      <c r="L218" s="4">
        <v>0</v>
      </c>
      <c r="M218" s="4">
        <f>I218-K218-L218</f>
        <v>0</v>
      </c>
    </row>
    <row r="219" spans="1:19" x14ac:dyDescent="0.3">
      <c r="A219" s="98"/>
      <c r="B219" s="98"/>
      <c r="C219" s="98"/>
      <c r="D219" s="98"/>
      <c r="E219" s="98"/>
      <c r="F219" s="98"/>
      <c r="G219" s="98"/>
      <c r="H219" s="38">
        <f>0</f>
        <v>0</v>
      </c>
      <c r="I219" s="29">
        <f>G216*H219</f>
        <v>0</v>
      </c>
      <c r="J219">
        <v>4</v>
      </c>
      <c r="N219" s="4">
        <f>IF(ISERR(SEARCH("TRA* 82",C216)),IF(Q219+R219+S219=0,0,I219*(Q219/(Q219+R219+S219))),I219)</f>
        <v>0</v>
      </c>
      <c r="O219" s="4">
        <f>IF(ISERR(SEARCH("TRA* 82",C216)),IF(Q219+R219+S219=0,0,I219*(R219/(Q219+R219+S219))),0)</f>
        <v>0</v>
      </c>
      <c r="P219" s="4">
        <f>IF(ISERR(SEARCH("TRA* 82",C216)),I219-N219-O219,0)</f>
        <v>0</v>
      </c>
      <c r="Q219" s="4">
        <v>0</v>
      </c>
      <c r="R219" s="4">
        <v>0</v>
      </c>
      <c r="S219" s="4">
        <v>0</v>
      </c>
    </row>
    <row r="220" spans="1:19" x14ac:dyDescent="0.3">
      <c r="A220" s="96" t="s">
        <v>27</v>
      </c>
      <c r="B220" s="97"/>
      <c r="C220" s="97"/>
      <c r="D220" s="97"/>
      <c r="E220" s="97"/>
      <c r="F220" s="97"/>
      <c r="G220" s="97"/>
      <c r="H220" s="36">
        <f>H216+H217+H218+H219</f>
        <v>1568.82</v>
      </c>
      <c r="I220" s="74">
        <f>I216+I217+I218+I219</f>
        <v>3137.64</v>
      </c>
      <c r="J220">
        <v>5</v>
      </c>
    </row>
    <row r="221" spans="1:19" x14ac:dyDescent="0.3">
      <c r="B221" s="2">
        <v>39</v>
      </c>
      <c r="C221" s="3" t="s">
        <v>709</v>
      </c>
      <c r="D221" s="5" t="s">
        <v>29</v>
      </c>
      <c r="G221" s="30">
        <v>2</v>
      </c>
      <c r="H221" s="38">
        <v>2837.8</v>
      </c>
      <c r="I221" s="29">
        <f>G221*H221</f>
        <v>5675.6</v>
      </c>
      <c r="J221">
        <v>1</v>
      </c>
    </row>
    <row r="222" spans="1:19" x14ac:dyDescent="0.3">
      <c r="D222" s="15" t="str">
        <f>SUBSTITUTE("Sp.mat: 0.00%",".",IF(VALUE("1.2")=1.2,".",","),2)</f>
        <v>Sp.mat: 0.00%</v>
      </c>
      <c r="F222" s="15" t="str">
        <f>SUBSTITUTE("Sp.man: 0.00%",".",IF(VALUE("1.2")=1.2,".",","),2)</f>
        <v>Sp.man: 0.00%</v>
      </c>
      <c r="G222" s="35" t="str">
        <f>SUBSTITUTE("Sp.uti: 0.00%",".",IF(VALUE("1.2")=1.2,".",","),2)</f>
        <v>Sp.uti: 0.00%</v>
      </c>
      <c r="H222" s="38">
        <f>(1+IF(OR(ISERR(FIND(":",F222)),ISERR(FIND("%",F222))),0,MID(F222,FIND(":",F222)+2,FIND("%",F222)-FIND(":",F222)-2)/100))*0</f>
        <v>0</v>
      </c>
      <c r="I222" s="29">
        <f>G221*H222</f>
        <v>0</v>
      </c>
      <c r="J222">
        <v>2</v>
      </c>
    </row>
    <row r="223" spans="1:19" x14ac:dyDescent="0.3">
      <c r="A223" s="88" t="s">
        <v>710</v>
      </c>
      <c r="B223" s="98"/>
      <c r="C223" s="98"/>
      <c r="D223" s="98"/>
      <c r="E223" s="98"/>
      <c r="F223" s="98"/>
      <c r="G223" s="98"/>
      <c r="H223" s="38">
        <f>(1+IF(OR(ISERR(FIND(":",G222)),ISERR(FIND("%",G222))),0,MID(G222,FIND(":",G222)+2,FIND("%",G222)-FIND(":",G222)-2)/100))*0</f>
        <v>0</v>
      </c>
      <c r="I223" s="29">
        <f>G221*H223</f>
        <v>0</v>
      </c>
      <c r="J223">
        <v>3</v>
      </c>
      <c r="K223" s="4">
        <v>0</v>
      </c>
      <c r="L223" s="4">
        <v>0</v>
      </c>
      <c r="M223" s="4">
        <f>I223-K223-L223</f>
        <v>0</v>
      </c>
    </row>
    <row r="224" spans="1:19" x14ac:dyDescent="0.3">
      <c r="A224" s="98"/>
      <c r="B224" s="98"/>
      <c r="C224" s="98"/>
      <c r="D224" s="98"/>
      <c r="E224" s="98"/>
      <c r="F224" s="98"/>
      <c r="G224" s="98"/>
      <c r="H224" s="38">
        <f>0</f>
        <v>0</v>
      </c>
      <c r="I224" s="29">
        <f>G221*H224</f>
        <v>0</v>
      </c>
      <c r="J224">
        <v>4</v>
      </c>
      <c r="N224" s="4">
        <f>IF(ISERR(SEARCH("TRA* 82",C221)),IF(Q224+R224+S224=0,0,I224*(Q224/(Q224+R224+S224))),I224)</f>
        <v>0</v>
      </c>
      <c r="O224" s="4">
        <f>IF(ISERR(SEARCH("TRA* 82",C221)),IF(Q224+R224+S224=0,0,I224*(R224/(Q224+R224+S224))),0)</f>
        <v>0</v>
      </c>
      <c r="P224" s="4">
        <f>IF(ISERR(SEARCH("TRA* 82",C221)),I224-N224-O224,0)</f>
        <v>0</v>
      </c>
      <c r="Q224" s="4">
        <v>0</v>
      </c>
      <c r="R224" s="4">
        <v>0</v>
      </c>
      <c r="S224" s="4">
        <v>0</v>
      </c>
    </row>
    <row r="225" spans="1:19" x14ac:dyDescent="0.3">
      <c r="A225" s="96" t="s">
        <v>27</v>
      </c>
      <c r="B225" s="97"/>
      <c r="C225" s="97"/>
      <c r="D225" s="97"/>
      <c r="E225" s="97"/>
      <c r="F225" s="97"/>
      <c r="G225" s="97"/>
      <c r="H225" s="36">
        <f>H221+H222+H223+H224</f>
        <v>2837.8</v>
      </c>
      <c r="I225" s="74">
        <f>I221+I222+I223+I224</f>
        <v>5675.6</v>
      </c>
      <c r="J225">
        <v>5</v>
      </c>
    </row>
    <row r="226" spans="1:19" x14ac:dyDescent="0.3">
      <c r="B226" s="2">
        <v>40</v>
      </c>
      <c r="C226" s="3" t="s">
        <v>711</v>
      </c>
      <c r="D226" s="5" t="s">
        <v>25</v>
      </c>
      <c r="G226" s="30">
        <v>100</v>
      </c>
      <c r="H226" s="38">
        <f>2396.56/G226</f>
        <v>23.965599999999998</v>
      </c>
      <c r="I226" s="29">
        <f>G226*H226</f>
        <v>2396.56</v>
      </c>
      <c r="J226">
        <v>1</v>
      </c>
    </row>
    <row r="227" spans="1:19" x14ac:dyDescent="0.3">
      <c r="D227" s="15" t="str">
        <f>SUBSTITUTE("Sp.mat: 0.00%",".",IF(VALUE("1.2")=1.2,".",","),2)</f>
        <v>Sp.mat: 0.00%</v>
      </c>
      <c r="F227" s="15" t="str">
        <f>SUBSTITUTE("Sp.man: 0.00%",".",IF(VALUE("1.2")=1.2,".",","),2)</f>
        <v>Sp.man: 0.00%</v>
      </c>
      <c r="G227" s="35" t="str">
        <f>SUBSTITUTE("Sp.uti: 0.00%",".",IF(VALUE("1.2")=1.2,".",","),2)</f>
        <v>Sp.uti: 0.00%</v>
      </c>
      <c r="H227" s="38">
        <f>2131.17/G226</f>
        <v>21.311700000000002</v>
      </c>
      <c r="I227" s="29">
        <f>G226*H227</f>
        <v>2131.17</v>
      </c>
      <c r="J227">
        <v>2</v>
      </c>
    </row>
    <row r="228" spans="1:19" x14ac:dyDescent="0.3">
      <c r="A228" s="88" t="s">
        <v>712</v>
      </c>
      <c r="B228" s="98"/>
      <c r="C228" s="98"/>
      <c r="D228" s="98"/>
      <c r="E228" s="98"/>
      <c r="F228" s="98"/>
      <c r="G228" s="98"/>
      <c r="H228" s="38">
        <f>(1+IF(OR(ISERR(FIND(":",G227)),ISERR(FIND("%",G227))),0,MID(G227,FIND(":",G227)+2,FIND("%",G227)-FIND(":",G227)-2)/100))*0</f>
        <v>0</v>
      </c>
      <c r="I228" s="29">
        <f>G226*H228</f>
        <v>0</v>
      </c>
      <c r="J228">
        <v>3</v>
      </c>
      <c r="K228" s="4">
        <v>0</v>
      </c>
      <c r="L228" s="4">
        <v>0</v>
      </c>
      <c r="M228" s="4">
        <f>I228-K228-L228</f>
        <v>0</v>
      </c>
    </row>
    <row r="229" spans="1:19" x14ac:dyDescent="0.3">
      <c r="A229" s="98"/>
      <c r="B229" s="98"/>
      <c r="C229" s="98"/>
      <c r="D229" s="98"/>
      <c r="E229" s="98"/>
      <c r="F229" s="98"/>
      <c r="G229" s="98"/>
      <c r="H229" s="38">
        <f>0</f>
        <v>0</v>
      </c>
      <c r="I229" s="29">
        <f>G226*H229</f>
        <v>0</v>
      </c>
      <c r="J229">
        <v>4</v>
      </c>
      <c r="N229" s="4">
        <f>IF(ISERR(SEARCH("TRA* 82",C226)),IF(Q229+R229+S229=0,0,I229*(Q229/(Q229+R229+S229))),I229)</f>
        <v>0</v>
      </c>
      <c r="O229" s="4">
        <f>IF(ISERR(SEARCH("TRA* 82",C226)),IF(Q229+R229+S229=0,0,I229*(R229/(Q229+R229+S229))),0)</f>
        <v>0</v>
      </c>
      <c r="P229" s="4">
        <f>IF(ISERR(SEARCH("TRA* 82",C226)),I229-N229-O229,0)</f>
        <v>0</v>
      </c>
      <c r="Q229" s="4">
        <v>0</v>
      </c>
      <c r="R229" s="4">
        <v>0</v>
      </c>
      <c r="S229" s="4">
        <v>0</v>
      </c>
    </row>
    <row r="230" spans="1:19" x14ac:dyDescent="0.3">
      <c r="A230" s="100" t="s">
        <v>87</v>
      </c>
      <c r="B230" s="101"/>
      <c r="C230" s="101"/>
      <c r="D230" s="101"/>
      <c r="E230" s="101"/>
      <c r="F230" s="101"/>
      <c r="G230" s="101"/>
      <c r="H230" s="33">
        <f>H226+H227+H228+H229</f>
        <v>45.277299999999997</v>
      </c>
      <c r="I230" s="37">
        <f>I226+I227+I228+I229</f>
        <v>4527.7299999999996</v>
      </c>
      <c r="J230">
        <v>5</v>
      </c>
    </row>
    <row r="231" spans="1:19" x14ac:dyDescent="0.3">
      <c r="A231" s="102" t="s">
        <v>713</v>
      </c>
      <c r="B231" s="102"/>
      <c r="C231" s="102"/>
      <c r="D231" s="102"/>
      <c r="E231" s="102"/>
      <c r="F231" s="102"/>
      <c r="G231" s="102"/>
      <c r="H231" s="102"/>
      <c r="I231" s="102"/>
    </row>
    <row r="232" spans="1:19" x14ac:dyDescent="0.3">
      <c r="A232" s="97" t="s">
        <v>714</v>
      </c>
      <c r="B232" s="97"/>
      <c r="C232" s="97"/>
      <c r="D232" s="97"/>
      <c r="E232" s="97"/>
      <c r="F232" s="97"/>
      <c r="G232" s="97"/>
      <c r="H232" s="97"/>
      <c r="I232" s="97"/>
    </row>
    <row r="233" spans="1:19" x14ac:dyDescent="0.3">
      <c r="B233" s="2">
        <v>41</v>
      </c>
      <c r="C233" s="3" t="s">
        <v>715</v>
      </c>
      <c r="D233" s="5" t="s">
        <v>25</v>
      </c>
      <c r="G233" s="30">
        <v>100</v>
      </c>
      <c r="H233" s="38">
        <f>3266.77/G233</f>
        <v>32.667699999999996</v>
      </c>
      <c r="I233" s="29">
        <f>G233*H233</f>
        <v>3266.7699999999995</v>
      </c>
      <c r="J233">
        <v>1</v>
      </c>
    </row>
    <row r="234" spans="1:19" x14ac:dyDescent="0.3">
      <c r="D234" s="15" t="str">
        <f>SUBSTITUTE("Sp.mat: 0.00%",".",IF(VALUE("1.2")=1.2,".",","),2)</f>
        <v>Sp.mat: 0.00%</v>
      </c>
      <c r="F234" s="15" t="str">
        <f>SUBSTITUTE("Sp.man: 0.00%",".",IF(VALUE("1.2")=1.2,".",","),2)</f>
        <v>Sp.man: 0.00%</v>
      </c>
      <c r="G234" s="35" t="str">
        <f>SUBSTITUTE("Sp.uti: 0.00%",".",IF(VALUE("1.2")=1.2,".",","),2)</f>
        <v>Sp.uti: 0.00%</v>
      </c>
      <c r="H234" s="38">
        <f>2212.52/G233</f>
        <v>22.1252</v>
      </c>
      <c r="I234" s="29">
        <f>G233*H234</f>
        <v>2212.52</v>
      </c>
      <c r="J234">
        <v>2</v>
      </c>
    </row>
    <row r="235" spans="1:19" x14ac:dyDescent="0.3">
      <c r="A235" s="88" t="s">
        <v>716</v>
      </c>
      <c r="B235" s="98"/>
      <c r="C235" s="98"/>
      <c r="D235" s="98"/>
      <c r="E235" s="98"/>
      <c r="F235" s="98"/>
      <c r="G235" s="98"/>
      <c r="H235" s="38">
        <f>(1+IF(OR(ISERR(FIND(":",G234)),ISERR(FIND("%",G234))),0,MID(G234,FIND(":",G234)+2,FIND("%",G234)-FIND(":",G234)-2)/100))*0</f>
        <v>0</v>
      </c>
      <c r="I235" s="29">
        <f>G233*H235</f>
        <v>0</v>
      </c>
      <c r="J235">
        <v>3</v>
      </c>
      <c r="K235" s="4">
        <v>0</v>
      </c>
      <c r="L235" s="4">
        <v>0</v>
      </c>
      <c r="M235" s="4">
        <f>I235-K235-L235</f>
        <v>0</v>
      </c>
    </row>
    <row r="236" spans="1:19" x14ac:dyDescent="0.3">
      <c r="A236" s="98"/>
      <c r="B236" s="98"/>
      <c r="C236" s="98"/>
      <c r="D236" s="98"/>
      <c r="E236" s="98"/>
      <c r="F236" s="98"/>
      <c r="G236" s="98"/>
      <c r="H236" s="38">
        <f>0</f>
        <v>0</v>
      </c>
      <c r="I236" s="29">
        <f>G233*H236</f>
        <v>0</v>
      </c>
      <c r="J236">
        <v>4</v>
      </c>
      <c r="N236" s="4">
        <f>IF(ISERR(SEARCH("TRA* 82",C233)),IF(Q236+R236+S236=0,0,I236*(Q236/(Q236+R236+S236))),I236)</f>
        <v>0</v>
      </c>
      <c r="O236" s="4">
        <f>IF(ISERR(SEARCH("TRA* 82",C233)),IF(Q236+R236+S236=0,0,I236*(R236/(Q236+R236+S236))),0)</f>
        <v>0</v>
      </c>
      <c r="P236" s="4">
        <f>IF(ISERR(SEARCH("TRA* 82",C233)),I236-N236-O236,0)</f>
        <v>0</v>
      </c>
      <c r="Q236" s="4">
        <v>0</v>
      </c>
      <c r="R236" s="4">
        <v>0</v>
      </c>
      <c r="S236" s="4">
        <v>0</v>
      </c>
    </row>
    <row r="237" spans="1:19" x14ac:dyDescent="0.3">
      <c r="A237" s="100" t="s">
        <v>87</v>
      </c>
      <c r="B237" s="101"/>
      <c r="C237" s="101"/>
      <c r="D237" s="101"/>
      <c r="E237" s="101"/>
      <c r="F237" s="101"/>
      <c r="G237" s="101"/>
      <c r="H237" s="33">
        <f>H233+H234+H235+H236</f>
        <v>54.792899999999996</v>
      </c>
      <c r="I237" s="37">
        <f>I233+I234+I235+I236</f>
        <v>5479.2899999999991</v>
      </c>
      <c r="J237">
        <v>5</v>
      </c>
    </row>
    <row r="238" spans="1:19" x14ac:dyDescent="0.3">
      <c r="A238" s="102" t="s">
        <v>717</v>
      </c>
      <c r="B238" s="102"/>
      <c r="C238" s="102"/>
      <c r="D238" s="102"/>
      <c r="E238" s="102"/>
      <c r="F238" s="102"/>
      <c r="G238" s="102"/>
      <c r="H238" s="102"/>
      <c r="I238" s="102"/>
    </row>
    <row r="239" spans="1:19" x14ac:dyDescent="0.3">
      <c r="A239" s="97" t="s">
        <v>714</v>
      </c>
      <c r="B239" s="97"/>
      <c r="C239" s="97"/>
      <c r="D239" s="97"/>
      <c r="E239" s="97"/>
      <c r="F239" s="97"/>
      <c r="G239" s="97"/>
      <c r="H239" s="97"/>
      <c r="I239" s="97"/>
    </row>
    <row r="240" spans="1:19" x14ac:dyDescent="0.3">
      <c r="B240" s="2">
        <v>42</v>
      </c>
      <c r="C240" s="3" t="s">
        <v>718</v>
      </c>
      <c r="D240" s="5" t="s">
        <v>25</v>
      </c>
      <c r="G240" s="30">
        <v>200</v>
      </c>
      <c r="H240" s="38">
        <f>(1+IF(OR(ISERR(FIND(":",D241)),ISERR(FIND("%",D241))),0,MID(D241,FIND(":",D241)+2,FIND("%",D241)-FIND(":",D241)-2)/100))*0</f>
        <v>0</v>
      </c>
      <c r="I240" s="29">
        <f>G240*H240</f>
        <v>0</v>
      </c>
      <c r="J240">
        <v>1</v>
      </c>
    </row>
    <row r="241" spans="1:19" x14ac:dyDescent="0.3">
      <c r="D241" s="15" t="str">
        <f>SUBSTITUTE("Sp.mat: 0.00%",".",IF(VALUE("1.2")=1.2,".",","),2)</f>
        <v>Sp.mat: 0.00%</v>
      </c>
      <c r="F241" s="15" t="str">
        <f>SUBSTITUTE("Sp.man: 0.00%",".",IF(VALUE("1.2")=1.2,".",","),2)</f>
        <v>Sp.man: 0.00%</v>
      </c>
      <c r="G241" s="35" t="str">
        <f>SUBSTITUTE("Sp.uti: 0.00%",".",IF(VALUE("1.2")=1.2,".",","),2)</f>
        <v>Sp.uti: 0.00%</v>
      </c>
      <c r="H241" s="38">
        <f>131.34/G240</f>
        <v>0.65670000000000006</v>
      </c>
      <c r="I241" s="29">
        <f>G240*H241</f>
        <v>131.34</v>
      </c>
      <c r="J241">
        <v>2</v>
      </c>
    </row>
    <row r="242" spans="1:19" x14ac:dyDescent="0.3">
      <c r="A242" s="88" t="s">
        <v>719</v>
      </c>
      <c r="B242" s="98"/>
      <c r="C242" s="98"/>
      <c r="D242" s="98"/>
      <c r="E242" s="98"/>
      <c r="F242" s="98"/>
      <c r="G242" s="98"/>
      <c r="H242" s="38">
        <f>(1+IF(OR(ISERR(FIND(":",G241)),ISERR(FIND("%",G241))),0,MID(G241,FIND(":",G241)+2,FIND("%",G241)-FIND(":",G241)-2)/100))*0</f>
        <v>0</v>
      </c>
      <c r="I242" s="29">
        <f>G240*H242</f>
        <v>0</v>
      </c>
      <c r="J242">
        <v>3</v>
      </c>
      <c r="K242" s="4">
        <v>0</v>
      </c>
      <c r="L242" s="4">
        <v>0</v>
      </c>
      <c r="M242" s="4">
        <f>I242-K242-L242</f>
        <v>0</v>
      </c>
    </row>
    <row r="243" spans="1:19" x14ac:dyDescent="0.3">
      <c r="A243" s="98"/>
      <c r="B243" s="98"/>
      <c r="C243" s="98"/>
      <c r="D243" s="98"/>
      <c r="E243" s="98"/>
      <c r="F243" s="98"/>
      <c r="G243" s="98"/>
      <c r="H243" s="38">
        <f>0</f>
        <v>0</v>
      </c>
      <c r="I243" s="29">
        <f>G240*H243</f>
        <v>0</v>
      </c>
      <c r="J243">
        <v>4</v>
      </c>
      <c r="N243" s="4">
        <f>IF(ISERR(SEARCH("TRA* 82",C240)),IF(Q243+R243+S243=0,0,I243*(Q243/(Q243+R243+S243))),I243)</f>
        <v>0</v>
      </c>
      <c r="O243" s="4">
        <f>IF(ISERR(SEARCH("TRA* 82",C240)),IF(Q243+R243+S243=0,0,I243*(R243/(Q243+R243+S243))),0)</f>
        <v>0</v>
      </c>
      <c r="P243" s="4">
        <f>IF(ISERR(SEARCH("TRA* 82",C240)),I243-N243-O243,0)</f>
        <v>0</v>
      </c>
      <c r="Q243" s="4">
        <v>0</v>
      </c>
      <c r="R243" s="4">
        <v>0</v>
      </c>
      <c r="S243" s="4">
        <v>0</v>
      </c>
    </row>
    <row r="244" spans="1:19" x14ac:dyDescent="0.3">
      <c r="A244" s="100" t="s">
        <v>720</v>
      </c>
      <c r="B244" s="101"/>
      <c r="C244" s="101"/>
      <c r="D244" s="101"/>
      <c r="E244" s="101"/>
      <c r="F244" s="101"/>
      <c r="G244" s="101"/>
      <c r="H244" s="33">
        <f>H240+H241+H242+H243</f>
        <v>0.65670000000000006</v>
      </c>
      <c r="I244" s="37">
        <f>I240+I241+I242+I243</f>
        <v>131.34</v>
      </c>
      <c r="J244">
        <v>5</v>
      </c>
    </row>
    <row r="245" spans="1:19" x14ac:dyDescent="0.3">
      <c r="A245" s="99" t="s">
        <v>721</v>
      </c>
      <c r="B245" s="99"/>
      <c r="C245" s="99"/>
      <c r="D245" s="99"/>
      <c r="E245" s="99"/>
      <c r="F245" s="99"/>
      <c r="G245" s="99"/>
      <c r="H245" s="99"/>
      <c r="I245" s="99"/>
    </row>
    <row r="246" spans="1:19" x14ac:dyDescent="0.3">
      <c r="B246" s="2">
        <v>43</v>
      </c>
      <c r="C246" s="3" t="s">
        <v>722</v>
      </c>
      <c r="D246" s="5" t="s">
        <v>25</v>
      </c>
      <c r="G246" s="30">
        <v>100</v>
      </c>
      <c r="H246" s="38">
        <f>2257.33/G246</f>
        <v>22.5733</v>
      </c>
      <c r="I246" s="29">
        <f>G246*H246</f>
        <v>2257.33</v>
      </c>
      <c r="J246">
        <v>1</v>
      </c>
    </row>
    <row r="247" spans="1:19" x14ac:dyDescent="0.3">
      <c r="D247" s="15" t="str">
        <f>SUBSTITUTE("Sp.mat: 0.00%",".",IF(VALUE("1.2")=1.2,".",","),2)</f>
        <v>Sp.mat: 0.00%</v>
      </c>
      <c r="F247" s="15" t="str">
        <f>SUBSTITUTE("Sp.man: 0.00%",".",IF(VALUE("1.2")=1.2,".",","),2)</f>
        <v>Sp.man: 0.00%</v>
      </c>
      <c r="G247" s="35" t="str">
        <f>SUBSTITUTE("Sp.uti: 0.00%",".",IF(VALUE("1.2")=1.2,".",","),2)</f>
        <v>Sp.uti: 0.00%</v>
      </c>
      <c r="H247" s="38">
        <f>(1+IF(OR(ISERR(FIND(":",F247)),ISERR(FIND("%",F247))),0,MID(F247,FIND(":",F247)+2,FIND("%",F247)-FIND(":",F247)-2)/100))*0</f>
        <v>0</v>
      </c>
      <c r="I247" s="29">
        <f>G246*H247</f>
        <v>0</v>
      </c>
      <c r="J247">
        <v>2</v>
      </c>
    </row>
    <row r="248" spans="1:19" x14ac:dyDescent="0.3">
      <c r="A248" s="88" t="s">
        <v>723</v>
      </c>
      <c r="B248" s="98"/>
      <c r="C248" s="98"/>
      <c r="D248" s="98"/>
      <c r="E248" s="98"/>
      <c r="F248" s="98"/>
      <c r="G248" s="98"/>
      <c r="H248" s="38">
        <f>(1+IF(OR(ISERR(FIND(":",G247)),ISERR(FIND("%",G247))),0,MID(G247,FIND(":",G247)+2,FIND("%",G247)-FIND(":",G247)-2)/100))*0</f>
        <v>0</v>
      </c>
      <c r="I248" s="29">
        <f>G246*H248</f>
        <v>0</v>
      </c>
      <c r="J248">
        <v>3</v>
      </c>
      <c r="K248" s="4">
        <v>0</v>
      </c>
      <c r="L248" s="4">
        <v>0</v>
      </c>
      <c r="M248" s="4">
        <f>I248-K248-L248</f>
        <v>0</v>
      </c>
    </row>
    <row r="249" spans="1:19" x14ac:dyDescent="0.3">
      <c r="A249" s="98"/>
      <c r="B249" s="98"/>
      <c r="C249" s="98"/>
      <c r="D249" s="98"/>
      <c r="E249" s="98"/>
      <c r="F249" s="98"/>
      <c r="G249" s="98"/>
      <c r="H249" s="38">
        <f>0</f>
        <v>0</v>
      </c>
      <c r="I249" s="29">
        <f>G246*H249</f>
        <v>0</v>
      </c>
      <c r="J249">
        <v>4</v>
      </c>
      <c r="N249" s="4">
        <f>IF(ISERR(SEARCH("TRA* 82",C246)),IF(Q249+R249+S249=0,0,I249*(Q249/(Q249+R249+S249))),I249)</f>
        <v>0</v>
      </c>
      <c r="O249" s="4">
        <f>IF(ISERR(SEARCH("TRA* 82",C246)),IF(Q249+R249+S249=0,0,I249*(R249/(Q249+R249+S249))),0)</f>
        <v>0</v>
      </c>
      <c r="P249" s="4">
        <f>IF(ISERR(SEARCH("TRA* 82",C246)),I249-N249-O249,0)</f>
        <v>0</v>
      </c>
      <c r="Q249" s="4">
        <v>0</v>
      </c>
      <c r="R249" s="4">
        <v>0</v>
      </c>
      <c r="S249" s="4">
        <v>0</v>
      </c>
    </row>
    <row r="250" spans="1:19" x14ac:dyDescent="0.3">
      <c r="A250" s="96" t="s">
        <v>27</v>
      </c>
      <c r="B250" s="97"/>
      <c r="C250" s="97"/>
      <c r="D250" s="97"/>
      <c r="E250" s="97"/>
      <c r="F250" s="97"/>
      <c r="G250" s="97"/>
      <c r="H250" s="36">
        <f>H246+H247+H248+H249</f>
        <v>22.5733</v>
      </c>
      <c r="I250" s="74">
        <f>I246+I247+I248+I249</f>
        <v>2257.33</v>
      </c>
      <c r="J250">
        <v>5</v>
      </c>
    </row>
    <row r="251" spans="1:19" x14ac:dyDescent="0.3">
      <c r="B251" s="2">
        <v>44</v>
      </c>
      <c r="C251" s="3" t="s">
        <v>724</v>
      </c>
      <c r="D251" s="5" t="s">
        <v>25</v>
      </c>
      <c r="G251" s="30">
        <v>100</v>
      </c>
      <c r="H251" s="38">
        <f>2257.33/G251</f>
        <v>22.5733</v>
      </c>
      <c r="I251" s="29">
        <f>G251*H251</f>
        <v>2257.33</v>
      </c>
      <c r="J251">
        <v>1</v>
      </c>
    </row>
    <row r="252" spans="1:19" x14ac:dyDescent="0.3">
      <c r="D252" s="15" t="str">
        <f>SUBSTITUTE("Sp.mat: 0.00%",".",IF(VALUE("1.2")=1.2,".",","),2)</f>
        <v>Sp.mat: 0.00%</v>
      </c>
      <c r="F252" s="15" t="str">
        <f>SUBSTITUTE("Sp.man: 0.00%",".",IF(VALUE("1.2")=1.2,".",","),2)</f>
        <v>Sp.man: 0.00%</v>
      </c>
      <c r="G252" s="35" t="str">
        <f>SUBSTITUTE("Sp.uti: 0.00%",".",IF(VALUE("1.2")=1.2,".",","),2)</f>
        <v>Sp.uti: 0.00%</v>
      </c>
      <c r="H252" s="38">
        <f>(1+IF(OR(ISERR(FIND(":",F252)),ISERR(FIND("%",F252))),0,MID(F252,FIND(":",F252)+2,FIND("%",F252)-FIND(":",F252)-2)/100))*0</f>
        <v>0</v>
      </c>
      <c r="I252" s="29">
        <f>G251*H252</f>
        <v>0</v>
      </c>
      <c r="J252">
        <v>2</v>
      </c>
    </row>
    <row r="253" spans="1:19" x14ac:dyDescent="0.3">
      <c r="A253" s="88" t="s">
        <v>725</v>
      </c>
      <c r="B253" s="98"/>
      <c r="C253" s="98"/>
      <c r="D253" s="98"/>
      <c r="E253" s="98"/>
      <c r="F253" s="98"/>
      <c r="G253" s="98"/>
      <c r="H253" s="38">
        <f>(1+IF(OR(ISERR(FIND(":",G252)),ISERR(FIND("%",G252))),0,MID(G252,FIND(":",G252)+2,FIND("%",G252)-FIND(":",G252)-2)/100))*0</f>
        <v>0</v>
      </c>
      <c r="I253" s="29">
        <f>G251*H253</f>
        <v>0</v>
      </c>
      <c r="J253">
        <v>3</v>
      </c>
      <c r="K253" s="4">
        <v>0</v>
      </c>
      <c r="L253" s="4">
        <v>0</v>
      </c>
      <c r="M253" s="4">
        <f>I253-K253-L253</f>
        <v>0</v>
      </c>
    </row>
    <row r="254" spans="1:19" x14ac:dyDescent="0.3">
      <c r="A254" s="98"/>
      <c r="B254" s="98"/>
      <c r="C254" s="98"/>
      <c r="D254" s="98"/>
      <c r="E254" s="98"/>
      <c r="F254" s="98"/>
      <c r="G254" s="98"/>
      <c r="H254" s="38">
        <f>0</f>
        <v>0</v>
      </c>
      <c r="I254" s="29">
        <f>G251*H254</f>
        <v>0</v>
      </c>
      <c r="J254">
        <v>4</v>
      </c>
      <c r="N254" s="4">
        <f>IF(ISERR(SEARCH("TRA* 82",C251)),IF(Q254+R254+S254=0,0,I254*(Q254/(Q254+R254+S254))),I254)</f>
        <v>0</v>
      </c>
      <c r="O254" s="4">
        <f>IF(ISERR(SEARCH("TRA* 82",C251)),IF(Q254+R254+S254=0,0,I254*(R254/(Q254+R254+S254))),0)</f>
        <v>0</v>
      </c>
      <c r="P254" s="4">
        <f>IF(ISERR(SEARCH("TRA* 82",C251)),I254-N254-O254,0)</f>
        <v>0</v>
      </c>
      <c r="Q254" s="4">
        <v>0</v>
      </c>
      <c r="R254" s="4">
        <v>0</v>
      </c>
      <c r="S254" s="4">
        <v>0</v>
      </c>
    </row>
    <row r="255" spans="1:19" x14ac:dyDescent="0.3">
      <c r="A255" s="96" t="s">
        <v>27</v>
      </c>
      <c r="B255" s="97"/>
      <c r="C255" s="97"/>
      <c r="D255" s="97"/>
      <c r="E255" s="97"/>
      <c r="F255" s="97"/>
      <c r="G255" s="97"/>
      <c r="H255" s="36">
        <f>H251+H252+H253+H254</f>
        <v>22.5733</v>
      </c>
      <c r="I255" s="74">
        <f>I251+I252+I253+I254</f>
        <v>2257.33</v>
      </c>
      <c r="J255">
        <v>5</v>
      </c>
    </row>
    <row r="256" spans="1:19" x14ac:dyDescent="0.3">
      <c r="B256" s="2">
        <v>45</v>
      </c>
      <c r="C256" s="3" t="s">
        <v>726</v>
      </c>
      <c r="D256" s="5" t="s">
        <v>25</v>
      </c>
      <c r="G256" s="30">
        <v>200</v>
      </c>
      <c r="H256" s="38">
        <v>2.4</v>
      </c>
      <c r="I256" s="29">
        <f>G256*H256</f>
        <v>480</v>
      </c>
      <c r="J256">
        <v>1</v>
      </c>
    </row>
    <row r="257" spans="1:19" x14ac:dyDescent="0.3">
      <c r="D257" s="15" t="str">
        <f>SUBSTITUTE("Sp.mat: 0.00%",".",IF(VALUE("1.2")=1.2,".",","),2)</f>
        <v>Sp.mat: 0.00%</v>
      </c>
      <c r="F257" s="15" t="str">
        <f>SUBSTITUTE("Sp.man: 0.00%",".",IF(VALUE("1.2")=1.2,".",","),2)</f>
        <v>Sp.man: 0.00%</v>
      </c>
      <c r="G257" s="35" t="str">
        <f>SUBSTITUTE("Sp.uti: 0.00%",".",IF(VALUE("1.2")=1.2,".",","),2)</f>
        <v>Sp.uti: 0.00%</v>
      </c>
      <c r="H257" s="38">
        <f>197.27/G256</f>
        <v>0.98635000000000006</v>
      </c>
      <c r="I257" s="29">
        <f>G256*H257</f>
        <v>197.27</v>
      </c>
      <c r="J257">
        <v>2</v>
      </c>
    </row>
    <row r="258" spans="1:19" x14ac:dyDescent="0.3">
      <c r="A258" s="88" t="s">
        <v>727</v>
      </c>
      <c r="B258" s="98"/>
      <c r="C258" s="98"/>
      <c r="D258" s="98"/>
      <c r="E258" s="98"/>
      <c r="F258" s="98"/>
      <c r="G258" s="98"/>
      <c r="H258" s="38">
        <f>(1+IF(OR(ISERR(FIND(":",G257)),ISERR(FIND("%",G257))),0,MID(G257,FIND(":",G257)+2,FIND("%",G257)-FIND(":",G257)-2)/100))*0</f>
        <v>0</v>
      </c>
      <c r="I258" s="29">
        <f>G256*H258</f>
        <v>0</v>
      </c>
      <c r="J258">
        <v>3</v>
      </c>
      <c r="K258" s="4">
        <v>0</v>
      </c>
      <c r="L258" s="4">
        <v>0</v>
      </c>
      <c r="M258" s="4">
        <f>I258-K258-L258</f>
        <v>0</v>
      </c>
    </row>
    <row r="259" spans="1:19" x14ac:dyDescent="0.3">
      <c r="A259" s="98"/>
      <c r="B259" s="98"/>
      <c r="C259" s="98"/>
      <c r="D259" s="98"/>
      <c r="E259" s="98"/>
      <c r="F259" s="98"/>
      <c r="G259" s="98"/>
      <c r="H259" s="38">
        <f>0</f>
        <v>0</v>
      </c>
      <c r="I259" s="29">
        <f>G256*H259</f>
        <v>0</v>
      </c>
      <c r="J259">
        <v>4</v>
      </c>
      <c r="N259" s="4">
        <f>IF(ISERR(SEARCH("TRA* 82",C256)),IF(Q259+R259+S259=0,0,I259*(Q259/(Q259+R259+S259))),I259)</f>
        <v>0</v>
      </c>
      <c r="O259" s="4">
        <f>IF(ISERR(SEARCH("TRA* 82",C256)),IF(Q259+R259+S259=0,0,I259*(R259/(Q259+R259+S259))),0)</f>
        <v>0</v>
      </c>
      <c r="P259" s="4">
        <f>IF(ISERR(SEARCH("TRA* 82",C256)),I259-N259-O259,0)</f>
        <v>0</v>
      </c>
      <c r="Q259" s="4">
        <v>0</v>
      </c>
      <c r="R259" s="4">
        <v>0</v>
      </c>
      <c r="S259" s="4">
        <v>0</v>
      </c>
    </row>
    <row r="260" spans="1:19" x14ac:dyDescent="0.3">
      <c r="A260" s="96" t="s">
        <v>27</v>
      </c>
      <c r="B260" s="97"/>
      <c r="C260" s="97"/>
      <c r="D260" s="97"/>
      <c r="E260" s="97"/>
      <c r="F260" s="97"/>
      <c r="G260" s="97"/>
      <c r="H260" s="36">
        <f>H256+H257+H258+H259</f>
        <v>3.3863500000000002</v>
      </c>
      <c r="I260" s="74">
        <f>I256+I257+I258+I259</f>
        <v>677.27</v>
      </c>
      <c r="J260">
        <v>5</v>
      </c>
    </row>
    <row r="261" spans="1:19" x14ac:dyDescent="0.3">
      <c r="B261" s="2">
        <v>46</v>
      </c>
      <c r="C261" s="3" t="s">
        <v>728</v>
      </c>
      <c r="D261" s="5" t="s">
        <v>25</v>
      </c>
      <c r="G261" s="30">
        <v>200</v>
      </c>
      <c r="H261" s="38">
        <f>(1+IF(OR(ISERR(FIND(":",D262)),ISERR(FIND("%",D262))),0,MID(D262,FIND(":",D262)+2,FIND("%",D262)-FIND(":",D262)-2)/100))*0</f>
        <v>0</v>
      </c>
      <c r="I261" s="29">
        <f>G261*H261</f>
        <v>0</v>
      </c>
      <c r="J261">
        <v>1</v>
      </c>
    </row>
    <row r="262" spans="1:19" x14ac:dyDescent="0.3">
      <c r="D262" s="15" t="str">
        <f>SUBSTITUTE("Sp.mat: 0.00%",".",IF(VALUE("1.2")=1.2,".",","),2)</f>
        <v>Sp.mat: 0.00%</v>
      </c>
      <c r="F262" s="15" t="str">
        <f>SUBSTITUTE("Sp.man: 0.00%",".",IF(VALUE("1.2")=1.2,".",","),2)</f>
        <v>Sp.man: 0.00%</v>
      </c>
      <c r="G262" s="35" t="str">
        <f>SUBSTITUTE("Sp.uti: 0.00%",".",IF(VALUE("1.2")=1.2,".",","),2)</f>
        <v>Sp.uti: 0.00%</v>
      </c>
      <c r="H262" s="38">
        <f>256.27/G261</f>
        <v>1.28135</v>
      </c>
      <c r="I262" s="29">
        <f>G261*H262</f>
        <v>256.27</v>
      </c>
      <c r="J262">
        <v>2</v>
      </c>
    </row>
    <row r="263" spans="1:19" x14ac:dyDescent="0.3">
      <c r="A263" s="88" t="s">
        <v>729</v>
      </c>
      <c r="B263" s="98"/>
      <c r="C263" s="98"/>
      <c r="D263" s="98"/>
      <c r="E263" s="98"/>
      <c r="F263" s="98"/>
      <c r="G263" s="98"/>
      <c r="H263" s="38">
        <f>(1+IF(OR(ISERR(FIND(":",G262)),ISERR(FIND("%",G262))),0,MID(G262,FIND(":",G262)+2,FIND("%",G262)-FIND(":",G262)-2)/100))*0</f>
        <v>0</v>
      </c>
      <c r="I263" s="29">
        <f>G261*H263</f>
        <v>0</v>
      </c>
      <c r="J263">
        <v>3</v>
      </c>
      <c r="K263" s="4">
        <v>0</v>
      </c>
      <c r="L263" s="4">
        <v>0</v>
      </c>
      <c r="M263" s="4">
        <f>I263-K263-L263</f>
        <v>0</v>
      </c>
    </row>
    <row r="264" spans="1:19" x14ac:dyDescent="0.3">
      <c r="A264" s="98"/>
      <c r="B264" s="98"/>
      <c r="C264" s="98"/>
      <c r="D264" s="98"/>
      <c r="E264" s="98"/>
      <c r="F264" s="98"/>
      <c r="G264" s="98"/>
      <c r="H264" s="38">
        <f>0</f>
        <v>0</v>
      </c>
      <c r="I264" s="29">
        <f>G261*H264</f>
        <v>0</v>
      </c>
      <c r="J264">
        <v>4</v>
      </c>
      <c r="N264" s="4">
        <f>IF(ISERR(SEARCH("TRA* 82",C261)),IF(Q264+R264+S264=0,0,I264*(Q264/(Q264+R264+S264))),I264)</f>
        <v>0</v>
      </c>
      <c r="O264" s="4">
        <f>IF(ISERR(SEARCH("TRA* 82",C261)),IF(Q264+R264+S264=0,0,I264*(R264/(Q264+R264+S264))),0)</f>
        <v>0</v>
      </c>
      <c r="P264" s="4">
        <f>IF(ISERR(SEARCH("TRA* 82",C261)),I264-N264-O264,0)</f>
        <v>0</v>
      </c>
      <c r="Q264" s="4">
        <v>0</v>
      </c>
      <c r="R264" s="4">
        <v>0</v>
      </c>
      <c r="S264" s="4">
        <v>0</v>
      </c>
    </row>
    <row r="265" spans="1:19" x14ac:dyDescent="0.3">
      <c r="A265" s="96" t="s">
        <v>730</v>
      </c>
      <c r="B265" s="97"/>
      <c r="C265" s="97"/>
      <c r="D265" s="97"/>
      <c r="E265" s="97"/>
      <c r="F265" s="97"/>
      <c r="G265" s="97"/>
      <c r="H265" s="36">
        <f>H261+H262+H263+H264</f>
        <v>1.28135</v>
      </c>
      <c r="I265" s="74">
        <f>I261+I262+I263+I264</f>
        <v>256.27</v>
      </c>
      <c r="J265">
        <v>5</v>
      </c>
    </row>
    <row r="266" spans="1:19" x14ac:dyDescent="0.3">
      <c r="B266" s="2">
        <v>47</v>
      </c>
      <c r="C266" s="3" t="s">
        <v>474</v>
      </c>
      <c r="D266" s="5" t="s">
        <v>29</v>
      </c>
      <c r="G266" s="30">
        <v>4</v>
      </c>
      <c r="H266" s="38">
        <f>(1+IF(OR(ISERR(FIND(":",D267)),ISERR(FIND("%",D267))),0,MID(D267,FIND(":",D267)+2,FIND("%",D267)-FIND(":",D267)-2)/100))*0</f>
        <v>0</v>
      </c>
      <c r="I266" s="29">
        <f>G266*H266</f>
        <v>0</v>
      </c>
      <c r="J266">
        <v>1</v>
      </c>
    </row>
    <row r="267" spans="1:19" x14ac:dyDescent="0.3">
      <c r="D267" s="15" t="str">
        <f>SUBSTITUTE("Sp.mat: 0.00%",".",IF(VALUE("1.2")=1.2,".",","),2)</f>
        <v>Sp.mat: 0.00%</v>
      </c>
      <c r="F267" s="15" t="str">
        <f>SUBSTITUTE("Sp.man: 0.00%",".",IF(VALUE("1.2")=1.2,".",","),2)</f>
        <v>Sp.man: 0.00%</v>
      </c>
      <c r="G267" s="35" t="str">
        <f>SUBSTITUTE("Sp.uti: 0.00%",".",IF(VALUE("1.2")=1.2,".",","),2)</f>
        <v>Sp.uti: 0.00%</v>
      </c>
      <c r="H267" s="38">
        <v>38.44</v>
      </c>
      <c r="I267" s="29">
        <f>G266*H267</f>
        <v>153.76</v>
      </c>
      <c r="J267">
        <v>2</v>
      </c>
    </row>
    <row r="268" spans="1:19" x14ac:dyDescent="0.3">
      <c r="A268" s="88" t="s">
        <v>475</v>
      </c>
      <c r="B268" s="98"/>
      <c r="C268" s="98"/>
      <c r="D268" s="98"/>
      <c r="E268" s="98"/>
      <c r="F268" s="98"/>
      <c r="G268" s="98"/>
      <c r="H268" s="38">
        <v>19.22</v>
      </c>
      <c r="I268" s="29">
        <f>G266*H268</f>
        <v>76.88</v>
      </c>
      <c r="J268">
        <v>3</v>
      </c>
      <c r="K268" s="4">
        <v>144</v>
      </c>
      <c r="L268" s="4">
        <v>0</v>
      </c>
      <c r="M268" s="4">
        <f>I268-K268-L268</f>
        <v>-67.12</v>
      </c>
    </row>
    <row r="269" spans="1:19" x14ac:dyDescent="0.3">
      <c r="A269" s="98"/>
      <c r="B269" s="98"/>
      <c r="C269" s="98"/>
      <c r="D269" s="98"/>
      <c r="E269" s="98"/>
      <c r="F269" s="98"/>
      <c r="G269" s="98"/>
      <c r="H269" s="38">
        <f>0</f>
        <v>0</v>
      </c>
      <c r="I269" s="29">
        <f>G266*H269</f>
        <v>0</v>
      </c>
      <c r="J269">
        <v>4</v>
      </c>
      <c r="N269" s="4">
        <f>IF(ISERR(SEARCH("TRA* 82",C266)),IF(Q269+R269+S269=0,0,I269*(Q269/(Q269+R269+S269))),I269)</f>
        <v>0</v>
      </c>
      <c r="O269" s="4">
        <f>IF(ISERR(SEARCH("TRA* 82",C266)),IF(Q269+R269+S269=0,0,I269*(R269/(Q269+R269+S269))),0)</f>
        <v>0</v>
      </c>
      <c r="P269" s="4">
        <f>IF(ISERR(SEARCH("TRA* 82",C266)),I269-N269-O269,0)</f>
        <v>0</v>
      </c>
      <c r="Q269" s="4">
        <v>0</v>
      </c>
      <c r="R269" s="4">
        <v>0</v>
      </c>
      <c r="S269" s="4">
        <v>0</v>
      </c>
    </row>
    <row r="270" spans="1:19" x14ac:dyDescent="0.3">
      <c r="A270" s="96" t="s">
        <v>702</v>
      </c>
      <c r="B270" s="97"/>
      <c r="C270" s="97"/>
      <c r="D270" s="97"/>
      <c r="E270" s="97"/>
      <c r="F270" s="97"/>
      <c r="G270" s="97"/>
      <c r="H270" s="36">
        <f>H266+H267+H268+H269</f>
        <v>57.66</v>
      </c>
      <c r="I270" s="74">
        <f>I266+I267+I268+I269</f>
        <v>230.64</v>
      </c>
      <c r="J270">
        <v>5</v>
      </c>
    </row>
    <row r="271" spans="1:19" x14ac:dyDescent="0.3">
      <c r="B271" s="16"/>
      <c r="E271" s="4">
        <f>SUMIF(J12:J270,"1",I12:I270)</f>
        <v>117680.10899999998</v>
      </c>
      <c r="F271" s="4">
        <f>SUMIF(J12:J270,"2",I12:I270)</f>
        <v>48657.024199999993</v>
      </c>
      <c r="G271" s="29">
        <f>SUMIF(J12:J270,"3",I12:I270)</f>
        <v>2299.6000000000004</v>
      </c>
      <c r="H271" s="29">
        <f>SUMIF(J12:J270,"4",I12:I270)</f>
        <v>0</v>
      </c>
      <c r="I271" s="29">
        <f>SUMIF(J12:J270,"5",I12:I270)</f>
        <v>168636.73319999999</v>
      </c>
      <c r="K271" s="4">
        <f>SUMIF(J12:J270,"3",K12:K270)</f>
        <v>2448</v>
      </c>
      <c r="L271" s="4">
        <f>SUMIF(J12:J270,"3",L12:L270)</f>
        <v>1589.2559999999999</v>
      </c>
      <c r="M271" s="4">
        <f>SUMIF(J12:J270,"3",M12:M270)</f>
        <v>-1737.6559999999999</v>
      </c>
      <c r="N271" s="4">
        <f>SUMIF(J12:J270,"4",N12:N270)</f>
        <v>0</v>
      </c>
      <c r="O271" s="4">
        <f>SUMIF(J12:J270,"4",O12:O270)</f>
        <v>0</v>
      </c>
      <c r="P271" s="4">
        <f>SUMIF(J12:J270,"4",P12:P270)</f>
        <v>0</v>
      </c>
      <c r="Q271" s="4">
        <f>SUMIF(J12:J270,"4",Q12:Q270)</f>
        <v>0</v>
      </c>
      <c r="R271" s="4">
        <f>SUMIF(J12:J270,"4",R12:R270)</f>
        <v>0</v>
      </c>
      <c r="S271" s="4">
        <f>SUMIF(J12:J270,"4",S12:S270)</f>
        <v>0</v>
      </c>
    </row>
    <row r="272" spans="1:19" x14ac:dyDescent="0.3">
      <c r="B272" s="107" t="s">
        <v>1554</v>
      </c>
      <c r="C272" s="108"/>
      <c r="D272" s="26"/>
      <c r="E272" s="26"/>
      <c r="F272" s="26"/>
      <c r="G272" s="109"/>
      <c r="H272" s="36"/>
      <c r="I272" s="110">
        <f>I271</f>
        <v>168636.73319999999</v>
      </c>
    </row>
  </sheetData>
  <mergeCells count="123">
    <mergeCell ref="A1:D1"/>
    <mergeCell ref="A2:I2"/>
    <mergeCell ref="A3:I3"/>
    <mergeCell ref="A4:I4"/>
    <mergeCell ref="A5:H5"/>
    <mergeCell ref="A14:G15"/>
    <mergeCell ref="A31:G31"/>
    <mergeCell ref="A34:G35"/>
    <mergeCell ref="A36:G36"/>
    <mergeCell ref="A39:G40"/>
    <mergeCell ref="A41:G41"/>
    <mergeCell ref="A42:I42"/>
    <mergeCell ref="A16:G16"/>
    <mergeCell ref="A19:G20"/>
    <mergeCell ref="A21:G21"/>
    <mergeCell ref="A24:G25"/>
    <mergeCell ref="A26:G26"/>
    <mergeCell ref="A29:G30"/>
    <mergeCell ref="A55:G55"/>
    <mergeCell ref="A56:I56"/>
    <mergeCell ref="A57:I57"/>
    <mergeCell ref="A60:G61"/>
    <mergeCell ref="A62:G62"/>
    <mergeCell ref="A63:I63"/>
    <mergeCell ref="A43:I43"/>
    <mergeCell ref="A46:G47"/>
    <mergeCell ref="A48:G48"/>
    <mergeCell ref="A49:I49"/>
    <mergeCell ref="A50:I50"/>
    <mergeCell ref="A53:G54"/>
    <mergeCell ref="A76:G76"/>
    <mergeCell ref="A77:I77"/>
    <mergeCell ref="A78:I78"/>
    <mergeCell ref="A81:G82"/>
    <mergeCell ref="A83:G83"/>
    <mergeCell ref="A84:I84"/>
    <mergeCell ref="A64:I64"/>
    <mergeCell ref="A67:G68"/>
    <mergeCell ref="A69:G69"/>
    <mergeCell ref="A70:I70"/>
    <mergeCell ref="A71:I71"/>
    <mergeCell ref="A74:G75"/>
    <mergeCell ref="A97:G97"/>
    <mergeCell ref="A100:G101"/>
    <mergeCell ref="A102:G102"/>
    <mergeCell ref="A105:G106"/>
    <mergeCell ref="A107:G107"/>
    <mergeCell ref="A110:G111"/>
    <mergeCell ref="A85:I85"/>
    <mergeCell ref="A88:G89"/>
    <mergeCell ref="A90:G90"/>
    <mergeCell ref="A91:I91"/>
    <mergeCell ref="A92:I92"/>
    <mergeCell ref="A95:G96"/>
    <mergeCell ref="A127:G127"/>
    <mergeCell ref="A130:G131"/>
    <mergeCell ref="A132:G132"/>
    <mergeCell ref="A135:G136"/>
    <mergeCell ref="A137:G137"/>
    <mergeCell ref="A140:G141"/>
    <mergeCell ref="A112:G112"/>
    <mergeCell ref="A115:G116"/>
    <mergeCell ref="A117:G117"/>
    <mergeCell ref="A120:G121"/>
    <mergeCell ref="A122:G122"/>
    <mergeCell ref="A125:G126"/>
    <mergeCell ref="A154:G154"/>
    <mergeCell ref="A155:I155"/>
    <mergeCell ref="A158:G159"/>
    <mergeCell ref="A160:G160"/>
    <mergeCell ref="A163:G164"/>
    <mergeCell ref="A165:G165"/>
    <mergeCell ref="A142:G142"/>
    <mergeCell ref="A143:I143"/>
    <mergeCell ref="A146:G147"/>
    <mergeCell ref="A148:G148"/>
    <mergeCell ref="A149:I149"/>
    <mergeCell ref="A152:G153"/>
    <mergeCell ref="A183:G184"/>
    <mergeCell ref="A185:G185"/>
    <mergeCell ref="A188:G189"/>
    <mergeCell ref="A190:G190"/>
    <mergeCell ref="A193:G194"/>
    <mergeCell ref="A195:G195"/>
    <mergeCell ref="A168:G169"/>
    <mergeCell ref="A170:G170"/>
    <mergeCell ref="A173:G174"/>
    <mergeCell ref="A175:G175"/>
    <mergeCell ref="A178:G179"/>
    <mergeCell ref="A180:G180"/>
    <mergeCell ref="A213:G214"/>
    <mergeCell ref="A215:G215"/>
    <mergeCell ref="A218:G219"/>
    <mergeCell ref="A220:G220"/>
    <mergeCell ref="A223:G224"/>
    <mergeCell ref="A225:G225"/>
    <mergeCell ref="A198:G199"/>
    <mergeCell ref="A200:G200"/>
    <mergeCell ref="A203:G204"/>
    <mergeCell ref="A205:G205"/>
    <mergeCell ref="A208:G209"/>
    <mergeCell ref="A210:G210"/>
    <mergeCell ref="A238:I238"/>
    <mergeCell ref="A239:I239"/>
    <mergeCell ref="A242:G243"/>
    <mergeCell ref="A244:G244"/>
    <mergeCell ref="A245:I245"/>
    <mergeCell ref="A248:G249"/>
    <mergeCell ref="A228:G229"/>
    <mergeCell ref="A230:G230"/>
    <mergeCell ref="A231:I231"/>
    <mergeCell ref="A232:I232"/>
    <mergeCell ref="A235:G236"/>
    <mergeCell ref="A237:G237"/>
    <mergeCell ref="A265:G265"/>
    <mergeCell ref="A268:G269"/>
    <mergeCell ref="A270:G270"/>
    <mergeCell ref="A250:G250"/>
    <mergeCell ref="A253:G254"/>
    <mergeCell ref="A255:G255"/>
    <mergeCell ref="A258:G259"/>
    <mergeCell ref="A260:G260"/>
    <mergeCell ref="A263:G264"/>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6" manualBreakCount="6">
    <brk id="43" max="16383" man="1"/>
    <brk id="85" max="16383" man="1"/>
    <brk id="127" max="16383" man="1"/>
    <brk id="170" max="16383" man="1"/>
    <brk id="215" max="16383" man="1"/>
    <brk id="260"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B024-7C64-4800-8E2B-8B1C1EED394B}">
  <sheetPr>
    <tabColor rgb="FF92D050"/>
  </sheetPr>
  <dimension ref="A1:T348"/>
  <sheetViews>
    <sheetView topLeftCell="A335" workbookViewId="0">
      <selection activeCell="H353" sqref="H353"/>
    </sheetView>
  </sheetViews>
  <sheetFormatPr defaultRowHeight="14.4" outlineLevelCol="1" x14ac:dyDescent="0.3"/>
  <cols>
    <col min="1" max="1" width="0.33203125" style="1" customWidth="1"/>
    <col min="2" max="2" width="5.77734375" style="2" customWidth="1"/>
    <col min="3" max="3" width="25.33203125" style="3" customWidth="1"/>
    <col min="4" max="4" width="10.44140625" style="5" customWidth="1"/>
    <col min="5" max="6" width="10.44140625" customWidth="1"/>
    <col min="7" max="7" width="10.44140625" style="30" customWidth="1"/>
    <col min="8" max="8" width="10.44140625" style="38" customWidth="1"/>
    <col min="9" max="9" width="10.4414062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84</v>
      </c>
      <c r="B4" s="98"/>
      <c r="C4" s="98"/>
      <c r="D4" s="98"/>
      <c r="E4" s="98"/>
      <c r="F4" s="98"/>
      <c r="G4" s="98"/>
      <c r="H4" s="98"/>
      <c r="I4" s="98"/>
    </row>
    <row r="5" spans="1:19" ht="15" thickBot="1" x14ac:dyDescent="0.35">
      <c r="A5" s="82" t="s">
        <v>731</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732</v>
      </c>
      <c r="D12" s="13" t="s">
        <v>40</v>
      </c>
      <c r="E12" s="14"/>
      <c r="F12" s="14"/>
      <c r="G12" s="41">
        <v>32</v>
      </c>
      <c r="H12" s="71">
        <v>52.33</v>
      </c>
      <c r="I12" s="32">
        <f>G12*H12</f>
        <v>1674.56</v>
      </c>
      <c r="J12">
        <v>1</v>
      </c>
    </row>
    <row r="13" spans="1:19" x14ac:dyDescent="0.3">
      <c r="D13" s="15" t="str">
        <f>SUBSTITUTE("Sp.mat: 0.00%",".",IF(VALUE("1.2")=1.2,".",","),2)</f>
        <v>Sp.mat: 0.00%</v>
      </c>
      <c r="F13" s="15" t="str">
        <f>SUBSTITUTE("Sp.man: 0.00%",".",IF(VALUE("1.2")=1.2,".",","),2)</f>
        <v>Sp.man: 0.00%</v>
      </c>
      <c r="G13" s="35" t="str">
        <f>SUBSTITUTE("Sp.uti: 0.00%",".",IF(VALUE("1.2")=1.2,".",","),2)</f>
        <v>Sp.uti: 0.00%</v>
      </c>
      <c r="H13" s="38">
        <f>2234.69/32</f>
        <v>69.834062500000002</v>
      </c>
      <c r="I13" s="29">
        <f>G12*H13</f>
        <v>2234.69</v>
      </c>
      <c r="J13">
        <v>2</v>
      </c>
    </row>
    <row r="14" spans="1:19" x14ac:dyDescent="0.3">
      <c r="A14" s="88" t="s">
        <v>733</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27</v>
      </c>
      <c r="B16" s="101"/>
      <c r="C16" s="101"/>
      <c r="D16" s="101"/>
      <c r="E16" s="101"/>
      <c r="F16" s="101"/>
      <c r="G16" s="101"/>
      <c r="H16" s="33">
        <f>H12+H13+H14+H15</f>
        <v>122.1640625</v>
      </c>
      <c r="I16" s="37">
        <f>I12+I13+I14+I15</f>
        <v>3909.25</v>
      </c>
      <c r="J16">
        <v>5</v>
      </c>
    </row>
    <row r="17" spans="1:19" x14ac:dyDescent="0.3">
      <c r="A17" s="102" t="s">
        <v>734</v>
      </c>
      <c r="B17" s="102"/>
      <c r="C17" s="102"/>
      <c r="D17" s="102"/>
      <c r="E17" s="102"/>
      <c r="F17" s="102"/>
      <c r="G17" s="102"/>
      <c r="H17" s="102"/>
      <c r="I17" s="102"/>
    </row>
    <row r="18" spans="1:19" x14ac:dyDescent="0.3">
      <c r="A18" s="98" t="s">
        <v>735</v>
      </c>
      <c r="B18" s="98"/>
      <c r="C18" s="98"/>
      <c r="D18" s="98"/>
      <c r="E18" s="98"/>
      <c r="F18" s="98"/>
      <c r="G18" s="98"/>
      <c r="H18" s="98"/>
      <c r="I18" s="98"/>
    </row>
    <row r="19" spans="1:19" x14ac:dyDescent="0.3">
      <c r="A19" s="97" t="s">
        <v>736</v>
      </c>
      <c r="B19" s="97"/>
      <c r="C19" s="97"/>
      <c r="D19" s="97"/>
      <c r="E19" s="97"/>
      <c r="F19" s="97"/>
      <c r="G19" s="97"/>
      <c r="H19" s="97"/>
      <c r="I19" s="97"/>
    </row>
    <row r="20" spans="1:19" x14ac:dyDescent="0.3">
      <c r="B20" s="2">
        <v>2</v>
      </c>
      <c r="C20" s="3" t="s">
        <v>737</v>
      </c>
      <c r="D20" s="5" t="s">
        <v>40</v>
      </c>
      <c r="G20" s="30">
        <v>60</v>
      </c>
      <c r="H20" s="38">
        <v>71.900000000000006</v>
      </c>
      <c r="I20" s="29">
        <f>G20*H20</f>
        <v>4314</v>
      </c>
      <c r="J20">
        <v>1</v>
      </c>
    </row>
    <row r="21" spans="1:19" x14ac:dyDescent="0.3">
      <c r="D21" s="15" t="str">
        <f>SUBSTITUTE("Sp.mat: 0.00%",".",IF(VALUE("1.2")=1.2,".",","),2)</f>
        <v>Sp.mat: 0.00%</v>
      </c>
      <c r="F21" s="15" t="str">
        <f>SUBSTITUTE("Sp.man: 0.00%",".",IF(VALUE("1.2")=1.2,".",","),2)</f>
        <v>Sp.man: 0.00%</v>
      </c>
      <c r="G21" s="35" t="str">
        <f>SUBSTITUTE("Sp.uti: 0.00%",".",IF(VALUE("1.2")=1.2,".",","),2)</f>
        <v>Sp.uti: 0.00%</v>
      </c>
      <c r="H21" s="38">
        <f>3767.2/G20</f>
        <v>62.786666666666662</v>
      </c>
      <c r="I21" s="29">
        <f>G20*H21</f>
        <v>3767.2</v>
      </c>
      <c r="J21">
        <v>2</v>
      </c>
    </row>
    <row r="22" spans="1:19" x14ac:dyDescent="0.3">
      <c r="A22" s="88" t="s">
        <v>738</v>
      </c>
      <c r="B22" s="98"/>
      <c r="C22" s="98"/>
      <c r="D22" s="98"/>
      <c r="E22" s="98"/>
      <c r="F22" s="98"/>
      <c r="G22" s="98"/>
      <c r="H22" s="38">
        <f>(1+IF(OR(ISERR(FIND(":",G21)),ISERR(FIND("%",G21))),0,MID(G21,FIND(":",G21)+2,FIND("%",G21)-FIND(":",G21)-2)/100))*0</f>
        <v>0</v>
      </c>
      <c r="I22" s="29">
        <f>G20*H22</f>
        <v>0</v>
      </c>
      <c r="J22">
        <v>3</v>
      </c>
      <c r="K22" s="4">
        <v>0</v>
      </c>
      <c r="L22" s="4">
        <v>0</v>
      </c>
      <c r="M22" s="4">
        <f>I22-K22-L22</f>
        <v>0</v>
      </c>
    </row>
    <row r="23" spans="1:19" x14ac:dyDescent="0.3">
      <c r="A23" s="98"/>
      <c r="B23" s="98"/>
      <c r="C23" s="98"/>
      <c r="D23" s="98"/>
      <c r="E23" s="98"/>
      <c r="F23" s="98"/>
      <c r="G23" s="98"/>
      <c r="H23" s="38">
        <f>0</f>
        <v>0</v>
      </c>
      <c r="I23" s="29">
        <f>G20*H23</f>
        <v>0</v>
      </c>
      <c r="J23">
        <v>4</v>
      </c>
      <c r="N23" s="4">
        <f>IF(ISERR(SEARCH("TRA* 82",C20)),IF(Q23+R23+S23=0,0,I23*(Q23/(Q23+R23+S23))),I23)</f>
        <v>0</v>
      </c>
      <c r="O23" s="4">
        <f>IF(ISERR(SEARCH("TRA* 82",C20)),IF(Q23+R23+S23=0,0,I23*(R23/(Q23+R23+S23))),0)</f>
        <v>0</v>
      </c>
      <c r="P23" s="4">
        <f>IF(ISERR(SEARCH("TRA* 82",C20)),I23-N23-O23,0)</f>
        <v>0</v>
      </c>
      <c r="Q23" s="4">
        <v>0</v>
      </c>
      <c r="R23" s="4">
        <v>0</v>
      </c>
      <c r="S23" s="4">
        <v>0</v>
      </c>
    </row>
    <row r="24" spans="1:19" x14ac:dyDescent="0.3">
      <c r="A24" s="100" t="s">
        <v>27</v>
      </c>
      <c r="B24" s="101"/>
      <c r="C24" s="101"/>
      <c r="D24" s="101"/>
      <c r="E24" s="101"/>
      <c r="F24" s="101"/>
      <c r="G24" s="101"/>
      <c r="H24" s="33">
        <f>H20+H21+H22+H23</f>
        <v>134.68666666666667</v>
      </c>
      <c r="I24" s="37">
        <f>I20+I21+I22+I23</f>
        <v>8081.2</v>
      </c>
      <c r="J24">
        <v>5</v>
      </c>
    </row>
    <row r="25" spans="1:19" x14ac:dyDescent="0.3">
      <c r="A25" s="102" t="s">
        <v>739</v>
      </c>
      <c r="B25" s="102"/>
      <c r="C25" s="102"/>
      <c r="D25" s="102"/>
      <c r="E25" s="102"/>
      <c r="F25" s="102"/>
      <c r="G25" s="102"/>
      <c r="H25" s="102"/>
      <c r="I25" s="102"/>
    </row>
    <row r="26" spans="1:19" x14ac:dyDescent="0.3">
      <c r="A26" s="98" t="s">
        <v>735</v>
      </c>
      <c r="B26" s="98"/>
      <c r="C26" s="98"/>
      <c r="D26" s="98"/>
      <c r="E26" s="98"/>
      <c r="F26" s="98"/>
      <c r="G26" s="98"/>
      <c r="H26" s="98"/>
      <c r="I26" s="98"/>
    </row>
    <row r="27" spans="1:19" x14ac:dyDescent="0.3">
      <c r="A27" s="97" t="s">
        <v>736</v>
      </c>
      <c r="B27" s="97"/>
      <c r="C27" s="97"/>
      <c r="D27" s="97"/>
      <c r="E27" s="97"/>
      <c r="F27" s="97"/>
      <c r="G27" s="97"/>
      <c r="H27" s="97"/>
      <c r="I27" s="97"/>
    </row>
    <row r="28" spans="1:19" x14ac:dyDescent="0.3">
      <c r="B28" s="2">
        <v>3</v>
      </c>
      <c r="C28" s="3" t="s">
        <v>737</v>
      </c>
      <c r="D28" s="5" t="s">
        <v>40</v>
      </c>
      <c r="G28" s="30">
        <v>96</v>
      </c>
      <c r="H28" s="38">
        <v>71.900000000000006</v>
      </c>
      <c r="I28" s="29">
        <f>G28*H28</f>
        <v>6902.4000000000005</v>
      </c>
      <c r="J28">
        <v>1</v>
      </c>
    </row>
    <row r="29" spans="1:19" x14ac:dyDescent="0.3">
      <c r="D29" s="15" t="str">
        <f>SUBSTITUTE("Sp.mat: 0.00%",".",IF(VALUE("1.2")=1.2,".",","),2)</f>
        <v>Sp.mat: 0.00%</v>
      </c>
      <c r="F29" s="15" t="str">
        <f>SUBSTITUTE("Sp.man: 0.00%",".",IF(VALUE("1.2")=1.2,".",","),2)</f>
        <v>Sp.man: 0.00%</v>
      </c>
      <c r="G29" s="35" t="str">
        <f>SUBSTITUTE("Sp.uti: 0.00%",".",IF(VALUE("1.2")=1.2,".",","),2)</f>
        <v>Sp.uti: 0.00%</v>
      </c>
      <c r="H29" s="38">
        <f>6027.52/G28</f>
        <v>62.786666666666669</v>
      </c>
      <c r="I29" s="29">
        <f>G28*H29</f>
        <v>6027.52</v>
      </c>
      <c r="J29">
        <v>2</v>
      </c>
    </row>
    <row r="30" spans="1:19" x14ac:dyDescent="0.3">
      <c r="A30" s="88" t="s">
        <v>738</v>
      </c>
      <c r="B30" s="98"/>
      <c r="C30" s="98"/>
      <c r="D30" s="98"/>
      <c r="E30" s="98"/>
      <c r="F30" s="98"/>
      <c r="G30" s="98"/>
      <c r="H30" s="38">
        <f>(1+IF(OR(ISERR(FIND(":",G29)),ISERR(FIND("%",G29))),0,MID(G29,FIND(":",G29)+2,FIND("%",G29)-FIND(":",G29)-2)/100))*0</f>
        <v>0</v>
      </c>
      <c r="I30" s="29">
        <f>G28*H30</f>
        <v>0</v>
      </c>
      <c r="J30">
        <v>3</v>
      </c>
      <c r="K30" s="4">
        <v>0</v>
      </c>
      <c r="L30" s="4">
        <v>0</v>
      </c>
      <c r="M30" s="4">
        <f>I30-K30-L30</f>
        <v>0</v>
      </c>
    </row>
    <row r="31" spans="1:19" x14ac:dyDescent="0.3">
      <c r="A31" s="98"/>
      <c r="B31" s="98"/>
      <c r="C31" s="98"/>
      <c r="D31" s="98"/>
      <c r="E31" s="98"/>
      <c r="F31" s="98"/>
      <c r="G31" s="98"/>
      <c r="H31" s="38">
        <f>0</f>
        <v>0</v>
      </c>
      <c r="I31" s="29">
        <f>G28*H31</f>
        <v>0</v>
      </c>
      <c r="J31">
        <v>4</v>
      </c>
      <c r="N31" s="4">
        <f>IF(ISERR(SEARCH("TRA* 82",C28)),IF(Q31+R31+S31=0,0,I31*(Q31/(Q31+R31+S31))),I31)</f>
        <v>0</v>
      </c>
      <c r="O31" s="4">
        <f>IF(ISERR(SEARCH("TRA* 82",C28)),IF(Q31+R31+S31=0,0,I31*(R31/(Q31+R31+S31))),0)</f>
        <v>0</v>
      </c>
      <c r="P31" s="4">
        <f>IF(ISERR(SEARCH("TRA* 82",C28)),I31-N31-O31,0)</f>
        <v>0</v>
      </c>
      <c r="Q31" s="4">
        <v>0</v>
      </c>
      <c r="R31" s="4">
        <v>0</v>
      </c>
      <c r="S31" s="4">
        <v>0</v>
      </c>
    </row>
    <row r="32" spans="1:19" x14ac:dyDescent="0.3">
      <c r="A32" s="100" t="s">
        <v>27</v>
      </c>
      <c r="B32" s="101"/>
      <c r="C32" s="101"/>
      <c r="D32" s="101"/>
      <c r="E32" s="101"/>
      <c r="F32" s="101"/>
      <c r="G32" s="101"/>
      <c r="H32" s="33">
        <f>H28+H29+H30+H31</f>
        <v>134.68666666666667</v>
      </c>
      <c r="I32" s="37">
        <f>I28+I29+I30+I31</f>
        <v>12929.920000000002</v>
      </c>
      <c r="J32">
        <v>5</v>
      </c>
    </row>
    <row r="33" spans="1:19" x14ac:dyDescent="0.3">
      <c r="A33" s="102" t="s">
        <v>740</v>
      </c>
      <c r="B33" s="102"/>
      <c r="C33" s="102"/>
      <c r="D33" s="102"/>
      <c r="E33" s="102"/>
      <c r="F33" s="102"/>
      <c r="G33" s="102"/>
      <c r="H33" s="102"/>
      <c r="I33" s="102"/>
    </row>
    <row r="34" spans="1:19" x14ac:dyDescent="0.3">
      <c r="A34" s="98" t="s">
        <v>735</v>
      </c>
      <c r="B34" s="98"/>
      <c r="C34" s="98"/>
      <c r="D34" s="98"/>
      <c r="E34" s="98"/>
      <c r="F34" s="98"/>
      <c r="G34" s="98"/>
      <c r="H34" s="98"/>
      <c r="I34" s="98"/>
    </row>
    <row r="35" spans="1:19" x14ac:dyDescent="0.3">
      <c r="A35" s="97" t="s">
        <v>736</v>
      </c>
      <c r="B35" s="97"/>
      <c r="C35" s="97"/>
      <c r="D35" s="97"/>
      <c r="E35" s="97"/>
      <c r="F35" s="97"/>
      <c r="G35" s="97"/>
      <c r="H35" s="97"/>
      <c r="I35" s="97"/>
    </row>
    <row r="36" spans="1:19" x14ac:dyDescent="0.3">
      <c r="B36" s="2">
        <v>4</v>
      </c>
      <c r="C36" s="3" t="s">
        <v>741</v>
      </c>
      <c r="D36" s="5" t="s">
        <v>40</v>
      </c>
      <c r="G36" s="30">
        <v>26</v>
      </c>
      <c r="H36" s="38">
        <f>2078.2/G36</f>
        <v>79.930769230769229</v>
      </c>
      <c r="I36" s="29">
        <f>G36*H36</f>
        <v>2078.1999999999998</v>
      </c>
      <c r="J36">
        <v>1</v>
      </c>
    </row>
    <row r="37" spans="1:19" x14ac:dyDescent="0.3">
      <c r="D37" s="15" t="str">
        <f>SUBSTITUTE("Sp.mat: 0.00%",".",IF(VALUE("1.2")=1.2,".",","),2)</f>
        <v>Sp.mat: 0.00%</v>
      </c>
      <c r="F37" s="15" t="str">
        <f>SUBSTITUTE("Sp.man: 0.00%",".",IF(VALUE("1.2")=1.2,".",","),2)</f>
        <v>Sp.man: 0.00%</v>
      </c>
      <c r="G37" s="35" t="str">
        <f>SUBSTITUTE("Sp.uti: 0.00%",".",IF(VALUE("1.2")=1.2,".",","),2)</f>
        <v>Sp.uti: 0.00%</v>
      </c>
      <c r="H37" s="38">
        <f>1415.9/G36</f>
        <v>54.457692307692312</v>
      </c>
      <c r="I37" s="29">
        <f>G36*H37</f>
        <v>1415.9</v>
      </c>
      <c r="J37">
        <v>2</v>
      </c>
    </row>
    <row r="38" spans="1:19" x14ac:dyDescent="0.3">
      <c r="A38" s="88" t="s">
        <v>742</v>
      </c>
      <c r="B38" s="98"/>
      <c r="C38" s="98"/>
      <c r="D38" s="98"/>
      <c r="E38" s="98"/>
      <c r="F38" s="98"/>
      <c r="G38" s="98"/>
      <c r="H38" s="38">
        <f>(1+IF(OR(ISERR(FIND(":",G37)),ISERR(FIND("%",G37))),0,MID(G37,FIND(":",G37)+2,FIND("%",G37)-FIND(":",G37)-2)/100))*0</f>
        <v>0</v>
      </c>
      <c r="I38" s="29">
        <f>G36*H38</f>
        <v>0</v>
      </c>
      <c r="J38">
        <v>3</v>
      </c>
      <c r="K38" s="4">
        <v>0</v>
      </c>
      <c r="L38" s="4">
        <v>0</v>
      </c>
      <c r="M38" s="4">
        <f>I38-K38-L38</f>
        <v>0</v>
      </c>
    </row>
    <row r="39" spans="1:19" x14ac:dyDescent="0.3">
      <c r="A39" s="98"/>
      <c r="B39" s="98"/>
      <c r="C39" s="98"/>
      <c r="D39" s="98"/>
      <c r="E39" s="98"/>
      <c r="F39" s="98"/>
      <c r="G39" s="98"/>
      <c r="H39" s="38">
        <f>0</f>
        <v>0</v>
      </c>
      <c r="I39" s="29">
        <f>G36*H39</f>
        <v>0</v>
      </c>
      <c r="J39">
        <v>4</v>
      </c>
      <c r="N39" s="4">
        <f>IF(ISERR(SEARCH("TRA* 82",C36)),IF(Q39+R39+S39=0,0,I39*(Q39/(Q39+R39+S39))),I39)</f>
        <v>0</v>
      </c>
      <c r="O39" s="4">
        <f>IF(ISERR(SEARCH("TRA* 82",C36)),IF(Q39+R39+S39=0,0,I39*(R39/(Q39+R39+S39))),0)</f>
        <v>0</v>
      </c>
      <c r="P39" s="4">
        <f>IF(ISERR(SEARCH("TRA* 82",C36)),I39-N39-O39,0)</f>
        <v>0</v>
      </c>
      <c r="Q39" s="4">
        <v>0</v>
      </c>
      <c r="R39" s="4">
        <v>0</v>
      </c>
      <c r="S39" s="4">
        <v>0</v>
      </c>
    </row>
    <row r="40" spans="1:19" x14ac:dyDescent="0.3">
      <c r="A40" s="100" t="s">
        <v>27</v>
      </c>
      <c r="B40" s="101"/>
      <c r="C40" s="101"/>
      <c r="D40" s="101"/>
      <c r="E40" s="101"/>
      <c r="F40" s="101"/>
      <c r="G40" s="101"/>
      <c r="H40" s="33">
        <f>H36+H37+H38+H39</f>
        <v>134.38846153846154</v>
      </c>
      <c r="I40" s="37">
        <f>I36+I37+I38+I39</f>
        <v>3494.1</v>
      </c>
      <c r="J40">
        <v>5</v>
      </c>
    </row>
    <row r="41" spans="1:19" x14ac:dyDescent="0.3">
      <c r="A41" s="102" t="s">
        <v>743</v>
      </c>
      <c r="B41" s="102"/>
      <c r="C41" s="102"/>
      <c r="D41" s="102"/>
      <c r="E41" s="102"/>
      <c r="F41" s="102"/>
      <c r="G41" s="102"/>
      <c r="H41" s="102"/>
      <c r="I41" s="102"/>
    </row>
    <row r="42" spans="1:19" x14ac:dyDescent="0.3">
      <c r="A42" s="98" t="s">
        <v>735</v>
      </c>
      <c r="B42" s="98"/>
      <c r="C42" s="98"/>
      <c r="D42" s="98"/>
      <c r="E42" s="98"/>
      <c r="F42" s="98"/>
      <c r="G42" s="98"/>
      <c r="H42" s="98"/>
      <c r="I42" s="98"/>
    </row>
    <row r="43" spans="1:19" x14ac:dyDescent="0.3">
      <c r="A43" s="97" t="s">
        <v>736</v>
      </c>
      <c r="B43" s="97"/>
      <c r="C43" s="97"/>
      <c r="D43" s="97"/>
      <c r="E43" s="97"/>
      <c r="F43" s="97"/>
      <c r="G43" s="97"/>
      <c r="H43" s="97"/>
      <c r="I43" s="97"/>
    </row>
    <row r="44" spans="1:19" x14ac:dyDescent="0.3">
      <c r="B44" s="2">
        <v>5</v>
      </c>
      <c r="C44" s="3" t="s">
        <v>741</v>
      </c>
      <c r="D44" s="5" t="s">
        <v>40</v>
      </c>
      <c r="G44" s="30">
        <v>48</v>
      </c>
      <c r="H44" s="38">
        <f>3836.67/G44</f>
        <v>79.930625000000006</v>
      </c>
      <c r="I44" s="29">
        <f>G44*H44</f>
        <v>3836.67</v>
      </c>
      <c r="J44">
        <v>1</v>
      </c>
    </row>
    <row r="45" spans="1:19" x14ac:dyDescent="0.3">
      <c r="D45" s="15" t="str">
        <f>SUBSTITUTE("Sp.mat: 0.00%",".",IF(VALUE("1.2")=1.2,".",","),2)</f>
        <v>Sp.mat: 0.00%</v>
      </c>
      <c r="F45" s="15" t="str">
        <f>SUBSTITUTE("Sp.man: 0.00%",".",IF(VALUE("1.2")=1.2,".",","),2)</f>
        <v>Sp.man: 0.00%</v>
      </c>
      <c r="G45" s="35" t="str">
        <f>SUBSTITUTE("Sp.uti: 0.00%",".",IF(VALUE("1.2")=1.2,".",","),2)</f>
        <v>Sp.uti: 0.00%</v>
      </c>
      <c r="H45" s="38">
        <f>2613.97/G44</f>
        <v>54.457708333333329</v>
      </c>
      <c r="I45" s="29">
        <f>G44*H45</f>
        <v>2613.9699999999998</v>
      </c>
      <c r="J45">
        <v>2</v>
      </c>
    </row>
    <row r="46" spans="1:19" x14ac:dyDescent="0.3">
      <c r="A46" s="88" t="s">
        <v>742</v>
      </c>
      <c r="B46" s="98"/>
      <c r="C46" s="98"/>
      <c r="D46" s="98"/>
      <c r="E46" s="98"/>
      <c r="F46" s="98"/>
      <c r="G46" s="98"/>
      <c r="H46" s="38">
        <f>(1+IF(OR(ISERR(FIND(":",G45)),ISERR(FIND("%",G45))),0,MID(G45,FIND(":",G45)+2,FIND("%",G45)-FIND(":",G45)-2)/100))*0</f>
        <v>0</v>
      </c>
      <c r="I46" s="29">
        <f>G44*H46</f>
        <v>0</v>
      </c>
      <c r="J46">
        <v>3</v>
      </c>
      <c r="K46" s="4">
        <v>0</v>
      </c>
      <c r="L46" s="4">
        <v>0</v>
      </c>
      <c r="M46" s="4">
        <f>I46-K46-L46</f>
        <v>0</v>
      </c>
    </row>
    <row r="47" spans="1:19" x14ac:dyDescent="0.3">
      <c r="A47" s="98"/>
      <c r="B47" s="98"/>
      <c r="C47" s="98"/>
      <c r="D47" s="98"/>
      <c r="E47" s="98"/>
      <c r="F47" s="98"/>
      <c r="G47" s="98"/>
      <c r="H47" s="38">
        <f>0</f>
        <v>0</v>
      </c>
      <c r="I47" s="29">
        <f>G44*H47</f>
        <v>0</v>
      </c>
      <c r="J47">
        <v>4</v>
      </c>
      <c r="N47" s="4">
        <f>IF(ISERR(SEARCH("TRA* 82",C44)),IF(Q47+R47+S47=0,0,I47*(Q47/(Q47+R47+S47))),I47)</f>
        <v>0</v>
      </c>
      <c r="O47" s="4">
        <f>IF(ISERR(SEARCH("TRA* 82",C44)),IF(Q47+R47+S47=0,0,I47*(R47/(Q47+R47+S47))),0)</f>
        <v>0</v>
      </c>
      <c r="P47" s="4">
        <f>IF(ISERR(SEARCH("TRA* 82",C44)),I47-N47-O47,0)</f>
        <v>0</v>
      </c>
      <c r="Q47" s="4">
        <v>0</v>
      </c>
      <c r="R47" s="4">
        <v>0</v>
      </c>
      <c r="S47" s="4">
        <v>0</v>
      </c>
    </row>
    <row r="48" spans="1:19" x14ac:dyDescent="0.3">
      <c r="A48" s="100" t="s">
        <v>27</v>
      </c>
      <c r="B48" s="101"/>
      <c r="C48" s="101"/>
      <c r="D48" s="101"/>
      <c r="E48" s="101"/>
      <c r="F48" s="101"/>
      <c r="G48" s="101"/>
      <c r="H48" s="33">
        <f>H44+H45+H46+H47</f>
        <v>134.38833333333332</v>
      </c>
      <c r="I48" s="37">
        <f>I44+I45+I46+I47</f>
        <v>6450.6399999999994</v>
      </c>
      <c r="J48">
        <v>5</v>
      </c>
    </row>
    <row r="49" spans="1:19" x14ac:dyDescent="0.3">
      <c r="A49" s="102" t="s">
        <v>744</v>
      </c>
      <c r="B49" s="102"/>
      <c r="C49" s="102"/>
      <c r="D49" s="102"/>
      <c r="E49" s="102"/>
      <c r="F49" s="102"/>
      <c r="G49" s="102"/>
      <c r="H49" s="102"/>
      <c r="I49" s="102"/>
    </row>
    <row r="50" spans="1:19" x14ac:dyDescent="0.3">
      <c r="A50" s="98" t="s">
        <v>735</v>
      </c>
      <c r="B50" s="98"/>
      <c r="C50" s="98"/>
      <c r="D50" s="98"/>
      <c r="E50" s="98"/>
      <c r="F50" s="98"/>
      <c r="G50" s="98"/>
      <c r="H50" s="98"/>
      <c r="I50" s="98"/>
    </row>
    <row r="51" spans="1:19" x14ac:dyDescent="0.3">
      <c r="A51" s="97" t="s">
        <v>736</v>
      </c>
      <c r="B51" s="97"/>
      <c r="C51" s="97"/>
      <c r="D51" s="97"/>
      <c r="E51" s="97"/>
      <c r="F51" s="97"/>
      <c r="G51" s="97"/>
      <c r="H51" s="97"/>
      <c r="I51" s="97"/>
    </row>
    <row r="52" spans="1:19" x14ac:dyDescent="0.3">
      <c r="B52" s="2">
        <v>6</v>
      </c>
      <c r="C52" s="3" t="s">
        <v>741</v>
      </c>
      <c r="D52" s="5" t="s">
        <v>40</v>
      </c>
      <c r="G52" s="30">
        <v>120</v>
      </c>
      <c r="H52" s="38">
        <f>9591.68/G52</f>
        <v>79.930666666666667</v>
      </c>
      <c r="I52" s="29">
        <f>G52*H52</f>
        <v>9591.68</v>
      </c>
      <c r="J52">
        <v>1</v>
      </c>
    </row>
    <row r="53" spans="1:19" x14ac:dyDescent="0.3">
      <c r="D53" s="15" t="str">
        <f>SUBSTITUTE("Sp.mat: 0.00%",".",IF(VALUE("1.2")=1.2,".",","),2)</f>
        <v>Sp.mat: 0.00%</v>
      </c>
      <c r="F53" s="15" t="str">
        <f>SUBSTITUTE("Sp.man: 0.00%",".",IF(VALUE("1.2")=1.2,".",","),2)</f>
        <v>Sp.man: 0.00%</v>
      </c>
      <c r="G53" s="35" t="str">
        <f>SUBSTITUTE("Sp.uti: 0.00%",".",IF(VALUE("1.2")=1.2,".",","),2)</f>
        <v>Sp.uti: 0.00%</v>
      </c>
      <c r="H53" s="38">
        <f>6534.94/G52</f>
        <v>54.457833333333333</v>
      </c>
      <c r="I53" s="29">
        <f>G52*H53</f>
        <v>6534.94</v>
      </c>
      <c r="J53">
        <v>2</v>
      </c>
    </row>
    <row r="54" spans="1:19" x14ac:dyDescent="0.3">
      <c r="A54" s="88" t="s">
        <v>742</v>
      </c>
      <c r="B54" s="98"/>
      <c r="C54" s="98"/>
      <c r="D54" s="98"/>
      <c r="E54" s="98"/>
      <c r="F54" s="98"/>
      <c r="G54" s="98"/>
      <c r="H54" s="38">
        <f>(1+IF(OR(ISERR(FIND(":",G53)),ISERR(FIND("%",G53))),0,MID(G53,FIND(":",G53)+2,FIND("%",G53)-FIND(":",G53)-2)/100))*0</f>
        <v>0</v>
      </c>
      <c r="I54" s="29">
        <f>G52*H54</f>
        <v>0</v>
      </c>
      <c r="J54">
        <v>3</v>
      </c>
      <c r="K54" s="4">
        <v>0</v>
      </c>
      <c r="L54" s="4">
        <v>0</v>
      </c>
      <c r="M54" s="4">
        <f>I54-K54-L54</f>
        <v>0</v>
      </c>
    </row>
    <row r="55" spans="1:19" x14ac:dyDescent="0.3">
      <c r="A55" s="98"/>
      <c r="B55" s="98"/>
      <c r="C55" s="98"/>
      <c r="D55" s="98"/>
      <c r="E55" s="98"/>
      <c r="F55" s="98"/>
      <c r="G55" s="98"/>
      <c r="H55" s="38">
        <f>0</f>
        <v>0</v>
      </c>
      <c r="I55" s="29">
        <f>G52*H55</f>
        <v>0</v>
      </c>
      <c r="J55">
        <v>4</v>
      </c>
      <c r="N55" s="4">
        <f>IF(ISERR(SEARCH("TRA* 82",C52)),IF(Q55+R55+S55=0,0,I55*(Q55/(Q55+R55+S55))),I55)</f>
        <v>0</v>
      </c>
      <c r="O55" s="4">
        <f>IF(ISERR(SEARCH("TRA* 82",C52)),IF(Q55+R55+S55=0,0,I55*(R55/(Q55+R55+S55))),0)</f>
        <v>0</v>
      </c>
      <c r="P55" s="4">
        <f>IF(ISERR(SEARCH("TRA* 82",C52)),I55-N55-O55,0)</f>
        <v>0</v>
      </c>
      <c r="Q55" s="4">
        <v>0</v>
      </c>
      <c r="R55" s="4">
        <v>0</v>
      </c>
      <c r="S55" s="4">
        <v>0</v>
      </c>
    </row>
    <row r="56" spans="1:19" x14ac:dyDescent="0.3">
      <c r="A56" s="100" t="s">
        <v>27</v>
      </c>
      <c r="B56" s="101"/>
      <c r="C56" s="101"/>
      <c r="D56" s="101"/>
      <c r="E56" s="101"/>
      <c r="F56" s="101"/>
      <c r="G56" s="101"/>
      <c r="H56" s="33">
        <f>H52+H53+H54+H55</f>
        <v>134.38849999999999</v>
      </c>
      <c r="I56" s="37">
        <f>I52+I53+I54+I55</f>
        <v>16126.619999999999</v>
      </c>
      <c r="J56">
        <v>5</v>
      </c>
    </row>
    <row r="57" spans="1:19" x14ac:dyDescent="0.3">
      <c r="A57" s="102" t="s">
        <v>745</v>
      </c>
      <c r="B57" s="102"/>
      <c r="C57" s="102"/>
      <c r="D57" s="102"/>
      <c r="E57" s="102"/>
      <c r="F57" s="102"/>
      <c r="G57" s="102"/>
      <c r="H57" s="102"/>
      <c r="I57" s="102"/>
    </row>
    <row r="58" spans="1:19" x14ac:dyDescent="0.3">
      <c r="A58" s="98" t="s">
        <v>735</v>
      </c>
      <c r="B58" s="98"/>
      <c r="C58" s="98"/>
      <c r="D58" s="98"/>
      <c r="E58" s="98"/>
      <c r="F58" s="98"/>
      <c r="G58" s="98"/>
      <c r="H58" s="98"/>
      <c r="I58" s="98"/>
    </row>
    <row r="59" spans="1:19" x14ac:dyDescent="0.3">
      <c r="A59" s="97" t="s">
        <v>746</v>
      </c>
      <c r="B59" s="97"/>
      <c r="C59" s="97"/>
      <c r="D59" s="97"/>
      <c r="E59" s="97"/>
      <c r="F59" s="97"/>
      <c r="G59" s="97"/>
      <c r="H59" s="97"/>
      <c r="I59" s="97"/>
    </row>
    <row r="60" spans="1:19" x14ac:dyDescent="0.3">
      <c r="B60" s="2">
        <v>7</v>
      </c>
      <c r="C60" s="3" t="s">
        <v>741</v>
      </c>
      <c r="D60" s="5" t="s">
        <v>40</v>
      </c>
      <c r="G60" s="30">
        <v>120</v>
      </c>
      <c r="H60" s="38">
        <f>9591.68/G60</f>
        <v>79.930666666666667</v>
      </c>
      <c r="I60" s="29">
        <f>G60*H60</f>
        <v>9591.68</v>
      </c>
      <c r="J60">
        <v>1</v>
      </c>
    </row>
    <row r="61" spans="1:19" x14ac:dyDescent="0.3">
      <c r="D61" s="15" t="str">
        <f>SUBSTITUTE("Sp.mat: 0.00%",".",IF(VALUE("1.2")=1.2,".",","),2)</f>
        <v>Sp.mat: 0.00%</v>
      </c>
      <c r="F61" s="15" t="str">
        <f>SUBSTITUTE("Sp.man: 0.00%",".",IF(VALUE("1.2")=1.2,".",","),2)</f>
        <v>Sp.man: 0.00%</v>
      </c>
      <c r="G61" s="35" t="str">
        <f>SUBSTITUTE("Sp.uti: 0.00%",".",IF(VALUE("1.2")=1.2,".",","),2)</f>
        <v>Sp.uti: 0.00%</v>
      </c>
      <c r="H61" s="38">
        <f>6534.94/G60</f>
        <v>54.457833333333333</v>
      </c>
      <c r="I61" s="29">
        <f>G60*H61</f>
        <v>6534.94</v>
      </c>
      <c r="J61">
        <v>2</v>
      </c>
    </row>
    <row r="62" spans="1:19" x14ac:dyDescent="0.3">
      <c r="A62" s="88" t="s">
        <v>742</v>
      </c>
      <c r="B62" s="98"/>
      <c r="C62" s="98"/>
      <c r="D62" s="98"/>
      <c r="E62" s="98"/>
      <c r="F62" s="98"/>
      <c r="G62" s="98"/>
      <c r="H62" s="38">
        <f>(1+IF(OR(ISERR(FIND(":",G61)),ISERR(FIND("%",G61))),0,MID(G61,FIND(":",G61)+2,FIND("%",G61)-FIND(":",G61)-2)/100))*0</f>
        <v>0</v>
      </c>
      <c r="I62" s="29">
        <f>G60*H62</f>
        <v>0</v>
      </c>
      <c r="J62">
        <v>3</v>
      </c>
      <c r="K62" s="4">
        <v>0</v>
      </c>
      <c r="L62" s="4">
        <v>0</v>
      </c>
      <c r="M62" s="4">
        <f>I62-K62-L62</f>
        <v>0</v>
      </c>
    </row>
    <row r="63" spans="1:19" x14ac:dyDescent="0.3">
      <c r="A63" s="98"/>
      <c r="B63" s="98"/>
      <c r="C63" s="98"/>
      <c r="D63" s="98"/>
      <c r="E63" s="98"/>
      <c r="F63" s="98"/>
      <c r="G63" s="98"/>
      <c r="H63" s="38">
        <f>0</f>
        <v>0</v>
      </c>
      <c r="I63" s="29">
        <f>G60*H63</f>
        <v>0</v>
      </c>
      <c r="J63">
        <v>4</v>
      </c>
      <c r="N63" s="4">
        <f>IF(ISERR(SEARCH("TRA* 82",C60)),IF(Q63+R63+S63=0,0,I63*(Q63/(Q63+R63+S63))),I63)</f>
        <v>0</v>
      </c>
      <c r="O63" s="4">
        <f>IF(ISERR(SEARCH("TRA* 82",C60)),IF(Q63+R63+S63=0,0,I63*(R63/(Q63+R63+S63))),0)</f>
        <v>0</v>
      </c>
      <c r="P63" s="4">
        <f>IF(ISERR(SEARCH("TRA* 82",C60)),I63-N63-O63,0)</f>
        <v>0</v>
      </c>
      <c r="Q63" s="4">
        <v>0</v>
      </c>
      <c r="R63" s="4">
        <v>0</v>
      </c>
      <c r="S63" s="4">
        <v>0</v>
      </c>
    </row>
    <row r="64" spans="1:19" x14ac:dyDescent="0.3">
      <c r="A64" s="100" t="s">
        <v>27</v>
      </c>
      <c r="B64" s="101"/>
      <c r="C64" s="101"/>
      <c r="D64" s="101"/>
      <c r="E64" s="101"/>
      <c r="F64" s="101"/>
      <c r="G64" s="101"/>
      <c r="H64" s="33">
        <f>H60+H61+H62+H63</f>
        <v>134.38849999999999</v>
      </c>
      <c r="I64" s="37">
        <f>I60+I61+I62+I63</f>
        <v>16126.619999999999</v>
      </c>
      <c r="J64">
        <v>5</v>
      </c>
    </row>
    <row r="65" spans="1:19" x14ac:dyDescent="0.3">
      <c r="A65" s="102" t="s">
        <v>747</v>
      </c>
      <c r="B65" s="102"/>
      <c r="C65" s="102"/>
      <c r="D65" s="102"/>
      <c r="E65" s="102"/>
      <c r="F65" s="102"/>
      <c r="G65" s="102"/>
      <c r="H65" s="102"/>
      <c r="I65" s="102"/>
    </row>
    <row r="66" spans="1:19" x14ac:dyDescent="0.3">
      <c r="A66" s="98" t="s">
        <v>735</v>
      </c>
      <c r="B66" s="98"/>
      <c r="C66" s="98"/>
      <c r="D66" s="98"/>
      <c r="E66" s="98"/>
      <c r="F66" s="98"/>
      <c r="G66" s="98"/>
      <c r="H66" s="98"/>
      <c r="I66" s="98"/>
    </row>
    <row r="67" spans="1:19" x14ac:dyDescent="0.3">
      <c r="A67" s="97" t="s">
        <v>746</v>
      </c>
      <c r="B67" s="97"/>
      <c r="C67" s="97"/>
      <c r="D67" s="97"/>
      <c r="E67" s="97"/>
      <c r="F67" s="97"/>
      <c r="G67" s="97"/>
      <c r="H67" s="97"/>
      <c r="I67" s="97"/>
    </row>
    <row r="68" spans="1:19" x14ac:dyDescent="0.3">
      <c r="B68" s="2">
        <v>8</v>
      </c>
      <c r="C68" s="3" t="s">
        <v>741</v>
      </c>
      <c r="D68" s="5" t="s">
        <v>40</v>
      </c>
      <c r="G68" s="30">
        <v>240</v>
      </c>
      <c r="H68" s="38">
        <f>19183.37/G68</f>
        <v>79.930708333333328</v>
      </c>
      <c r="I68" s="29">
        <f>G68*H68</f>
        <v>19183.37</v>
      </c>
      <c r="J68">
        <v>1</v>
      </c>
    </row>
    <row r="69" spans="1:19" x14ac:dyDescent="0.3">
      <c r="D69" s="15" t="str">
        <f>SUBSTITUTE("Sp.mat: 0.00%",".",IF(VALUE("1.2")=1.2,".",","),2)</f>
        <v>Sp.mat: 0.00%</v>
      </c>
      <c r="F69" s="15" t="str">
        <f>SUBSTITUTE("Sp.man: 0.00%",".",IF(VALUE("1.2")=1.2,".",","),2)</f>
        <v>Sp.man: 0.00%</v>
      </c>
      <c r="G69" s="35" t="str">
        <f>SUBSTITUTE("Sp.uti: 0.00%",".",IF(VALUE("1.2")=1.2,".",","),2)</f>
        <v>Sp.uti: 0.00%</v>
      </c>
      <c r="H69" s="38">
        <f>13069.87/G68</f>
        <v>54.457791666666672</v>
      </c>
      <c r="I69" s="29">
        <f>G68*H69</f>
        <v>13069.87</v>
      </c>
      <c r="J69">
        <v>2</v>
      </c>
    </row>
    <row r="70" spans="1:19" x14ac:dyDescent="0.3">
      <c r="A70" s="88" t="s">
        <v>742</v>
      </c>
      <c r="B70" s="98"/>
      <c r="C70" s="98"/>
      <c r="D70" s="98"/>
      <c r="E70" s="98"/>
      <c r="F70" s="98"/>
      <c r="G70" s="98"/>
      <c r="H70" s="38">
        <f>(1+IF(OR(ISERR(FIND(":",G69)),ISERR(FIND("%",G69))),0,MID(G69,FIND(":",G69)+2,FIND("%",G69)-FIND(":",G69)-2)/100))*0</f>
        <v>0</v>
      </c>
      <c r="I70" s="29">
        <f>G68*H70</f>
        <v>0</v>
      </c>
      <c r="J70">
        <v>3</v>
      </c>
      <c r="K70" s="4">
        <v>0</v>
      </c>
      <c r="L70" s="4">
        <v>0</v>
      </c>
      <c r="M70" s="4">
        <f>I70-K70-L70</f>
        <v>0</v>
      </c>
    </row>
    <row r="71" spans="1:19" x14ac:dyDescent="0.3">
      <c r="A71" s="98"/>
      <c r="B71" s="98"/>
      <c r="C71" s="98"/>
      <c r="D71" s="98"/>
      <c r="E71" s="98"/>
      <c r="F71" s="98"/>
      <c r="G71" s="98"/>
      <c r="H71" s="38">
        <f>0</f>
        <v>0</v>
      </c>
      <c r="I71" s="29">
        <f>G68*H71</f>
        <v>0</v>
      </c>
      <c r="J71">
        <v>4</v>
      </c>
      <c r="N71" s="4">
        <f>IF(ISERR(SEARCH("TRA* 82",C68)),IF(Q71+R71+S71=0,0,I71*(Q71/(Q71+R71+S71))),I71)</f>
        <v>0</v>
      </c>
      <c r="O71" s="4">
        <f>IF(ISERR(SEARCH("TRA* 82",C68)),IF(Q71+R71+S71=0,0,I71*(R71/(Q71+R71+S71))),0)</f>
        <v>0</v>
      </c>
      <c r="P71" s="4">
        <f>IF(ISERR(SEARCH("TRA* 82",C68)),I71-N71-O71,0)</f>
        <v>0</v>
      </c>
      <c r="Q71" s="4">
        <v>0</v>
      </c>
      <c r="R71" s="4">
        <v>0</v>
      </c>
      <c r="S71" s="4">
        <v>0</v>
      </c>
    </row>
    <row r="72" spans="1:19" x14ac:dyDescent="0.3">
      <c r="A72" s="100" t="s">
        <v>27</v>
      </c>
      <c r="B72" s="101"/>
      <c r="C72" s="101"/>
      <c r="D72" s="101"/>
      <c r="E72" s="101"/>
      <c r="F72" s="101"/>
      <c r="G72" s="101"/>
      <c r="H72" s="33">
        <f>H68+H69+H70+H71</f>
        <v>134.38849999999999</v>
      </c>
      <c r="I72" s="37">
        <f>I68+I69+I70+I71</f>
        <v>32253.239999999998</v>
      </c>
      <c r="J72">
        <v>5</v>
      </c>
    </row>
    <row r="73" spans="1:19" x14ac:dyDescent="0.3">
      <c r="A73" s="102" t="s">
        <v>748</v>
      </c>
      <c r="B73" s="102"/>
      <c r="C73" s="102"/>
      <c r="D73" s="102"/>
      <c r="E73" s="102"/>
      <c r="F73" s="102"/>
      <c r="G73" s="102"/>
      <c r="H73" s="102"/>
      <c r="I73" s="102"/>
    </row>
    <row r="74" spans="1:19" x14ac:dyDescent="0.3">
      <c r="A74" s="98" t="s">
        <v>735</v>
      </c>
      <c r="B74" s="98"/>
      <c r="C74" s="98"/>
      <c r="D74" s="98"/>
      <c r="E74" s="98"/>
      <c r="F74" s="98"/>
      <c r="G74" s="98"/>
      <c r="H74" s="98"/>
      <c r="I74" s="98"/>
    </row>
    <row r="75" spans="1:19" x14ac:dyDescent="0.3">
      <c r="A75" s="97" t="s">
        <v>746</v>
      </c>
      <c r="B75" s="97"/>
      <c r="C75" s="97"/>
      <c r="D75" s="97"/>
      <c r="E75" s="97"/>
      <c r="F75" s="97"/>
      <c r="G75" s="97"/>
      <c r="H75" s="97"/>
      <c r="I75" s="97"/>
    </row>
    <row r="76" spans="1:19" x14ac:dyDescent="0.3">
      <c r="B76" s="2">
        <v>9</v>
      </c>
      <c r="C76" s="3" t="s">
        <v>749</v>
      </c>
      <c r="D76" s="5" t="s">
        <v>40</v>
      </c>
      <c r="G76" s="30">
        <v>50.24</v>
      </c>
      <c r="H76" s="38">
        <v>61.14</v>
      </c>
      <c r="I76" s="29">
        <f>G76*H76</f>
        <v>3071.6736000000001</v>
      </c>
      <c r="J76">
        <v>1</v>
      </c>
    </row>
    <row r="77" spans="1:19" x14ac:dyDescent="0.3">
      <c r="D77" s="15" t="str">
        <f>SUBSTITUTE("Sp.mat: 0.00%",".",IF(VALUE("1.2")=1.2,".",","),2)</f>
        <v>Sp.mat: 0.00%</v>
      </c>
      <c r="F77" s="15" t="str">
        <f>SUBSTITUTE("Sp.man: 0.00%",".",IF(VALUE("1.2")=1.2,".",","),2)</f>
        <v>Sp.man: 0.00%</v>
      </c>
      <c r="G77" s="35" t="str">
        <f>SUBSTITUTE("Sp.uti: 0.00%",".",IF(VALUE("1.2")=1.2,".",","),2)</f>
        <v>Sp.uti: 0.00%</v>
      </c>
      <c r="H77" s="38">
        <f>3460.18/G76</f>
        <v>68.873009554140125</v>
      </c>
      <c r="I77" s="29">
        <f>G76*H77</f>
        <v>3460.18</v>
      </c>
      <c r="J77">
        <v>2</v>
      </c>
    </row>
    <row r="78" spans="1:19" x14ac:dyDescent="0.3">
      <c r="A78" s="88" t="s">
        <v>750</v>
      </c>
      <c r="B78" s="98"/>
      <c r="C78" s="98"/>
      <c r="D78" s="98"/>
      <c r="E78" s="98"/>
      <c r="F78" s="98"/>
      <c r="G78" s="98"/>
      <c r="H78" s="38">
        <f>(1+IF(OR(ISERR(FIND(":",G77)),ISERR(FIND("%",G77))),0,MID(G77,FIND(":",G77)+2,FIND("%",G77)-FIND(":",G77)-2)/100))*0</f>
        <v>0</v>
      </c>
      <c r="I78" s="29">
        <f>G76*H78</f>
        <v>0</v>
      </c>
      <c r="J78">
        <v>3</v>
      </c>
      <c r="K78" s="4">
        <v>0</v>
      </c>
      <c r="L78" s="4">
        <v>0</v>
      </c>
      <c r="M78" s="4">
        <f>I78-K78-L78</f>
        <v>0</v>
      </c>
    </row>
    <row r="79" spans="1:19" x14ac:dyDescent="0.3">
      <c r="A79" s="98"/>
      <c r="B79" s="98"/>
      <c r="C79" s="98"/>
      <c r="D79" s="98"/>
      <c r="E79" s="98"/>
      <c r="F79" s="98"/>
      <c r="G79" s="98"/>
      <c r="H79" s="38">
        <f>0</f>
        <v>0</v>
      </c>
      <c r="I79" s="29">
        <f>G76*H79</f>
        <v>0</v>
      </c>
      <c r="J79">
        <v>4</v>
      </c>
      <c r="N79" s="4">
        <f>IF(ISERR(SEARCH("TRA* 82",C76)),IF(Q79+R79+S79=0,0,I79*(Q79/(Q79+R79+S79))),I79)</f>
        <v>0</v>
      </c>
      <c r="O79" s="4">
        <f>IF(ISERR(SEARCH("TRA* 82",C76)),IF(Q79+R79+S79=0,0,I79*(R79/(Q79+R79+S79))),0)</f>
        <v>0</v>
      </c>
      <c r="P79" s="4">
        <f>IF(ISERR(SEARCH("TRA* 82",C76)),I79-N79-O79,0)</f>
        <v>0</v>
      </c>
      <c r="Q79" s="4">
        <v>0</v>
      </c>
      <c r="R79" s="4">
        <v>0</v>
      </c>
      <c r="S79" s="4">
        <v>0</v>
      </c>
    </row>
    <row r="80" spans="1:19" x14ac:dyDescent="0.3">
      <c r="A80" s="100" t="s">
        <v>27</v>
      </c>
      <c r="B80" s="101"/>
      <c r="C80" s="101"/>
      <c r="D80" s="101"/>
      <c r="E80" s="101"/>
      <c r="F80" s="101"/>
      <c r="G80" s="101"/>
      <c r="H80" s="33">
        <f>H76+H77+H78+H79</f>
        <v>130.01300955414013</v>
      </c>
      <c r="I80" s="37">
        <f>I76+I77+I78+I79</f>
        <v>6531.8536000000004</v>
      </c>
      <c r="J80">
        <v>5</v>
      </c>
    </row>
    <row r="81" spans="1:19" x14ac:dyDescent="0.3">
      <c r="A81" s="102" t="s">
        <v>751</v>
      </c>
      <c r="B81" s="102"/>
      <c r="C81" s="102"/>
      <c r="D81" s="102"/>
      <c r="E81" s="102"/>
      <c r="F81" s="102"/>
      <c r="G81" s="102"/>
      <c r="H81" s="102"/>
      <c r="I81" s="102"/>
    </row>
    <row r="82" spans="1:19" x14ac:dyDescent="0.3">
      <c r="A82" s="98" t="s">
        <v>752</v>
      </c>
      <c r="B82" s="98"/>
      <c r="C82" s="98"/>
      <c r="D82" s="98"/>
      <c r="E82" s="98"/>
      <c r="F82" s="98"/>
      <c r="G82" s="98"/>
      <c r="H82" s="98"/>
      <c r="I82" s="98"/>
    </row>
    <row r="83" spans="1:19" x14ac:dyDescent="0.3">
      <c r="A83" s="97" t="s">
        <v>753</v>
      </c>
      <c r="B83" s="97"/>
      <c r="C83" s="97"/>
      <c r="D83" s="97"/>
      <c r="E83" s="97"/>
      <c r="F83" s="97"/>
      <c r="G83" s="97"/>
      <c r="H83" s="97"/>
      <c r="I83" s="97"/>
    </row>
    <row r="84" spans="1:19" x14ac:dyDescent="0.3">
      <c r="B84" s="2">
        <v>10</v>
      </c>
      <c r="C84" s="3" t="s">
        <v>749</v>
      </c>
      <c r="D84" s="5" t="s">
        <v>40</v>
      </c>
      <c r="G84" s="30">
        <v>39.25</v>
      </c>
      <c r="H84" s="38">
        <f>2399.68/G84</f>
        <v>61.138343949044582</v>
      </c>
      <c r="I84" s="29">
        <f>G84*H84</f>
        <v>2399.6799999999998</v>
      </c>
      <c r="J84">
        <v>1</v>
      </c>
    </row>
    <row r="85" spans="1:19" x14ac:dyDescent="0.3">
      <c r="D85" s="15" t="str">
        <f>SUBSTITUTE("Sp.mat: 0.00%",".",IF(VALUE("1.2")=1.2,".",","),2)</f>
        <v>Sp.mat: 0.00%</v>
      </c>
      <c r="F85" s="15" t="str">
        <f>SUBSTITUTE("Sp.man: 0.00%",".",IF(VALUE("1.2")=1.2,".",","),2)</f>
        <v>Sp.man: 0.00%</v>
      </c>
      <c r="G85" s="35" t="str">
        <f>SUBSTITUTE("Sp.uti: 0.00%",".",IF(VALUE("1.2")=1.2,".",","),2)</f>
        <v>Sp.uti: 0.00%</v>
      </c>
      <c r="H85" s="38">
        <f>2703.27/G84</f>
        <v>68.873121019108282</v>
      </c>
      <c r="I85" s="29">
        <f>G84*H85</f>
        <v>2703.27</v>
      </c>
      <c r="J85">
        <v>2</v>
      </c>
    </row>
    <row r="86" spans="1:19" x14ac:dyDescent="0.3">
      <c r="A86" s="88" t="s">
        <v>750</v>
      </c>
      <c r="B86" s="98"/>
      <c r="C86" s="98"/>
      <c r="D86" s="98"/>
      <c r="E86" s="98"/>
      <c r="F86" s="98"/>
      <c r="G86" s="98"/>
      <c r="H86" s="38">
        <f>(1+IF(OR(ISERR(FIND(":",G85)),ISERR(FIND("%",G85))),0,MID(G85,FIND(":",G85)+2,FIND("%",G85)-FIND(":",G85)-2)/100))*0</f>
        <v>0</v>
      </c>
      <c r="I86" s="29">
        <f>G84*H86</f>
        <v>0</v>
      </c>
      <c r="J86">
        <v>3</v>
      </c>
      <c r="K86" s="4">
        <v>0</v>
      </c>
      <c r="L86" s="4">
        <v>0</v>
      </c>
      <c r="M86" s="4">
        <f>I86-K86-L86</f>
        <v>0</v>
      </c>
    </row>
    <row r="87" spans="1:19" x14ac:dyDescent="0.3">
      <c r="A87" s="98"/>
      <c r="B87" s="98"/>
      <c r="C87" s="98"/>
      <c r="D87" s="98"/>
      <c r="E87" s="98"/>
      <c r="F87" s="98"/>
      <c r="G87" s="98"/>
      <c r="H87" s="38">
        <f>0</f>
        <v>0</v>
      </c>
      <c r="I87" s="29">
        <f>G84*H87</f>
        <v>0</v>
      </c>
      <c r="J87">
        <v>4</v>
      </c>
      <c r="N87" s="4">
        <f>IF(ISERR(SEARCH("TRA* 82",C84)),IF(Q87+R87+S87=0,0,I87*(Q87/(Q87+R87+S87))),I87)</f>
        <v>0</v>
      </c>
      <c r="O87" s="4">
        <f>IF(ISERR(SEARCH("TRA* 82",C84)),IF(Q87+R87+S87=0,0,I87*(R87/(Q87+R87+S87))),0)</f>
        <v>0</v>
      </c>
      <c r="P87" s="4">
        <f>IF(ISERR(SEARCH("TRA* 82",C84)),I87-N87-O87,0)</f>
        <v>0</v>
      </c>
      <c r="Q87" s="4">
        <v>0</v>
      </c>
      <c r="R87" s="4">
        <v>0</v>
      </c>
      <c r="S87" s="4">
        <v>0</v>
      </c>
    </row>
    <row r="88" spans="1:19" x14ac:dyDescent="0.3">
      <c r="A88" s="100" t="s">
        <v>27</v>
      </c>
      <c r="B88" s="101"/>
      <c r="C88" s="101"/>
      <c r="D88" s="101"/>
      <c r="E88" s="101"/>
      <c r="F88" s="101"/>
      <c r="G88" s="101"/>
      <c r="H88" s="33">
        <f>H84+H85+H86+H87</f>
        <v>130.01146496815286</v>
      </c>
      <c r="I88" s="37">
        <f>I84+I85+I86+I87</f>
        <v>5102.95</v>
      </c>
      <c r="J88">
        <v>5</v>
      </c>
    </row>
    <row r="89" spans="1:19" x14ac:dyDescent="0.3">
      <c r="A89" s="102" t="s">
        <v>754</v>
      </c>
      <c r="B89" s="102"/>
      <c r="C89" s="102"/>
      <c r="D89" s="102"/>
      <c r="E89" s="102"/>
      <c r="F89" s="102"/>
      <c r="G89" s="102"/>
      <c r="H89" s="102"/>
      <c r="I89" s="102"/>
    </row>
    <row r="90" spans="1:19" x14ac:dyDescent="0.3">
      <c r="A90" s="98" t="s">
        <v>752</v>
      </c>
      <c r="B90" s="98"/>
      <c r="C90" s="98"/>
      <c r="D90" s="98"/>
      <c r="E90" s="98"/>
      <c r="F90" s="98"/>
      <c r="G90" s="98"/>
      <c r="H90" s="98"/>
      <c r="I90" s="98"/>
    </row>
    <row r="91" spans="1:19" x14ac:dyDescent="0.3">
      <c r="A91" s="97" t="s">
        <v>753</v>
      </c>
      <c r="B91" s="97"/>
      <c r="C91" s="97"/>
      <c r="D91" s="97"/>
      <c r="E91" s="97"/>
      <c r="F91" s="97"/>
      <c r="G91" s="97"/>
      <c r="H91" s="97"/>
      <c r="I91" s="97"/>
    </row>
    <row r="92" spans="1:19" x14ac:dyDescent="0.3">
      <c r="B92" s="2">
        <v>11</v>
      </c>
      <c r="C92" s="3" t="s">
        <v>749</v>
      </c>
      <c r="D92" s="5" t="s">
        <v>40</v>
      </c>
      <c r="G92" s="30">
        <v>15.07</v>
      </c>
      <c r="H92" s="38">
        <v>61.14</v>
      </c>
      <c r="I92" s="29">
        <f>G92*H92</f>
        <v>921.37980000000005</v>
      </c>
      <c r="J92">
        <v>1</v>
      </c>
    </row>
    <row r="93" spans="1:19" x14ac:dyDescent="0.3">
      <c r="D93" s="15" t="str">
        <f>SUBSTITUTE("Sp.mat: 0.00%",".",IF(VALUE("1.2")=1.2,".",","),2)</f>
        <v>Sp.mat: 0.00%</v>
      </c>
      <c r="F93" s="15" t="str">
        <f>SUBSTITUTE("Sp.man: 0.00%",".",IF(VALUE("1.2")=1.2,".",","),2)</f>
        <v>Sp.man: 0.00%</v>
      </c>
      <c r="G93" s="35" t="str">
        <f>SUBSTITUTE("Sp.uti: 0.00%",".",IF(VALUE("1.2")=1.2,".",","),2)</f>
        <v>Sp.uti: 0.00%</v>
      </c>
      <c r="H93" s="38">
        <f>1037.92/G92</f>
        <v>68.873258128732587</v>
      </c>
      <c r="I93" s="29">
        <f>G92*H93</f>
        <v>1037.92</v>
      </c>
      <c r="J93">
        <v>2</v>
      </c>
    </row>
    <row r="94" spans="1:19" x14ac:dyDescent="0.3">
      <c r="A94" s="88" t="s">
        <v>750</v>
      </c>
      <c r="B94" s="98"/>
      <c r="C94" s="98"/>
      <c r="D94" s="98"/>
      <c r="E94" s="98"/>
      <c r="F94" s="98"/>
      <c r="G94" s="98"/>
      <c r="H94" s="38">
        <f>(1+IF(OR(ISERR(FIND(":",G93)),ISERR(FIND("%",G93))),0,MID(G93,FIND(":",G93)+2,FIND("%",G93)-FIND(":",G93)-2)/100))*0</f>
        <v>0</v>
      </c>
      <c r="I94" s="29">
        <f>G92*H94</f>
        <v>0</v>
      </c>
      <c r="J94">
        <v>3</v>
      </c>
      <c r="K94" s="4">
        <v>0</v>
      </c>
      <c r="L94" s="4">
        <v>0</v>
      </c>
      <c r="M94" s="4">
        <f>I94-K94-L94</f>
        <v>0</v>
      </c>
    </row>
    <row r="95" spans="1:19" x14ac:dyDescent="0.3">
      <c r="A95" s="98"/>
      <c r="B95" s="98"/>
      <c r="C95" s="98"/>
      <c r="D95" s="98"/>
      <c r="E95" s="98"/>
      <c r="F95" s="98"/>
      <c r="G95" s="98"/>
      <c r="H95" s="38">
        <f>0</f>
        <v>0</v>
      </c>
      <c r="I95" s="29">
        <f>G92*H95</f>
        <v>0</v>
      </c>
      <c r="J95">
        <v>4</v>
      </c>
      <c r="N95" s="4">
        <f>IF(ISERR(SEARCH("TRA* 82",C92)),IF(Q95+R95+S95=0,0,I95*(Q95/(Q95+R95+S95))),I95)</f>
        <v>0</v>
      </c>
      <c r="O95" s="4">
        <f>IF(ISERR(SEARCH("TRA* 82",C92)),IF(Q95+R95+S95=0,0,I95*(R95/(Q95+R95+S95))),0)</f>
        <v>0</v>
      </c>
      <c r="P95" s="4">
        <f>IF(ISERR(SEARCH("TRA* 82",C92)),I95-N95-O95,0)</f>
        <v>0</v>
      </c>
      <c r="Q95" s="4">
        <v>0</v>
      </c>
      <c r="R95" s="4">
        <v>0</v>
      </c>
      <c r="S95" s="4">
        <v>0</v>
      </c>
    </row>
    <row r="96" spans="1:19" x14ac:dyDescent="0.3">
      <c r="A96" s="100" t="s">
        <v>27</v>
      </c>
      <c r="B96" s="101"/>
      <c r="C96" s="101"/>
      <c r="D96" s="101"/>
      <c r="E96" s="101"/>
      <c r="F96" s="101"/>
      <c r="G96" s="101"/>
      <c r="H96" s="33">
        <f>H92+H93+H94+H95</f>
        <v>130.01325812873259</v>
      </c>
      <c r="I96" s="37">
        <f>I92+I93+I94+I95</f>
        <v>1959.2998000000002</v>
      </c>
      <c r="J96">
        <v>5</v>
      </c>
    </row>
    <row r="97" spans="1:19" x14ac:dyDescent="0.3">
      <c r="A97" s="102" t="s">
        <v>755</v>
      </c>
      <c r="B97" s="102"/>
      <c r="C97" s="102"/>
      <c r="D97" s="102"/>
      <c r="E97" s="102"/>
      <c r="F97" s="102"/>
      <c r="G97" s="102"/>
      <c r="H97" s="102"/>
      <c r="I97" s="102"/>
    </row>
    <row r="98" spans="1:19" x14ac:dyDescent="0.3">
      <c r="A98" s="98" t="s">
        <v>752</v>
      </c>
      <c r="B98" s="98"/>
      <c r="C98" s="98"/>
      <c r="D98" s="98"/>
      <c r="E98" s="98"/>
      <c r="F98" s="98"/>
      <c r="G98" s="98"/>
      <c r="H98" s="98"/>
      <c r="I98" s="98"/>
    </row>
    <row r="99" spans="1:19" x14ac:dyDescent="0.3">
      <c r="A99" s="97" t="s">
        <v>753</v>
      </c>
      <c r="B99" s="97"/>
      <c r="C99" s="97"/>
      <c r="D99" s="97"/>
      <c r="E99" s="97"/>
      <c r="F99" s="97"/>
      <c r="G99" s="97"/>
      <c r="H99" s="97"/>
      <c r="I99" s="97"/>
    </row>
    <row r="100" spans="1:19" x14ac:dyDescent="0.3">
      <c r="B100" s="2">
        <v>12</v>
      </c>
      <c r="C100" s="3" t="s">
        <v>749</v>
      </c>
      <c r="D100" s="5" t="s">
        <v>40</v>
      </c>
      <c r="G100" s="30">
        <v>37.68</v>
      </c>
      <c r="H100" s="38">
        <v>61.14</v>
      </c>
      <c r="I100" s="29">
        <f>G100*H100</f>
        <v>2303.7552000000001</v>
      </c>
      <c r="J100">
        <v>1</v>
      </c>
    </row>
    <row r="101" spans="1:19" x14ac:dyDescent="0.3">
      <c r="D101" s="15" t="str">
        <f>SUBSTITUTE("Sp.mat: 0.00%",".",IF(VALUE("1.2")=1.2,".",","),2)</f>
        <v>Sp.mat: 0.00%</v>
      </c>
      <c r="F101" s="15" t="str">
        <f>SUBSTITUTE("Sp.man: 0.00%",".",IF(VALUE("1.2")=1.2,".",","),2)</f>
        <v>Sp.man: 0.00%</v>
      </c>
      <c r="G101" s="35" t="str">
        <f>SUBSTITUTE("Sp.uti: 0.00%",".",IF(VALUE("1.2")=1.2,".",","),2)</f>
        <v>Sp.uti: 0.00%</v>
      </c>
      <c r="H101" s="38">
        <f>2595.14/G100</f>
        <v>68.873142250530776</v>
      </c>
      <c r="I101" s="29">
        <f>G100*H101</f>
        <v>2595.1399999999994</v>
      </c>
      <c r="J101">
        <v>2</v>
      </c>
    </row>
    <row r="102" spans="1:19" x14ac:dyDescent="0.3">
      <c r="A102" s="88" t="s">
        <v>750</v>
      </c>
      <c r="B102" s="98"/>
      <c r="C102" s="98"/>
      <c r="D102" s="98"/>
      <c r="E102" s="98"/>
      <c r="F102" s="98"/>
      <c r="G102" s="98"/>
      <c r="H102" s="38">
        <f>(1+IF(OR(ISERR(FIND(":",G101)),ISERR(FIND("%",G101))),0,MID(G101,FIND(":",G101)+2,FIND("%",G101)-FIND(":",G101)-2)/100))*0</f>
        <v>0</v>
      </c>
      <c r="I102" s="29">
        <f>G100*H102</f>
        <v>0</v>
      </c>
      <c r="J102">
        <v>3</v>
      </c>
      <c r="K102" s="4">
        <v>0</v>
      </c>
      <c r="L102" s="4">
        <v>0</v>
      </c>
      <c r="M102" s="4">
        <f>I102-K102-L102</f>
        <v>0</v>
      </c>
    </row>
    <row r="103" spans="1:19" x14ac:dyDescent="0.3">
      <c r="A103" s="98"/>
      <c r="B103" s="98"/>
      <c r="C103" s="98"/>
      <c r="D103" s="98"/>
      <c r="E103" s="98"/>
      <c r="F103" s="98"/>
      <c r="G103" s="98"/>
      <c r="H103" s="38">
        <f>0</f>
        <v>0</v>
      </c>
      <c r="I103" s="29">
        <f>G100*H103</f>
        <v>0</v>
      </c>
      <c r="J103">
        <v>4</v>
      </c>
      <c r="N103" s="4">
        <f>IF(ISERR(SEARCH("TRA* 82",C100)),IF(Q103+R103+S103=0,0,I103*(Q103/(Q103+R103+S103))),I103)</f>
        <v>0</v>
      </c>
      <c r="O103" s="4">
        <f>IF(ISERR(SEARCH("TRA* 82",C100)),IF(Q103+R103+S103=0,0,I103*(R103/(Q103+R103+S103))),0)</f>
        <v>0</v>
      </c>
      <c r="P103" s="4">
        <f>IF(ISERR(SEARCH("TRA* 82",C100)),I103-N103-O103,0)</f>
        <v>0</v>
      </c>
      <c r="Q103" s="4">
        <v>0</v>
      </c>
      <c r="R103" s="4">
        <v>0</v>
      </c>
      <c r="S103" s="4">
        <v>0</v>
      </c>
    </row>
    <row r="104" spans="1:19" x14ac:dyDescent="0.3">
      <c r="A104" s="100" t="s">
        <v>27</v>
      </c>
      <c r="B104" s="101"/>
      <c r="C104" s="101"/>
      <c r="D104" s="101"/>
      <c r="E104" s="101"/>
      <c r="F104" s="101"/>
      <c r="G104" s="101"/>
      <c r="H104" s="33">
        <f>H100+H101+H102+H103</f>
        <v>130.01314225053079</v>
      </c>
      <c r="I104" s="37">
        <f>I100+I101+I102+I103</f>
        <v>4898.895199999999</v>
      </c>
      <c r="J104">
        <v>5</v>
      </c>
    </row>
    <row r="105" spans="1:19" x14ac:dyDescent="0.3">
      <c r="A105" s="102" t="s">
        <v>756</v>
      </c>
      <c r="B105" s="102"/>
      <c r="C105" s="102"/>
      <c r="D105" s="102"/>
      <c r="E105" s="102"/>
      <c r="F105" s="102"/>
      <c r="G105" s="102"/>
      <c r="H105" s="102"/>
      <c r="I105" s="102"/>
    </row>
    <row r="106" spans="1:19" x14ac:dyDescent="0.3">
      <c r="A106" s="98" t="s">
        <v>752</v>
      </c>
      <c r="B106" s="98"/>
      <c r="C106" s="98"/>
      <c r="D106" s="98"/>
      <c r="E106" s="98"/>
      <c r="F106" s="98"/>
      <c r="G106" s="98"/>
      <c r="H106" s="98"/>
      <c r="I106" s="98"/>
    </row>
    <row r="107" spans="1:19" x14ac:dyDescent="0.3">
      <c r="A107" s="97" t="s">
        <v>753</v>
      </c>
      <c r="B107" s="97"/>
      <c r="C107" s="97"/>
      <c r="D107" s="97"/>
      <c r="E107" s="97"/>
      <c r="F107" s="97"/>
      <c r="G107" s="97"/>
      <c r="H107" s="97"/>
      <c r="I107" s="97"/>
    </row>
    <row r="108" spans="1:19" x14ac:dyDescent="0.3">
      <c r="B108" s="2">
        <v>13</v>
      </c>
      <c r="C108" s="3" t="s">
        <v>757</v>
      </c>
      <c r="D108" s="5" t="s">
        <v>40</v>
      </c>
      <c r="G108" s="30">
        <v>157</v>
      </c>
      <c r="H108" s="38">
        <v>100.5</v>
      </c>
      <c r="I108" s="29">
        <f>G108*H108</f>
        <v>15778.5</v>
      </c>
      <c r="J108">
        <v>1</v>
      </c>
    </row>
    <row r="109" spans="1:19" x14ac:dyDescent="0.3">
      <c r="D109" s="15" t="str">
        <f>SUBSTITUTE("Sp.mat: 0.00%",".",IF(VALUE("1.2")=1.2,".",","),2)</f>
        <v>Sp.mat: 0.00%</v>
      </c>
      <c r="F109" s="15" t="str">
        <f>SUBSTITUTE("Sp.man: 0.00%",".",IF(VALUE("1.2")=1.2,".",","),2)</f>
        <v>Sp.man: 0.00%</v>
      </c>
      <c r="G109" s="35" t="str">
        <f>SUBSTITUTE("Sp.uti: 0.00%",".",IF(VALUE("1.2")=1.2,".",","),2)</f>
        <v>Sp.uti: 0.00%</v>
      </c>
      <c r="H109" s="38">
        <f>12045.26/G108</f>
        <v>76.721401273885348</v>
      </c>
      <c r="I109" s="29">
        <f>G108*H109</f>
        <v>12045.26</v>
      </c>
      <c r="J109">
        <v>2</v>
      </c>
    </row>
    <row r="110" spans="1:19" x14ac:dyDescent="0.3">
      <c r="A110" s="88" t="s">
        <v>758</v>
      </c>
      <c r="B110" s="98"/>
      <c r="C110" s="98"/>
      <c r="D110" s="98"/>
      <c r="E110" s="98"/>
      <c r="F110" s="98"/>
      <c r="G110" s="98"/>
      <c r="H110" s="38">
        <f>(1+IF(OR(ISERR(FIND(":",G109)),ISERR(FIND("%",G109))),0,MID(G109,FIND(":",G109)+2,FIND("%",G109)-FIND(":",G109)-2)/100))*0</f>
        <v>0</v>
      </c>
      <c r="I110" s="29">
        <f>G108*H110</f>
        <v>0</v>
      </c>
      <c r="J110">
        <v>3</v>
      </c>
      <c r="K110" s="4">
        <v>0</v>
      </c>
      <c r="L110" s="4">
        <v>0</v>
      </c>
      <c r="M110" s="4">
        <f>I110-K110-L110</f>
        <v>0</v>
      </c>
    </row>
    <row r="111" spans="1:19" x14ac:dyDescent="0.3">
      <c r="A111" s="98"/>
      <c r="B111" s="98"/>
      <c r="C111" s="98"/>
      <c r="D111" s="98"/>
      <c r="E111" s="98"/>
      <c r="F111" s="98"/>
      <c r="G111" s="98"/>
      <c r="H111" s="38">
        <f>0</f>
        <v>0</v>
      </c>
      <c r="I111" s="29">
        <f>G108*H111</f>
        <v>0</v>
      </c>
      <c r="J111">
        <v>4</v>
      </c>
      <c r="N111" s="4">
        <f>IF(ISERR(SEARCH("TRA* 82",C108)),IF(Q111+R111+S111=0,0,I111*(Q111/(Q111+R111+S111))),I111)</f>
        <v>0</v>
      </c>
      <c r="O111" s="4">
        <f>IF(ISERR(SEARCH("TRA* 82",C108)),IF(Q111+R111+S111=0,0,I111*(R111/(Q111+R111+S111))),0)</f>
        <v>0</v>
      </c>
      <c r="P111" s="4">
        <f>IF(ISERR(SEARCH("TRA* 82",C108)),I111-N111-O111,0)</f>
        <v>0</v>
      </c>
      <c r="Q111" s="4">
        <v>0</v>
      </c>
      <c r="R111" s="4">
        <v>0</v>
      </c>
      <c r="S111" s="4">
        <v>0</v>
      </c>
    </row>
    <row r="112" spans="1:19" x14ac:dyDescent="0.3">
      <c r="A112" s="100" t="s">
        <v>27</v>
      </c>
      <c r="B112" s="101"/>
      <c r="C112" s="101"/>
      <c r="D112" s="101"/>
      <c r="E112" s="101"/>
      <c r="F112" s="101"/>
      <c r="G112" s="101"/>
      <c r="H112" s="33">
        <f>H108+H109+H110+H111</f>
        <v>177.22140127388536</v>
      </c>
      <c r="I112" s="37">
        <f>I108+I109+I110+I111</f>
        <v>27823.760000000002</v>
      </c>
      <c r="J112">
        <v>5</v>
      </c>
    </row>
    <row r="113" spans="1:19" x14ac:dyDescent="0.3">
      <c r="A113" s="102" t="s">
        <v>759</v>
      </c>
      <c r="B113" s="102"/>
      <c r="C113" s="102"/>
      <c r="D113" s="102"/>
      <c r="E113" s="102"/>
      <c r="F113" s="102"/>
      <c r="G113" s="102"/>
      <c r="H113" s="102"/>
      <c r="I113" s="102"/>
    </row>
    <row r="114" spans="1:19" x14ac:dyDescent="0.3">
      <c r="A114" s="98" t="s">
        <v>752</v>
      </c>
      <c r="B114" s="98"/>
      <c r="C114" s="98"/>
      <c r="D114" s="98"/>
      <c r="E114" s="98"/>
      <c r="F114" s="98"/>
      <c r="G114" s="98"/>
      <c r="H114" s="98"/>
      <c r="I114" s="98"/>
    </row>
    <row r="115" spans="1:19" x14ac:dyDescent="0.3">
      <c r="A115" s="97" t="s">
        <v>753</v>
      </c>
      <c r="B115" s="97"/>
      <c r="C115" s="97"/>
      <c r="D115" s="97"/>
      <c r="E115" s="97"/>
      <c r="F115" s="97"/>
      <c r="G115" s="97"/>
      <c r="H115" s="97"/>
      <c r="I115" s="97"/>
    </row>
    <row r="116" spans="1:19" x14ac:dyDescent="0.3">
      <c r="B116" s="2">
        <v>14</v>
      </c>
      <c r="C116" s="3" t="s">
        <v>757</v>
      </c>
      <c r="D116" s="5" t="s">
        <v>40</v>
      </c>
      <c r="G116" s="30">
        <v>247.28</v>
      </c>
      <c r="H116" s="38">
        <v>100.5</v>
      </c>
      <c r="I116" s="29">
        <f>G116*H116</f>
        <v>24851.64</v>
      </c>
      <c r="J116">
        <v>1</v>
      </c>
    </row>
    <row r="117" spans="1:19" x14ac:dyDescent="0.3">
      <c r="D117" s="15" t="str">
        <f>SUBSTITUTE("Sp.mat: 0.00%",".",IF(VALUE("1.2")=1.2,".",","),2)</f>
        <v>Sp.mat: 0.00%</v>
      </c>
      <c r="F117" s="15" t="str">
        <f>SUBSTITUTE("Sp.man: 0.00%",".",IF(VALUE("1.2")=1.2,".",","),2)</f>
        <v>Sp.man: 0.00%</v>
      </c>
      <c r="G117" s="35" t="str">
        <f>SUBSTITUTE("Sp.uti: 0.00%",".",IF(VALUE("1.2")=1.2,".",","),2)</f>
        <v>Sp.uti: 0.00%</v>
      </c>
      <c r="H117" s="38">
        <f>18971.68/G116</f>
        <v>76.721449369136209</v>
      </c>
      <c r="I117" s="29">
        <f>G116*H117</f>
        <v>18971.68</v>
      </c>
      <c r="J117">
        <v>2</v>
      </c>
    </row>
    <row r="118" spans="1:19" x14ac:dyDescent="0.3">
      <c r="A118" s="88" t="s">
        <v>758</v>
      </c>
      <c r="B118" s="98"/>
      <c r="C118" s="98"/>
      <c r="D118" s="98"/>
      <c r="E118" s="98"/>
      <c r="F118" s="98"/>
      <c r="G118" s="98"/>
      <c r="H118" s="38">
        <f>(1+IF(OR(ISERR(FIND(":",G117)),ISERR(FIND("%",G117))),0,MID(G117,FIND(":",G117)+2,FIND("%",G117)-FIND(":",G117)-2)/100))*0</f>
        <v>0</v>
      </c>
      <c r="I118" s="29">
        <f>G116*H118</f>
        <v>0</v>
      </c>
      <c r="J118">
        <v>3</v>
      </c>
      <c r="K118" s="4">
        <v>0</v>
      </c>
      <c r="L118" s="4">
        <v>0</v>
      </c>
      <c r="M118" s="4">
        <f>I118-K118-L118</f>
        <v>0</v>
      </c>
    </row>
    <row r="119" spans="1:19" x14ac:dyDescent="0.3">
      <c r="A119" s="98"/>
      <c r="B119" s="98"/>
      <c r="C119" s="98"/>
      <c r="D119" s="98"/>
      <c r="E119" s="98"/>
      <c r="F119" s="98"/>
      <c r="G119" s="98"/>
      <c r="H119" s="38">
        <f>0</f>
        <v>0</v>
      </c>
      <c r="I119" s="29">
        <f>G116*H119</f>
        <v>0</v>
      </c>
      <c r="J119">
        <v>4</v>
      </c>
      <c r="N119" s="4">
        <f>IF(ISERR(SEARCH("TRA* 82",C116)),IF(Q119+R119+S119=0,0,I119*(Q119/(Q119+R119+S119))),I119)</f>
        <v>0</v>
      </c>
      <c r="O119" s="4">
        <f>IF(ISERR(SEARCH("TRA* 82",C116)),IF(Q119+R119+S119=0,0,I119*(R119/(Q119+R119+S119))),0)</f>
        <v>0</v>
      </c>
      <c r="P119" s="4">
        <f>IF(ISERR(SEARCH("TRA* 82",C116)),I119-N119-O119,0)</f>
        <v>0</v>
      </c>
      <c r="Q119" s="4">
        <v>0</v>
      </c>
      <c r="R119" s="4">
        <v>0</v>
      </c>
      <c r="S119" s="4">
        <v>0</v>
      </c>
    </row>
    <row r="120" spans="1:19" x14ac:dyDescent="0.3">
      <c r="A120" s="100" t="s">
        <v>27</v>
      </c>
      <c r="B120" s="101"/>
      <c r="C120" s="101"/>
      <c r="D120" s="101"/>
      <c r="E120" s="101"/>
      <c r="F120" s="101"/>
      <c r="G120" s="101"/>
      <c r="H120" s="33">
        <f>H116+H117+H118+H119</f>
        <v>177.22144936913622</v>
      </c>
      <c r="I120" s="37">
        <f>I116+I117+I118+I119</f>
        <v>43823.32</v>
      </c>
      <c r="J120">
        <v>5</v>
      </c>
    </row>
    <row r="121" spans="1:19" x14ac:dyDescent="0.3">
      <c r="A121" s="102" t="s">
        <v>760</v>
      </c>
      <c r="B121" s="102"/>
      <c r="C121" s="102"/>
      <c r="D121" s="102"/>
      <c r="E121" s="102"/>
      <c r="F121" s="102"/>
      <c r="G121" s="102"/>
      <c r="H121" s="102"/>
      <c r="I121" s="102"/>
    </row>
    <row r="122" spans="1:19" x14ac:dyDescent="0.3">
      <c r="A122" s="98" t="s">
        <v>752</v>
      </c>
      <c r="B122" s="98"/>
      <c r="C122" s="98"/>
      <c r="D122" s="98"/>
      <c r="E122" s="98"/>
      <c r="F122" s="98"/>
      <c r="G122" s="98"/>
      <c r="H122" s="98"/>
      <c r="I122" s="98"/>
    </row>
    <row r="123" spans="1:19" x14ac:dyDescent="0.3">
      <c r="A123" s="97" t="s">
        <v>753</v>
      </c>
      <c r="B123" s="97"/>
      <c r="C123" s="97"/>
      <c r="D123" s="97"/>
      <c r="E123" s="97"/>
      <c r="F123" s="97"/>
      <c r="G123" s="97"/>
      <c r="H123" s="97"/>
      <c r="I123" s="97"/>
    </row>
    <row r="124" spans="1:19" x14ac:dyDescent="0.3">
      <c r="B124" s="2">
        <v>15</v>
      </c>
      <c r="C124" s="3" t="s">
        <v>757</v>
      </c>
      <c r="D124" s="5" t="s">
        <v>40</v>
      </c>
      <c r="G124" s="30">
        <v>94.2</v>
      </c>
      <c r="H124" s="38">
        <f>9466.94/G124</f>
        <v>100.49830148619958</v>
      </c>
      <c r="I124" s="29">
        <f>G124*H124</f>
        <v>9466.94</v>
      </c>
      <c r="J124">
        <v>1</v>
      </c>
    </row>
    <row r="125" spans="1:19" x14ac:dyDescent="0.3">
      <c r="D125" s="15" t="str">
        <f>SUBSTITUTE("Sp.mat: 0.00%",".",IF(VALUE("1.2")=1.2,".",","),2)</f>
        <v>Sp.mat: 0.00%</v>
      </c>
      <c r="F125" s="15" t="str">
        <f>SUBSTITUTE("Sp.man: 0.00%",".",IF(VALUE("1.2")=1.2,".",","),2)</f>
        <v>Sp.man: 0.00%</v>
      </c>
      <c r="G125" s="35" t="str">
        <f>SUBSTITUTE("Sp.uti: 0.00%",".",IF(VALUE("1.2")=1.2,".",","),2)</f>
        <v>Sp.uti: 0.00%</v>
      </c>
      <c r="H125" s="38">
        <f>7227.16/G124</f>
        <v>76.72144373673035</v>
      </c>
      <c r="I125" s="29">
        <f>G124*H125</f>
        <v>7227.1599999999989</v>
      </c>
      <c r="J125">
        <v>2</v>
      </c>
    </row>
    <row r="126" spans="1:19" x14ac:dyDescent="0.3">
      <c r="A126" s="88" t="s">
        <v>758</v>
      </c>
      <c r="B126" s="98"/>
      <c r="C126" s="98"/>
      <c r="D126" s="98"/>
      <c r="E126" s="98"/>
      <c r="F126" s="98"/>
      <c r="G126" s="98"/>
      <c r="H126" s="38">
        <f>(1+IF(OR(ISERR(FIND(":",G125)),ISERR(FIND("%",G125))),0,MID(G125,FIND(":",G125)+2,FIND("%",G125)-FIND(":",G125)-2)/100))*0</f>
        <v>0</v>
      </c>
      <c r="I126" s="29">
        <f>G124*H126</f>
        <v>0</v>
      </c>
      <c r="J126">
        <v>3</v>
      </c>
      <c r="K126" s="4">
        <v>0</v>
      </c>
      <c r="L126" s="4">
        <v>0</v>
      </c>
      <c r="M126" s="4">
        <f>I126-K126-L126</f>
        <v>0</v>
      </c>
    </row>
    <row r="127" spans="1:19" x14ac:dyDescent="0.3">
      <c r="A127" s="98"/>
      <c r="B127" s="98"/>
      <c r="C127" s="98"/>
      <c r="D127" s="98"/>
      <c r="E127" s="98"/>
      <c r="F127" s="98"/>
      <c r="G127" s="98"/>
      <c r="H127" s="38">
        <f>0</f>
        <v>0</v>
      </c>
      <c r="I127" s="29">
        <f>G124*H127</f>
        <v>0</v>
      </c>
      <c r="J127">
        <v>4</v>
      </c>
      <c r="N127" s="4">
        <f>IF(ISERR(SEARCH("TRA* 82",C124)),IF(Q127+R127+S127=0,0,I127*(Q127/(Q127+R127+S127))),I127)</f>
        <v>0</v>
      </c>
      <c r="O127" s="4">
        <f>IF(ISERR(SEARCH("TRA* 82",C124)),IF(Q127+R127+S127=0,0,I127*(R127/(Q127+R127+S127))),0)</f>
        <v>0</v>
      </c>
      <c r="P127" s="4">
        <f>IF(ISERR(SEARCH("TRA* 82",C124)),I127-N127-O127,0)</f>
        <v>0</v>
      </c>
      <c r="Q127" s="4">
        <v>0</v>
      </c>
      <c r="R127" s="4">
        <v>0</v>
      </c>
      <c r="S127" s="4">
        <v>0</v>
      </c>
    </row>
    <row r="128" spans="1:19" x14ac:dyDescent="0.3">
      <c r="A128" s="100" t="s">
        <v>27</v>
      </c>
      <c r="B128" s="101"/>
      <c r="C128" s="101"/>
      <c r="D128" s="101"/>
      <c r="E128" s="101"/>
      <c r="F128" s="101"/>
      <c r="G128" s="101"/>
      <c r="H128" s="33">
        <f>H124+H125+H126+H127</f>
        <v>177.21974522292993</v>
      </c>
      <c r="I128" s="37">
        <f>I124+I125+I126+I127</f>
        <v>16694.099999999999</v>
      </c>
      <c r="J128">
        <v>5</v>
      </c>
    </row>
    <row r="129" spans="1:19" x14ac:dyDescent="0.3">
      <c r="A129" s="102" t="s">
        <v>761</v>
      </c>
      <c r="B129" s="102"/>
      <c r="C129" s="102"/>
      <c r="D129" s="102"/>
      <c r="E129" s="102"/>
      <c r="F129" s="102"/>
      <c r="G129" s="102"/>
      <c r="H129" s="102"/>
      <c r="I129" s="102"/>
    </row>
    <row r="130" spans="1:19" x14ac:dyDescent="0.3">
      <c r="A130" s="98" t="s">
        <v>735</v>
      </c>
      <c r="B130" s="98"/>
      <c r="C130" s="98"/>
      <c r="D130" s="98"/>
      <c r="E130" s="98"/>
      <c r="F130" s="98"/>
      <c r="G130" s="98"/>
      <c r="H130" s="98"/>
      <c r="I130" s="98"/>
    </row>
    <row r="131" spans="1:19" x14ac:dyDescent="0.3">
      <c r="A131" s="97" t="s">
        <v>746</v>
      </c>
      <c r="B131" s="97"/>
      <c r="C131" s="97"/>
      <c r="D131" s="97"/>
      <c r="E131" s="97"/>
      <c r="F131" s="97"/>
      <c r="G131" s="97"/>
      <c r="H131" s="97"/>
      <c r="I131" s="97"/>
    </row>
    <row r="132" spans="1:19" x14ac:dyDescent="0.3">
      <c r="B132" s="2">
        <v>16</v>
      </c>
      <c r="C132" s="3" t="s">
        <v>762</v>
      </c>
      <c r="D132" s="5" t="s">
        <v>40</v>
      </c>
      <c r="G132" s="30">
        <v>118.69</v>
      </c>
      <c r="H132" s="38">
        <f>12247.83/G132</f>
        <v>103.19176004718173</v>
      </c>
      <c r="I132" s="29">
        <f>G132*H132</f>
        <v>12247.83</v>
      </c>
      <c r="J132">
        <v>1</v>
      </c>
    </row>
    <row r="133" spans="1:19" x14ac:dyDescent="0.3">
      <c r="D133" s="15" t="str">
        <f>SUBSTITUTE("Sp.mat: 0.00%",".",IF(VALUE("1.2")=1.2,".",","),2)</f>
        <v>Sp.mat: 0.00%</v>
      </c>
      <c r="F133" s="15" t="str">
        <f>SUBSTITUTE("Sp.man: 0.00%",".",IF(VALUE("1.2")=1.2,".",","),2)</f>
        <v>Sp.man: 0.00%</v>
      </c>
      <c r="G133" s="35" t="str">
        <f>SUBSTITUTE("Sp.uti: 0.00%",".",IF(VALUE("1.2")=1.2,".",","),2)</f>
        <v>Sp.uti: 0.00%</v>
      </c>
      <c r="H133" s="38">
        <f>9657.38/G132</f>
        <v>81.366416715814296</v>
      </c>
      <c r="I133" s="29">
        <f>G132*H133</f>
        <v>9657.3799999999992</v>
      </c>
      <c r="J133">
        <v>2</v>
      </c>
    </row>
    <row r="134" spans="1:19" x14ac:dyDescent="0.3">
      <c r="A134" s="88" t="s">
        <v>763</v>
      </c>
      <c r="B134" s="98"/>
      <c r="C134" s="98"/>
      <c r="D134" s="98"/>
      <c r="E134" s="98"/>
      <c r="F134" s="98"/>
      <c r="G134" s="98"/>
      <c r="H134" s="38">
        <f>(1+IF(OR(ISERR(FIND(":",G133)),ISERR(FIND("%",G133))),0,MID(G133,FIND(":",G133)+2,FIND("%",G133)-FIND(":",G133)-2)/100))*0</f>
        <v>0</v>
      </c>
      <c r="I134" s="29">
        <f>G132*H134</f>
        <v>0</v>
      </c>
      <c r="J134">
        <v>3</v>
      </c>
      <c r="K134" s="4">
        <v>0</v>
      </c>
      <c r="L134" s="4">
        <v>0</v>
      </c>
      <c r="M134" s="4">
        <f>I134-K134-L134</f>
        <v>0</v>
      </c>
    </row>
    <row r="135" spans="1:19" x14ac:dyDescent="0.3">
      <c r="A135" s="98"/>
      <c r="B135" s="98"/>
      <c r="C135" s="98"/>
      <c r="D135" s="98"/>
      <c r="E135" s="98"/>
      <c r="F135" s="98"/>
      <c r="G135" s="98"/>
      <c r="H135" s="38">
        <f>0</f>
        <v>0</v>
      </c>
      <c r="I135" s="29">
        <f>G132*H135</f>
        <v>0</v>
      </c>
      <c r="J135">
        <v>4</v>
      </c>
      <c r="N135" s="4">
        <f>IF(ISERR(SEARCH("TRA* 82",C132)),IF(Q135+R135+S135=0,0,I135*(Q135/(Q135+R135+S135))),I135)</f>
        <v>0</v>
      </c>
      <c r="O135" s="4">
        <f>IF(ISERR(SEARCH("TRA* 82",C132)),IF(Q135+R135+S135=0,0,I135*(R135/(Q135+R135+S135))),0)</f>
        <v>0</v>
      </c>
      <c r="P135" s="4">
        <f>IF(ISERR(SEARCH("TRA* 82",C132)),I135-N135-O135,0)</f>
        <v>0</v>
      </c>
      <c r="Q135" s="4">
        <v>0</v>
      </c>
      <c r="R135" s="4">
        <v>0</v>
      </c>
      <c r="S135" s="4">
        <v>0</v>
      </c>
    </row>
    <row r="136" spans="1:19" x14ac:dyDescent="0.3">
      <c r="A136" s="100" t="s">
        <v>27</v>
      </c>
      <c r="B136" s="101"/>
      <c r="C136" s="101"/>
      <c r="D136" s="101"/>
      <c r="E136" s="101"/>
      <c r="F136" s="101"/>
      <c r="G136" s="101"/>
      <c r="H136" s="33">
        <f>H132+H133+H134+H135</f>
        <v>184.55817676299603</v>
      </c>
      <c r="I136" s="37">
        <f>I132+I133+I134+I135</f>
        <v>21905.21</v>
      </c>
      <c r="J136">
        <v>5</v>
      </c>
    </row>
    <row r="137" spans="1:19" x14ac:dyDescent="0.3">
      <c r="A137" s="102" t="s">
        <v>764</v>
      </c>
      <c r="B137" s="102"/>
      <c r="C137" s="102"/>
      <c r="D137" s="102"/>
      <c r="E137" s="102"/>
      <c r="F137" s="102"/>
      <c r="G137" s="102"/>
      <c r="H137" s="102"/>
      <c r="I137" s="102"/>
    </row>
    <row r="138" spans="1:19" x14ac:dyDescent="0.3">
      <c r="A138" s="98" t="s">
        <v>735</v>
      </c>
      <c r="B138" s="98"/>
      <c r="C138" s="98"/>
      <c r="D138" s="98"/>
      <c r="E138" s="98"/>
      <c r="F138" s="98"/>
      <c r="G138" s="98"/>
      <c r="H138" s="98"/>
      <c r="I138" s="98"/>
    </row>
    <row r="139" spans="1:19" x14ac:dyDescent="0.3">
      <c r="A139" s="97" t="s">
        <v>746</v>
      </c>
      <c r="B139" s="97"/>
      <c r="C139" s="97"/>
      <c r="D139" s="97"/>
      <c r="E139" s="97"/>
      <c r="F139" s="97"/>
      <c r="G139" s="97"/>
      <c r="H139" s="97"/>
      <c r="I139" s="97"/>
    </row>
    <row r="140" spans="1:19" x14ac:dyDescent="0.3">
      <c r="B140" s="2">
        <v>17</v>
      </c>
      <c r="C140" s="3" t="s">
        <v>762</v>
      </c>
      <c r="D140" s="5" t="s">
        <v>40</v>
      </c>
      <c r="G140" s="30">
        <v>133.76</v>
      </c>
      <c r="H140" s="38">
        <f>13802.93/G140</f>
        <v>103.19176136363637</v>
      </c>
      <c r="I140" s="29">
        <f>G140*H140</f>
        <v>13802.93</v>
      </c>
      <c r="J140">
        <v>1</v>
      </c>
    </row>
    <row r="141" spans="1:19" x14ac:dyDescent="0.3">
      <c r="D141" s="15" t="str">
        <f>SUBSTITUTE("Sp.mat: 0.00%",".",IF(VALUE("1.2")=1.2,".",","),2)</f>
        <v>Sp.mat: 0.00%</v>
      </c>
      <c r="F141" s="15" t="str">
        <f>SUBSTITUTE("Sp.man: 0.00%",".",IF(VALUE("1.2")=1.2,".",","),2)</f>
        <v>Sp.man: 0.00%</v>
      </c>
      <c r="G141" s="35" t="str">
        <f>SUBSTITUTE("Sp.uti: 0.00%",".",IF(VALUE("1.2")=1.2,".",","),2)</f>
        <v>Sp.uti: 0.00%</v>
      </c>
      <c r="H141" s="38">
        <f>10883.56/G140</f>
        <v>81.366327751196181</v>
      </c>
      <c r="I141" s="29">
        <f>G140*H141</f>
        <v>10883.560000000001</v>
      </c>
      <c r="J141">
        <v>2</v>
      </c>
    </row>
    <row r="142" spans="1:19" x14ac:dyDescent="0.3">
      <c r="A142" s="88" t="s">
        <v>763</v>
      </c>
      <c r="B142" s="98"/>
      <c r="C142" s="98"/>
      <c r="D142" s="98"/>
      <c r="E142" s="98"/>
      <c r="F142" s="98"/>
      <c r="G142" s="98"/>
      <c r="H142" s="38">
        <f>(1+IF(OR(ISERR(FIND(":",G141)),ISERR(FIND("%",G141))),0,MID(G141,FIND(":",G141)+2,FIND("%",G141)-FIND(":",G141)-2)/100))*0</f>
        <v>0</v>
      </c>
      <c r="I142" s="29">
        <f>G140*H142</f>
        <v>0</v>
      </c>
      <c r="J142">
        <v>3</v>
      </c>
      <c r="K142" s="4">
        <v>0</v>
      </c>
      <c r="L142" s="4">
        <v>0</v>
      </c>
      <c r="M142" s="4">
        <f>I142-K142-L142</f>
        <v>0</v>
      </c>
    </row>
    <row r="143" spans="1:19" x14ac:dyDescent="0.3">
      <c r="A143" s="98"/>
      <c r="B143" s="98"/>
      <c r="C143" s="98"/>
      <c r="D143" s="98"/>
      <c r="E143" s="98"/>
      <c r="F143" s="98"/>
      <c r="G143" s="98"/>
      <c r="H143" s="38">
        <f>0</f>
        <v>0</v>
      </c>
      <c r="I143" s="29">
        <f>G140*H143</f>
        <v>0</v>
      </c>
      <c r="J143">
        <v>4</v>
      </c>
      <c r="N143" s="4">
        <f>IF(ISERR(SEARCH("TRA* 82",C140)),IF(Q143+R143+S143=0,0,I143*(Q143/(Q143+R143+S143))),I143)</f>
        <v>0</v>
      </c>
      <c r="O143" s="4">
        <f>IF(ISERR(SEARCH("TRA* 82",C140)),IF(Q143+R143+S143=0,0,I143*(R143/(Q143+R143+S143))),0)</f>
        <v>0</v>
      </c>
      <c r="P143" s="4">
        <f>IF(ISERR(SEARCH("TRA* 82",C140)),I143-N143-O143,0)</f>
        <v>0</v>
      </c>
      <c r="Q143" s="4">
        <v>0</v>
      </c>
      <c r="R143" s="4">
        <v>0</v>
      </c>
      <c r="S143" s="4">
        <v>0</v>
      </c>
    </row>
    <row r="144" spans="1:19" x14ac:dyDescent="0.3">
      <c r="A144" s="100" t="s">
        <v>27</v>
      </c>
      <c r="B144" s="101"/>
      <c r="C144" s="101"/>
      <c r="D144" s="101"/>
      <c r="E144" s="101"/>
      <c r="F144" s="101"/>
      <c r="G144" s="101"/>
      <c r="H144" s="33">
        <f>H140+H141+H142+H143</f>
        <v>184.55808911483257</v>
      </c>
      <c r="I144" s="37">
        <f>I140+I141+I142+I143</f>
        <v>24686.49</v>
      </c>
      <c r="J144">
        <v>5</v>
      </c>
    </row>
    <row r="145" spans="1:19" x14ac:dyDescent="0.3">
      <c r="A145" s="102" t="s">
        <v>765</v>
      </c>
      <c r="B145" s="102"/>
      <c r="C145" s="102"/>
      <c r="D145" s="102"/>
      <c r="E145" s="102"/>
      <c r="F145" s="102"/>
      <c r="G145" s="102"/>
      <c r="H145" s="102"/>
      <c r="I145" s="102"/>
    </row>
    <row r="146" spans="1:19" x14ac:dyDescent="0.3">
      <c r="A146" s="98" t="s">
        <v>766</v>
      </c>
      <c r="B146" s="98"/>
      <c r="C146" s="98"/>
      <c r="D146" s="98"/>
      <c r="E146" s="98"/>
      <c r="F146" s="98"/>
      <c r="G146" s="98"/>
      <c r="H146" s="98"/>
      <c r="I146" s="98"/>
    </row>
    <row r="147" spans="1:19" x14ac:dyDescent="0.3">
      <c r="A147" s="97" t="s">
        <v>746</v>
      </c>
      <c r="B147" s="97"/>
      <c r="C147" s="97"/>
      <c r="D147" s="97"/>
      <c r="E147" s="97"/>
      <c r="F147" s="97"/>
      <c r="G147" s="97"/>
      <c r="H147" s="97"/>
      <c r="I147" s="97"/>
    </row>
    <row r="148" spans="1:19" x14ac:dyDescent="0.3">
      <c r="B148" s="2">
        <v>18</v>
      </c>
      <c r="C148" s="3" t="s">
        <v>767</v>
      </c>
      <c r="D148" s="5" t="s">
        <v>40</v>
      </c>
      <c r="G148" s="30">
        <v>1635.17</v>
      </c>
      <c r="H148" s="38">
        <f>121838.29/G148</f>
        <v>74.511084474397151</v>
      </c>
      <c r="I148" s="29">
        <f>G148*H148</f>
        <v>121838.29</v>
      </c>
      <c r="J148">
        <v>1</v>
      </c>
    </row>
    <row r="149" spans="1:19" x14ac:dyDescent="0.3">
      <c r="D149" s="15" t="str">
        <f>SUBSTITUTE("Sp.mat: 0.00%",".",IF(VALUE("1.2")=1.2,".",","),2)</f>
        <v>Sp.mat: 0.00%</v>
      </c>
      <c r="F149" s="15" t="str">
        <f>SUBSTITUTE("Sp.man: 0.00%",".",IF(VALUE("1.2")=1.2,".",","),2)</f>
        <v>Sp.man: 0.00%</v>
      </c>
      <c r="G149" s="35" t="str">
        <f>SUBSTITUTE("Sp.uti: 0.00%",".",IF(VALUE("1.2")=1.2,".",","),2)</f>
        <v>Sp.uti: 0.00%</v>
      </c>
      <c r="H149" s="38">
        <f>4714.29/G148</f>
        <v>2.8830580306634781</v>
      </c>
      <c r="I149" s="29">
        <f>G148*H149</f>
        <v>4714.29</v>
      </c>
      <c r="J149">
        <v>2</v>
      </c>
    </row>
    <row r="150" spans="1:19" x14ac:dyDescent="0.3">
      <c r="A150" s="88" t="s">
        <v>768</v>
      </c>
      <c r="B150" s="98"/>
      <c r="C150" s="98"/>
      <c r="D150" s="98"/>
      <c r="E150" s="98"/>
      <c r="F150" s="98"/>
      <c r="G150" s="98"/>
      <c r="H150" s="38">
        <f>51.07/G148</f>
        <v>3.1232226618639038E-2</v>
      </c>
      <c r="I150" s="29">
        <f>G148*H150</f>
        <v>51.07</v>
      </c>
      <c r="J150">
        <v>3</v>
      </c>
      <c r="K150" s="4">
        <v>0</v>
      </c>
      <c r="L150" s="4">
        <v>0</v>
      </c>
      <c r="M150" s="4">
        <f>I150-K150-L150</f>
        <v>51.07</v>
      </c>
    </row>
    <row r="151" spans="1:19" x14ac:dyDescent="0.3">
      <c r="A151" s="98"/>
      <c r="B151" s="98"/>
      <c r="C151" s="98"/>
      <c r="D151" s="98"/>
      <c r="E151" s="98"/>
      <c r="F151" s="98"/>
      <c r="G151" s="98"/>
      <c r="H151" s="38">
        <f>0</f>
        <v>0</v>
      </c>
      <c r="I151" s="29">
        <f>G148*H151</f>
        <v>0</v>
      </c>
      <c r="J151">
        <v>4</v>
      </c>
      <c r="N151" s="4">
        <f>IF(ISERR(SEARCH("TRA* 82",C148)),IF(Q151+R151+S151=0,0,I151*(Q151/(Q151+R151+S151))),I151)</f>
        <v>0</v>
      </c>
      <c r="O151" s="4">
        <f>IF(ISERR(SEARCH("TRA* 82",C148)),IF(Q151+R151+S151=0,0,I151*(R151/(Q151+R151+S151))),0)</f>
        <v>0</v>
      </c>
      <c r="P151" s="4">
        <f>IF(ISERR(SEARCH("TRA* 82",C148)),I151-N151-O151,0)</f>
        <v>0</v>
      </c>
      <c r="Q151" s="4">
        <v>0</v>
      </c>
      <c r="R151" s="4">
        <v>0</v>
      </c>
      <c r="S151" s="4">
        <v>0</v>
      </c>
    </row>
    <row r="152" spans="1:19" x14ac:dyDescent="0.3">
      <c r="A152" s="96" t="s">
        <v>27</v>
      </c>
      <c r="B152" s="97"/>
      <c r="C152" s="97"/>
      <c r="D152" s="97"/>
      <c r="E152" s="97"/>
      <c r="F152" s="97"/>
      <c r="G152" s="97"/>
      <c r="H152" s="36">
        <f>H148+H149+H150+H151</f>
        <v>77.42537473167927</v>
      </c>
      <c r="I152" s="74">
        <f>I148+I149+I150+I151</f>
        <v>126603.65</v>
      </c>
      <c r="J152">
        <v>5</v>
      </c>
    </row>
    <row r="153" spans="1:19" x14ac:dyDescent="0.3">
      <c r="B153" s="2">
        <v>19</v>
      </c>
      <c r="C153" s="3" t="s">
        <v>769</v>
      </c>
      <c r="D153" s="5" t="s">
        <v>40</v>
      </c>
      <c r="G153" s="30">
        <v>1635.17</v>
      </c>
      <c r="H153" s="38">
        <f>46444.52/G153</f>
        <v>28.403480983628612</v>
      </c>
      <c r="I153" s="29">
        <f>G153*H153</f>
        <v>46444.52</v>
      </c>
      <c r="J153">
        <v>1</v>
      </c>
    </row>
    <row r="154" spans="1:19" x14ac:dyDescent="0.3">
      <c r="D154" s="15" t="str">
        <f>SUBSTITUTE("Sp.mat: 0.00%",".",IF(VALUE("1.2")=1.2,".",","),2)</f>
        <v>Sp.mat: 0.00%</v>
      </c>
      <c r="F154" s="15" t="str">
        <f>SUBSTITUTE("Sp.man: 0.00%",".",IF(VALUE("1.2")=1.2,".",","),2)</f>
        <v>Sp.man: 0.00%</v>
      </c>
      <c r="G154" s="35" t="str">
        <f>SUBSTITUTE("Sp.uti: 0.00%",".",IF(VALUE("1.2")=1.2,".",","),2)</f>
        <v>Sp.uti: 0.00%</v>
      </c>
      <c r="H154" s="38">
        <f>(1+IF(OR(ISERR(FIND(":",F154)),ISERR(FIND("%",F154))),0,MID(F154,FIND(":",F154)+2,FIND("%",F154)-FIND(":",F154)-2)/100))*0</f>
        <v>0</v>
      </c>
      <c r="I154" s="29">
        <f>G153*H154</f>
        <v>0</v>
      </c>
      <c r="J154">
        <v>2</v>
      </c>
    </row>
    <row r="155" spans="1:19" x14ac:dyDescent="0.3">
      <c r="A155" s="88" t="s">
        <v>770</v>
      </c>
      <c r="B155" s="98"/>
      <c r="C155" s="98"/>
      <c r="D155" s="98"/>
      <c r="E155" s="98"/>
      <c r="F155" s="98"/>
      <c r="G155" s="98"/>
      <c r="H155" s="38">
        <f>(1+IF(OR(ISERR(FIND(":",G154)),ISERR(FIND("%",G154))),0,MID(G154,FIND(":",G154)+2,FIND("%",G154)-FIND(":",G154)-2)/100))*0</f>
        <v>0</v>
      </c>
      <c r="I155" s="29">
        <f>G153*H155</f>
        <v>0</v>
      </c>
      <c r="J155">
        <v>3</v>
      </c>
      <c r="K155" s="4">
        <v>0</v>
      </c>
      <c r="L155" s="4">
        <v>0</v>
      </c>
      <c r="M155" s="4">
        <f>I155-K155-L155</f>
        <v>0</v>
      </c>
    </row>
    <row r="156" spans="1:19" x14ac:dyDescent="0.3">
      <c r="A156" s="98"/>
      <c r="B156" s="98"/>
      <c r="C156" s="98"/>
      <c r="D156" s="98"/>
      <c r="E156" s="98"/>
      <c r="F156" s="98"/>
      <c r="G156" s="98"/>
      <c r="H156" s="38">
        <f>0</f>
        <v>0</v>
      </c>
      <c r="I156" s="29">
        <f>G153*H156</f>
        <v>0</v>
      </c>
      <c r="J156">
        <v>4</v>
      </c>
      <c r="N156" s="4">
        <f>IF(ISERR(SEARCH("TRA* 82",C153)),IF(Q156+R156+S156=0,0,I156*(Q156/(Q156+R156+S156))),I156)</f>
        <v>0</v>
      </c>
      <c r="O156" s="4">
        <f>IF(ISERR(SEARCH("TRA* 82",C153)),IF(Q156+R156+S156=0,0,I156*(R156/(Q156+R156+S156))),0)</f>
        <v>0</v>
      </c>
      <c r="P156" s="4">
        <f>IF(ISERR(SEARCH("TRA* 82",C153)),I156-N156-O156,0)</f>
        <v>0</v>
      </c>
      <c r="Q156" s="4">
        <v>0</v>
      </c>
      <c r="R156" s="4">
        <v>0</v>
      </c>
      <c r="S156" s="4">
        <v>0</v>
      </c>
    </row>
    <row r="157" spans="1:19" x14ac:dyDescent="0.3">
      <c r="A157" s="96" t="s">
        <v>27</v>
      </c>
      <c r="B157" s="97"/>
      <c r="C157" s="97"/>
      <c r="D157" s="97"/>
      <c r="E157" s="97"/>
      <c r="F157" s="97"/>
      <c r="G157" s="97"/>
      <c r="H157" s="36">
        <f>H153+H154+H155+H156</f>
        <v>28.403480983628612</v>
      </c>
      <c r="I157" s="74">
        <f>I153+I154+I155+I156</f>
        <v>46444.52</v>
      </c>
      <c r="J157">
        <v>5</v>
      </c>
    </row>
    <row r="158" spans="1:19" x14ac:dyDescent="0.3">
      <c r="B158" s="2">
        <v>20</v>
      </c>
      <c r="C158" s="3" t="s">
        <v>771</v>
      </c>
      <c r="D158" s="5" t="s">
        <v>25</v>
      </c>
      <c r="G158" s="30">
        <v>15</v>
      </c>
      <c r="H158" s="38">
        <v>94.8</v>
      </c>
      <c r="I158" s="29">
        <f>G158*H158</f>
        <v>1422</v>
      </c>
      <c r="J158">
        <v>1</v>
      </c>
    </row>
    <row r="159" spans="1:19" x14ac:dyDescent="0.3">
      <c r="D159" s="15" t="str">
        <f>SUBSTITUTE("Sp.mat: 0.00%",".",IF(VALUE("1.2")=1.2,".",","),2)</f>
        <v>Sp.mat: 0.00%</v>
      </c>
      <c r="F159" s="15" t="str">
        <f>SUBSTITUTE("Sp.man: 0.00%",".",IF(VALUE("1.2")=1.2,".",","),2)</f>
        <v>Sp.man: 0.00%</v>
      </c>
      <c r="G159" s="35" t="str">
        <f>SUBSTITUTE("Sp.uti: 0.00%",".",IF(VALUE("1.2")=1.2,".",","),2)</f>
        <v>Sp.uti: 0.00%</v>
      </c>
      <c r="H159" s="38">
        <f>312.33/G158</f>
        <v>20.821999999999999</v>
      </c>
      <c r="I159" s="29">
        <f>G158*H159</f>
        <v>312.33</v>
      </c>
      <c r="J159">
        <v>2</v>
      </c>
    </row>
    <row r="160" spans="1:19" x14ac:dyDescent="0.3">
      <c r="A160" s="88" t="s">
        <v>772</v>
      </c>
      <c r="B160" s="98"/>
      <c r="C160" s="98"/>
      <c r="D160" s="98"/>
      <c r="E160" s="98"/>
      <c r="F160" s="98"/>
      <c r="G160" s="98"/>
      <c r="H160" s="38">
        <f>(1+IF(OR(ISERR(FIND(":",G159)),ISERR(FIND("%",G159))),0,MID(G159,FIND(":",G159)+2,FIND("%",G159)-FIND(":",G159)-2)/100))*0</f>
        <v>0</v>
      </c>
      <c r="I160" s="29">
        <f>G158*H160</f>
        <v>0</v>
      </c>
      <c r="J160">
        <v>3</v>
      </c>
      <c r="K160" s="4">
        <v>0</v>
      </c>
      <c r="L160" s="4">
        <v>0</v>
      </c>
      <c r="M160" s="4">
        <f>I160-K160-L160</f>
        <v>0</v>
      </c>
    </row>
    <row r="161" spans="1:19" x14ac:dyDescent="0.3">
      <c r="A161" s="98"/>
      <c r="B161" s="98"/>
      <c r="C161" s="98"/>
      <c r="D161" s="98"/>
      <c r="E161" s="98"/>
      <c r="F161" s="98"/>
      <c r="G161" s="98"/>
      <c r="H161" s="38">
        <f>0</f>
        <v>0</v>
      </c>
      <c r="I161" s="29">
        <f>G158*H161</f>
        <v>0</v>
      </c>
      <c r="J161">
        <v>4</v>
      </c>
      <c r="N161" s="4">
        <f>IF(ISERR(SEARCH("TRA* 82",C158)),IF(Q161+R161+S161=0,0,I161*(Q161/(Q161+R161+S161))),I161)</f>
        <v>0</v>
      </c>
      <c r="O161" s="4">
        <f>IF(ISERR(SEARCH("TRA* 82",C158)),IF(Q161+R161+S161=0,0,I161*(R161/(Q161+R161+S161))),0)</f>
        <v>0</v>
      </c>
      <c r="P161" s="4">
        <f>IF(ISERR(SEARCH("TRA* 82",C158)),I161-N161-O161,0)</f>
        <v>0</v>
      </c>
      <c r="Q161" s="4">
        <v>0</v>
      </c>
      <c r="R161" s="4">
        <v>0</v>
      </c>
      <c r="S161" s="4">
        <v>0</v>
      </c>
    </row>
    <row r="162" spans="1:19" x14ac:dyDescent="0.3">
      <c r="A162" s="96" t="s">
        <v>27</v>
      </c>
      <c r="B162" s="97"/>
      <c r="C162" s="97"/>
      <c r="D162" s="97"/>
      <c r="E162" s="97"/>
      <c r="F162" s="97"/>
      <c r="G162" s="97"/>
      <c r="H162" s="36">
        <f>H158+H159+H160+H161</f>
        <v>115.622</v>
      </c>
      <c r="I162" s="74">
        <f>I158+I159+I160+I161</f>
        <v>1734.33</v>
      </c>
      <c r="J162">
        <v>5</v>
      </c>
    </row>
    <row r="163" spans="1:19" x14ac:dyDescent="0.3">
      <c r="B163" s="2">
        <v>21</v>
      </c>
      <c r="C163" s="3" t="s">
        <v>771</v>
      </c>
      <c r="D163" s="5" t="s">
        <v>25</v>
      </c>
      <c r="G163" s="30">
        <v>60</v>
      </c>
      <c r="H163" s="38">
        <v>8.76</v>
      </c>
      <c r="I163" s="29">
        <f>G163*H163</f>
        <v>525.6</v>
      </c>
      <c r="J163">
        <v>1</v>
      </c>
    </row>
    <row r="164" spans="1:19" x14ac:dyDescent="0.3">
      <c r="D164" s="15" t="str">
        <f>SUBSTITUTE("Sp.mat: 0.00%",".",IF(VALUE("1.2")=1.2,".",","),2)</f>
        <v>Sp.mat: 0.00%</v>
      </c>
      <c r="F164" s="15" t="str">
        <f>SUBSTITUTE("Sp.man: 0.00%",".",IF(VALUE("1.2")=1.2,".",","),2)</f>
        <v>Sp.man: 0.00%</v>
      </c>
      <c r="G164" s="35" t="str">
        <f>SUBSTITUTE("Sp.uti: 0.00%",".",IF(VALUE("1.2")=1.2,".",","),2)</f>
        <v>Sp.uti: 0.00%</v>
      </c>
      <c r="H164" s="38">
        <f>1249.33/G163</f>
        <v>20.822166666666664</v>
      </c>
      <c r="I164" s="29">
        <f>G163*H164</f>
        <v>1249.33</v>
      </c>
      <c r="J164">
        <v>2</v>
      </c>
    </row>
    <row r="165" spans="1:19" x14ac:dyDescent="0.3">
      <c r="A165" s="88" t="s">
        <v>772</v>
      </c>
      <c r="B165" s="98"/>
      <c r="C165" s="98"/>
      <c r="D165" s="98"/>
      <c r="E165" s="98"/>
      <c r="F165" s="98"/>
      <c r="G165" s="98"/>
      <c r="H165" s="38">
        <f>(1+IF(OR(ISERR(FIND(":",G164)),ISERR(FIND("%",G164))),0,MID(G164,FIND(":",G164)+2,FIND("%",G164)-FIND(":",G164)-2)/100))*0</f>
        <v>0</v>
      </c>
      <c r="I165" s="29">
        <f>G163*H165</f>
        <v>0</v>
      </c>
      <c r="J165">
        <v>3</v>
      </c>
      <c r="K165" s="4">
        <v>0</v>
      </c>
      <c r="L165" s="4">
        <v>0</v>
      </c>
      <c r="M165" s="4">
        <f>I165-K165-L165</f>
        <v>0</v>
      </c>
    </row>
    <row r="166" spans="1:19" x14ac:dyDescent="0.3">
      <c r="A166" s="98"/>
      <c r="B166" s="98"/>
      <c r="C166" s="98"/>
      <c r="D166" s="98"/>
      <c r="E166" s="98"/>
      <c r="F166" s="98"/>
      <c r="G166" s="98"/>
      <c r="H166" s="38">
        <f>0</f>
        <v>0</v>
      </c>
      <c r="I166" s="29">
        <f>G163*H166</f>
        <v>0</v>
      </c>
      <c r="J166">
        <v>4</v>
      </c>
      <c r="N166" s="4">
        <f>IF(ISERR(SEARCH("TRA* 82",C163)),IF(Q166+R166+S166=0,0,I166*(Q166/(Q166+R166+S166))),I166)</f>
        <v>0</v>
      </c>
      <c r="O166" s="4">
        <f>IF(ISERR(SEARCH("TRA* 82",C163)),IF(Q166+R166+S166=0,0,I166*(R166/(Q166+R166+S166))),0)</f>
        <v>0</v>
      </c>
      <c r="P166" s="4">
        <f>IF(ISERR(SEARCH("TRA* 82",C163)),I166-N166-O166,0)</f>
        <v>0</v>
      </c>
      <c r="Q166" s="4">
        <v>0</v>
      </c>
      <c r="R166" s="4">
        <v>0</v>
      </c>
      <c r="S166" s="4">
        <v>0</v>
      </c>
    </row>
    <row r="167" spans="1:19" x14ac:dyDescent="0.3">
      <c r="A167" s="96" t="s">
        <v>27</v>
      </c>
      <c r="B167" s="97"/>
      <c r="C167" s="97"/>
      <c r="D167" s="97"/>
      <c r="E167" s="97"/>
      <c r="F167" s="97"/>
      <c r="G167" s="97"/>
      <c r="H167" s="36">
        <f>H163+H164+H165+H166</f>
        <v>29.582166666666666</v>
      </c>
      <c r="I167" s="74">
        <f>I163+I164+I165+I166</f>
        <v>1774.9299999999998</v>
      </c>
      <c r="J167">
        <v>5</v>
      </c>
    </row>
    <row r="168" spans="1:19" x14ac:dyDescent="0.3">
      <c r="B168" s="2">
        <v>22</v>
      </c>
      <c r="C168" s="3" t="s">
        <v>771</v>
      </c>
      <c r="D168" s="5" t="s">
        <v>25</v>
      </c>
      <c r="G168" s="30">
        <v>10</v>
      </c>
      <c r="H168" s="38">
        <v>11.46</v>
      </c>
      <c r="I168" s="29">
        <f>G168*H168</f>
        <v>114.60000000000001</v>
      </c>
      <c r="J168">
        <v>1</v>
      </c>
    </row>
    <row r="169" spans="1:19" x14ac:dyDescent="0.3">
      <c r="D169" s="15" t="str">
        <f>SUBSTITUTE("Sp.mat: 0.00%",".",IF(VALUE("1.2")=1.2,".",","),2)</f>
        <v>Sp.mat: 0.00%</v>
      </c>
      <c r="F169" s="15" t="str">
        <f>SUBSTITUTE("Sp.man: 0.00%",".",IF(VALUE("1.2")=1.2,".",","),2)</f>
        <v>Sp.man: 0.00%</v>
      </c>
      <c r="G169" s="35" t="str">
        <f>SUBSTITUTE("Sp.uti: 0.00%",".",IF(VALUE("1.2")=1.2,".",","),2)</f>
        <v>Sp.uti: 0.00%</v>
      </c>
      <c r="H169" s="38">
        <f>208.22/G168</f>
        <v>20.821999999999999</v>
      </c>
      <c r="I169" s="29">
        <f>G168*H169</f>
        <v>208.22</v>
      </c>
      <c r="J169">
        <v>2</v>
      </c>
    </row>
    <row r="170" spans="1:19" x14ac:dyDescent="0.3">
      <c r="A170" s="88" t="s">
        <v>772</v>
      </c>
      <c r="B170" s="98"/>
      <c r="C170" s="98"/>
      <c r="D170" s="98"/>
      <c r="E170" s="98"/>
      <c r="F170" s="98"/>
      <c r="G170" s="98"/>
      <c r="H170" s="38">
        <f>(1+IF(OR(ISERR(FIND(":",G169)),ISERR(FIND("%",G169))),0,MID(G169,FIND(":",G169)+2,FIND("%",G169)-FIND(":",G169)-2)/100))*0</f>
        <v>0</v>
      </c>
      <c r="I170" s="29">
        <f>G168*H170</f>
        <v>0</v>
      </c>
      <c r="J170">
        <v>3</v>
      </c>
      <c r="K170" s="4">
        <v>0</v>
      </c>
      <c r="L170" s="4">
        <v>0</v>
      </c>
      <c r="M170" s="4">
        <f>I170-K170-L170</f>
        <v>0</v>
      </c>
    </row>
    <row r="171" spans="1:19" x14ac:dyDescent="0.3">
      <c r="A171" s="98"/>
      <c r="B171" s="98"/>
      <c r="C171" s="98"/>
      <c r="D171" s="98"/>
      <c r="E171" s="98"/>
      <c r="F171" s="98"/>
      <c r="G171" s="98"/>
      <c r="H171" s="38">
        <f>0</f>
        <v>0</v>
      </c>
      <c r="I171" s="29">
        <f>G168*H171</f>
        <v>0</v>
      </c>
      <c r="J171">
        <v>4</v>
      </c>
      <c r="N171" s="4">
        <f>IF(ISERR(SEARCH("TRA* 82",C168)),IF(Q171+R171+S171=0,0,I171*(Q171/(Q171+R171+S171))),I171)</f>
        <v>0</v>
      </c>
      <c r="O171" s="4">
        <f>IF(ISERR(SEARCH("TRA* 82",C168)),IF(Q171+R171+S171=0,0,I171*(R171/(Q171+R171+S171))),0)</f>
        <v>0</v>
      </c>
      <c r="P171" s="4">
        <f>IF(ISERR(SEARCH("TRA* 82",C168)),I171-N171-O171,0)</f>
        <v>0</v>
      </c>
      <c r="Q171" s="4">
        <v>0</v>
      </c>
      <c r="R171" s="4">
        <v>0</v>
      </c>
      <c r="S171" s="4">
        <v>0</v>
      </c>
    </row>
    <row r="172" spans="1:19" x14ac:dyDescent="0.3">
      <c r="A172" s="96" t="s">
        <v>27</v>
      </c>
      <c r="B172" s="97"/>
      <c r="C172" s="97"/>
      <c r="D172" s="97"/>
      <c r="E172" s="97"/>
      <c r="F172" s="97"/>
      <c r="G172" s="97"/>
      <c r="H172" s="36">
        <f>H168+H169+H170+H171</f>
        <v>32.281999999999996</v>
      </c>
      <c r="I172" s="74">
        <f>I168+I169+I170+I171</f>
        <v>322.82</v>
      </c>
      <c r="J172">
        <v>5</v>
      </c>
    </row>
    <row r="173" spans="1:19" x14ac:dyDescent="0.3">
      <c r="B173" s="2">
        <v>23</v>
      </c>
      <c r="C173" s="3" t="s">
        <v>773</v>
      </c>
      <c r="D173" s="5" t="s">
        <v>29</v>
      </c>
      <c r="G173" s="30">
        <v>14</v>
      </c>
      <c r="H173" s="38">
        <v>47.16</v>
      </c>
      <c r="I173" s="29">
        <f>G173*H173</f>
        <v>660.24</v>
      </c>
      <c r="J173">
        <v>1</v>
      </c>
    </row>
    <row r="174" spans="1:19" x14ac:dyDescent="0.3">
      <c r="D174" s="15" t="str">
        <f>SUBSTITUTE("Sp.mat: 0.00%",".",IF(VALUE("1.2")=1.2,".",","),2)</f>
        <v>Sp.mat: 0.00%</v>
      </c>
      <c r="F174" s="15" t="str">
        <f>SUBSTITUTE("Sp.man: 0.00%",".",IF(VALUE("1.2")=1.2,".",","),2)</f>
        <v>Sp.man: 0.00%</v>
      </c>
      <c r="G174" s="35" t="str">
        <f>SUBSTITUTE("Sp.uti: 0.00%",".",IF(VALUE("1.2")=1.2,".",","),2)</f>
        <v>Sp.uti: 0.00%</v>
      </c>
      <c r="H174" s="38">
        <v>34.92</v>
      </c>
      <c r="I174" s="29">
        <f>G173*H174</f>
        <v>488.88</v>
      </c>
      <c r="J174">
        <v>2</v>
      </c>
    </row>
    <row r="175" spans="1:19" x14ac:dyDescent="0.3">
      <c r="A175" s="88" t="s">
        <v>774</v>
      </c>
      <c r="B175" s="98"/>
      <c r="C175" s="98"/>
      <c r="D175" s="98"/>
      <c r="E175" s="98"/>
      <c r="F175" s="98"/>
      <c r="G175" s="98"/>
      <c r="H175" s="38">
        <f>77.34/G173</f>
        <v>5.5242857142857149</v>
      </c>
      <c r="I175" s="29">
        <f>G173*H175</f>
        <v>77.34</v>
      </c>
      <c r="J175">
        <v>3</v>
      </c>
      <c r="K175" s="4">
        <v>0</v>
      </c>
      <c r="L175" s="4">
        <v>142.80000000000001</v>
      </c>
      <c r="M175" s="4">
        <f>I175-K175-L175</f>
        <v>-65.460000000000008</v>
      </c>
    </row>
    <row r="176" spans="1:19" x14ac:dyDescent="0.3">
      <c r="A176" s="98"/>
      <c r="B176" s="98"/>
      <c r="C176" s="98"/>
      <c r="D176" s="98"/>
      <c r="E176" s="98"/>
      <c r="F176" s="98"/>
      <c r="G176" s="98"/>
      <c r="H176" s="38">
        <f>0</f>
        <v>0</v>
      </c>
      <c r="I176" s="29">
        <f>G173*H176</f>
        <v>0</v>
      </c>
      <c r="J176">
        <v>4</v>
      </c>
      <c r="N176" s="4">
        <f>IF(ISERR(SEARCH("TRA* 82",C173)),IF(Q176+R176+S176=0,0,I176*(Q176/(Q176+R176+S176))),I176)</f>
        <v>0</v>
      </c>
      <c r="O176" s="4">
        <f>IF(ISERR(SEARCH("TRA* 82",C173)),IF(Q176+R176+S176=0,0,I176*(R176/(Q176+R176+S176))),0)</f>
        <v>0</v>
      </c>
      <c r="P176" s="4">
        <f>IF(ISERR(SEARCH("TRA* 82",C173)),I176-N176-O176,0)</f>
        <v>0</v>
      </c>
      <c r="Q176" s="4">
        <v>0</v>
      </c>
      <c r="R176" s="4">
        <v>0</v>
      </c>
      <c r="S176" s="4">
        <v>0</v>
      </c>
    </row>
    <row r="177" spans="1:19" x14ac:dyDescent="0.3">
      <c r="A177" s="96" t="s">
        <v>110</v>
      </c>
      <c r="B177" s="97"/>
      <c r="C177" s="97"/>
      <c r="D177" s="97"/>
      <c r="E177" s="97"/>
      <c r="F177" s="97"/>
      <c r="G177" s="97"/>
      <c r="H177" s="36">
        <f>H173+H174+H175+H176</f>
        <v>87.604285714285709</v>
      </c>
      <c r="I177" s="74">
        <f>I173+I174+I175+I176</f>
        <v>1226.4599999999998</v>
      </c>
      <c r="J177">
        <v>5</v>
      </c>
    </row>
    <row r="178" spans="1:19" x14ac:dyDescent="0.3">
      <c r="B178" s="2">
        <v>24</v>
      </c>
      <c r="C178" s="3" t="s">
        <v>775</v>
      </c>
      <c r="D178" s="5" t="s">
        <v>29</v>
      </c>
      <c r="G178" s="30">
        <v>4</v>
      </c>
      <c r="H178" s="38">
        <v>13.48</v>
      </c>
      <c r="I178" s="29">
        <f>G178*H178</f>
        <v>53.92</v>
      </c>
      <c r="J178">
        <v>1</v>
      </c>
    </row>
    <row r="179" spans="1:19" x14ac:dyDescent="0.3">
      <c r="D179" s="15" t="str">
        <f>SUBSTITUTE("Sp.mat: 0.00%",".",IF(VALUE("1.2")=1.2,".",","),2)</f>
        <v>Sp.mat: 0.00%</v>
      </c>
      <c r="F179" s="15" t="str">
        <f>SUBSTITUTE("Sp.man: 0.00%",".",IF(VALUE("1.2")=1.2,".",","),2)</f>
        <v>Sp.man: 0.00%</v>
      </c>
      <c r="G179" s="35" t="str">
        <f>SUBSTITUTE("Sp.uti: 0.00%",".",IF(VALUE("1.2")=1.2,".",","),2)</f>
        <v>Sp.uti: 0.00%</v>
      </c>
      <c r="H179" s="38">
        <f>(1+IF(OR(ISERR(FIND(":",F179)),ISERR(FIND("%",F179))),0,MID(F179,FIND(":",F179)+2,FIND("%",F179)-FIND(":",F179)-2)/100))*0</f>
        <v>0</v>
      </c>
      <c r="I179" s="29">
        <f>G178*H179</f>
        <v>0</v>
      </c>
      <c r="J179">
        <v>2</v>
      </c>
    </row>
    <row r="180" spans="1:19" x14ac:dyDescent="0.3">
      <c r="A180" s="88" t="s">
        <v>776</v>
      </c>
      <c r="B180" s="98"/>
      <c r="C180" s="98"/>
      <c r="D180" s="98"/>
      <c r="E180" s="98"/>
      <c r="F180" s="98"/>
      <c r="G180" s="98"/>
      <c r="H180" s="38">
        <f>(1+IF(OR(ISERR(FIND(":",G179)),ISERR(FIND("%",G179))),0,MID(G179,FIND(":",G179)+2,FIND("%",G179)-FIND(":",G179)-2)/100))*0</f>
        <v>0</v>
      </c>
      <c r="I180" s="29">
        <f>G178*H180</f>
        <v>0</v>
      </c>
      <c r="J180">
        <v>3</v>
      </c>
      <c r="K180" s="4">
        <v>0</v>
      </c>
      <c r="L180" s="4">
        <v>0</v>
      </c>
      <c r="M180" s="4">
        <f>I180-K180-L180</f>
        <v>0</v>
      </c>
    </row>
    <row r="181" spans="1:19" x14ac:dyDescent="0.3">
      <c r="A181" s="98"/>
      <c r="B181" s="98"/>
      <c r="C181" s="98"/>
      <c r="D181" s="98"/>
      <c r="E181" s="98"/>
      <c r="F181" s="98"/>
      <c r="G181" s="98"/>
      <c r="H181" s="38">
        <f>0</f>
        <v>0</v>
      </c>
      <c r="I181" s="29">
        <f>G178*H181</f>
        <v>0</v>
      </c>
      <c r="J181">
        <v>4</v>
      </c>
      <c r="N181" s="4">
        <f>IF(ISERR(SEARCH("TRA* 82",C178)),IF(Q181+R181+S181=0,0,I181*(Q181/(Q181+R181+S181))),I181)</f>
        <v>0</v>
      </c>
      <c r="O181" s="4">
        <f>IF(ISERR(SEARCH("TRA* 82",C178)),IF(Q181+R181+S181=0,0,I181*(R181/(Q181+R181+S181))),0)</f>
        <v>0</v>
      </c>
      <c r="P181" s="4">
        <f>IF(ISERR(SEARCH("TRA* 82",C178)),I181-N181-O181,0)</f>
        <v>0</v>
      </c>
      <c r="Q181" s="4">
        <v>0</v>
      </c>
      <c r="R181" s="4">
        <v>0</v>
      </c>
      <c r="S181" s="4">
        <v>0</v>
      </c>
    </row>
    <row r="182" spans="1:19" x14ac:dyDescent="0.3">
      <c r="A182" s="96" t="s">
        <v>27</v>
      </c>
      <c r="B182" s="97"/>
      <c r="C182" s="97"/>
      <c r="D182" s="97"/>
      <c r="E182" s="97"/>
      <c r="F182" s="97"/>
      <c r="G182" s="97"/>
      <c r="H182" s="36">
        <f>H178+H179+H180+H181</f>
        <v>13.48</v>
      </c>
      <c r="I182" s="74">
        <f>I178+I179+I180+I181</f>
        <v>53.92</v>
      </c>
      <c r="J182">
        <v>5</v>
      </c>
    </row>
    <row r="183" spans="1:19" x14ac:dyDescent="0.3">
      <c r="B183" s="2">
        <v>25</v>
      </c>
      <c r="C183" s="3" t="s">
        <v>777</v>
      </c>
      <c r="D183" s="5" t="s">
        <v>29</v>
      </c>
      <c r="G183" s="30">
        <v>2</v>
      </c>
      <c r="H183" s="38">
        <v>44.66</v>
      </c>
      <c r="I183" s="29">
        <f>G183*H183</f>
        <v>89.32</v>
      </c>
      <c r="J183">
        <v>1</v>
      </c>
    </row>
    <row r="184" spans="1:19" x14ac:dyDescent="0.3">
      <c r="D184" s="15" t="str">
        <f>SUBSTITUTE("Sp.mat: 0.00%",".",IF(VALUE("1.2")=1.2,".",","),2)</f>
        <v>Sp.mat: 0.00%</v>
      </c>
      <c r="F184" s="15" t="str">
        <f>SUBSTITUTE("Sp.man: 0.00%",".",IF(VALUE("1.2")=1.2,".",","),2)</f>
        <v>Sp.man: 0.00%</v>
      </c>
      <c r="G184" s="35" t="str">
        <f>SUBSTITUTE("Sp.uti: 0.00%",".",IF(VALUE("1.2")=1.2,".",","),2)</f>
        <v>Sp.uti: 0.00%</v>
      </c>
      <c r="H184" s="38">
        <f>(1+IF(OR(ISERR(FIND(":",F184)),ISERR(FIND("%",F184))),0,MID(F184,FIND(":",F184)+2,FIND("%",F184)-FIND(":",F184)-2)/100))*0</f>
        <v>0</v>
      </c>
      <c r="I184" s="29">
        <f>G183*H184</f>
        <v>0</v>
      </c>
      <c r="J184">
        <v>2</v>
      </c>
    </row>
    <row r="185" spans="1:19" x14ac:dyDescent="0.3">
      <c r="A185" s="88" t="s">
        <v>778</v>
      </c>
      <c r="B185" s="98"/>
      <c r="C185" s="98"/>
      <c r="D185" s="98"/>
      <c r="E185" s="98"/>
      <c r="F185" s="98"/>
      <c r="G185" s="98"/>
      <c r="H185" s="38">
        <f>(1+IF(OR(ISERR(FIND(":",G184)),ISERR(FIND("%",G184))),0,MID(G184,FIND(":",G184)+2,FIND("%",G184)-FIND(":",G184)-2)/100))*0</f>
        <v>0</v>
      </c>
      <c r="I185" s="29">
        <f>G183*H185</f>
        <v>0</v>
      </c>
      <c r="J185">
        <v>3</v>
      </c>
      <c r="K185" s="4">
        <v>0</v>
      </c>
      <c r="L185" s="4">
        <v>0</v>
      </c>
      <c r="M185" s="4">
        <f>I185-K185-L185</f>
        <v>0</v>
      </c>
    </row>
    <row r="186" spans="1:19" x14ac:dyDescent="0.3">
      <c r="A186" s="98"/>
      <c r="B186" s="98"/>
      <c r="C186" s="98"/>
      <c r="D186" s="98"/>
      <c r="E186" s="98"/>
      <c r="F186" s="98"/>
      <c r="G186" s="98"/>
      <c r="H186" s="38">
        <f>0</f>
        <v>0</v>
      </c>
      <c r="I186" s="29">
        <f>G183*H186</f>
        <v>0</v>
      </c>
      <c r="J186">
        <v>4</v>
      </c>
      <c r="N186" s="4">
        <f>IF(ISERR(SEARCH("TRA* 82",C183)),IF(Q186+R186+S186=0,0,I186*(Q186/(Q186+R186+S186))),I186)</f>
        <v>0</v>
      </c>
      <c r="O186" s="4">
        <f>IF(ISERR(SEARCH("TRA* 82",C183)),IF(Q186+R186+S186=0,0,I186*(R186/(Q186+R186+S186))),0)</f>
        <v>0</v>
      </c>
      <c r="P186" s="4">
        <f>IF(ISERR(SEARCH("TRA* 82",C183)),I186-N186-O186,0)</f>
        <v>0</v>
      </c>
      <c r="Q186" s="4">
        <v>0</v>
      </c>
      <c r="R186" s="4">
        <v>0</v>
      </c>
      <c r="S186" s="4">
        <v>0</v>
      </c>
    </row>
    <row r="187" spans="1:19" x14ac:dyDescent="0.3">
      <c r="A187" s="96" t="s">
        <v>27</v>
      </c>
      <c r="B187" s="97"/>
      <c r="C187" s="97"/>
      <c r="D187" s="97"/>
      <c r="E187" s="97"/>
      <c r="F187" s="97"/>
      <c r="G187" s="97"/>
      <c r="H187" s="36">
        <f>H183+H184+H185+H186</f>
        <v>44.66</v>
      </c>
      <c r="I187" s="74">
        <f>I183+I184+I185+I186</f>
        <v>89.32</v>
      </c>
      <c r="J187">
        <v>5</v>
      </c>
    </row>
    <row r="188" spans="1:19" x14ac:dyDescent="0.3">
      <c r="B188" s="2">
        <v>26</v>
      </c>
      <c r="C188" s="3" t="s">
        <v>779</v>
      </c>
      <c r="D188" s="5" t="s">
        <v>29</v>
      </c>
      <c r="G188" s="30">
        <v>8</v>
      </c>
      <c r="H188" s="38">
        <v>20.23</v>
      </c>
      <c r="I188" s="29">
        <f>G188*H188</f>
        <v>161.84</v>
      </c>
      <c r="J188">
        <v>1</v>
      </c>
    </row>
    <row r="189" spans="1:19" x14ac:dyDescent="0.3">
      <c r="D189" s="15" t="str">
        <f>SUBSTITUTE("Sp.mat: 0.00%",".",IF(VALUE("1.2")=1.2,".",","),2)</f>
        <v>Sp.mat: 0.00%</v>
      </c>
      <c r="F189" s="15" t="str">
        <f>SUBSTITUTE("Sp.man: 0.00%",".",IF(VALUE("1.2")=1.2,".",","),2)</f>
        <v>Sp.man: 0.00%</v>
      </c>
      <c r="G189" s="35" t="str">
        <f>SUBSTITUTE("Sp.uti: 0.00%",".",IF(VALUE("1.2")=1.2,".",","),2)</f>
        <v>Sp.uti: 0.00%</v>
      </c>
      <c r="H189" s="38">
        <f>(1+IF(OR(ISERR(FIND(":",F189)),ISERR(FIND("%",F189))),0,MID(F189,FIND(":",F189)+2,FIND("%",F189)-FIND(":",F189)-2)/100))*0</f>
        <v>0</v>
      </c>
      <c r="I189" s="29">
        <f>G188*H189</f>
        <v>0</v>
      </c>
      <c r="J189">
        <v>2</v>
      </c>
    </row>
    <row r="190" spans="1:19" x14ac:dyDescent="0.3">
      <c r="A190" s="88" t="s">
        <v>780</v>
      </c>
      <c r="B190" s="98"/>
      <c r="C190" s="98"/>
      <c r="D190" s="98"/>
      <c r="E190" s="98"/>
      <c r="F190" s="98"/>
      <c r="G190" s="98"/>
      <c r="H190" s="38">
        <f>(1+IF(OR(ISERR(FIND(":",G189)),ISERR(FIND("%",G189))),0,MID(G189,FIND(":",G189)+2,FIND("%",G189)-FIND(":",G189)-2)/100))*0</f>
        <v>0</v>
      </c>
      <c r="I190" s="29">
        <f>G188*H190</f>
        <v>0</v>
      </c>
      <c r="J190">
        <v>3</v>
      </c>
      <c r="K190" s="4">
        <v>0</v>
      </c>
      <c r="L190" s="4">
        <v>0</v>
      </c>
      <c r="M190" s="4">
        <f>I190-K190-L190</f>
        <v>0</v>
      </c>
    </row>
    <row r="191" spans="1:19" x14ac:dyDescent="0.3">
      <c r="A191" s="98"/>
      <c r="B191" s="98"/>
      <c r="C191" s="98"/>
      <c r="D191" s="98"/>
      <c r="E191" s="98"/>
      <c r="F191" s="98"/>
      <c r="G191" s="98"/>
      <c r="H191" s="38">
        <f>0</f>
        <v>0</v>
      </c>
      <c r="I191" s="29">
        <f>G188*H191</f>
        <v>0</v>
      </c>
      <c r="J191">
        <v>4</v>
      </c>
      <c r="N191" s="4">
        <f>IF(ISERR(SEARCH("TRA* 82",C188)),IF(Q191+R191+S191=0,0,I191*(Q191/(Q191+R191+S191))),I191)</f>
        <v>0</v>
      </c>
      <c r="O191" s="4">
        <f>IF(ISERR(SEARCH("TRA* 82",C188)),IF(Q191+R191+S191=0,0,I191*(R191/(Q191+R191+S191))),0)</f>
        <v>0</v>
      </c>
      <c r="P191" s="4">
        <f>IF(ISERR(SEARCH("TRA* 82",C188)),I191-N191-O191,0)</f>
        <v>0</v>
      </c>
      <c r="Q191" s="4">
        <v>0</v>
      </c>
      <c r="R191" s="4">
        <v>0</v>
      </c>
      <c r="S191" s="4">
        <v>0</v>
      </c>
    </row>
    <row r="192" spans="1:19" x14ac:dyDescent="0.3">
      <c r="A192" s="96" t="s">
        <v>27</v>
      </c>
      <c r="B192" s="97"/>
      <c r="C192" s="97"/>
      <c r="D192" s="97"/>
      <c r="E192" s="97"/>
      <c r="F192" s="97"/>
      <c r="G192" s="97"/>
      <c r="H192" s="36">
        <f>H188+H189+H190+H191</f>
        <v>20.23</v>
      </c>
      <c r="I192" s="74">
        <f>I188+I189+I190+I191</f>
        <v>161.84</v>
      </c>
      <c r="J192">
        <v>5</v>
      </c>
    </row>
    <row r="193" spans="1:19" x14ac:dyDescent="0.3">
      <c r="B193" s="2">
        <v>27</v>
      </c>
      <c r="C193" s="3" t="s">
        <v>781</v>
      </c>
      <c r="D193" s="5" t="s">
        <v>29</v>
      </c>
      <c r="G193" s="30">
        <v>14</v>
      </c>
      <c r="H193" s="38">
        <f>(1+IF(OR(ISERR(FIND(":",D194)),ISERR(FIND("%",D194))),0,MID(D194,FIND(":",D194)+2,FIND("%",D194)-FIND(":",D194)-2)/100))*0</f>
        <v>0</v>
      </c>
      <c r="I193" s="29">
        <f>G193*H193</f>
        <v>0</v>
      </c>
      <c r="J193">
        <v>1</v>
      </c>
    </row>
    <row r="194" spans="1:19" x14ac:dyDescent="0.3">
      <c r="D194" s="15" t="str">
        <f>SUBSTITUTE("Sp.mat: 0.00%",".",IF(VALUE("1.2")=1.2,".",","),2)</f>
        <v>Sp.mat: 0.00%</v>
      </c>
      <c r="F194" s="15" t="str">
        <f>SUBSTITUTE("Sp.man: 0.00%",".",IF(VALUE("1.2")=1.2,".",","),2)</f>
        <v>Sp.man: 0.00%</v>
      </c>
      <c r="G194" s="35" t="str">
        <f>SUBSTITUTE("Sp.uti: 0.00%",".",IF(VALUE("1.2")=1.2,".",","),2)</f>
        <v>Sp.uti: 0.00%</v>
      </c>
      <c r="H194" s="38">
        <f>778.11/G193</f>
        <v>55.579285714285717</v>
      </c>
      <c r="I194" s="29">
        <f>G193*H194</f>
        <v>778.11</v>
      </c>
      <c r="J194">
        <v>2</v>
      </c>
    </row>
    <row r="195" spans="1:19" x14ac:dyDescent="0.3">
      <c r="A195" s="88" t="s">
        <v>782</v>
      </c>
      <c r="B195" s="98"/>
      <c r="C195" s="98"/>
      <c r="D195" s="98"/>
      <c r="E195" s="98"/>
      <c r="F195" s="98"/>
      <c r="G195" s="98"/>
      <c r="H195" s="38">
        <f>39.56/G193</f>
        <v>2.8257142857142861</v>
      </c>
      <c r="I195" s="29">
        <f>G193*H195</f>
        <v>39.56</v>
      </c>
      <c r="J195">
        <v>3</v>
      </c>
      <c r="K195" s="4">
        <v>0</v>
      </c>
      <c r="L195" s="4">
        <v>70</v>
      </c>
      <c r="M195" s="4">
        <f>I195-K195-L195</f>
        <v>-30.439999999999998</v>
      </c>
    </row>
    <row r="196" spans="1:19" x14ac:dyDescent="0.3">
      <c r="A196" s="98"/>
      <c r="B196" s="98"/>
      <c r="C196" s="98"/>
      <c r="D196" s="98"/>
      <c r="E196" s="98"/>
      <c r="F196" s="98"/>
      <c r="G196" s="98"/>
      <c r="H196" s="38">
        <f>0</f>
        <v>0</v>
      </c>
      <c r="I196" s="29">
        <f>G193*H196</f>
        <v>0</v>
      </c>
      <c r="J196">
        <v>4</v>
      </c>
      <c r="N196" s="4">
        <f>IF(ISERR(SEARCH("TRA* 82",C193)),IF(Q196+R196+S196=0,0,I196*(Q196/(Q196+R196+S196))),I196)</f>
        <v>0</v>
      </c>
      <c r="O196" s="4">
        <f>IF(ISERR(SEARCH("TRA* 82",C193)),IF(Q196+R196+S196=0,0,I196*(R196/(Q196+R196+S196))),0)</f>
        <v>0</v>
      </c>
      <c r="P196" s="4">
        <f>IF(ISERR(SEARCH("TRA* 82",C193)),I196-N196-O196,0)</f>
        <v>0</v>
      </c>
      <c r="Q196" s="4">
        <v>0</v>
      </c>
      <c r="R196" s="4">
        <v>0</v>
      </c>
      <c r="S196" s="4">
        <v>0</v>
      </c>
    </row>
    <row r="197" spans="1:19" x14ac:dyDescent="0.3">
      <c r="A197" s="96" t="s">
        <v>783</v>
      </c>
      <c r="B197" s="97"/>
      <c r="C197" s="97"/>
      <c r="D197" s="97"/>
      <c r="E197" s="97"/>
      <c r="F197" s="97"/>
      <c r="G197" s="97"/>
      <c r="H197" s="36">
        <f>H193+H194+H195+H196</f>
        <v>58.405000000000001</v>
      </c>
      <c r="I197" s="74">
        <f>I193+I194+I195+I196</f>
        <v>817.67000000000007</v>
      </c>
      <c r="J197">
        <v>5</v>
      </c>
    </row>
    <row r="198" spans="1:19" x14ac:dyDescent="0.3">
      <c r="B198" s="2">
        <v>28</v>
      </c>
      <c r="C198" s="3" t="s">
        <v>784</v>
      </c>
      <c r="D198" s="5" t="s">
        <v>29</v>
      </c>
      <c r="G198" s="30">
        <v>4</v>
      </c>
      <c r="H198" s="38">
        <v>37.049999999999997</v>
      </c>
      <c r="I198" s="29">
        <f>G198*H198</f>
        <v>148.19999999999999</v>
      </c>
      <c r="J198">
        <v>1</v>
      </c>
    </row>
    <row r="199" spans="1:19" x14ac:dyDescent="0.3">
      <c r="D199" s="15" t="str">
        <f>SUBSTITUTE("Sp.mat: 0.00%",".",IF(VALUE("1.2")=1.2,".",","),2)</f>
        <v>Sp.mat: 0.00%</v>
      </c>
      <c r="F199" s="15" t="str">
        <f>SUBSTITUTE("Sp.man: 0.00%",".",IF(VALUE("1.2")=1.2,".",","),2)</f>
        <v>Sp.man: 0.00%</v>
      </c>
      <c r="G199" s="35" t="str">
        <f>SUBSTITUTE("Sp.uti: 0.00%",".",IF(VALUE("1.2")=1.2,".",","),2)</f>
        <v>Sp.uti: 0.00%</v>
      </c>
      <c r="H199" s="38">
        <f>(1+IF(OR(ISERR(FIND(":",F199)),ISERR(FIND("%",F199))),0,MID(F199,FIND(":",F199)+2,FIND("%",F199)-FIND(":",F199)-2)/100))*0</f>
        <v>0</v>
      </c>
      <c r="I199" s="29">
        <f>G198*H199</f>
        <v>0</v>
      </c>
      <c r="J199">
        <v>2</v>
      </c>
    </row>
    <row r="200" spans="1:19" x14ac:dyDescent="0.3">
      <c r="A200" s="88" t="s">
        <v>785</v>
      </c>
      <c r="B200" s="98"/>
      <c r="C200" s="98"/>
      <c r="D200" s="98"/>
      <c r="E200" s="98"/>
      <c r="F200" s="98"/>
      <c r="G200" s="98"/>
      <c r="H200" s="38">
        <f>(1+IF(OR(ISERR(FIND(":",G199)),ISERR(FIND("%",G199))),0,MID(G199,FIND(":",G199)+2,FIND("%",G199)-FIND(":",G199)-2)/100))*0</f>
        <v>0</v>
      </c>
      <c r="I200" s="29">
        <f>G198*H200</f>
        <v>0</v>
      </c>
      <c r="J200">
        <v>3</v>
      </c>
      <c r="K200" s="4">
        <v>0</v>
      </c>
      <c r="L200" s="4">
        <v>0</v>
      </c>
      <c r="M200" s="4">
        <f>I200-K200-L200</f>
        <v>0</v>
      </c>
    </row>
    <row r="201" spans="1:19" x14ac:dyDescent="0.3">
      <c r="A201" s="98"/>
      <c r="B201" s="98"/>
      <c r="C201" s="98"/>
      <c r="D201" s="98"/>
      <c r="E201" s="98"/>
      <c r="F201" s="98"/>
      <c r="G201" s="98"/>
      <c r="H201" s="38">
        <f>0</f>
        <v>0</v>
      </c>
      <c r="I201" s="29">
        <f>G198*H201</f>
        <v>0</v>
      </c>
      <c r="J201">
        <v>4</v>
      </c>
      <c r="N201" s="4">
        <f>IF(ISERR(SEARCH("TRA* 82",C198)),IF(Q201+R201+S201=0,0,I201*(Q201/(Q201+R201+S201))),I201)</f>
        <v>0</v>
      </c>
      <c r="O201" s="4">
        <f>IF(ISERR(SEARCH("TRA* 82",C198)),IF(Q201+R201+S201=0,0,I201*(R201/(Q201+R201+S201))),0)</f>
        <v>0</v>
      </c>
      <c r="P201" s="4">
        <f>IF(ISERR(SEARCH("TRA* 82",C198)),I201-N201-O201,0)</f>
        <v>0</v>
      </c>
      <c r="Q201" s="4">
        <v>0</v>
      </c>
      <c r="R201" s="4">
        <v>0</v>
      </c>
      <c r="S201" s="4">
        <v>0</v>
      </c>
    </row>
    <row r="202" spans="1:19" x14ac:dyDescent="0.3">
      <c r="A202" s="96" t="s">
        <v>27</v>
      </c>
      <c r="B202" s="97"/>
      <c r="C202" s="97"/>
      <c r="D202" s="97"/>
      <c r="E202" s="97"/>
      <c r="F202" s="97"/>
      <c r="G202" s="97"/>
      <c r="H202" s="36">
        <f>H198+H199+H200+H201</f>
        <v>37.049999999999997</v>
      </c>
      <c r="I202" s="74">
        <f>I198+I199+I200+I201</f>
        <v>148.19999999999999</v>
      </c>
      <c r="J202">
        <v>5</v>
      </c>
    </row>
    <row r="203" spans="1:19" x14ac:dyDescent="0.3">
      <c r="B203" s="2">
        <v>29</v>
      </c>
      <c r="C203" s="3" t="s">
        <v>786</v>
      </c>
      <c r="D203" s="5" t="s">
        <v>29</v>
      </c>
      <c r="G203" s="30">
        <v>2</v>
      </c>
      <c r="H203" s="38">
        <v>80.06</v>
      </c>
      <c r="I203" s="29">
        <f>G203*H203</f>
        <v>160.12</v>
      </c>
      <c r="J203">
        <v>1</v>
      </c>
    </row>
    <row r="204" spans="1:19" x14ac:dyDescent="0.3">
      <c r="D204" s="15" t="str">
        <f>SUBSTITUTE("Sp.mat: 0.00%",".",IF(VALUE("1.2")=1.2,".",","),2)</f>
        <v>Sp.mat: 0.00%</v>
      </c>
      <c r="F204" s="15" t="str">
        <f>SUBSTITUTE("Sp.man: 0.00%",".",IF(VALUE("1.2")=1.2,".",","),2)</f>
        <v>Sp.man: 0.00%</v>
      </c>
      <c r="G204" s="35" t="str">
        <f>SUBSTITUTE("Sp.uti: 0.00%",".",IF(VALUE("1.2")=1.2,".",","),2)</f>
        <v>Sp.uti: 0.00%</v>
      </c>
      <c r="H204" s="38">
        <f>(1+IF(OR(ISERR(FIND(":",F204)),ISERR(FIND("%",F204))),0,MID(F204,FIND(":",F204)+2,FIND("%",F204)-FIND(":",F204)-2)/100))*0</f>
        <v>0</v>
      </c>
      <c r="I204" s="29">
        <f>G203*H204</f>
        <v>0</v>
      </c>
      <c r="J204">
        <v>2</v>
      </c>
    </row>
    <row r="205" spans="1:19" x14ac:dyDescent="0.3">
      <c r="A205" s="88" t="s">
        <v>787</v>
      </c>
      <c r="B205" s="98"/>
      <c r="C205" s="98"/>
      <c r="D205" s="98"/>
      <c r="E205" s="98"/>
      <c r="F205" s="98"/>
      <c r="G205" s="98"/>
      <c r="H205" s="38">
        <f>(1+IF(OR(ISERR(FIND(":",G204)),ISERR(FIND("%",G204))),0,MID(G204,FIND(":",G204)+2,FIND("%",G204)-FIND(":",G204)-2)/100))*0</f>
        <v>0</v>
      </c>
      <c r="I205" s="29">
        <f>G203*H205</f>
        <v>0</v>
      </c>
      <c r="J205">
        <v>3</v>
      </c>
      <c r="K205" s="4">
        <v>0</v>
      </c>
      <c r="L205" s="4">
        <v>0</v>
      </c>
      <c r="M205" s="4">
        <f>I205-K205-L205</f>
        <v>0</v>
      </c>
    </row>
    <row r="206" spans="1:19" x14ac:dyDescent="0.3">
      <c r="A206" s="98"/>
      <c r="B206" s="98"/>
      <c r="C206" s="98"/>
      <c r="D206" s="98"/>
      <c r="E206" s="98"/>
      <c r="F206" s="98"/>
      <c r="G206" s="98"/>
      <c r="H206" s="38">
        <f>0</f>
        <v>0</v>
      </c>
      <c r="I206" s="29">
        <f>G203*H206</f>
        <v>0</v>
      </c>
      <c r="J206">
        <v>4</v>
      </c>
      <c r="N206" s="4">
        <f>IF(ISERR(SEARCH("TRA* 82",C203)),IF(Q206+R206+S206=0,0,I206*(Q206/(Q206+R206+S206))),I206)</f>
        <v>0</v>
      </c>
      <c r="O206" s="4">
        <f>IF(ISERR(SEARCH("TRA* 82",C203)),IF(Q206+R206+S206=0,0,I206*(R206/(Q206+R206+S206))),0)</f>
        <v>0</v>
      </c>
      <c r="P206" s="4">
        <f>IF(ISERR(SEARCH("TRA* 82",C203)),I206-N206-O206,0)</f>
        <v>0</v>
      </c>
      <c r="Q206" s="4">
        <v>0</v>
      </c>
      <c r="R206" s="4">
        <v>0</v>
      </c>
      <c r="S206" s="4">
        <v>0</v>
      </c>
    </row>
    <row r="207" spans="1:19" x14ac:dyDescent="0.3">
      <c r="A207" s="96" t="s">
        <v>27</v>
      </c>
      <c r="B207" s="97"/>
      <c r="C207" s="97"/>
      <c r="D207" s="97"/>
      <c r="E207" s="97"/>
      <c r="F207" s="97"/>
      <c r="G207" s="97"/>
      <c r="H207" s="36">
        <f>H203+H204+H205+H206</f>
        <v>80.06</v>
      </c>
      <c r="I207" s="74">
        <f>I203+I204+I205+I206</f>
        <v>160.12</v>
      </c>
      <c r="J207">
        <v>5</v>
      </c>
    </row>
    <row r="208" spans="1:19" x14ac:dyDescent="0.3">
      <c r="B208" s="2">
        <v>30</v>
      </c>
      <c r="C208" s="3" t="s">
        <v>788</v>
      </c>
      <c r="D208" s="5" t="s">
        <v>29</v>
      </c>
      <c r="G208" s="30">
        <v>8</v>
      </c>
      <c r="H208" s="38">
        <v>72.62</v>
      </c>
      <c r="I208" s="29">
        <f>G208*H208</f>
        <v>580.96</v>
      </c>
      <c r="J208">
        <v>1</v>
      </c>
    </row>
    <row r="209" spans="1:19" x14ac:dyDescent="0.3">
      <c r="D209" s="15" t="str">
        <f>SUBSTITUTE("Sp.mat: 0.00%",".",IF(VALUE("1.2")=1.2,".",","),2)</f>
        <v>Sp.mat: 0.00%</v>
      </c>
      <c r="F209" s="15" t="str">
        <f>SUBSTITUTE("Sp.man: 0.00%",".",IF(VALUE("1.2")=1.2,".",","),2)</f>
        <v>Sp.man: 0.00%</v>
      </c>
      <c r="G209" s="35" t="str">
        <f>SUBSTITUTE("Sp.uti: 0.00%",".",IF(VALUE("1.2")=1.2,".",","),2)</f>
        <v>Sp.uti: 0.00%</v>
      </c>
      <c r="H209" s="38">
        <f>(1+IF(OR(ISERR(FIND(":",F209)),ISERR(FIND("%",F209))),0,MID(F209,FIND(":",F209)+2,FIND("%",F209)-FIND(":",F209)-2)/100))*0</f>
        <v>0</v>
      </c>
      <c r="I209" s="29">
        <f>G208*H209</f>
        <v>0</v>
      </c>
      <c r="J209">
        <v>2</v>
      </c>
    </row>
    <row r="210" spans="1:19" x14ac:dyDescent="0.3">
      <c r="A210" s="88" t="s">
        <v>789</v>
      </c>
      <c r="B210" s="98"/>
      <c r="C210" s="98"/>
      <c r="D210" s="98"/>
      <c r="E210" s="98"/>
      <c r="F210" s="98"/>
      <c r="G210" s="98"/>
      <c r="H210" s="38">
        <f>(1+IF(OR(ISERR(FIND(":",G209)),ISERR(FIND("%",G209))),0,MID(G209,FIND(":",G209)+2,FIND("%",G209)-FIND(":",G209)-2)/100))*0</f>
        <v>0</v>
      </c>
      <c r="I210" s="29">
        <f>G208*H210</f>
        <v>0</v>
      </c>
      <c r="J210">
        <v>3</v>
      </c>
      <c r="K210" s="4">
        <v>0</v>
      </c>
      <c r="L210" s="4">
        <v>0</v>
      </c>
      <c r="M210" s="4">
        <f>I210-K210-L210</f>
        <v>0</v>
      </c>
    </row>
    <row r="211" spans="1:19" x14ac:dyDescent="0.3">
      <c r="A211" s="98"/>
      <c r="B211" s="98"/>
      <c r="C211" s="98"/>
      <c r="D211" s="98"/>
      <c r="E211" s="98"/>
      <c r="F211" s="98"/>
      <c r="G211" s="98"/>
      <c r="H211" s="38">
        <f>0</f>
        <v>0</v>
      </c>
      <c r="I211" s="29">
        <f>G208*H211</f>
        <v>0</v>
      </c>
      <c r="J211">
        <v>4</v>
      </c>
      <c r="N211" s="4">
        <f>IF(ISERR(SEARCH("TRA* 82",C208)),IF(Q211+R211+S211=0,0,I211*(Q211/(Q211+R211+S211))),I211)</f>
        <v>0</v>
      </c>
      <c r="O211" s="4">
        <f>IF(ISERR(SEARCH("TRA* 82",C208)),IF(Q211+R211+S211=0,0,I211*(R211/(Q211+R211+S211))),0)</f>
        <v>0</v>
      </c>
      <c r="P211" s="4">
        <f>IF(ISERR(SEARCH("TRA* 82",C208)),I211-N211-O211,0)</f>
        <v>0</v>
      </c>
      <c r="Q211" s="4">
        <v>0</v>
      </c>
      <c r="R211" s="4">
        <v>0</v>
      </c>
      <c r="S211" s="4">
        <v>0</v>
      </c>
    </row>
    <row r="212" spans="1:19" x14ac:dyDescent="0.3">
      <c r="A212" s="96" t="s">
        <v>27</v>
      </c>
      <c r="B212" s="97"/>
      <c r="C212" s="97"/>
      <c r="D212" s="97"/>
      <c r="E212" s="97"/>
      <c r="F212" s="97"/>
      <c r="G212" s="97"/>
      <c r="H212" s="36">
        <f>H208+H209+H210+H211</f>
        <v>72.62</v>
      </c>
      <c r="I212" s="74">
        <f>I208+I209+I210+I211</f>
        <v>580.96</v>
      </c>
      <c r="J212">
        <v>5</v>
      </c>
    </row>
    <row r="213" spans="1:19" x14ac:dyDescent="0.3">
      <c r="B213" s="2">
        <v>31</v>
      </c>
      <c r="C213" s="3" t="s">
        <v>790</v>
      </c>
      <c r="D213" s="5" t="s">
        <v>29</v>
      </c>
      <c r="G213" s="30">
        <v>12</v>
      </c>
      <c r="H213" s="38">
        <f>(1+IF(OR(ISERR(FIND(":",D214)),ISERR(FIND("%",D214))),0,MID(D214,FIND(":",D214)+2,FIND("%",D214)-FIND(":",D214)-2)/100))*0</f>
        <v>0</v>
      </c>
      <c r="I213" s="29">
        <f>G213*H213</f>
        <v>0</v>
      </c>
      <c r="J213">
        <v>1</v>
      </c>
    </row>
    <row r="214" spans="1:19" x14ac:dyDescent="0.3">
      <c r="D214" s="15" t="str">
        <f>SUBSTITUTE("Sp.mat: 0.00%",".",IF(VALUE("1.2")=1.2,".",","),2)</f>
        <v>Sp.mat: 0.00%</v>
      </c>
      <c r="F214" s="15" t="str">
        <f>SUBSTITUTE("Sp.man: 0.00%",".",IF(VALUE("1.2")=1.2,".",","),2)</f>
        <v>Sp.man: 0.00%</v>
      </c>
      <c r="G214" s="35" t="str">
        <f>SUBSTITUTE("Sp.uti: 0.00%",".",IF(VALUE("1.2")=1.2,".",","),2)</f>
        <v>Sp.uti: 0.00%</v>
      </c>
      <c r="H214" s="38">
        <f>1410.78/G213</f>
        <v>117.565</v>
      </c>
      <c r="I214" s="29">
        <f>G213*H214</f>
        <v>1410.78</v>
      </c>
      <c r="J214">
        <v>2</v>
      </c>
    </row>
    <row r="215" spans="1:19" x14ac:dyDescent="0.3">
      <c r="A215" s="88" t="s">
        <v>791</v>
      </c>
      <c r="B215" s="98"/>
      <c r="C215" s="98"/>
      <c r="D215" s="98"/>
      <c r="E215" s="98"/>
      <c r="F215" s="98"/>
      <c r="G215" s="98"/>
      <c r="H215" s="38">
        <f>22.53/G213</f>
        <v>1.8775000000000002</v>
      </c>
      <c r="I215" s="29">
        <f>G213*H215</f>
        <v>22.53</v>
      </c>
      <c r="J215">
        <v>3</v>
      </c>
      <c r="K215" s="4">
        <v>0</v>
      </c>
      <c r="L215" s="4">
        <v>40.799999999999997</v>
      </c>
      <c r="M215" s="4">
        <f>I215-K215-L215</f>
        <v>-18.269999999999996</v>
      </c>
    </row>
    <row r="216" spans="1:19" x14ac:dyDescent="0.3">
      <c r="A216" s="98"/>
      <c r="B216" s="98"/>
      <c r="C216" s="98"/>
      <c r="D216" s="98"/>
      <c r="E216" s="98"/>
      <c r="F216" s="98"/>
      <c r="G216" s="98"/>
      <c r="H216" s="38">
        <f>0</f>
        <v>0</v>
      </c>
      <c r="I216" s="29">
        <f>G213*H216</f>
        <v>0</v>
      </c>
      <c r="J216">
        <v>4</v>
      </c>
      <c r="N216" s="4">
        <f>IF(ISERR(SEARCH("TRA* 82",C213)),IF(Q216+R216+S216=0,0,I216*(Q216/(Q216+R216+S216))),I216)</f>
        <v>0</v>
      </c>
      <c r="O216" s="4">
        <f>IF(ISERR(SEARCH("TRA* 82",C213)),IF(Q216+R216+S216=0,0,I216*(R216/(Q216+R216+S216))),0)</f>
        <v>0</v>
      </c>
      <c r="P216" s="4">
        <f>IF(ISERR(SEARCH("TRA* 82",C213)),I216-N216-O216,0)</f>
        <v>0</v>
      </c>
      <c r="Q216" s="4">
        <v>0</v>
      </c>
      <c r="R216" s="4">
        <v>0</v>
      </c>
      <c r="S216" s="4">
        <v>0</v>
      </c>
    </row>
    <row r="217" spans="1:19" x14ac:dyDescent="0.3">
      <c r="A217" s="96" t="s">
        <v>792</v>
      </c>
      <c r="B217" s="97"/>
      <c r="C217" s="97"/>
      <c r="D217" s="97"/>
      <c r="E217" s="97"/>
      <c r="F217" s="97"/>
      <c r="G217" s="97"/>
      <c r="H217" s="36">
        <f>H213+H214+H215+H216</f>
        <v>119.4425</v>
      </c>
      <c r="I217" s="74">
        <f>I213+I214+I215+I216</f>
        <v>1433.31</v>
      </c>
      <c r="J217">
        <v>5</v>
      </c>
    </row>
    <row r="218" spans="1:19" x14ac:dyDescent="0.3">
      <c r="B218" s="2">
        <v>32</v>
      </c>
      <c r="C218" s="3" t="s">
        <v>793</v>
      </c>
      <c r="D218" s="5" t="s">
        <v>29</v>
      </c>
      <c r="G218" s="30">
        <v>10</v>
      </c>
      <c r="H218" s="38">
        <v>13.75</v>
      </c>
      <c r="I218" s="29">
        <f>G218*H218</f>
        <v>137.5</v>
      </c>
      <c r="J218">
        <v>1</v>
      </c>
    </row>
    <row r="219" spans="1:19" x14ac:dyDescent="0.3">
      <c r="D219" s="15" t="str">
        <f>SUBSTITUTE("Sp.mat: 0.00%",".",IF(VALUE("1.2")=1.2,".",","),2)</f>
        <v>Sp.mat: 0.00%</v>
      </c>
      <c r="F219" s="15" t="str">
        <f>SUBSTITUTE("Sp.man: 0.00%",".",IF(VALUE("1.2")=1.2,".",","),2)</f>
        <v>Sp.man: 0.00%</v>
      </c>
      <c r="G219" s="35" t="str">
        <f>SUBSTITUTE("Sp.uti: 0.00%",".",IF(VALUE("1.2")=1.2,".",","),2)</f>
        <v>Sp.uti: 0.00%</v>
      </c>
      <c r="H219" s="38">
        <f>(1+IF(OR(ISERR(FIND(":",F219)),ISERR(FIND("%",F219))),0,MID(F219,FIND(":",F219)+2,FIND("%",F219)-FIND(":",F219)-2)/100))*0</f>
        <v>0</v>
      </c>
      <c r="I219" s="29">
        <f>G218*H219</f>
        <v>0</v>
      </c>
      <c r="J219">
        <v>2</v>
      </c>
    </row>
    <row r="220" spans="1:19" x14ac:dyDescent="0.3">
      <c r="A220" s="88" t="s">
        <v>794</v>
      </c>
      <c r="B220" s="98"/>
      <c r="C220" s="98"/>
      <c r="D220" s="98"/>
      <c r="E220" s="98"/>
      <c r="F220" s="98"/>
      <c r="G220" s="98"/>
      <c r="H220" s="38">
        <f>(1+IF(OR(ISERR(FIND(":",G219)),ISERR(FIND("%",G219))),0,MID(G219,FIND(":",G219)+2,FIND("%",G219)-FIND(":",G219)-2)/100))*0</f>
        <v>0</v>
      </c>
      <c r="I220" s="29">
        <f>G218*H220</f>
        <v>0</v>
      </c>
      <c r="J220">
        <v>3</v>
      </c>
      <c r="K220" s="4">
        <v>0</v>
      </c>
      <c r="L220" s="4">
        <v>0</v>
      </c>
      <c r="M220" s="4">
        <f>I220-K220-L220</f>
        <v>0</v>
      </c>
    </row>
    <row r="221" spans="1:19" x14ac:dyDescent="0.3">
      <c r="A221" s="98"/>
      <c r="B221" s="98"/>
      <c r="C221" s="98"/>
      <c r="D221" s="98"/>
      <c r="E221" s="98"/>
      <c r="F221" s="98"/>
      <c r="G221" s="98"/>
      <c r="H221" s="38">
        <f>0</f>
        <v>0</v>
      </c>
      <c r="I221" s="29">
        <f>G218*H221</f>
        <v>0</v>
      </c>
      <c r="J221">
        <v>4</v>
      </c>
      <c r="N221" s="4">
        <f>IF(ISERR(SEARCH("TRA* 82",C218)),IF(Q221+R221+S221=0,0,I221*(Q221/(Q221+R221+S221))),I221)</f>
        <v>0</v>
      </c>
      <c r="O221" s="4">
        <f>IF(ISERR(SEARCH("TRA* 82",C218)),IF(Q221+R221+S221=0,0,I221*(R221/(Q221+R221+S221))),0)</f>
        <v>0</v>
      </c>
      <c r="P221" s="4">
        <f>IF(ISERR(SEARCH("TRA* 82",C218)),I221-N221-O221,0)</f>
        <v>0</v>
      </c>
      <c r="Q221" s="4">
        <v>0</v>
      </c>
      <c r="R221" s="4">
        <v>0</v>
      </c>
      <c r="S221" s="4">
        <v>0</v>
      </c>
    </row>
    <row r="222" spans="1:19" x14ac:dyDescent="0.3">
      <c r="A222" s="96" t="s">
        <v>27</v>
      </c>
      <c r="B222" s="97"/>
      <c r="C222" s="97"/>
      <c r="D222" s="97"/>
      <c r="E222" s="97"/>
      <c r="F222" s="97"/>
      <c r="G222" s="97"/>
      <c r="H222" s="36">
        <f>H218+H219+H220+H221</f>
        <v>13.75</v>
      </c>
      <c r="I222" s="74">
        <f>I218+I219+I220+I221</f>
        <v>137.5</v>
      </c>
      <c r="J222">
        <v>5</v>
      </c>
    </row>
    <row r="223" spans="1:19" x14ac:dyDescent="0.3">
      <c r="B223" s="2">
        <v>33</v>
      </c>
      <c r="C223" s="3" t="s">
        <v>795</v>
      </c>
      <c r="D223" s="5" t="s">
        <v>29</v>
      </c>
      <c r="G223" s="30">
        <v>2</v>
      </c>
      <c r="H223" s="38">
        <v>19.25</v>
      </c>
      <c r="I223" s="29">
        <f>G223*H223</f>
        <v>38.5</v>
      </c>
      <c r="J223">
        <v>1</v>
      </c>
    </row>
    <row r="224" spans="1:19" x14ac:dyDescent="0.3">
      <c r="D224" s="15" t="str">
        <f>SUBSTITUTE("Sp.mat: 0.00%",".",IF(VALUE("1.2")=1.2,".",","),2)</f>
        <v>Sp.mat: 0.00%</v>
      </c>
      <c r="F224" s="15" t="str">
        <f>SUBSTITUTE("Sp.man: 0.00%",".",IF(VALUE("1.2")=1.2,".",","),2)</f>
        <v>Sp.man: 0.00%</v>
      </c>
      <c r="G224" s="35" t="str">
        <f>SUBSTITUTE("Sp.uti: 0.00%",".",IF(VALUE("1.2")=1.2,".",","),2)</f>
        <v>Sp.uti: 0.00%</v>
      </c>
      <c r="H224" s="38">
        <f>(1+IF(OR(ISERR(FIND(":",F224)),ISERR(FIND("%",F224))),0,MID(F224,FIND(":",F224)+2,FIND("%",F224)-FIND(":",F224)-2)/100))*0</f>
        <v>0</v>
      </c>
      <c r="I224" s="29">
        <f>G223*H224</f>
        <v>0</v>
      </c>
      <c r="J224">
        <v>2</v>
      </c>
    </row>
    <row r="225" spans="1:19" x14ac:dyDescent="0.3">
      <c r="A225" s="88" t="s">
        <v>796</v>
      </c>
      <c r="B225" s="98"/>
      <c r="C225" s="98"/>
      <c r="D225" s="98"/>
      <c r="E225" s="98"/>
      <c r="F225" s="98"/>
      <c r="G225" s="98"/>
      <c r="H225" s="38">
        <f>(1+IF(OR(ISERR(FIND(":",G224)),ISERR(FIND("%",G224))),0,MID(G224,FIND(":",G224)+2,FIND("%",G224)-FIND(":",G224)-2)/100))*0</f>
        <v>0</v>
      </c>
      <c r="I225" s="29">
        <f>G223*H225</f>
        <v>0</v>
      </c>
      <c r="J225">
        <v>3</v>
      </c>
      <c r="K225" s="4">
        <v>0</v>
      </c>
      <c r="L225" s="4">
        <v>0</v>
      </c>
      <c r="M225" s="4">
        <f>I225-K225-L225</f>
        <v>0</v>
      </c>
    </row>
    <row r="226" spans="1:19" x14ac:dyDescent="0.3">
      <c r="A226" s="98"/>
      <c r="B226" s="98"/>
      <c r="C226" s="98"/>
      <c r="D226" s="98"/>
      <c r="E226" s="98"/>
      <c r="F226" s="98"/>
      <c r="G226" s="98"/>
      <c r="H226" s="38">
        <f>0</f>
        <v>0</v>
      </c>
      <c r="I226" s="29">
        <f>G223*H226</f>
        <v>0</v>
      </c>
      <c r="J226">
        <v>4</v>
      </c>
      <c r="N226" s="4">
        <f>IF(ISERR(SEARCH("TRA* 82",C223)),IF(Q226+R226+S226=0,0,I226*(Q226/(Q226+R226+S226))),I226)</f>
        <v>0</v>
      </c>
      <c r="O226" s="4">
        <f>IF(ISERR(SEARCH("TRA* 82",C223)),IF(Q226+R226+S226=0,0,I226*(R226/(Q226+R226+S226))),0)</f>
        <v>0</v>
      </c>
      <c r="P226" s="4">
        <f>IF(ISERR(SEARCH("TRA* 82",C223)),I226-N226-O226,0)</f>
        <v>0</v>
      </c>
      <c r="Q226" s="4">
        <v>0</v>
      </c>
      <c r="R226" s="4">
        <v>0</v>
      </c>
      <c r="S226" s="4">
        <v>0</v>
      </c>
    </row>
    <row r="227" spans="1:19" x14ac:dyDescent="0.3">
      <c r="A227" s="96" t="s">
        <v>27</v>
      </c>
      <c r="B227" s="97"/>
      <c r="C227" s="97"/>
      <c r="D227" s="97"/>
      <c r="E227" s="97"/>
      <c r="F227" s="97"/>
      <c r="G227" s="97"/>
      <c r="H227" s="36">
        <f>H223+H224+H225+H226</f>
        <v>19.25</v>
      </c>
      <c r="I227" s="74">
        <f>I223+I224+I225+I226</f>
        <v>38.5</v>
      </c>
      <c r="J227">
        <v>5</v>
      </c>
    </row>
    <row r="228" spans="1:19" x14ac:dyDescent="0.3">
      <c r="B228" s="2">
        <v>34</v>
      </c>
      <c r="C228" s="3" t="s">
        <v>797</v>
      </c>
      <c r="D228" s="5" t="s">
        <v>29</v>
      </c>
      <c r="G228" s="30">
        <v>230</v>
      </c>
      <c r="H228" s="38">
        <v>30.26</v>
      </c>
      <c r="I228" s="29">
        <f>G228*H228</f>
        <v>6959.8</v>
      </c>
      <c r="J228">
        <v>1</v>
      </c>
    </row>
    <row r="229" spans="1:19" x14ac:dyDescent="0.3">
      <c r="D229" s="15" t="str">
        <f>SUBSTITUTE("Sp.mat: 0.00%",".",IF(VALUE("1.2")=1.2,".",","),2)</f>
        <v>Sp.mat: 0.00%</v>
      </c>
      <c r="F229" s="15" t="str">
        <f>SUBSTITUTE("Sp.man: 0.00%",".",IF(VALUE("1.2")=1.2,".",","),2)</f>
        <v>Sp.man: 0.00%</v>
      </c>
      <c r="G229" s="35" t="str">
        <f>SUBSTITUTE("Sp.uti: 0.00%",".",IF(VALUE("1.2")=1.2,".",","),2)</f>
        <v>Sp.uti: 0.00%</v>
      </c>
      <c r="H229" s="38">
        <f>20482.54/G228</f>
        <v>89.054521739130436</v>
      </c>
      <c r="I229" s="29">
        <f>G228*H229</f>
        <v>20482.54</v>
      </c>
      <c r="J229">
        <v>2</v>
      </c>
    </row>
    <row r="230" spans="1:19" x14ac:dyDescent="0.3">
      <c r="A230" s="88" t="s">
        <v>798</v>
      </c>
      <c r="B230" s="98"/>
      <c r="C230" s="98"/>
      <c r="D230" s="98"/>
      <c r="E230" s="98"/>
      <c r="F230" s="98"/>
      <c r="G230" s="98"/>
      <c r="H230" s="38">
        <f>505.56/G228</f>
        <v>2.1980869565217391</v>
      </c>
      <c r="I230" s="29">
        <f>G228*H230</f>
        <v>505.56</v>
      </c>
      <c r="J230">
        <v>3</v>
      </c>
      <c r="K230" s="4">
        <v>0</v>
      </c>
      <c r="L230" s="4">
        <v>920</v>
      </c>
      <c r="M230" s="4">
        <f>I230-K230-L230</f>
        <v>-414.44</v>
      </c>
    </row>
    <row r="231" spans="1:19" x14ac:dyDescent="0.3">
      <c r="A231" s="98"/>
      <c r="B231" s="98"/>
      <c r="C231" s="98"/>
      <c r="D231" s="98"/>
      <c r="E231" s="98"/>
      <c r="F231" s="98"/>
      <c r="G231" s="98"/>
      <c r="H231" s="38">
        <f>0</f>
        <v>0</v>
      </c>
      <c r="I231" s="29">
        <f>G228*H231</f>
        <v>0</v>
      </c>
      <c r="J231">
        <v>4</v>
      </c>
      <c r="N231" s="4">
        <f>IF(ISERR(SEARCH("TRA* 82",C228)),IF(Q231+R231+S231=0,0,I231*(Q231/(Q231+R231+S231))),I231)</f>
        <v>0</v>
      </c>
      <c r="O231" s="4">
        <f>IF(ISERR(SEARCH("TRA* 82",C228)),IF(Q231+R231+S231=0,0,I231*(R231/(Q231+R231+S231))),0)</f>
        <v>0</v>
      </c>
      <c r="P231" s="4">
        <f>IF(ISERR(SEARCH("TRA* 82",C228)),I231-N231-O231,0)</f>
        <v>0</v>
      </c>
      <c r="Q231" s="4">
        <v>0</v>
      </c>
      <c r="R231" s="4">
        <v>0</v>
      </c>
      <c r="S231" s="4">
        <v>0</v>
      </c>
    </row>
    <row r="232" spans="1:19" x14ac:dyDescent="0.3">
      <c r="A232" s="96" t="s">
        <v>799</v>
      </c>
      <c r="B232" s="97"/>
      <c r="C232" s="97"/>
      <c r="D232" s="97"/>
      <c r="E232" s="97"/>
      <c r="F232" s="97"/>
      <c r="G232" s="97"/>
      <c r="H232" s="36">
        <f>H228+H229+H230+H231</f>
        <v>121.51260869565218</v>
      </c>
      <c r="I232" s="74">
        <f>I228+I229+I230+I231</f>
        <v>27947.9</v>
      </c>
      <c r="J232">
        <v>5</v>
      </c>
    </row>
    <row r="233" spans="1:19" x14ac:dyDescent="0.3">
      <c r="B233" s="2">
        <v>35</v>
      </c>
      <c r="C233" s="3" t="s">
        <v>800</v>
      </c>
      <c r="D233" s="5" t="s">
        <v>29</v>
      </c>
      <c r="G233" s="30">
        <v>40</v>
      </c>
      <c r="H233" s="38">
        <v>323.08999999999997</v>
      </c>
      <c r="I233" s="29">
        <f>G233*H233</f>
        <v>12923.599999999999</v>
      </c>
      <c r="J233">
        <v>1</v>
      </c>
    </row>
    <row r="234" spans="1:19" x14ac:dyDescent="0.3">
      <c r="D234" s="15" t="str">
        <f>SUBSTITUTE("Sp.mat: 0.00%",".",IF(VALUE("1.2")=1.2,".",","),2)</f>
        <v>Sp.mat: 0.00%</v>
      </c>
      <c r="F234" s="15" t="str">
        <f>SUBSTITUTE("Sp.man: 0.00%",".",IF(VALUE("1.2")=1.2,".",","),2)</f>
        <v>Sp.man: 0.00%</v>
      </c>
      <c r="G234" s="35" t="str">
        <f>SUBSTITUTE("Sp.uti: 0.00%",".",IF(VALUE("1.2")=1.2,".",","),2)</f>
        <v>Sp.uti: 0.00%</v>
      </c>
      <c r="H234" s="38">
        <f>(1+IF(OR(ISERR(FIND(":",F234)),ISERR(FIND("%",F234))),0,MID(F234,FIND(":",F234)+2,FIND("%",F234)-FIND(":",F234)-2)/100))*0</f>
        <v>0</v>
      </c>
      <c r="I234" s="29">
        <f>G233*H234</f>
        <v>0</v>
      </c>
      <c r="J234">
        <v>2</v>
      </c>
    </row>
    <row r="235" spans="1:19" x14ac:dyDescent="0.3">
      <c r="A235" s="88" t="s">
        <v>801</v>
      </c>
      <c r="B235" s="98"/>
      <c r="C235" s="98"/>
      <c r="D235" s="98"/>
      <c r="E235" s="98"/>
      <c r="F235" s="98"/>
      <c r="G235" s="98"/>
      <c r="H235" s="38">
        <f>(1+IF(OR(ISERR(FIND(":",G234)),ISERR(FIND("%",G234))),0,MID(G234,FIND(":",G234)+2,FIND("%",G234)-FIND(":",G234)-2)/100))*0</f>
        <v>0</v>
      </c>
      <c r="I235" s="29">
        <f>G233*H235</f>
        <v>0</v>
      </c>
      <c r="J235">
        <v>3</v>
      </c>
      <c r="K235" s="4">
        <v>0</v>
      </c>
      <c r="L235" s="4">
        <v>0</v>
      </c>
      <c r="M235" s="4">
        <f>I235-K235-L235</f>
        <v>0</v>
      </c>
    </row>
    <row r="236" spans="1:19" x14ac:dyDescent="0.3">
      <c r="A236" s="98"/>
      <c r="B236" s="98"/>
      <c r="C236" s="98"/>
      <c r="D236" s="98"/>
      <c r="E236" s="98"/>
      <c r="F236" s="98"/>
      <c r="G236" s="98"/>
      <c r="H236" s="38">
        <f>0</f>
        <v>0</v>
      </c>
      <c r="I236" s="29">
        <f>G233*H236</f>
        <v>0</v>
      </c>
      <c r="J236">
        <v>4</v>
      </c>
      <c r="N236" s="4">
        <f>IF(ISERR(SEARCH("TRA* 82",C233)),IF(Q236+R236+S236=0,0,I236*(Q236/(Q236+R236+S236))),I236)</f>
        <v>0</v>
      </c>
      <c r="O236" s="4">
        <f>IF(ISERR(SEARCH("TRA* 82",C233)),IF(Q236+R236+S236=0,0,I236*(R236/(Q236+R236+S236))),0)</f>
        <v>0</v>
      </c>
      <c r="P236" s="4">
        <f>IF(ISERR(SEARCH("TRA* 82",C233)),I236-N236-O236,0)</f>
        <v>0</v>
      </c>
      <c r="Q236" s="4">
        <v>0</v>
      </c>
      <c r="R236" s="4">
        <v>0</v>
      </c>
      <c r="S236" s="4">
        <v>0</v>
      </c>
    </row>
    <row r="237" spans="1:19" x14ac:dyDescent="0.3">
      <c r="A237" s="96" t="s">
        <v>27</v>
      </c>
      <c r="B237" s="97"/>
      <c r="C237" s="97"/>
      <c r="D237" s="97"/>
      <c r="E237" s="97"/>
      <c r="F237" s="97"/>
      <c r="G237" s="97"/>
      <c r="H237" s="36">
        <f>H233+H234+H235+H236</f>
        <v>323.08999999999997</v>
      </c>
      <c r="I237" s="74">
        <f>I233+I234+I235+I236</f>
        <v>12923.599999999999</v>
      </c>
      <c r="J237">
        <v>5</v>
      </c>
    </row>
    <row r="238" spans="1:19" x14ac:dyDescent="0.3">
      <c r="B238" s="2">
        <v>36</v>
      </c>
      <c r="C238" s="3" t="s">
        <v>802</v>
      </c>
      <c r="D238" s="5" t="s">
        <v>29</v>
      </c>
      <c r="G238" s="30">
        <v>4</v>
      </c>
      <c r="H238" s="38">
        <v>356.73</v>
      </c>
      <c r="I238" s="29">
        <f>G238*H238</f>
        <v>1426.92</v>
      </c>
      <c r="J238">
        <v>1</v>
      </c>
    </row>
    <row r="239" spans="1:19" x14ac:dyDescent="0.3">
      <c r="D239" s="15" t="str">
        <f>SUBSTITUTE("Sp.mat: 0.00%",".",IF(VALUE("1.2")=1.2,".",","),2)</f>
        <v>Sp.mat: 0.00%</v>
      </c>
      <c r="F239" s="15" t="str">
        <f>SUBSTITUTE("Sp.man: 0.00%",".",IF(VALUE("1.2")=1.2,".",","),2)</f>
        <v>Sp.man: 0.00%</v>
      </c>
      <c r="G239" s="35" t="str">
        <f>SUBSTITUTE("Sp.uti: 0.00%",".",IF(VALUE("1.2")=1.2,".",","),2)</f>
        <v>Sp.uti: 0.00%</v>
      </c>
      <c r="H239" s="38">
        <f>(1+IF(OR(ISERR(FIND(":",F239)),ISERR(FIND("%",F239))),0,MID(F239,FIND(":",F239)+2,FIND("%",F239)-FIND(":",F239)-2)/100))*0</f>
        <v>0</v>
      </c>
      <c r="I239" s="29">
        <f>G238*H239</f>
        <v>0</v>
      </c>
      <c r="J239">
        <v>2</v>
      </c>
    </row>
    <row r="240" spans="1:19" x14ac:dyDescent="0.3">
      <c r="A240" s="88" t="s">
        <v>803</v>
      </c>
      <c r="B240" s="98"/>
      <c r="C240" s="98"/>
      <c r="D240" s="98"/>
      <c r="E240" s="98"/>
      <c r="F240" s="98"/>
      <c r="G240" s="98"/>
      <c r="H240" s="38">
        <f>(1+IF(OR(ISERR(FIND(":",G239)),ISERR(FIND("%",G239))),0,MID(G239,FIND(":",G239)+2,FIND("%",G239)-FIND(":",G239)-2)/100))*0</f>
        <v>0</v>
      </c>
      <c r="I240" s="29">
        <f>G238*H240</f>
        <v>0</v>
      </c>
      <c r="J240">
        <v>3</v>
      </c>
      <c r="K240" s="4">
        <v>0</v>
      </c>
      <c r="L240" s="4">
        <v>0</v>
      </c>
      <c r="M240" s="4">
        <f>I240-K240-L240</f>
        <v>0</v>
      </c>
    </row>
    <row r="241" spans="1:19" x14ac:dyDescent="0.3">
      <c r="A241" s="98"/>
      <c r="B241" s="98"/>
      <c r="C241" s="98"/>
      <c r="D241" s="98"/>
      <c r="E241" s="98"/>
      <c r="F241" s="98"/>
      <c r="G241" s="98"/>
      <c r="H241" s="38">
        <f>0</f>
        <v>0</v>
      </c>
      <c r="I241" s="29">
        <f>G238*H241</f>
        <v>0</v>
      </c>
      <c r="J241">
        <v>4</v>
      </c>
      <c r="N241" s="4">
        <f>IF(ISERR(SEARCH("TRA* 82",C238)),IF(Q241+R241+S241=0,0,I241*(Q241/(Q241+R241+S241))),I241)</f>
        <v>0</v>
      </c>
      <c r="O241" s="4">
        <f>IF(ISERR(SEARCH("TRA* 82",C238)),IF(Q241+R241+S241=0,0,I241*(R241/(Q241+R241+S241))),0)</f>
        <v>0</v>
      </c>
      <c r="P241" s="4">
        <f>IF(ISERR(SEARCH("TRA* 82",C238)),I241-N241-O241,0)</f>
        <v>0</v>
      </c>
      <c r="Q241" s="4">
        <v>0</v>
      </c>
      <c r="R241" s="4">
        <v>0</v>
      </c>
      <c r="S241" s="4">
        <v>0</v>
      </c>
    </row>
    <row r="242" spans="1:19" x14ac:dyDescent="0.3">
      <c r="A242" s="96" t="s">
        <v>27</v>
      </c>
      <c r="B242" s="97"/>
      <c r="C242" s="97"/>
      <c r="D242" s="97"/>
      <c r="E242" s="97"/>
      <c r="F242" s="97"/>
      <c r="G242" s="97"/>
      <c r="H242" s="36">
        <f>H238+H239+H240+H241</f>
        <v>356.73</v>
      </c>
      <c r="I242" s="74">
        <f>I238+I239+I240+I241</f>
        <v>1426.92</v>
      </c>
      <c r="J242">
        <v>5</v>
      </c>
    </row>
    <row r="243" spans="1:19" x14ac:dyDescent="0.3">
      <c r="B243" s="2">
        <v>37</v>
      </c>
      <c r="C243" s="3" t="s">
        <v>804</v>
      </c>
      <c r="D243" s="5" t="s">
        <v>29</v>
      </c>
      <c r="G243" s="30">
        <v>84</v>
      </c>
      <c r="H243" s="38">
        <v>467.96</v>
      </c>
      <c r="I243" s="29">
        <f>G243*H243</f>
        <v>39308.639999999999</v>
      </c>
      <c r="J243">
        <v>1</v>
      </c>
    </row>
    <row r="244" spans="1:19" x14ac:dyDescent="0.3">
      <c r="D244" s="15" t="str">
        <f>SUBSTITUTE("Sp.mat: 0.00%",".",IF(VALUE("1.2")=1.2,".",","),2)</f>
        <v>Sp.mat: 0.00%</v>
      </c>
      <c r="F244" s="15" t="str">
        <f>SUBSTITUTE("Sp.man: 0.00%",".",IF(VALUE("1.2")=1.2,".",","),2)</f>
        <v>Sp.man: 0.00%</v>
      </c>
      <c r="G244" s="35" t="str">
        <f>SUBSTITUTE("Sp.uti: 0.00%",".",IF(VALUE("1.2")=1.2,".",","),2)</f>
        <v>Sp.uti: 0.00%</v>
      </c>
      <c r="H244" s="38">
        <f>(1+IF(OR(ISERR(FIND(":",F244)),ISERR(FIND("%",F244))),0,MID(F244,FIND(":",F244)+2,FIND("%",F244)-FIND(":",F244)-2)/100))*0</f>
        <v>0</v>
      </c>
      <c r="I244" s="29">
        <f>G243*H244</f>
        <v>0</v>
      </c>
      <c r="J244">
        <v>2</v>
      </c>
    </row>
    <row r="245" spans="1:19" x14ac:dyDescent="0.3">
      <c r="A245" s="88" t="s">
        <v>805</v>
      </c>
      <c r="B245" s="98"/>
      <c r="C245" s="98"/>
      <c r="D245" s="98"/>
      <c r="E245" s="98"/>
      <c r="F245" s="98"/>
      <c r="G245" s="98"/>
      <c r="H245" s="38">
        <f>(1+IF(OR(ISERR(FIND(":",G244)),ISERR(FIND("%",G244))),0,MID(G244,FIND(":",G244)+2,FIND("%",G244)-FIND(":",G244)-2)/100))*0</f>
        <v>0</v>
      </c>
      <c r="I245" s="29">
        <f>G243*H245</f>
        <v>0</v>
      </c>
      <c r="J245">
        <v>3</v>
      </c>
      <c r="K245" s="4">
        <v>0</v>
      </c>
      <c r="L245" s="4">
        <v>0</v>
      </c>
      <c r="M245" s="4">
        <f>I245-K245-L245</f>
        <v>0</v>
      </c>
    </row>
    <row r="246" spans="1:19" x14ac:dyDescent="0.3">
      <c r="A246" s="98"/>
      <c r="B246" s="98"/>
      <c r="C246" s="98"/>
      <c r="D246" s="98"/>
      <c r="E246" s="98"/>
      <c r="F246" s="98"/>
      <c r="G246" s="98"/>
      <c r="H246" s="38">
        <f>0</f>
        <v>0</v>
      </c>
      <c r="I246" s="29">
        <f>G243*H246</f>
        <v>0</v>
      </c>
      <c r="J246">
        <v>4</v>
      </c>
      <c r="N246" s="4">
        <f>IF(ISERR(SEARCH("TRA* 82",C243)),IF(Q246+R246+S246=0,0,I246*(Q246/(Q246+R246+S246))),I246)</f>
        <v>0</v>
      </c>
      <c r="O246" s="4">
        <f>IF(ISERR(SEARCH("TRA* 82",C243)),IF(Q246+R246+S246=0,0,I246*(R246/(Q246+R246+S246))),0)</f>
        <v>0</v>
      </c>
      <c r="P246" s="4">
        <f>IF(ISERR(SEARCH("TRA* 82",C243)),I246-N246-O246,0)</f>
        <v>0</v>
      </c>
      <c r="Q246" s="4">
        <v>0</v>
      </c>
      <c r="R246" s="4">
        <v>0</v>
      </c>
      <c r="S246" s="4">
        <v>0</v>
      </c>
    </row>
    <row r="247" spans="1:19" x14ac:dyDescent="0.3">
      <c r="A247" s="96" t="s">
        <v>27</v>
      </c>
      <c r="B247" s="97"/>
      <c r="C247" s="97"/>
      <c r="D247" s="97"/>
      <c r="E247" s="97"/>
      <c r="F247" s="97"/>
      <c r="G247" s="97"/>
      <c r="H247" s="36">
        <f>H243+H244+H245+H246</f>
        <v>467.96</v>
      </c>
      <c r="I247" s="74">
        <f>I243+I244+I245+I246</f>
        <v>39308.639999999999</v>
      </c>
      <c r="J247">
        <v>5</v>
      </c>
    </row>
    <row r="248" spans="1:19" x14ac:dyDescent="0.3">
      <c r="B248" s="2">
        <v>38</v>
      </c>
      <c r="C248" s="3" t="s">
        <v>806</v>
      </c>
      <c r="D248" s="5" t="s">
        <v>29</v>
      </c>
      <c r="G248" s="30">
        <v>60</v>
      </c>
      <c r="H248" s="38">
        <v>559.13</v>
      </c>
      <c r="I248" s="29">
        <f>G248*H248</f>
        <v>33547.800000000003</v>
      </c>
      <c r="J248">
        <v>1</v>
      </c>
    </row>
    <row r="249" spans="1:19" x14ac:dyDescent="0.3">
      <c r="D249" s="15" t="str">
        <f>SUBSTITUTE("Sp.mat: 0.00%",".",IF(VALUE("1.2")=1.2,".",","),2)</f>
        <v>Sp.mat: 0.00%</v>
      </c>
      <c r="F249" s="15" t="str">
        <f>SUBSTITUTE("Sp.man: 0.00%",".",IF(VALUE("1.2")=1.2,".",","),2)</f>
        <v>Sp.man: 0.00%</v>
      </c>
      <c r="G249" s="35" t="str">
        <f>SUBSTITUTE("Sp.uti: 0.00%",".",IF(VALUE("1.2")=1.2,".",","),2)</f>
        <v>Sp.uti: 0.00%</v>
      </c>
      <c r="H249" s="38">
        <f>(1+IF(OR(ISERR(FIND(":",F249)),ISERR(FIND("%",F249))),0,MID(F249,FIND(":",F249)+2,FIND("%",F249)-FIND(":",F249)-2)/100))*0</f>
        <v>0</v>
      </c>
      <c r="I249" s="29">
        <f>G248*H249</f>
        <v>0</v>
      </c>
      <c r="J249">
        <v>2</v>
      </c>
    </row>
    <row r="250" spans="1:19" x14ac:dyDescent="0.3">
      <c r="A250" s="88" t="s">
        <v>807</v>
      </c>
      <c r="B250" s="98"/>
      <c r="C250" s="98"/>
      <c r="D250" s="98"/>
      <c r="E250" s="98"/>
      <c r="F250" s="98"/>
      <c r="G250" s="98"/>
      <c r="H250" s="38">
        <f>(1+IF(OR(ISERR(FIND(":",G249)),ISERR(FIND("%",G249))),0,MID(G249,FIND(":",G249)+2,FIND("%",G249)-FIND(":",G249)-2)/100))*0</f>
        <v>0</v>
      </c>
      <c r="I250" s="29">
        <f>G248*H250</f>
        <v>0</v>
      </c>
      <c r="J250">
        <v>3</v>
      </c>
      <c r="K250" s="4">
        <v>0</v>
      </c>
      <c r="L250" s="4">
        <v>0</v>
      </c>
      <c r="M250" s="4">
        <f>I250-K250-L250</f>
        <v>0</v>
      </c>
    </row>
    <row r="251" spans="1:19" x14ac:dyDescent="0.3">
      <c r="A251" s="98"/>
      <c r="B251" s="98"/>
      <c r="C251" s="98"/>
      <c r="D251" s="98"/>
      <c r="E251" s="98"/>
      <c r="F251" s="98"/>
      <c r="G251" s="98"/>
      <c r="H251" s="38">
        <f>0</f>
        <v>0</v>
      </c>
      <c r="I251" s="29">
        <f>G248*H251</f>
        <v>0</v>
      </c>
      <c r="J251">
        <v>4</v>
      </c>
      <c r="N251" s="4">
        <f>IF(ISERR(SEARCH("TRA* 82",C248)),IF(Q251+R251+S251=0,0,I251*(Q251/(Q251+R251+S251))),I251)</f>
        <v>0</v>
      </c>
      <c r="O251" s="4">
        <f>IF(ISERR(SEARCH("TRA* 82",C248)),IF(Q251+R251+S251=0,0,I251*(R251/(Q251+R251+S251))),0)</f>
        <v>0</v>
      </c>
      <c r="P251" s="4">
        <f>IF(ISERR(SEARCH("TRA* 82",C248)),I251-N251-O251,0)</f>
        <v>0</v>
      </c>
      <c r="Q251" s="4">
        <v>0</v>
      </c>
      <c r="R251" s="4">
        <v>0</v>
      </c>
      <c r="S251" s="4">
        <v>0</v>
      </c>
    </row>
    <row r="252" spans="1:19" x14ac:dyDescent="0.3">
      <c r="A252" s="96" t="s">
        <v>27</v>
      </c>
      <c r="B252" s="97"/>
      <c r="C252" s="97"/>
      <c r="D252" s="97"/>
      <c r="E252" s="97"/>
      <c r="F252" s="97"/>
      <c r="G252" s="97"/>
      <c r="H252" s="36">
        <f>H248+H249+H250+H251</f>
        <v>559.13</v>
      </c>
      <c r="I252" s="74">
        <f>I248+I249+I250+I251</f>
        <v>33547.800000000003</v>
      </c>
      <c r="J252">
        <v>5</v>
      </c>
    </row>
    <row r="253" spans="1:19" x14ac:dyDescent="0.3">
      <c r="B253" s="2">
        <v>39</v>
      </c>
      <c r="C253" s="3" t="s">
        <v>808</v>
      </c>
      <c r="D253" s="5" t="s">
        <v>29</v>
      </c>
      <c r="G253" s="30">
        <v>21</v>
      </c>
      <c r="H253" s="38">
        <v>459.63</v>
      </c>
      <c r="I253" s="29">
        <f>G253*H253</f>
        <v>9652.23</v>
      </c>
      <c r="J253">
        <v>1</v>
      </c>
    </row>
    <row r="254" spans="1:19" x14ac:dyDescent="0.3">
      <c r="D254" s="15" t="str">
        <f>SUBSTITUTE("Sp.mat: 0.00%",".",IF(VALUE("1.2")=1.2,".",","),2)</f>
        <v>Sp.mat: 0.00%</v>
      </c>
      <c r="F254" s="15" t="str">
        <f>SUBSTITUTE("Sp.man: 0.00%",".",IF(VALUE("1.2")=1.2,".",","),2)</f>
        <v>Sp.man: 0.00%</v>
      </c>
      <c r="G254" s="35" t="str">
        <f>SUBSTITUTE("Sp.uti: 0.00%",".",IF(VALUE("1.2")=1.2,".",","),2)</f>
        <v>Sp.uti: 0.00%</v>
      </c>
      <c r="H254" s="38">
        <f>(1+IF(OR(ISERR(FIND(":",F254)),ISERR(FIND("%",F254))),0,MID(F254,FIND(":",F254)+2,FIND("%",F254)-FIND(":",F254)-2)/100))*0</f>
        <v>0</v>
      </c>
      <c r="I254" s="29">
        <f>G253*H254</f>
        <v>0</v>
      </c>
      <c r="J254">
        <v>2</v>
      </c>
    </row>
    <row r="255" spans="1:19" x14ac:dyDescent="0.3">
      <c r="A255" s="88" t="s">
        <v>809</v>
      </c>
      <c r="B255" s="98"/>
      <c r="C255" s="98"/>
      <c r="D255" s="98"/>
      <c r="E255" s="98"/>
      <c r="F255" s="98"/>
      <c r="G255" s="98"/>
      <c r="H255" s="38">
        <f>(1+IF(OR(ISERR(FIND(":",G254)),ISERR(FIND("%",G254))),0,MID(G254,FIND(":",G254)+2,FIND("%",G254)-FIND(":",G254)-2)/100))*0</f>
        <v>0</v>
      </c>
      <c r="I255" s="29">
        <f>G253*H255</f>
        <v>0</v>
      </c>
      <c r="J255">
        <v>3</v>
      </c>
      <c r="K255" s="4">
        <v>0</v>
      </c>
      <c r="L255" s="4">
        <v>0</v>
      </c>
      <c r="M255" s="4">
        <f>I255-K255-L255</f>
        <v>0</v>
      </c>
    </row>
    <row r="256" spans="1:19" x14ac:dyDescent="0.3">
      <c r="A256" s="98"/>
      <c r="B256" s="98"/>
      <c r="C256" s="98"/>
      <c r="D256" s="98"/>
      <c r="E256" s="98"/>
      <c r="F256" s="98"/>
      <c r="G256" s="98"/>
      <c r="H256" s="38">
        <f>0</f>
        <v>0</v>
      </c>
      <c r="I256" s="29">
        <f>G253*H256</f>
        <v>0</v>
      </c>
      <c r="J256">
        <v>4</v>
      </c>
      <c r="N256" s="4">
        <f>IF(ISERR(SEARCH("TRA* 82",C253)),IF(Q256+R256+S256=0,0,I256*(Q256/(Q256+R256+S256))),I256)</f>
        <v>0</v>
      </c>
      <c r="O256" s="4">
        <f>IF(ISERR(SEARCH("TRA* 82",C253)),IF(Q256+R256+S256=0,0,I256*(R256/(Q256+R256+S256))),0)</f>
        <v>0</v>
      </c>
      <c r="P256" s="4">
        <f>IF(ISERR(SEARCH("TRA* 82",C253)),I256-N256-O256,0)</f>
        <v>0</v>
      </c>
      <c r="Q256" s="4">
        <v>0</v>
      </c>
      <c r="R256" s="4">
        <v>0</v>
      </c>
      <c r="S256" s="4">
        <v>0</v>
      </c>
    </row>
    <row r="257" spans="1:19" x14ac:dyDescent="0.3">
      <c r="A257" s="96" t="s">
        <v>27</v>
      </c>
      <c r="B257" s="97"/>
      <c r="C257" s="97"/>
      <c r="D257" s="97"/>
      <c r="E257" s="97"/>
      <c r="F257" s="97"/>
      <c r="G257" s="97"/>
      <c r="H257" s="36">
        <f>H253+H254+H255+H256</f>
        <v>459.63</v>
      </c>
      <c r="I257" s="74">
        <f>I253+I254+I255+I256</f>
        <v>9652.23</v>
      </c>
      <c r="J257">
        <v>5</v>
      </c>
    </row>
    <row r="258" spans="1:19" x14ac:dyDescent="0.3">
      <c r="B258" s="2">
        <v>40</v>
      </c>
      <c r="C258" s="3" t="s">
        <v>810</v>
      </c>
      <c r="D258" s="5" t="s">
        <v>29</v>
      </c>
      <c r="G258" s="30">
        <v>21</v>
      </c>
      <c r="H258" s="38">
        <v>251.07</v>
      </c>
      <c r="I258" s="29">
        <f>G258*H258</f>
        <v>5272.47</v>
      </c>
      <c r="J258">
        <v>1</v>
      </c>
    </row>
    <row r="259" spans="1:19" x14ac:dyDescent="0.3">
      <c r="D259" s="15" t="str">
        <f>SUBSTITUTE("Sp.mat: 0.00%",".",IF(VALUE("1.2")=1.2,".",","),2)</f>
        <v>Sp.mat: 0.00%</v>
      </c>
      <c r="F259" s="15" t="str">
        <f>SUBSTITUTE("Sp.man: 0.00%",".",IF(VALUE("1.2")=1.2,".",","),2)</f>
        <v>Sp.man: 0.00%</v>
      </c>
      <c r="G259" s="35" t="str">
        <f>SUBSTITUTE("Sp.uti: 0.00%",".",IF(VALUE("1.2")=1.2,".",","),2)</f>
        <v>Sp.uti: 0.00%</v>
      </c>
      <c r="H259" s="38">
        <f>(1+IF(OR(ISERR(FIND(":",F259)),ISERR(FIND("%",F259))),0,MID(F259,FIND(":",F259)+2,FIND("%",F259)-FIND(":",F259)-2)/100))*0</f>
        <v>0</v>
      </c>
      <c r="I259" s="29">
        <f>G258*H259</f>
        <v>0</v>
      </c>
      <c r="J259">
        <v>2</v>
      </c>
    </row>
    <row r="260" spans="1:19" x14ac:dyDescent="0.3">
      <c r="A260" s="88" t="s">
        <v>811</v>
      </c>
      <c r="B260" s="98"/>
      <c r="C260" s="98"/>
      <c r="D260" s="98"/>
      <c r="E260" s="98"/>
      <c r="F260" s="98"/>
      <c r="G260" s="98"/>
      <c r="H260" s="38">
        <f>(1+IF(OR(ISERR(FIND(":",G259)),ISERR(FIND("%",G259))),0,MID(G259,FIND(":",G259)+2,FIND("%",G259)-FIND(":",G259)-2)/100))*0</f>
        <v>0</v>
      </c>
      <c r="I260" s="29">
        <f>G258*H260</f>
        <v>0</v>
      </c>
      <c r="J260">
        <v>3</v>
      </c>
      <c r="K260" s="4">
        <v>0</v>
      </c>
      <c r="L260" s="4">
        <v>0</v>
      </c>
      <c r="M260" s="4">
        <f>I260-K260-L260</f>
        <v>0</v>
      </c>
    </row>
    <row r="261" spans="1:19" x14ac:dyDescent="0.3">
      <c r="A261" s="98"/>
      <c r="B261" s="98"/>
      <c r="C261" s="98"/>
      <c r="D261" s="98"/>
      <c r="E261" s="98"/>
      <c r="F261" s="98"/>
      <c r="G261" s="98"/>
      <c r="H261" s="38">
        <f>0</f>
        <v>0</v>
      </c>
      <c r="I261" s="29">
        <f>G258*H261</f>
        <v>0</v>
      </c>
      <c r="J261">
        <v>4</v>
      </c>
      <c r="N261" s="4">
        <f>IF(ISERR(SEARCH("TRA* 82",C258)),IF(Q261+R261+S261=0,0,I261*(Q261/(Q261+R261+S261))),I261)</f>
        <v>0</v>
      </c>
      <c r="O261" s="4">
        <f>IF(ISERR(SEARCH("TRA* 82",C258)),IF(Q261+R261+S261=0,0,I261*(R261/(Q261+R261+S261))),0)</f>
        <v>0</v>
      </c>
      <c r="P261" s="4">
        <f>IF(ISERR(SEARCH("TRA* 82",C258)),I261-N261-O261,0)</f>
        <v>0</v>
      </c>
      <c r="Q261" s="4">
        <v>0</v>
      </c>
      <c r="R261" s="4">
        <v>0</v>
      </c>
      <c r="S261" s="4">
        <v>0</v>
      </c>
    </row>
    <row r="262" spans="1:19" x14ac:dyDescent="0.3">
      <c r="A262" s="96" t="s">
        <v>27</v>
      </c>
      <c r="B262" s="97"/>
      <c r="C262" s="97"/>
      <c r="D262" s="97"/>
      <c r="E262" s="97"/>
      <c r="F262" s="97"/>
      <c r="G262" s="97"/>
      <c r="H262" s="36">
        <f>H258+H259+H260+H261</f>
        <v>251.07</v>
      </c>
      <c r="I262" s="74">
        <f>I258+I259+I260+I261</f>
        <v>5272.47</v>
      </c>
      <c r="J262">
        <v>5</v>
      </c>
    </row>
    <row r="263" spans="1:19" x14ac:dyDescent="0.3">
      <c r="B263" s="2">
        <v>41</v>
      </c>
      <c r="C263" s="3" t="s">
        <v>812</v>
      </c>
      <c r="D263" s="5" t="s">
        <v>29</v>
      </c>
      <c r="G263" s="30">
        <v>212</v>
      </c>
      <c r="H263" s="38">
        <v>35.369999999999997</v>
      </c>
      <c r="I263" s="29">
        <f>G263*H263</f>
        <v>7498.44</v>
      </c>
      <c r="J263">
        <v>1</v>
      </c>
    </row>
    <row r="264" spans="1:19" x14ac:dyDescent="0.3">
      <c r="D264" s="15" t="str">
        <f>SUBSTITUTE("Sp.mat: 0.00%",".",IF(VALUE("1.2")=1.2,".",","),2)</f>
        <v>Sp.mat: 0.00%</v>
      </c>
      <c r="F264" s="15" t="str">
        <f>SUBSTITUTE("Sp.man: 0.00%",".",IF(VALUE("1.2")=1.2,".",","),2)</f>
        <v>Sp.man: 0.00%</v>
      </c>
      <c r="G264" s="35" t="str">
        <f>SUBSTITUTE("Sp.uti: 0.00%",".",IF(VALUE("1.2")=1.2,".",","),2)</f>
        <v>Sp.uti: 0.00%</v>
      </c>
      <c r="H264" s="38">
        <f>11680.88/G263</f>
        <v>55.098490566037732</v>
      </c>
      <c r="I264" s="29">
        <f>G263*H264</f>
        <v>11680.88</v>
      </c>
      <c r="J264">
        <v>2</v>
      </c>
    </row>
    <row r="265" spans="1:19" x14ac:dyDescent="0.3">
      <c r="A265" s="88" t="s">
        <v>813</v>
      </c>
      <c r="B265" s="98"/>
      <c r="C265" s="98"/>
      <c r="D265" s="98"/>
      <c r="E265" s="98"/>
      <c r="F265" s="98"/>
      <c r="G265" s="98"/>
      <c r="H265" s="38">
        <f>352.8/G263</f>
        <v>1.6641509433962265</v>
      </c>
      <c r="I265" s="29">
        <f>G263*H265</f>
        <v>352.8</v>
      </c>
      <c r="J265">
        <v>3</v>
      </c>
      <c r="K265" s="4">
        <v>0</v>
      </c>
      <c r="L265" s="4">
        <v>636</v>
      </c>
      <c r="M265" s="4">
        <f>I265-K265-L265</f>
        <v>-283.2</v>
      </c>
    </row>
    <row r="266" spans="1:19" x14ac:dyDescent="0.3">
      <c r="A266" s="98"/>
      <c r="B266" s="98"/>
      <c r="C266" s="98"/>
      <c r="D266" s="98"/>
      <c r="E266" s="98"/>
      <c r="F266" s="98"/>
      <c r="G266" s="98"/>
      <c r="H266" s="38">
        <f>0</f>
        <v>0</v>
      </c>
      <c r="I266" s="29">
        <f>G263*H266</f>
        <v>0</v>
      </c>
      <c r="J266">
        <v>4</v>
      </c>
      <c r="N266" s="4">
        <f>IF(ISERR(SEARCH("TRA* 82",C263)),IF(Q266+R266+S266=0,0,I266*(Q266/(Q266+R266+S266))),I266)</f>
        <v>0</v>
      </c>
      <c r="O266" s="4">
        <f>IF(ISERR(SEARCH("TRA* 82",C263)),IF(Q266+R266+S266=0,0,I266*(R266/(Q266+R266+S266))),0)</f>
        <v>0</v>
      </c>
      <c r="P266" s="4">
        <f>IF(ISERR(SEARCH("TRA* 82",C263)),I266-N266-O266,0)</f>
        <v>0</v>
      </c>
      <c r="Q266" s="4">
        <v>0</v>
      </c>
      <c r="R266" s="4">
        <v>0</v>
      </c>
      <c r="S266" s="4">
        <v>0</v>
      </c>
    </row>
    <row r="267" spans="1:19" x14ac:dyDescent="0.3">
      <c r="A267" s="96" t="s">
        <v>110</v>
      </c>
      <c r="B267" s="97"/>
      <c r="C267" s="97"/>
      <c r="D267" s="97"/>
      <c r="E267" s="97"/>
      <c r="F267" s="97"/>
      <c r="G267" s="97"/>
      <c r="H267" s="36">
        <f>H263+H264+H265+H266</f>
        <v>92.132641509433952</v>
      </c>
      <c r="I267" s="74">
        <f>I263+I264+I265+I266</f>
        <v>19532.12</v>
      </c>
      <c r="J267">
        <v>5</v>
      </c>
    </row>
    <row r="268" spans="1:19" x14ac:dyDescent="0.3">
      <c r="B268" s="2">
        <v>42</v>
      </c>
      <c r="C268" s="3" t="s">
        <v>814</v>
      </c>
      <c r="D268" s="5" t="s">
        <v>29</v>
      </c>
      <c r="G268" s="30">
        <v>66</v>
      </c>
      <c r="H268" s="38">
        <v>242.36</v>
      </c>
      <c r="I268" s="29">
        <f>G268*H268</f>
        <v>15995.76</v>
      </c>
      <c r="J268">
        <v>1</v>
      </c>
    </row>
    <row r="269" spans="1:19" x14ac:dyDescent="0.3">
      <c r="D269" s="15" t="str">
        <f>SUBSTITUTE("Sp.mat: 0.00%",".",IF(VALUE("1.2")=1.2,".",","),2)</f>
        <v>Sp.mat: 0.00%</v>
      </c>
      <c r="F269" s="15" t="str">
        <f>SUBSTITUTE("Sp.man: 0.00%",".",IF(VALUE("1.2")=1.2,".",","),2)</f>
        <v>Sp.man: 0.00%</v>
      </c>
      <c r="G269" s="35" t="str">
        <f>SUBSTITUTE("Sp.uti: 0.00%",".",IF(VALUE("1.2")=1.2,".",","),2)</f>
        <v>Sp.uti: 0.00%</v>
      </c>
      <c r="H269" s="38">
        <f>(1+IF(OR(ISERR(FIND(":",F269)),ISERR(FIND("%",F269))),0,MID(F269,FIND(":",F269)+2,FIND("%",F269)-FIND(":",F269)-2)/100))*0</f>
        <v>0</v>
      </c>
      <c r="I269" s="29">
        <f>G268*H269</f>
        <v>0</v>
      </c>
      <c r="J269">
        <v>2</v>
      </c>
    </row>
    <row r="270" spans="1:19" x14ac:dyDescent="0.3">
      <c r="A270" s="88" t="s">
        <v>815</v>
      </c>
      <c r="B270" s="98"/>
      <c r="C270" s="98"/>
      <c r="D270" s="98"/>
      <c r="E270" s="98"/>
      <c r="F270" s="98"/>
      <c r="G270" s="98"/>
      <c r="H270" s="38">
        <f>(1+IF(OR(ISERR(FIND(":",G269)),ISERR(FIND("%",G269))),0,MID(G269,FIND(":",G269)+2,FIND("%",G269)-FIND(":",G269)-2)/100))*0</f>
        <v>0</v>
      </c>
      <c r="I270" s="29">
        <f>G268*H270</f>
        <v>0</v>
      </c>
      <c r="J270">
        <v>3</v>
      </c>
      <c r="K270" s="4">
        <v>0</v>
      </c>
      <c r="L270" s="4">
        <v>0</v>
      </c>
      <c r="M270" s="4">
        <f>I270-K270-L270</f>
        <v>0</v>
      </c>
    </row>
    <row r="271" spans="1:19" x14ac:dyDescent="0.3">
      <c r="A271" s="98"/>
      <c r="B271" s="98"/>
      <c r="C271" s="98"/>
      <c r="D271" s="98"/>
      <c r="E271" s="98"/>
      <c r="F271" s="98"/>
      <c r="G271" s="98"/>
      <c r="H271" s="38">
        <f>0</f>
        <v>0</v>
      </c>
      <c r="I271" s="29">
        <f>G268*H271</f>
        <v>0</v>
      </c>
      <c r="J271">
        <v>4</v>
      </c>
      <c r="N271" s="4">
        <f>IF(ISERR(SEARCH("TRA* 82",C268)),IF(Q271+R271+S271=0,0,I271*(Q271/(Q271+R271+S271))),I271)</f>
        <v>0</v>
      </c>
      <c r="O271" s="4">
        <f>IF(ISERR(SEARCH("TRA* 82",C268)),IF(Q271+R271+S271=0,0,I271*(R271/(Q271+R271+S271))),0)</f>
        <v>0</v>
      </c>
      <c r="P271" s="4">
        <f>IF(ISERR(SEARCH("TRA* 82",C268)),I271-N271-O271,0)</f>
        <v>0</v>
      </c>
      <c r="Q271" s="4">
        <v>0</v>
      </c>
      <c r="R271" s="4">
        <v>0</v>
      </c>
      <c r="S271" s="4">
        <v>0</v>
      </c>
    </row>
    <row r="272" spans="1:19" x14ac:dyDescent="0.3">
      <c r="A272" s="96" t="s">
        <v>27</v>
      </c>
      <c r="B272" s="97"/>
      <c r="C272" s="97"/>
      <c r="D272" s="97"/>
      <c r="E272" s="97"/>
      <c r="F272" s="97"/>
      <c r="G272" s="97"/>
      <c r="H272" s="36">
        <f>H268+H269+H270+H271</f>
        <v>242.36</v>
      </c>
      <c r="I272" s="74">
        <f>I268+I269+I270+I271</f>
        <v>15995.76</v>
      </c>
      <c r="J272">
        <v>5</v>
      </c>
    </row>
    <row r="273" spans="1:19" x14ac:dyDescent="0.3">
      <c r="B273" s="2">
        <v>43</v>
      </c>
      <c r="C273" s="3" t="s">
        <v>816</v>
      </c>
      <c r="D273" s="5" t="s">
        <v>29</v>
      </c>
      <c r="G273" s="30">
        <v>40</v>
      </c>
      <c r="H273" s="38">
        <v>268.57</v>
      </c>
      <c r="I273" s="29">
        <f>G273*H273</f>
        <v>10742.8</v>
      </c>
      <c r="J273">
        <v>1</v>
      </c>
    </row>
    <row r="274" spans="1:19" x14ac:dyDescent="0.3">
      <c r="D274" s="15" t="str">
        <f>SUBSTITUTE("Sp.mat: 0.00%",".",IF(VALUE("1.2")=1.2,".",","),2)</f>
        <v>Sp.mat: 0.00%</v>
      </c>
      <c r="F274" s="15" t="str">
        <f>SUBSTITUTE("Sp.man: 0.00%",".",IF(VALUE("1.2")=1.2,".",","),2)</f>
        <v>Sp.man: 0.00%</v>
      </c>
      <c r="G274" s="35" t="str">
        <f>SUBSTITUTE("Sp.uti: 0.00%",".",IF(VALUE("1.2")=1.2,".",","),2)</f>
        <v>Sp.uti: 0.00%</v>
      </c>
      <c r="H274" s="38">
        <f>(1+IF(OR(ISERR(FIND(":",F274)),ISERR(FIND("%",F274))),0,MID(F274,FIND(":",F274)+2,FIND("%",F274)-FIND(":",F274)-2)/100))*0</f>
        <v>0</v>
      </c>
      <c r="I274" s="29">
        <f>G273*H274</f>
        <v>0</v>
      </c>
      <c r="J274">
        <v>2</v>
      </c>
    </row>
    <row r="275" spans="1:19" x14ac:dyDescent="0.3">
      <c r="A275" s="88" t="s">
        <v>817</v>
      </c>
      <c r="B275" s="98"/>
      <c r="C275" s="98"/>
      <c r="D275" s="98"/>
      <c r="E275" s="98"/>
      <c r="F275" s="98"/>
      <c r="G275" s="98"/>
      <c r="H275" s="38">
        <f>(1+IF(OR(ISERR(FIND(":",G274)),ISERR(FIND("%",G274))),0,MID(G274,FIND(":",G274)+2,FIND("%",G274)-FIND(":",G274)-2)/100))*0</f>
        <v>0</v>
      </c>
      <c r="I275" s="29">
        <f>G273*H275</f>
        <v>0</v>
      </c>
      <c r="J275">
        <v>3</v>
      </c>
      <c r="K275" s="4">
        <v>0</v>
      </c>
      <c r="L275" s="4">
        <v>0</v>
      </c>
      <c r="M275" s="4">
        <f>I275-K275-L275</f>
        <v>0</v>
      </c>
    </row>
    <row r="276" spans="1:19" x14ac:dyDescent="0.3">
      <c r="A276" s="98"/>
      <c r="B276" s="98"/>
      <c r="C276" s="98"/>
      <c r="D276" s="98"/>
      <c r="E276" s="98"/>
      <c r="F276" s="98"/>
      <c r="G276" s="98"/>
      <c r="H276" s="38">
        <f>0</f>
        <v>0</v>
      </c>
      <c r="I276" s="29">
        <f>G273*H276</f>
        <v>0</v>
      </c>
      <c r="J276">
        <v>4</v>
      </c>
      <c r="N276" s="4">
        <f>IF(ISERR(SEARCH("TRA* 82",C273)),IF(Q276+R276+S276=0,0,I276*(Q276/(Q276+R276+S276))),I276)</f>
        <v>0</v>
      </c>
      <c r="O276" s="4">
        <f>IF(ISERR(SEARCH("TRA* 82",C273)),IF(Q276+R276+S276=0,0,I276*(R276/(Q276+R276+S276))),0)</f>
        <v>0</v>
      </c>
      <c r="P276" s="4">
        <f>IF(ISERR(SEARCH("TRA* 82",C273)),I276-N276-O276,0)</f>
        <v>0</v>
      </c>
      <c r="Q276" s="4">
        <v>0</v>
      </c>
      <c r="R276" s="4">
        <v>0</v>
      </c>
      <c r="S276" s="4">
        <v>0</v>
      </c>
    </row>
    <row r="277" spans="1:19" x14ac:dyDescent="0.3">
      <c r="A277" s="96" t="s">
        <v>27</v>
      </c>
      <c r="B277" s="97"/>
      <c r="C277" s="97"/>
      <c r="D277" s="97"/>
      <c r="E277" s="97"/>
      <c r="F277" s="97"/>
      <c r="G277" s="97"/>
      <c r="H277" s="36">
        <f>H273+H274+H275+H276</f>
        <v>268.57</v>
      </c>
      <c r="I277" s="74">
        <f>I273+I274+I275+I276</f>
        <v>10742.8</v>
      </c>
      <c r="J277">
        <v>5</v>
      </c>
    </row>
    <row r="278" spans="1:19" x14ac:dyDescent="0.3">
      <c r="B278" s="2">
        <v>44</v>
      </c>
      <c r="C278" s="3" t="s">
        <v>818</v>
      </c>
      <c r="D278" s="5" t="s">
        <v>29</v>
      </c>
      <c r="G278" s="30">
        <v>6</v>
      </c>
      <c r="H278" s="38">
        <v>304.58999999999997</v>
      </c>
      <c r="I278" s="29">
        <f>G278*H278</f>
        <v>1827.54</v>
      </c>
      <c r="J278">
        <v>1</v>
      </c>
    </row>
    <row r="279" spans="1:19" x14ac:dyDescent="0.3">
      <c r="D279" s="15" t="str">
        <f>SUBSTITUTE("Sp.mat: 0.00%",".",IF(VALUE("1.2")=1.2,".",","),2)</f>
        <v>Sp.mat: 0.00%</v>
      </c>
      <c r="F279" s="15" t="str">
        <f>SUBSTITUTE("Sp.man: 0.00%",".",IF(VALUE("1.2")=1.2,".",","),2)</f>
        <v>Sp.man: 0.00%</v>
      </c>
      <c r="G279" s="35" t="str">
        <f>SUBSTITUTE("Sp.uti: 0.00%",".",IF(VALUE("1.2")=1.2,".",","),2)</f>
        <v>Sp.uti: 0.00%</v>
      </c>
      <c r="H279" s="38">
        <f>(1+IF(OR(ISERR(FIND(":",F279)),ISERR(FIND("%",F279))),0,MID(F279,FIND(":",F279)+2,FIND("%",F279)-FIND(":",F279)-2)/100))*0</f>
        <v>0</v>
      </c>
      <c r="I279" s="29">
        <f>G278*H279</f>
        <v>0</v>
      </c>
      <c r="J279">
        <v>2</v>
      </c>
    </row>
    <row r="280" spans="1:19" x14ac:dyDescent="0.3">
      <c r="A280" s="88" t="s">
        <v>819</v>
      </c>
      <c r="B280" s="98"/>
      <c r="C280" s="98"/>
      <c r="D280" s="98"/>
      <c r="E280" s="98"/>
      <c r="F280" s="98"/>
      <c r="G280" s="98"/>
      <c r="H280" s="38">
        <f>(1+IF(OR(ISERR(FIND(":",G279)),ISERR(FIND("%",G279))),0,MID(G279,FIND(":",G279)+2,FIND("%",G279)-FIND(":",G279)-2)/100))*0</f>
        <v>0</v>
      </c>
      <c r="I280" s="29">
        <f>G278*H280</f>
        <v>0</v>
      </c>
      <c r="J280">
        <v>3</v>
      </c>
      <c r="K280" s="4">
        <v>0</v>
      </c>
      <c r="L280" s="4">
        <v>0</v>
      </c>
      <c r="M280" s="4">
        <f>I280-K280-L280</f>
        <v>0</v>
      </c>
    </row>
    <row r="281" spans="1:19" x14ac:dyDescent="0.3">
      <c r="A281" s="98"/>
      <c r="B281" s="98"/>
      <c r="C281" s="98"/>
      <c r="D281" s="98"/>
      <c r="E281" s="98"/>
      <c r="F281" s="98"/>
      <c r="G281" s="98"/>
      <c r="H281" s="38">
        <f>0</f>
        <v>0</v>
      </c>
      <c r="I281" s="29">
        <f>G278*H281</f>
        <v>0</v>
      </c>
      <c r="J281">
        <v>4</v>
      </c>
      <c r="N281" s="4">
        <f>IF(ISERR(SEARCH("TRA* 82",C278)),IF(Q281+R281+S281=0,0,I281*(Q281/(Q281+R281+S281))),I281)</f>
        <v>0</v>
      </c>
      <c r="O281" s="4">
        <f>IF(ISERR(SEARCH("TRA* 82",C278)),IF(Q281+R281+S281=0,0,I281*(R281/(Q281+R281+S281))),0)</f>
        <v>0</v>
      </c>
      <c r="P281" s="4">
        <f>IF(ISERR(SEARCH("TRA* 82",C278)),I281-N281-O281,0)</f>
        <v>0</v>
      </c>
      <c r="Q281" s="4">
        <v>0</v>
      </c>
      <c r="R281" s="4">
        <v>0</v>
      </c>
      <c r="S281" s="4">
        <v>0</v>
      </c>
    </row>
    <row r="282" spans="1:19" x14ac:dyDescent="0.3">
      <c r="A282" s="96" t="s">
        <v>27</v>
      </c>
      <c r="B282" s="97"/>
      <c r="C282" s="97"/>
      <c r="D282" s="97"/>
      <c r="E282" s="97"/>
      <c r="F282" s="97"/>
      <c r="G282" s="97"/>
      <c r="H282" s="36">
        <f>H278+H279+H280+H281</f>
        <v>304.58999999999997</v>
      </c>
      <c r="I282" s="74">
        <f>I278+I279+I280+I281</f>
        <v>1827.54</v>
      </c>
      <c r="J282">
        <v>5</v>
      </c>
    </row>
    <row r="283" spans="1:19" x14ac:dyDescent="0.3">
      <c r="B283" s="2">
        <v>45</v>
      </c>
      <c r="C283" s="3" t="s">
        <v>820</v>
      </c>
      <c r="D283" s="5" t="s">
        <v>29</v>
      </c>
      <c r="G283" s="30">
        <v>100</v>
      </c>
      <c r="H283" s="38">
        <v>343.9</v>
      </c>
      <c r="I283" s="29">
        <f>G283*H283</f>
        <v>34390</v>
      </c>
      <c r="J283">
        <v>1</v>
      </c>
    </row>
    <row r="284" spans="1:19" x14ac:dyDescent="0.3">
      <c r="D284" s="15" t="str">
        <f>SUBSTITUTE("Sp.mat: 0.00%",".",IF(VALUE("1.2")=1.2,".",","),2)</f>
        <v>Sp.mat: 0.00%</v>
      </c>
      <c r="F284" s="15" t="str">
        <f>SUBSTITUTE("Sp.man: 0.00%",".",IF(VALUE("1.2")=1.2,".",","),2)</f>
        <v>Sp.man: 0.00%</v>
      </c>
      <c r="G284" s="35" t="str">
        <f>SUBSTITUTE("Sp.uti: 0.00%",".",IF(VALUE("1.2")=1.2,".",","),2)</f>
        <v>Sp.uti: 0.00%</v>
      </c>
      <c r="H284" s="38">
        <f>(1+IF(OR(ISERR(FIND(":",F284)),ISERR(FIND("%",F284))),0,MID(F284,FIND(":",F284)+2,FIND("%",F284)-FIND(":",F284)-2)/100))*0</f>
        <v>0</v>
      </c>
      <c r="I284" s="29">
        <f>G283*H284</f>
        <v>0</v>
      </c>
      <c r="J284">
        <v>2</v>
      </c>
    </row>
    <row r="285" spans="1:19" x14ac:dyDescent="0.3">
      <c r="A285" s="88" t="s">
        <v>821</v>
      </c>
      <c r="B285" s="98"/>
      <c r="C285" s="98"/>
      <c r="D285" s="98"/>
      <c r="E285" s="98"/>
      <c r="F285" s="98"/>
      <c r="G285" s="98"/>
      <c r="H285" s="38">
        <f>(1+IF(OR(ISERR(FIND(":",G284)),ISERR(FIND("%",G284))),0,MID(G284,FIND(":",G284)+2,FIND("%",G284)-FIND(":",G284)-2)/100))*0</f>
        <v>0</v>
      </c>
      <c r="I285" s="29">
        <f>G283*H285</f>
        <v>0</v>
      </c>
      <c r="J285">
        <v>3</v>
      </c>
      <c r="K285" s="4">
        <v>0</v>
      </c>
      <c r="L285" s="4">
        <v>0</v>
      </c>
      <c r="M285" s="4">
        <f>I285-K285-L285</f>
        <v>0</v>
      </c>
    </row>
    <row r="286" spans="1:19" x14ac:dyDescent="0.3">
      <c r="A286" s="98"/>
      <c r="B286" s="98"/>
      <c r="C286" s="98"/>
      <c r="D286" s="98"/>
      <c r="E286" s="98"/>
      <c r="F286" s="98"/>
      <c r="G286" s="98"/>
      <c r="H286" s="38">
        <f>0</f>
        <v>0</v>
      </c>
      <c r="I286" s="29">
        <f>G283*H286</f>
        <v>0</v>
      </c>
      <c r="J286">
        <v>4</v>
      </c>
      <c r="N286" s="4">
        <f>IF(ISERR(SEARCH("TRA* 82",C283)),IF(Q286+R286+S286=0,0,I286*(Q286/(Q286+R286+S286))),I286)</f>
        <v>0</v>
      </c>
      <c r="O286" s="4">
        <f>IF(ISERR(SEARCH("TRA* 82",C283)),IF(Q286+R286+S286=0,0,I286*(R286/(Q286+R286+S286))),0)</f>
        <v>0</v>
      </c>
      <c r="P286" s="4">
        <f>IF(ISERR(SEARCH("TRA* 82",C283)),I286-N286-O286,0)</f>
        <v>0</v>
      </c>
      <c r="Q286" s="4">
        <v>0</v>
      </c>
      <c r="R286" s="4">
        <v>0</v>
      </c>
      <c r="S286" s="4">
        <v>0</v>
      </c>
    </row>
    <row r="287" spans="1:19" x14ac:dyDescent="0.3">
      <c r="A287" s="96" t="s">
        <v>27</v>
      </c>
      <c r="B287" s="97"/>
      <c r="C287" s="97"/>
      <c r="D287" s="97"/>
      <c r="E287" s="97"/>
      <c r="F287" s="97"/>
      <c r="G287" s="97"/>
      <c r="H287" s="36">
        <f>H283+H284+H285+H286</f>
        <v>343.9</v>
      </c>
      <c r="I287" s="74">
        <f>I283+I284+I285+I286</f>
        <v>34390</v>
      </c>
      <c r="J287">
        <v>5</v>
      </c>
    </row>
    <row r="288" spans="1:19" x14ac:dyDescent="0.3">
      <c r="B288" s="2">
        <v>46</v>
      </c>
      <c r="C288" s="3" t="s">
        <v>822</v>
      </c>
      <c r="D288" s="5" t="s">
        <v>29</v>
      </c>
      <c r="G288" s="30">
        <v>15</v>
      </c>
      <c r="H288" s="38">
        <v>57.11</v>
      </c>
      <c r="I288" s="29">
        <f>G288*H288</f>
        <v>856.65</v>
      </c>
      <c r="J288">
        <v>1</v>
      </c>
    </row>
    <row r="289" spans="1:19" x14ac:dyDescent="0.3">
      <c r="D289" s="15" t="str">
        <f>SUBSTITUTE("Sp.mat: 0.00%",".",IF(VALUE("1.2")=1.2,".",","),2)</f>
        <v>Sp.mat: 0.00%</v>
      </c>
      <c r="F289" s="15" t="str">
        <f>SUBSTITUTE("Sp.man: 0.00%",".",IF(VALUE("1.2")=1.2,".",","),2)</f>
        <v>Sp.man: 0.00%</v>
      </c>
      <c r="G289" s="35" t="str">
        <f>SUBSTITUTE("Sp.uti: 0.00%",".",IF(VALUE("1.2")=1.2,".",","),2)</f>
        <v>Sp.uti: 0.00%</v>
      </c>
      <c r="H289" s="38">
        <f>663.1/G288</f>
        <v>44.206666666666671</v>
      </c>
      <c r="I289" s="29">
        <f>G288*H289</f>
        <v>663.1</v>
      </c>
      <c r="J289">
        <v>2</v>
      </c>
    </row>
    <row r="290" spans="1:19" x14ac:dyDescent="0.3">
      <c r="A290" s="88" t="s">
        <v>823</v>
      </c>
      <c r="B290" s="98"/>
      <c r="C290" s="98"/>
      <c r="D290" s="98"/>
      <c r="E290" s="98"/>
      <c r="F290" s="98"/>
      <c r="G290" s="98"/>
      <c r="H290" s="38">
        <f>36.18/G288</f>
        <v>2.4119999999999999</v>
      </c>
      <c r="I290" s="29">
        <f>G288*H290</f>
        <v>36.18</v>
      </c>
      <c r="J290">
        <v>3</v>
      </c>
      <c r="K290" s="4">
        <v>0</v>
      </c>
      <c r="L290" s="4">
        <v>66</v>
      </c>
      <c r="M290" s="4">
        <f>I290-K290-L290</f>
        <v>-29.82</v>
      </c>
    </row>
    <row r="291" spans="1:19" x14ac:dyDescent="0.3">
      <c r="A291" s="98"/>
      <c r="B291" s="98"/>
      <c r="C291" s="98"/>
      <c r="D291" s="98"/>
      <c r="E291" s="98"/>
      <c r="F291" s="98"/>
      <c r="G291" s="98"/>
      <c r="H291" s="38">
        <f>0</f>
        <v>0</v>
      </c>
      <c r="I291" s="29">
        <f>G288*H291</f>
        <v>0</v>
      </c>
      <c r="J291">
        <v>4</v>
      </c>
      <c r="N291" s="4">
        <f>IF(ISERR(SEARCH("TRA* 82",C288)),IF(Q291+R291+S291=0,0,I291*(Q291/(Q291+R291+S291))),I291)</f>
        <v>0</v>
      </c>
      <c r="O291" s="4">
        <f>IF(ISERR(SEARCH("TRA* 82",C288)),IF(Q291+R291+S291=0,0,I291*(R291/(Q291+R291+S291))),0)</f>
        <v>0</v>
      </c>
      <c r="P291" s="4">
        <f>IF(ISERR(SEARCH("TRA* 82",C288)),I291-N291-O291,0)</f>
        <v>0</v>
      </c>
      <c r="Q291" s="4">
        <v>0</v>
      </c>
      <c r="R291" s="4">
        <v>0</v>
      </c>
      <c r="S291" s="4">
        <v>0</v>
      </c>
    </row>
    <row r="292" spans="1:19" x14ac:dyDescent="0.3">
      <c r="A292" s="96" t="s">
        <v>824</v>
      </c>
      <c r="B292" s="97"/>
      <c r="C292" s="97"/>
      <c r="D292" s="97"/>
      <c r="E292" s="97"/>
      <c r="F292" s="97"/>
      <c r="G292" s="97"/>
      <c r="H292" s="36">
        <f>H288+H289+H290+H291</f>
        <v>103.72866666666667</v>
      </c>
      <c r="I292" s="74">
        <f>I288+I289+I290+I291</f>
        <v>1555.93</v>
      </c>
      <c r="J292">
        <v>5</v>
      </c>
    </row>
    <row r="293" spans="1:19" x14ac:dyDescent="0.3">
      <c r="B293" s="2">
        <v>47</v>
      </c>
      <c r="C293" s="3" t="s">
        <v>825</v>
      </c>
      <c r="D293" s="5" t="s">
        <v>29</v>
      </c>
      <c r="G293" s="30">
        <v>4</v>
      </c>
      <c r="H293" s="38">
        <v>90.55</v>
      </c>
      <c r="I293" s="29">
        <f>G293*H293</f>
        <v>362.2</v>
      </c>
      <c r="J293">
        <v>1</v>
      </c>
    </row>
    <row r="294" spans="1:19" x14ac:dyDescent="0.3">
      <c r="D294" s="15" t="str">
        <f>SUBSTITUTE("Sp.mat: 0.00%",".",IF(VALUE("1.2")=1.2,".",","),2)</f>
        <v>Sp.mat: 0.00%</v>
      </c>
      <c r="F294" s="15" t="str">
        <f>SUBSTITUTE("Sp.man: 0.00%",".",IF(VALUE("1.2")=1.2,".",","),2)</f>
        <v>Sp.man: 0.00%</v>
      </c>
      <c r="G294" s="35" t="str">
        <f>SUBSTITUTE("Sp.uti: 0.00%",".",IF(VALUE("1.2")=1.2,".",","),2)</f>
        <v>Sp.uti: 0.00%</v>
      </c>
      <c r="H294" s="38">
        <f>(1+IF(OR(ISERR(FIND(":",F294)),ISERR(FIND("%",F294))),0,MID(F294,FIND(":",F294)+2,FIND("%",F294)-FIND(":",F294)-2)/100))*0</f>
        <v>0</v>
      </c>
      <c r="I294" s="29">
        <f>G293*H294</f>
        <v>0</v>
      </c>
      <c r="J294">
        <v>2</v>
      </c>
    </row>
    <row r="295" spans="1:19" x14ac:dyDescent="0.3">
      <c r="A295" s="88" t="s">
        <v>826</v>
      </c>
      <c r="B295" s="98"/>
      <c r="C295" s="98"/>
      <c r="D295" s="98"/>
      <c r="E295" s="98"/>
      <c r="F295" s="98"/>
      <c r="G295" s="98"/>
      <c r="H295" s="38">
        <f>(1+IF(OR(ISERR(FIND(":",G294)),ISERR(FIND("%",G294))),0,MID(G294,FIND(":",G294)+2,FIND("%",G294)-FIND(":",G294)-2)/100))*0</f>
        <v>0</v>
      </c>
      <c r="I295" s="29">
        <f>G293*H295</f>
        <v>0</v>
      </c>
      <c r="J295">
        <v>3</v>
      </c>
      <c r="K295" s="4">
        <v>0</v>
      </c>
      <c r="L295" s="4">
        <v>0</v>
      </c>
      <c r="M295" s="4">
        <f>I295-K295-L295</f>
        <v>0</v>
      </c>
    </row>
    <row r="296" spans="1:19" x14ac:dyDescent="0.3">
      <c r="A296" s="98"/>
      <c r="B296" s="98"/>
      <c r="C296" s="98"/>
      <c r="D296" s="98"/>
      <c r="E296" s="98"/>
      <c r="F296" s="98"/>
      <c r="G296" s="98"/>
      <c r="H296" s="38">
        <f>0</f>
        <v>0</v>
      </c>
      <c r="I296" s="29">
        <f>G293*H296</f>
        <v>0</v>
      </c>
      <c r="J296">
        <v>4</v>
      </c>
      <c r="N296" s="4">
        <f>IF(ISERR(SEARCH("TRA* 82",C293)),IF(Q296+R296+S296=0,0,I296*(Q296/(Q296+R296+S296))),I296)</f>
        <v>0</v>
      </c>
      <c r="O296" s="4">
        <f>IF(ISERR(SEARCH("TRA* 82",C293)),IF(Q296+R296+S296=0,0,I296*(R296/(Q296+R296+S296))),0)</f>
        <v>0</v>
      </c>
      <c r="P296" s="4">
        <f>IF(ISERR(SEARCH("TRA* 82",C293)),I296-N296-O296,0)</f>
        <v>0</v>
      </c>
      <c r="Q296" s="4">
        <v>0</v>
      </c>
      <c r="R296" s="4">
        <v>0</v>
      </c>
      <c r="S296" s="4">
        <v>0</v>
      </c>
    </row>
    <row r="297" spans="1:19" x14ac:dyDescent="0.3">
      <c r="A297" s="96" t="s">
        <v>27</v>
      </c>
      <c r="B297" s="97"/>
      <c r="C297" s="97"/>
      <c r="D297" s="97"/>
      <c r="E297" s="97"/>
      <c r="F297" s="97"/>
      <c r="G297" s="97"/>
      <c r="H297" s="36">
        <f>H293+H294+H295+H296</f>
        <v>90.55</v>
      </c>
      <c r="I297" s="74">
        <f>I293+I294+I295+I296</f>
        <v>362.2</v>
      </c>
      <c r="J297">
        <v>5</v>
      </c>
    </row>
    <row r="298" spans="1:19" x14ac:dyDescent="0.3">
      <c r="B298" s="2">
        <v>48</v>
      </c>
      <c r="C298" s="3" t="s">
        <v>827</v>
      </c>
      <c r="D298" s="5" t="s">
        <v>29</v>
      </c>
      <c r="G298" s="30">
        <v>2</v>
      </c>
      <c r="H298" s="38">
        <v>125.04</v>
      </c>
      <c r="I298" s="29">
        <f>G298*H298</f>
        <v>250.08</v>
      </c>
      <c r="J298">
        <v>1</v>
      </c>
    </row>
    <row r="299" spans="1:19" x14ac:dyDescent="0.3">
      <c r="D299" s="15" t="str">
        <f>SUBSTITUTE("Sp.mat: 0.00%",".",IF(VALUE("1.2")=1.2,".",","),2)</f>
        <v>Sp.mat: 0.00%</v>
      </c>
      <c r="F299" s="15" t="str">
        <f>SUBSTITUTE("Sp.man: 0.00%",".",IF(VALUE("1.2")=1.2,".",","),2)</f>
        <v>Sp.man: 0.00%</v>
      </c>
      <c r="G299" s="35" t="str">
        <f>SUBSTITUTE("Sp.uti: 0.00%",".",IF(VALUE("1.2")=1.2,".",","),2)</f>
        <v>Sp.uti: 0.00%</v>
      </c>
      <c r="H299" s="38">
        <f>(1+IF(OR(ISERR(FIND(":",F299)),ISERR(FIND("%",F299))),0,MID(F299,FIND(":",F299)+2,FIND("%",F299)-FIND(":",F299)-2)/100))*0</f>
        <v>0</v>
      </c>
      <c r="I299" s="29">
        <f>G298*H299</f>
        <v>0</v>
      </c>
      <c r="J299">
        <v>2</v>
      </c>
    </row>
    <row r="300" spans="1:19" x14ac:dyDescent="0.3">
      <c r="A300" s="88" t="s">
        <v>828</v>
      </c>
      <c r="B300" s="98"/>
      <c r="C300" s="98"/>
      <c r="D300" s="98"/>
      <c r="E300" s="98"/>
      <c r="F300" s="98"/>
      <c r="G300" s="98"/>
      <c r="H300" s="38">
        <f>(1+IF(OR(ISERR(FIND(":",G299)),ISERR(FIND("%",G299))),0,MID(G299,FIND(":",G299)+2,FIND("%",G299)-FIND(":",G299)-2)/100))*0</f>
        <v>0</v>
      </c>
      <c r="I300" s="29">
        <f>G298*H300</f>
        <v>0</v>
      </c>
      <c r="J300">
        <v>3</v>
      </c>
      <c r="K300" s="4">
        <v>0</v>
      </c>
      <c r="L300" s="4">
        <v>0</v>
      </c>
      <c r="M300" s="4">
        <f>I300-K300-L300</f>
        <v>0</v>
      </c>
    </row>
    <row r="301" spans="1:19" x14ac:dyDescent="0.3">
      <c r="A301" s="98"/>
      <c r="B301" s="98"/>
      <c r="C301" s="98"/>
      <c r="D301" s="98"/>
      <c r="E301" s="98"/>
      <c r="F301" s="98"/>
      <c r="G301" s="98"/>
      <c r="H301" s="38">
        <f>0</f>
        <v>0</v>
      </c>
      <c r="I301" s="29">
        <f>G298*H301</f>
        <v>0</v>
      </c>
      <c r="J301">
        <v>4</v>
      </c>
      <c r="N301" s="4">
        <f>IF(ISERR(SEARCH("TRA* 82",C298)),IF(Q301+R301+S301=0,0,I301*(Q301/(Q301+R301+S301))),I301)</f>
        <v>0</v>
      </c>
      <c r="O301" s="4">
        <f>IF(ISERR(SEARCH("TRA* 82",C298)),IF(Q301+R301+S301=0,0,I301*(R301/(Q301+R301+S301))),0)</f>
        <v>0</v>
      </c>
      <c r="P301" s="4">
        <f>IF(ISERR(SEARCH("TRA* 82",C298)),I301-N301-O301,0)</f>
        <v>0</v>
      </c>
      <c r="Q301" s="4">
        <v>0</v>
      </c>
      <c r="R301" s="4">
        <v>0</v>
      </c>
      <c r="S301" s="4">
        <v>0</v>
      </c>
    </row>
    <row r="302" spans="1:19" x14ac:dyDescent="0.3">
      <c r="A302" s="96" t="s">
        <v>27</v>
      </c>
      <c r="B302" s="97"/>
      <c r="C302" s="97"/>
      <c r="D302" s="97"/>
      <c r="E302" s="97"/>
      <c r="F302" s="97"/>
      <c r="G302" s="97"/>
      <c r="H302" s="36">
        <f>H298+H299+H300+H301</f>
        <v>125.04</v>
      </c>
      <c r="I302" s="74">
        <f>I298+I299+I300+I301</f>
        <v>250.08</v>
      </c>
      <c r="J302">
        <v>5</v>
      </c>
    </row>
    <row r="303" spans="1:19" x14ac:dyDescent="0.3">
      <c r="B303" s="2">
        <v>49</v>
      </c>
      <c r="C303" s="3" t="s">
        <v>829</v>
      </c>
      <c r="D303" s="5" t="s">
        <v>29</v>
      </c>
      <c r="G303" s="30">
        <v>9</v>
      </c>
      <c r="H303" s="38">
        <v>117.17</v>
      </c>
      <c r="I303" s="29">
        <f>G303*H303</f>
        <v>1054.53</v>
      </c>
      <c r="J303">
        <v>1</v>
      </c>
    </row>
    <row r="304" spans="1:19" x14ac:dyDescent="0.3">
      <c r="D304" s="15" t="str">
        <f>SUBSTITUTE("Sp.mat: 0.00%",".",IF(VALUE("1.2")=1.2,".",","),2)</f>
        <v>Sp.mat: 0.00%</v>
      </c>
      <c r="F304" s="15" t="str">
        <f>SUBSTITUTE("Sp.man: 0.00%",".",IF(VALUE("1.2")=1.2,".",","),2)</f>
        <v>Sp.man: 0.00%</v>
      </c>
      <c r="G304" s="35" t="str">
        <f>SUBSTITUTE("Sp.uti: 0.00%",".",IF(VALUE("1.2")=1.2,".",","),2)</f>
        <v>Sp.uti: 0.00%</v>
      </c>
      <c r="H304" s="38">
        <f>(1+IF(OR(ISERR(FIND(":",F304)),ISERR(FIND("%",F304))),0,MID(F304,FIND(":",F304)+2,FIND("%",F304)-FIND(":",F304)-2)/100))*0</f>
        <v>0</v>
      </c>
      <c r="I304" s="29">
        <f>G303*H304</f>
        <v>0</v>
      </c>
      <c r="J304">
        <v>2</v>
      </c>
    </row>
    <row r="305" spans="1:19" x14ac:dyDescent="0.3">
      <c r="A305" s="88" t="s">
        <v>830</v>
      </c>
      <c r="B305" s="98"/>
      <c r="C305" s="98"/>
      <c r="D305" s="98"/>
      <c r="E305" s="98"/>
      <c r="F305" s="98"/>
      <c r="G305" s="98"/>
      <c r="H305" s="38">
        <f>(1+IF(OR(ISERR(FIND(":",G304)),ISERR(FIND("%",G304))),0,MID(G304,FIND(":",G304)+2,FIND("%",G304)-FIND(":",G304)-2)/100))*0</f>
        <v>0</v>
      </c>
      <c r="I305" s="29">
        <f>G303*H305</f>
        <v>0</v>
      </c>
      <c r="J305">
        <v>3</v>
      </c>
      <c r="K305" s="4">
        <v>0</v>
      </c>
      <c r="L305" s="4">
        <v>0</v>
      </c>
      <c r="M305" s="4">
        <f>I305-K305-L305</f>
        <v>0</v>
      </c>
    </row>
    <row r="306" spans="1:19" x14ac:dyDescent="0.3">
      <c r="A306" s="98"/>
      <c r="B306" s="98"/>
      <c r="C306" s="98"/>
      <c r="D306" s="98"/>
      <c r="E306" s="98"/>
      <c r="F306" s="98"/>
      <c r="G306" s="98"/>
      <c r="H306" s="38">
        <f>0</f>
        <v>0</v>
      </c>
      <c r="I306" s="29">
        <f>G303*H306</f>
        <v>0</v>
      </c>
      <c r="J306">
        <v>4</v>
      </c>
      <c r="N306" s="4">
        <f>IF(ISERR(SEARCH("TRA* 82",C303)),IF(Q306+R306+S306=0,0,I306*(Q306/(Q306+R306+S306))),I306)</f>
        <v>0</v>
      </c>
      <c r="O306" s="4">
        <f>IF(ISERR(SEARCH("TRA* 82",C303)),IF(Q306+R306+S306=0,0,I306*(R306/(Q306+R306+S306))),0)</f>
        <v>0</v>
      </c>
      <c r="P306" s="4">
        <f>IF(ISERR(SEARCH("TRA* 82",C303)),I306-N306-O306,0)</f>
        <v>0</v>
      </c>
      <c r="Q306" s="4">
        <v>0</v>
      </c>
      <c r="R306" s="4">
        <v>0</v>
      </c>
      <c r="S306" s="4">
        <v>0</v>
      </c>
    </row>
    <row r="307" spans="1:19" x14ac:dyDescent="0.3">
      <c r="A307" s="96" t="s">
        <v>27</v>
      </c>
      <c r="B307" s="97"/>
      <c r="C307" s="97"/>
      <c r="D307" s="97"/>
      <c r="E307" s="97"/>
      <c r="F307" s="97"/>
      <c r="G307" s="97"/>
      <c r="H307" s="36">
        <f>H303+H304+H305+H306</f>
        <v>117.17</v>
      </c>
      <c r="I307" s="74">
        <f>I303+I304+I305+I306</f>
        <v>1054.53</v>
      </c>
      <c r="J307">
        <v>5</v>
      </c>
    </row>
    <row r="308" spans="1:19" x14ac:dyDescent="0.3">
      <c r="B308" s="2">
        <v>50</v>
      </c>
      <c r="C308" s="3" t="s">
        <v>831</v>
      </c>
      <c r="D308" s="5" t="s">
        <v>29</v>
      </c>
      <c r="G308" s="30">
        <v>8</v>
      </c>
      <c r="H308" s="38">
        <v>85.35</v>
      </c>
      <c r="I308" s="29">
        <f>G308*H308</f>
        <v>682.8</v>
      </c>
      <c r="J308">
        <v>1</v>
      </c>
    </row>
    <row r="309" spans="1:19" x14ac:dyDescent="0.3">
      <c r="D309" s="15" t="str">
        <f>SUBSTITUTE("Sp.mat: 0.00%",".",IF(VALUE("1.2")=1.2,".",","),2)</f>
        <v>Sp.mat: 0.00%</v>
      </c>
      <c r="F309" s="15" t="str">
        <f>SUBSTITUTE("Sp.man: 0.00%",".",IF(VALUE("1.2")=1.2,".",","),2)</f>
        <v>Sp.man: 0.00%</v>
      </c>
      <c r="G309" s="35" t="str">
        <f>SUBSTITUTE("Sp.uti: 0.00%",".",IF(VALUE("1.2")=1.2,".",","),2)</f>
        <v>Sp.uti: 0.00%</v>
      </c>
      <c r="H309" s="38">
        <f>417.72/G308</f>
        <v>52.215000000000003</v>
      </c>
      <c r="I309" s="29">
        <f>G308*H309</f>
        <v>417.72</v>
      </c>
      <c r="J309">
        <v>2</v>
      </c>
    </row>
    <row r="310" spans="1:19" x14ac:dyDescent="0.3">
      <c r="A310" s="88" t="s">
        <v>832</v>
      </c>
      <c r="B310" s="98"/>
      <c r="C310" s="98"/>
      <c r="D310" s="98"/>
      <c r="E310" s="98"/>
      <c r="F310" s="98"/>
      <c r="G310" s="98"/>
      <c r="H310" s="38">
        <f>24.41/G308</f>
        <v>3.05125</v>
      </c>
      <c r="I310" s="29">
        <f>G308*H310</f>
        <v>24.41</v>
      </c>
      <c r="J310">
        <v>3</v>
      </c>
      <c r="K310" s="4">
        <v>0</v>
      </c>
      <c r="L310" s="4">
        <v>44.8</v>
      </c>
      <c r="M310" s="4">
        <f>I310-K310-L310</f>
        <v>-20.389999999999997</v>
      </c>
    </row>
    <row r="311" spans="1:19" x14ac:dyDescent="0.3">
      <c r="A311" s="98"/>
      <c r="B311" s="98"/>
      <c r="C311" s="98"/>
      <c r="D311" s="98"/>
      <c r="E311" s="98"/>
      <c r="F311" s="98"/>
      <c r="G311" s="98"/>
      <c r="H311" s="38">
        <f>0</f>
        <v>0</v>
      </c>
      <c r="I311" s="29">
        <f>G308*H311</f>
        <v>0</v>
      </c>
      <c r="J311">
        <v>4</v>
      </c>
      <c r="N311" s="4">
        <f>IF(ISERR(SEARCH("TRA* 82",C308)),IF(Q311+R311+S311=0,0,I311*(Q311/(Q311+R311+S311))),I311)</f>
        <v>0</v>
      </c>
      <c r="O311" s="4">
        <f>IF(ISERR(SEARCH("TRA* 82",C308)),IF(Q311+R311+S311=0,0,I311*(R311/(Q311+R311+S311))),0)</f>
        <v>0</v>
      </c>
      <c r="P311" s="4">
        <f>IF(ISERR(SEARCH("TRA* 82",C308)),I311-N311-O311,0)</f>
        <v>0</v>
      </c>
      <c r="Q311" s="4">
        <v>0</v>
      </c>
      <c r="R311" s="4">
        <v>0</v>
      </c>
      <c r="S311" s="4">
        <v>0</v>
      </c>
    </row>
    <row r="312" spans="1:19" x14ac:dyDescent="0.3">
      <c r="A312" s="96" t="s">
        <v>824</v>
      </c>
      <c r="B312" s="97"/>
      <c r="C312" s="97"/>
      <c r="D312" s="97"/>
      <c r="E312" s="97"/>
      <c r="F312" s="97"/>
      <c r="G312" s="97"/>
      <c r="H312" s="36">
        <f>H308+H309+H310+H311</f>
        <v>140.61625000000001</v>
      </c>
      <c r="I312" s="74">
        <f>I308+I309+I310+I311</f>
        <v>1124.93</v>
      </c>
      <c r="J312">
        <v>5</v>
      </c>
    </row>
    <row r="313" spans="1:19" x14ac:dyDescent="0.3">
      <c r="B313" s="2">
        <v>51</v>
      </c>
      <c r="C313" s="3" t="s">
        <v>833</v>
      </c>
      <c r="D313" s="5" t="s">
        <v>29</v>
      </c>
      <c r="G313" s="30">
        <v>8</v>
      </c>
      <c r="H313" s="38">
        <v>210.01</v>
      </c>
      <c r="I313" s="29">
        <f>G313*H313</f>
        <v>1680.08</v>
      </c>
      <c r="J313">
        <v>1</v>
      </c>
    </row>
    <row r="314" spans="1:19" x14ac:dyDescent="0.3">
      <c r="D314" s="15" t="str">
        <f>SUBSTITUTE("Sp.mat: 0.00%",".",IF(VALUE("1.2")=1.2,".",","),2)</f>
        <v>Sp.mat: 0.00%</v>
      </c>
      <c r="F314" s="15" t="str">
        <f>SUBSTITUTE("Sp.man: 0.00%",".",IF(VALUE("1.2")=1.2,".",","),2)</f>
        <v>Sp.man: 0.00%</v>
      </c>
      <c r="G314" s="35" t="str">
        <f>SUBSTITUTE("Sp.uti: 0.00%",".",IF(VALUE("1.2")=1.2,".",","),2)</f>
        <v>Sp.uti: 0.00%</v>
      </c>
      <c r="H314" s="38">
        <f>(1+IF(OR(ISERR(FIND(":",F314)),ISERR(FIND("%",F314))),0,MID(F314,FIND(":",F314)+2,FIND("%",F314)-FIND(":",F314)-2)/100))*0</f>
        <v>0</v>
      </c>
      <c r="I314" s="29">
        <f>G313*H314</f>
        <v>0</v>
      </c>
      <c r="J314">
        <v>2</v>
      </c>
    </row>
    <row r="315" spans="1:19" x14ac:dyDescent="0.3">
      <c r="A315" s="88" t="s">
        <v>834</v>
      </c>
      <c r="B315" s="98"/>
      <c r="C315" s="98"/>
      <c r="D315" s="98"/>
      <c r="E315" s="98"/>
      <c r="F315" s="98"/>
      <c r="G315" s="98"/>
      <c r="H315" s="38">
        <f>(1+IF(OR(ISERR(FIND(":",G314)),ISERR(FIND("%",G314))),0,MID(G314,FIND(":",G314)+2,FIND("%",G314)-FIND(":",G314)-2)/100))*0</f>
        <v>0</v>
      </c>
      <c r="I315" s="29">
        <f>G313*H315</f>
        <v>0</v>
      </c>
      <c r="J315">
        <v>3</v>
      </c>
      <c r="K315" s="4">
        <v>0</v>
      </c>
      <c r="L315" s="4">
        <v>0</v>
      </c>
      <c r="M315" s="4">
        <f>I315-K315-L315</f>
        <v>0</v>
      </c>
    </row>
    <row r="316" spans="1:19" x14ac:dyDescent="0.3">
      <c r="A316" s="98"/>
      <c r="B316" s="98"/>
      <c r="C316" s="98"/>
      <c r="D316" s="98"/>
      <c r="E316" s="98"/>
      <c r="F316" s="98"/>
      <c r="G316" s="98"/>
      <c r="H316" s="38">
        <f>0</f>
        <v>0</v>
      </c>
      <c r="I316" s="29">
        <f>G313*H316</f>
        <v>0</v>
      </c>
      <c r="J316">
        <v>4</v>
      </c>
      <c r="N316" s="4">
        <f>IF(ISERR(SEARCH("TRA* 82",C313)),IF(Q316+R316+S316=0,0,I316*(Q316/(Q316+R316+S316))),I316)</f>
        <v>0</v>
      </c>
      <c r="O316" s="4">
        <f>IF(ISERR(SEARCH("TRA* 82",C313)),IF(Q316+R316+S316=0,0,I316*(R316/(Q316+R316+S316))),0)</f>
        <v>0</v>
      </c>
      <c r="P316" s="4">
        <f>IF(ISERR(SEARCH("TRA* 82",C313)),I316-N316-O316,0)</f>
        <v>0</v>
      </c>
      <c r="Q316" s="4">
        <v>0</v>
      </c>
      <c r="R316" s="4">
        <v>0</v>
      </c>
      <c r="S316" s="4">
        <v>0</v>
      </c>
    </row>
    <row r="317" spans="1:19" x14ac:dyDescent="0.3">
      <c r="A317" s="96" t="s">
        <v>27</v>
      </c>
      <c r="B317" s="97"/>
      <c r="C317" s="97"/>
      <c r="D317" s="97"/>
      <c r="E317" s="97"/>
      <c r="F317" s="97"/>
      <c r="G317" s="97"/>
      <c r="H317" s="36">
        <f>H313+H314+H315+H316</f>
        <v>210.01</v>
      </c>
      <c r="I317" s="74">
        <f>I313+I314+I315+I316</f>
        <v>1680.08</v>
      </c>
      <c r="J317">
        <v>5</v>
      </c>
    </row>
    <row r="318" spans="1:19" x14ac:dyDescent="0.3">
      <c r="B318" s="2">
        <v>52</v>
      </c>
      <c r="C318" s="3" t="s">
        <v>835</v>
      </c>
      <c r="D318" s="5" t="s">
        <v>25</v>
      </c>
      <c r="G318" s="30">
        <v>10</v>
      </c>
      <c r="H318" s="38">
        <v>37.020000000000003</v>
      </c>
      <c r="I318" s="29">
        <f>G318*H318</f>
        <v>370.20000000000005</v>
      </c>
      <c r="J318">
        <v>1</v>
      </c>
    </row>
    <row r="319" spans="1:19" x14ac:dyDescent="0.3">
      <c r="D319" s="15" t="str">
        <f>SUBSTITUTE("Sp.mat: 0.00%",".",IF(VALUE("1.2")=1.2,".",","),2)</f>
        <v>Sp.mat: 0.00%</v>
      </c>
      <c r="F319" s="15" t="str">
        <f>SUBSTITUTE("Sp.man: 0.00%",".",IF(VALUE("1.2")=1.2,".",","),2)</f>
        <v>Sp.man: 0.00%</v>
      </c>
      <c r="G319" s="35" t="str">
        <f>SUBSTITUTE("Sp.uti: 0.00%",".",IF(VALUE("1.2")=1.2,".",","),2)</f>
        <v>Sp.uti: 0.00%</v>
      </c>
      <c r="H319" s="38">
        <f>235.59/G318</f>
        <v>23.559000000000001</v>
      </c>
      <c r="I319" s="29">
        <f>G318*H319</f>
        <v>235.59</v>
      </c>
      <c r="J319">
        <v>2</v>
      </c>
    </row>
    <row r="320" spans="1:19" x14ac:dyDescent="0.3">
      <c r="A320" s="88" t="s">
        <v>836</v>
      </c>
      <c r="B320" s="98"/>
      <c r="C320" s="98"/>
      <c r="D320" s="98"/>
      <c r="E320" s="98"/>
      <c r="F320" s="98"/>
      <c r="G320" s="98"/>
      <c r="H320" s="38">
        <f>(1+IF(OR(ISERR(FIND(":",G319)),ISERR(FIND("%",G319))),0,MID(G319,FIND(":",G319)+2,FIND("%",G319)-FIND(":",G319)-2)/100))*0</f>
        <v>0</v>
      </c>
      <c r="I320" s="29">
        <f>G318*H320</f>
        <v>0</v>
      </c>
      <c r="J320">
        <v>3</v>
      </c>
      <c r="K320" s="4">
        <v>0</v>
      </c>
      <c r="L320" s="4">
        <v>0</v>
      </c>
      <c r="M320" s="4">
        <f>I320-K320-L320</f>
        <v>0</v>
      </c>
    </row>
    <row r="321" spans="1:19" x14ac:dyDescent="0.3">
      <c r="A321" s="98"/>
      <c r="B321" s="98"/>
      <c r="C321" s="98"/>
      <c r="D321" s="98"/>
      <c r="E321" s="98"/>
      <c r="F321" s="98"/>
      <c r="G321" s="98"/>
      <c r="H321" s="38">
        <f>0</f>
        <v>0</v>
      </c>
      <c r="I321" s="29">
        <f>G318*H321</f>
        <v>0</v>
      </c>
      <c r="J321">
        <v>4</v>
      </c>
      <c r="N321" s="4">
        <f>IF(ISERR(SEARCH("TRA* 82",C318)),IF(Q321+R321+S321=0,0,I321*(Q321/(Q321+R321+S321))),I321)</f>
        <v>0</v>
      </c>
      <c r="O321" s="4">
        <f>IF(ISERR(SEARCH("TRA* 82",C318)),IF(Q321+R321+S321=0,0,I321*(R321/(Q321+R321+S321))),0)</f>
        <v>0</v>
      </c>
      <c r="P321" s="4">
        <f>IF(ISERR(SEARCH("TRA* 82",C318)),I321-N321-O321,0)</f>
        <v>0</v>
      </c>
      <c r="Q321" s="4">
        <v>0</v>
      </c>
      <c r="R321" s="4">
        <v>0</v>
      </c>
      <c r="S321" s="4">
        <v>0</v>
      </c>
    </row>
    <row r="322" spans="1:19" x14ac:dyDescent="0.3">
      <c r="A322" s="100" t="s">
        <v>87</v>
      </c>
      <c r="B322" s="101"/>
      <c r="C322" s="101"/>
      <c r="D322" s="101"/>
      <c r="E322" s="101"/>
      <c r="F322" s="101"/>
      <c r="G322" s="101"/>
      <c r="H322" s="33">
        <f>H318+H319+H320+H321</f>
        <v>60.579000000000008</v>
      </c>
      <c r="I322" s="37">
        <f>I318+I319+I320+I321</f>
        <v>605.79000000000008</v>
      </c>
      <c r="J322">
        <v>5</v>
      </c>
    </row>
    <row r="323" spans="1:19" x14ac:dyDescent="0.3">
      <c r="A323" s="102" t="s">
        <v>837</v>
      </c>
      <c r="B323" s="102"/>
      <c r="C323" s="102"/>
      <c r="D323" s="102"/>
      <c r="E323" s="102"/>
      <c r="F323" s="102"/>
      <c r="G323" s="102"/>
      <c r="H323" s="102"/>
      <c r="I323" s="102"/>
    </row>
    <row r="324" spans="1:19" x14ac:dyDescent="0.3">
      <c r="A324" s="97" t="s">
        <v>838</v>
      </c>
      <c r="B324" s="97"/>
      <c r="C324" s="97"/>
      <c r="D324" s="97"/>
      <c r="E324" s="97"/>
      <c r="F324" s="97"/>
      <c r="G324" s="97"/>
      <c r="H324" s="97"/>
      <c r="I324" s="97"/>
    </row>
    <row r="325" spans="1:19" x14ac:dyDescent="0.3">
      <c r="B325" s="2">
        <v>53</v>
      </c>
      <c r="C325" s="3" t="s">
        <v>839</v>
      </c>
      <c r="D325" s="5" t="s">
        <v>25</v>
      </c>
      <c r="G325" s="30">
        <v>10</v>
      </c>
      <c r="H325" s="38">
        <v>84.23</v>
      </c>
      <c r="I325" s="29">
        <f>G325*H325</f>
        <v>842.30000000000007</v>
      </c>
      <c r="J325">
        <v>1</v>
      </c>
    </row>
    <row r="326" spans="1:19" x14ac:dyDescent="0.3">
      <c r="D326" s="15" t="str">
        <f>SUBSTITUTE("Sp.mat: 0.00%",".",IF(VALUE("1.2")=1.2,".",","),2)</f>
        <v>Sp.mat: 0.00%</v>
      </c>
      <c r="F326" s="15" t="str">
        <f>SUBSTITUTE("Sp.man: 0.00%",".",IF(VALUE("1.2")=1.2,".",","),2)</f>
        <v>Sp.man: 0.00%</v>
      </c>
      <c r="G326" s="35" t="str">
        <f>SUBSTITUTE("Sp.uti: 0.00%",".",IF(VALUE("1.2")=1.2,".",","),2)</f>
        <v>Sp.uti: 0.00%</v>
      </c>
      <c r="H326" s="38">
        <f>303.02/G325</f>
        <v>30.302</v>
      </c>
      <c r="I326" s="29">
        <f>G325*H326</f>
        <v>303.02</v>
      </c>
      <c r="J326">
        <v>2</v>
      </c>
    </row>
    <row r="327" spans="1:19" x14ac:dyDescent="0.3">
      <c r="A327" s="88" t="s">
        <v>840</v>
      </c>
      <c r="B327" s="98"/>
      <c r="C327" s="98"/>
      <c r="D327" s="98"/>
      <c r="E327" s="98"/>
      <c r="F327" s="98"/>
      <c r="G327" s="98"/>
      <c r="H327" s="38">
        <f>(1+IF(OR(ISERR(FIND(":",G326)),ISERR(FIND("%",G326))),0,MID(G326,FIND(":",G326)+2,FIND("%",G326)-FIND(":",G326)-2)/100))*0</f>
        <v>0</v>
      </c>
      <c r="I327" s="29">
        <f>G325*H327</f>
        <v>0</v>
      </c>
      <c r="J327">
        <v>3</v>
      </c>
      <c r="K327" s="4">
        <v>0</v>
      </c>
      <c r="L327" s="4">
        <v>0</v>
      </c>
      <c r="M327" s="4">
        <f>I327-K327-L327</f>
        <v>0</v>
      </c>
    </row>
    <row r="328" spans="1:19" x14ac:dyDescent="0.3">
      <c r="A328" s="98"/>
      <c r="B328" s="98"/>
      <c r="C328" s="98"/>
      <c r="D328" s="98"/>
      <c r="E328" s="98"/>
      <c r="F328" s="98"/>
      <c r="G328" s="98"/>
      <c r="H328" s="38">
        <f>0</f>
        <v>0</v>
      </c>
      <c r="I328" s="29">
        <f>G325*H328</f>
        <v>0</v>
      </c>
      <c r="J328">
        <v>4</v>
      </c>
      <c r="N328" s="4">
        <f>IF(ISERR(SEARCH("TRA* 82",C325)),IF(Q328+R328+S328=0,0,I328*(Q328/(Q328+R328+S328))),I328)</f>
        <v>0</v>
      </c>
      <c r="O328" s="4">
        <f>IF(ISERR(SEARCH("TRA* 82",C325)),IF(Q328+R328+S328=0,0,I328*(R328/(Q328+R328+S328))),0)</f>
        <v>0</v>
      </c>
      <c r="P328" s="4">
        <f>IF(ISERR(SEARCH("TRA* 82",C325)),I328-N328-O328,0)</f>
        <v>0</v>
      </c>
      <c r="Q328" s="4">
        <v>0</v>
      </c>
      <c r="R328" s="4">
        <v>0</v>
      </c>
      <c r="S328" s="4">
        <v>0</v>
      </c>
    </row>
    <row r="329" spans="1:19" x14ac:dyDescent="0.3">
      <c r="A329" s="100" t="s">
        <v>87</v>
      </c>
      <c r="B329" s="101"/>
      <c r="C329" s="101"/>
      <c r="D329" s="101"/>
      <c r="E329" s="101"/>
      <c r="F329" s="101"/>
      <c r="G329" s="101"/>
      <c r="H329" s="33">
        <f>H325+H326+H327+H328</f>
        <v>114.53200000000001</v>
      </c>
      <c r="I329" s="37">
        <f>I325+I326+I327+I328</f>
        <v>1145.3200000000002</v>
      </c>
      <c r="J329">
        <v>5</v>
      </c>
    </row>
    <row r="330" spans="1:19" x14ac:dyDescent="0.3">
      <c r="A330" s="102" t="s">
        <v>841</v>
      </c>
      <c r="B330" s="102"/>
      <c r="C330" s="102"/>
      <c r="D330" s="102"/>
      <c r="E330" s="102"/>
      <c r="F330" s="102"/>
      <c r="G330" s="102"/>
      <c r="H330" s="102"/>
      <c r="I330" s="102"/>
    </row>
    <row r="331" spans="1:19" x14ac:dyDescent="0.3">
      <c r="A331" s="97" t="s">
        <v>838</v>
      </c>
      <c r="B331" s="97"/>
      <c r="C331" s="97"/>
      <c r="D331" s="97"/>
      <c r="E331" s="97"/>
      <c r="F331" s="97"/>
      <c r="G331" s="97"/>
      <c r="H331" s="97"/>
      <c r="I331" s="97"/>
    </row>
    <row r="332" spans="1:19" x14ac:dyDescent="0.3">
      <c r="B332" s="2">
        <v>54</v>
      </c>
      <c r="C332" s="3" t="s">
        <v>726</v>
      </c>
      <c r="D332" s="5" t="s">
        <v>25</v>
      </c>
      <c r="G332" s="30">
        <v>20</v>
      </c>
      <c r="H332" s="38">
        <v>2.4</v>
      </c>
      <c r="I332" s="29">
        <f>G332*H332</f>
        <v>48</v>
      </c>
      <c r="J332">
        <v>1</v>
      </c>
    </row>
    <row r="333" spans="1:19" x14ac:dyDescent="0.3">
      <c r="D333" s="15" t="str">
        <f>SUBSTITUTE("Sp.mat: 0.00%",".",IF(VALUE("1.2")=1.2,".",","),2)</f>
        <v>Sp.mat: 0.00%</v>
      </c>
      <c r="F333" s="15" t="str">
        <f>SUBSTITUTE("Sp.man: 0.00%",".",IF(VALUE("1.2")=1.2,".",","),2)</f>
        <v>Sp.man: 0.00%</v>
      </c>
      <c r="G333" s="35" t="str">
        <f>SUBSTITUTE("Sp.uti: 0.00%",".",IF(VALUE("1.2")=1.2,".",","),2)</f>
        <v>Sp.uti: 0.00%</v>
      </c>
      <c r="H333" s="38">
        <f>19.72/G332</f>
        <v>0.98599999999999999</v>
      </c>
      <c r="I333" s="29">
        <f>G332*H333</f>
        <v>19.72</v>
      </c>
      <c r="J333">
        <v>2</v>
      </c>
    </row>
    <row r="334" spans="1:19" x14ac:dyDescent="0.3">
      <c r="A334" s="88" t="s">
        <v>727</v>
      </c>
      <c r="B334" s="98"/>
      <c r="C334" s="98"/>
      <c r="D334" s="98"/>
      <c r="E334" s="98"/>
      <c r="F334" s="98"/>
      <c r="G334" s="98"/>
      <c r="H334" s="38">
        <f>(1+IF(OR(ISERR(FIND(":",G333)),ISERR(FIND("%",G333))),0,MID(G333,FIND(":",G333)+2,FIND("%",G333)-FIND(":",G333)-2)/100))*0</f>
        <v>0</v>
      </c>
      <c r="I334" s="29">
        <f>G332*H334</f>
        <v>0</v>
      </c>
      <c r="J334">
        <v>3</v>
      </c>
      <c r="K334" s="4">
        <v>0</v>
      </c>
      <c r="L334" s="4">
        <v>0</v>
      </c>
      <c r="M334" s="4">
        <f>I334-K334-L334</f>
        <v>0</v>
      </c>
    </row>
    <row r="335" spans="1:19" x14ac:dyDescent="0.3">
      <c r="A335" s="98"/>
      <c r="B335" s="98"/>
      <c r="C335" s="98"/>
      <c r="D335" s="98"/>
      <c r="E335" s="98"/>
      <c r="F335" s="98"/>
      <c r="G335" s="98"/>
      <c r="H335" s="38">
        <f>0</f>
        <v>0</v>
      </c>
      <c r="I335" s="29">
        <f>G332*H335</f>
        <v>0</v>
      </c>
      <c r="J335">
        <v>4</v>
      </c>
      <c r="N335" s="4">
        <f>IF(ISERR(SEARCH("TRA* 82",C332)),IF(Q335+R335+S335=0,0,I335*(Q335/(Q335+R335+S335))),I335)</f>
        <v>0</v>
      </c>
      <c r="O335" s="4">
        <f>IF(ISERR(SEARCH("TRA* 82",C332)),IF(Q335+R335+S335=0,0,I335*(R335/(Q335+R335+S335))),0)</f>
        <v>0</v>
      </c>
      <c r="P335" s="4">
        <f>IF(ISERR(SEARCH("TRA* 82",C332)),I335-N335-O335,0)</f>
        <v>0</v>
      </c>
      <c r="Q335" s="4">
        <v>0</v>
      </c>
      <c r="R335" s="4">
        <v>0</v>
      </c>
      <c r="S335" s="4">
        <v>0</v>
      </c>
    </row>
    <row r="336" spans="1:19" x14ac:dyDescent="0.3">
      <c r="A336" s="96" t="s">
        <v>27</v>
      </c>
      <c r="B336" s="97"/>
      <c r="C336" s="97"/>
      <c r="D336" s="97"/>
      <c r="E336" s="97"/>
      <c r="F336" s="97"/>
      <c r="G336" s="97"/>
      <c r="H336" s="36">
        <f>H332+H333+H334+H335</f>
        <v>3.3860000000000001</v>
      </c>
      <c r="I336" s="74">
        <f>I332+I333+I334+I335</f>
        <v>67.72</v>
      </c>
      <c r="J336">
        <v>5</v>
      </c>
    </row>
    <row r="337" spans="1:19" x14ac:dyDescent="0.3">
      <c r="B337" s="2">
        <v>55</v>
      </c>
      <c r="C337" s="3" t="s">
        <v>728</v>
      </c>
      <c r="D337" s="5" t="s">
        <v>25</v>
      </c>
      <c r="G337" s="30">
        <v>20</v>
      </c>
      <c r="H337" s="38">
        <v>2.67</v>
      </c>
      <c r="I337" s="29">
        <f>G337*H337</f>
        <v>53.4</v>
      </c>
      <c r="J337">
        <v>1</v>
      </c>
    </row>
    <row r="338" spans="1:19" x14ac:dyDescent="0.3">
      <c r="D338" s="15" t="str">
        <f>SUBSTITUTE("Sp.mat: 0.00%",".",IF(VALUE("1.2")=1.2,".",","),2)</f>
        <v>Sp.mat: 0.00%</v>
      </c>
      <c r="F338" s="15" t="str">
        <f>SUBSTITUTE("Sp.man: 0.00%",".",IF(VALUE("1.2")=1.2,".",","),2)</f>
        <v>Sp.man: 0.00%</v>
      </c>
      <c r="G338" s="35" t="str">
        <f>SUBSTITUTE("Sp.uti: 0.00%",".",IF(VALUE("1.2")=1.2,".",","),2)</f>
        <v>Sp.uti: 0.00%</v>
      </c>
      <c r="H338" s="38">
        <f>25.63/G337</f>
        <v>1.2814999999999999</v>
      </c>
      <c r="I338" s="29">
        <f>G337*H338</f>
        <v>25.629999999999995</v>
      </c>
      <c r="J338">
        <v>2</v>
      </c>
    </row>
    <row r="339" spans="1:19" x14ac:dyDescent="0.3">
      <c r="A339" s="88" t="s">
        <v>729</v>
      </c>
      <c r="B339" s="98"/>
      <c r="C339" s="98"/>
      <c r="D339" s="98"/>
      <c r="E339" s="98"/>
      <c r="F339" s="98"/>
      <c r="G339" s="98"/>
      <c r="H339" s="38">
        <f>(1+IF(OR(ISERR(FIND(":",G338)),ISERR(FIND("%",G338))),0,MID(G338,FIND(":",G338)+2,FIND("%",G338)-FIND(":",G338)-2)/100))*0</f>
        <v>0</v>
      </c>
      <c r="I339" s="29">
        <f>G337*H339</f>
        <v>0</v>
      </c>
      <c r="J339">
        <v>3</v>
      </c>
      <c r="K339" s="4">
        <v>0</v>
      </c>
      <c r="L339" s="4">
        <v>0</v>
      </c>
      <c r="M339" s="4">
        <f>I339-K339-L339</f>
        <v>0</v>
      </c>
    </row>
    <row r="340" spans="1:19" x14ac:dyDescent="0.3">
      <c r="A340" s="98"/>
      <c r="B340" s="98"/>
      <c r="C340" s="98"/>
      <c r="D340" s="98"/>
      <c r="E340" s="98"/>
      <c r="F340" s="98"/>
      <c r="G340" s="98"/>
      <c r="H340" s="38">
        <f>0</f>
        <v>0</v>
      </c>
      <c r="I340" s="29">
        <f>G337*H340</f>
        <v>0</v>
      </c>
      <c r="J340">
        <v>4</v>
      </c>
      <c r="N340" s="4">
        <f>IF(ISERR(SEARCH("TRA* 82",C337)),IF(Q340+R340+S340=0,0,I340*(Q340/(Q340+R340+S340))),I340)</f>
        <v>0</v>
      </c>
      <c r="O340" s="4">
        <f>IF(ISERR(SEARCH("TRA* 82",C337)),IF(Q340+R340+S340=0,0,I340*(R340/(Q340+R340+S340))),0)</f>
        <v>0</v>
      </c>
      <c r="P340" s="4">
        <f>IF(ISERR(SEARCH("TRA* 82",C337)),I340-N340-O340,0)</f>
        <v>0</v>
      </c>
      <c r="Q340" s="4">
        <v>0</v>
      </c>
      <c r="R340" s="4">
        <v>0</v>
      </c>
      <c r="S340" s="4">
        <v>0</v>
      </c>
    </row>
    <row r="341" spans="1:19" x14ac:dyDescent="0.3">
      <c r="A341" s="96" t="s">
        <v>730</v>
      </c>
      <c r="B341" s="97"/>
      <c r="C341" s="97"/>
      <c r="D341" s="97"/>
      <c r="E341" s="97"/>
      <c r="F341" s="97"/>
      <c r="G341" s="97"/>
      <c r="H341" s="36">
        <f>H337+H338+H339+H340</f>
        <v>3.9514999999999998</v>
      </c>
      <c r="I341" s="74">
        <f>I337+I338+I339+I340</f>
        <v>79.03</v>
      </c>
      <c r="J341">
        <v>5</v>
      </c>
    </row>
    <row r="342" spans="1:19" x14ac:dyDescent="0.3">
      <c r="B342" s="2">
        <v>56</v>
      </c>
      <c r="C342" s="3" t="s">
        <v>842</v>
      </c>
      <c r="D342" s="5" t="s">
        <v>29</v>
      </c>
      <c r="G342" s="30">
        <v>1</v>
      </c>
      <c r="H342" s="38">
        <f>(1+IF(OR(ISERR(FIND(":",D343)),ISERR(FIND("%",D343))),0,MID(D343,FIND(":",D343)+2,FIND("%",D343)-FIND(":",D343)-2)/100))*0</f>
        <v>0</v>
      </c>
      <c r="I342" s="29">
        <f>G342*H342</f>
        <v>0</v>
      </c>
      <c r="J342">
        <v>1</v>
      </c>
    </row>
    <row r="343" spans="1:19" x14ac:dyDescent="0.3">
      <c r="D343" s="15" t="str">
        <f>SUBSTITUTE("Sp.mat: 0.00%",".",IF(VALUE("1.2")=1.2,".",","),2)</f>
        <v>Sp.mat: 0.00%</v>
      </c>
      <c r="F343" s="15" t="str">
        <f>SUBSTITUTE("Sp.man: 0.00%",".",IF(VALUE("1.2")=1.2,".",","),2)</f>
        <v>Sp.man: 0.00%</v>
      </c>
      <c r="G343" s="35" t="str">
        <f>SUBSTITUTE("Sp.uti: 0.00%",".",IF(VALUE("1.2")=1.2,".",","),2)</f>
        <v>Sp.uti: 0.00%</v>
      </c>
      <c r="H343" s="38">
        <f>125.73/G342</f>
        <v>125.73</v>
      </c>
      <c r="I343" s="29">
        <f>G342*H343</f>
        <v>125.73</v>
      </c>
      <c r="J343">
        <v>2</v>
      </c>
    </row>
    <row r="344" spans="1:19" x14ac:dyDescent="0.3">
      <c r="A344" s="88" t="s">
        <v>843</v>
      </c>
      <c r="B344" s="98"/>
      <c r="C344" s="98"/>
      <c r="D344" s="98"/>
      <c r="E344" s="98"/>
      <c r="F344" s="98"/>
      <c r="G344" s="98"/>
      <c r="H344" s="38">
        <v>163.25</v>
      </c>
      <c r="I344" s="29">
        <f>G342*H344</f>
        <v>163.25</v>
      </c>
      <c r="J344">
        <v>3</v>
      </c>
      <c r="K344" s="4">
        <v>273</v>
      </c>
      <c r="L344" s="4">
        <v>0</v>
      </c>
      <c r="M344" s="4">
        <f>I344-K344-L344</f>
        <v>-109.75</v>
      </c>
    </row>
    <row r="345" spans="1:19" x14ac:dyDescent="0.3">
      <c r="A345" s="98"/>
      <c r="B345" s="98"/>
      <c r="C345" s="98"/>
      <c r="D345" s="98"/>
      <c r="E345" s="98"/>
      <c r="F345" s="98"/>
      <c r="G345" s="98"/>
      <c r="H345" s="38">
        <f>0</f>
        <v>0</v>
      </c>
      <c r="I345" s="29">
        <f>G342*H345</f>
        <v>0</v>
      </c>
      <c r="J345">
        <v>4</v>
      </c>
      <c r="N345" s="4">
        <f>IF(ISERR(SEARCH("TRA* 82",C342)),IF(Q345+R345+S345=0,0,I345*(Q345/(Q345+R345+S345))),I345)</f>
        <v>0</v>
      </c>
      <c r="O345" s="4">
        <f>IF(ISERR(SEARCH("TRA* 82",C342)),IF(Q345+R345+S345=0,0,I345*(R345/(Q345+R345+S345))),0)</f>
        <v>0</v>
      </c>
      <c r="P345" s="4">
        <f>IF(ISERR(SEARCH("TRA* 82",C342)),I345-N345-O345,0)</f>
        <v>0</v>
      </c>
      <c r="Q345" s="4">
        <v>0</v>
      </c>
      <c r="R345" s="4">
        <v>0</v>
      </c>
      <c r="S345" s="4">
        <v>0</v>
      </c>
    </row>
    <row r="346" spans="1:19" x14ac:dyDescent="0.3">
      <c r="A346" s="96" t="s">
        <v>27</v>
      </c>
      <c r="B346" s="97"/>
      <c r="C346" s="97"/>
      <c r="D346" s="97"/>
      <c r="E346" s="97"/>
      <c r="F346" s="97"/>
      <c r="G346" s="97"/>
      <c r="H346" s="36">
        <f>H342+H343+H344+H345</f>
        <v>288.98</v>
      </c>
      <c r="I346" s="74">
        <f>I342+I343+I344+I345</f>
        <v>288.98</v>
      </c>
      <c r="J346">
        <v>5</v>
      </c>
    </row>
    <row r="347" spans="1:19" x14ac:dyDescent="0.3">
      <c r="B347" s="16"/>
      <c r="E347" s="4">
        <f>SUMIF(J12:J346,"1",I12:I346)</f>
        <v>500138.73859999998</v>
      </c>
      <c r="F347" s="4">
        <f>SUMIF(J12:J346,"2",I12:I346)</f>
        <v>153896.45000000001</v>
      </c>
      <c r="G347" s="29">
        <f>SUMIF(J12:J346,"3",I12:I346)</f>
        <v>1272.7</v>
      </c>
      <c r="H347" s="29">
        <f>SUMIF(J12:J346,"4",I12:I346)</f>
        <v>0</v>
      </c>
      <c r="I347" s="29">
        <f>SUMIF(J12:J346,"5",I12:I346)</f>
        <v>655307.88860000006</v>
      </c>
      <c r="K347" s="4">
        <f>SUMIF(J12:J346,"3",K12:K346)</f>
        <v>273</v>
      </c>
      <c r="L347" s="4">
        <f>SUMIF(J12:J346,"3",L12:L346)</f>
        <v>1920.3999999999999</v>
      </c>
      <c r="M347" s="4">
        <f>SUMIF(J12:J346,"3",M12:M346)</f>
        <v>-920.7</v>
      </c>
      <c r="N347" s="4">
        <f>SUMIF(J12:J346,"4",N12:N346)</f>
        <v>0</v>
      </c>
      <c r="O347" s="4">
        <f>SUMIF(J12:J346,"4",O12:O346)</f>
        <v>0</v>
      </c>
      <c r="P347" s="4">
        <f>SUMIF(J12:J346,"4",P12:P346)</f>
        <v>0</v>
      </c>
      <c r="Q347" s="4">
        <f>SUMIF(J12:J346,"4",Q12:Q346)</f>
        <v>0</v>
      </c>
      <c r="R347" s="4">
        <f>SUMIF(J12:J346,"4",R12:R346)</f>
        <v>0</v>
      </c>
      <c r="S347" s="4">
        <f>SUMIF(J12:J346,"4",S12:S346)</f>
        <v>0</v>
      </c>
    </row>
    <row r="348" spans="1:19" x14ac:dyDescent="0.3">
      <c r="B348" s="107" t="s">
        <v>1554</v>
      </c>
      <c r="C348" s="108"/>
      <c r="D348" s="26"/>
      <c r="E348" s="26"/>
      <c r="F348" s="26"/>
      <c r="G348" s="109"/>
      <c r="H348" s="36"/>
      <c r="I348" s="110">
        <f>I347</f>
        <v>655307.88860000006</v>
      </c>
    </row>
  </sheetData>
  <mergeCells count="172">
    <mergeCell ref="A1:D1"/>
    <mergeCell ref="A2:I2"/>
    <mergeCell ref="A3:I3"/>
    <mergeCell ref="A4:I4"/>
    <mergeCell ref="A5:H5"/>
    <mergeCell ref="A14:G15"/>
    <mergeCell ref="A25:I25"/>
    <mergeCell ref="A26:I26"/>
    <mergeCell ref="A27:I27"/>
    <mergeCell ref="A30:G31"/>
    <mergeCell ref="A32:G32"/>
    <mergeCell ref="A33:I33"/>
    <mergeCell ref="A16:G16"/>
    <mergeCell ref="A17:I17"/>
    <mergeCell ref="A18:I18"/>
    <mergeCell ref="A19:I19"/>
    <mergeCell ref="A22:G23"/>
    <mergeCell ref="A24:G24"/>
    <mergeCell ref="A43:I43"/>
    <mergeCell ref="A46:G47"/>
    <mergeCell ref="A48:G48"/>
    <mergeCell ref="A49:I49"/>
    <mergeCell ref="A50:I50"/>
    <mergeCell ref="A51:I51"/>
    <mergeCell ref="A34:I34"/>
    <mergeCell ref="A35:I35"/>
    <mergeCell ref="A38:G39"/>
    <mergeCell ref="A40:G40"/>
    <mergeCell ref="A41:I41"/>
    <mergeCell ref="A42:I42"/>
    <mergeCell ref="A64:G64"/>
    <mergeCell ref="A65:I65"/>
    <mergeCell ref="A66:I66"/>
    <mergeCell ref="A67:I67"/>
    <mergeCell ref="A70:G71"/>
    <mergeCell ref="A72:G72"/>
    <mergeCell ref="A54:G55"/>
    <mergeCell ref="A56:G56"/>
    <mergeCell ref="A57:I57"/>
    <mergeCell ref="A58:I58"/>
    <mergeCell ref="A59:I59"/>
    <mergeCell ref="A62:G63"/>
    <mergeCell ref="A82:I82"/>
    <mergeCell ref="A83:I83"/>
    <mergeCell ref="A86:G87"/>
    <mergeCell ref="A88:G88"/>
    <mergeCell ref="A89:I89"/>
    <mergeCell ref="A90:I90"/>
    <mergeCell ref="A73:I73"/>
    <mergeCell ref="A74:I74"/>
    <mergeCell ref="A75:I75"/>
    <mergeCell ref="A78:G79"/>
    <mergeCell ref="A80:G80"/>
    <mergeCell ref="A81:I81"/>
    <mergeCell ref="A102:G103"/>
    <mergeCell ref="A104:G104"/>
    <mergeCell ref="A105:I105"/>
    <mergeCell ref="A106:I106"/>
    <mergeCell ref="A107:I107"/>
    <mergeCell ref="A110:G111"/>
    <mergeCell ref="A91:I91"/>
    <mergeCell ref="A94:G95"/>
    <mergeCell ref="A96:G96"/>
    <mergeCell ref="A97:I97"/>
    <mergeCell ref="A98:I98"/>
    <mergeCell ref="A99:I99"/>
    <mergeCell ref="A121:I121"/>
    <mergeCell ref="A122:I122"/>
    <mergeCell ref="A123:I123"/>
    <mergeCell ref="A126:G127"/>
    <mergeCell ref="A128:G128"/>
    <mergeCell ref="A129:I129"/>
    <mergeCell ref="A112:G112"/>
    <mergeCell ref="A113:I113"/>
    <mergeCell ref="A114:I114"/>
    <mergeCell ref="A115:I115"/>
    <mergeCell ref="A118:G119"/>
    <mergeCell ref="A120:G120"/>
    <mergeCell ref="A139:I139"/>
    <mergeCell ref="A142:G143"/>
    <mergeCell ref="A144:G144"/>
    <mergeCell ref="A145:I145"/>
    <mergeCell ref="A146:I146"/>
    <mergeCell ref="A147:I147"/>
    <mergeCell ref="A130:I130"/>
    <mergeCell ref="A131:I131"/>
    <mergeCell ref="A134:G135"/>
    <mergeCell ref="A136:G136"/>
    <mergeCell ref="A137:I137"/>
    <mergeCell ref="A138:I138"/>
    <mergeCell ref="A165:G166"/>
    <mergeCell ref="A167:G167"/>
    <mergeCell ref="A170:G171"/>
    <mergeCell ref="A172:G172"/>
    <mergeCell ref="A175:G176"/>
    <mergeCell ref="A177:G177"/>
    <mergeCell ref="A150:G151"/>
    <mergeCell ref="A152:G152"/>
    <mergeCell ref="A155:G156"/>
    <mergeCell ref="A157:G157"/>
    <mergeCell ref="A160:G161"/>
    <mergeCell ref="A162:G162"/>
    <mergeCell ref="A195:G196"/>
    <mergeCell ref="A197:G197"/>
    <mergeCell ref="A200:G201"/>
    <mergeCell ref="A202:G202"/>
    <mergeCell ref="A205:G206"/>
    <mergeCell ref="A207:G207"/>
    <mergeCell ref="A180:G181"/>
    <mergeCell ref="A182:G182"/>
    <mergeCell ref="A185:G186"/>
    <mergeCell ref="A187:G187"/>
    <mergeCell ref="A190:G191"/>
    <mergeCell ref="A192:G192"/>
    <mergeCell ref="A225:G226"/>
    <mergeCell ref="A227:G227"/>
    <mergeCell ref="A230:G231"/>
    <mergeCell ref="A232:G232"/>
    <mergeCell ref="A235:G236"/>
    <mergeCell ref="A237:G237"/>
    <mergeCell ref="A210:G211"/>
    <mergeCell ref="A212:G212"/>
    <mergeCell ref="A215:G216"/>
    <mergeCell ref="A217:G217"/>
    <mergeCell ref="A220:G221"/>
    <mergeCell ref="A222:G222"/>
    <mergeCell ref="A255:G256"/>
    <mergeCell ref="A257:G257"/>
    <mergeCell ref="A260:G261"/>
    <mergeCell ref="A262:G262"/>
    <mergeCell ref="A265:G266"/>
    <mergeCell ref="A267:G267"/>
    <mergeCell ref="A240:G241"/>
    <mergeCell ref="A242:G242"/>
    <mergeCell ref="A245:G246"/>
    <mergeCell ref="A247:G247"/>
    <mergeCell ref="A250:G251"/>
    <mergeCell ref="A252:G252"/>
    <mergeCell ref="A285:G286"/>
    <mergeCell ref="A287:G287"/>
    <mergeCell ref="A290:G291"/>
    <mergeCell ref="A292:G292"/>
    <mergeCell ref="A295:G296"/>
    <mergeCell ref="A297:G297"/>
    <mergeCell ref="A270:G271"/>
    <mergeCell ref="A272:G272"/>
    <mergeCell ref="A275:G276"/>
    <mergeCell ref="A277:G277"/>
    <mergeCell ref="A280:G281"/>
    <mergeCell ref="A282:G282"/>
    <mergeCell ref="A315:G316"/>
    <mergeCell ref="A317:G317"/>
    <mergeCell ref="A320:G321"/>
    <mergeCell ref="A322:G322"/>
    <mergeCell ref="A323:I323"/>
    <mergeCell ref="A324:I324"/>
    <mergeCell ref="A300:G301"/>
    <mergeCell ref="A302:G302"/>
    <mergeCell ref="A305:G306"/>
    <mergeCell ref="A307:G307"/>
    <mergeCell ref="A310:G311"/>
    <mergeCell ref="A312:G312"/>
    <mergeCell ref="A339:G340"/>
    <mergeCell ref="A341:G341"/>
    <mergeCell ref="A344:G345"/>
    <mergeCell ref="A346:G346"/>
    <mergeCell ref="A327:G328"/>
    <mergeCell ref="A329:G329"/>
    <mergeCell ref="A330:I330"/>
    <mergeCell ref="A331:I331"/>
    <mergeCell ref="A334:G335"/>
    <mergeCell ref="A336:G336"/>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7" manualBreakCount="7">
    <brk id="43" max="16383" man="1"/>
    <brk id="83" max="16383" man="1"/>
    <brk id="123" max="16383" man="1"/>
    <brk id="167" max="16383" man="1"/>
    <brk id="212" max="16383" man="1"/>
    <brk id="257" max="16383" man="1"/>
    <brk id="302"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CF1C-3E2E-4976-B2A5-F720155B15B8}">
  <sheetPr>
    <tabColor rgb="FF92D050"/>
  </sheetPr>
  <dimension ref="A1:T76"/>
  <sheetViews>
    <sheetView topLeftCell="A70" workbookViewId="0">
      <selection activeCell="G83" sqref="G83"/>
    </sheetView>
  </sheetViews>
  <sheetFormatPr defaultRowHeight="14.4" outlineLevelCol="1" x14ac:dyDescent="0.3"/>
  <cols>
    <col min="1" max="1" width="0.33203125" style="1" customWidth="1"/>
    <col min="2" max="2" width="5.77734375" style="2" customWidth="1"/>
    <col min="3" max="3" width="25.33203125" style="3" customWidth="1"/>
    <col min="4" max="4" width="10.6640625" style="5" customWidth="1"/>
    <col min="5" max="6" width="10.6640625" customWidth="1"/>
    <col min="7" max="7" width="10.6640625" style="30" customWidth="1"/>
    <col min="8" max="8" width="10.6640625" style="38" customWidth="1"/>
    <col min="9" max="9" width="10.664062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84</v>
      </c>
      <c r="B4" s="98"/>
      <c r="C4" s="98"/>
      <c r="D4" s="98"/>
      <c r="E4" s="98"/>
      <c r="F4" s="98"/>
      <c r="G4" s="98"/>
      <c r="H4" s="98"/>
      <c r="I4" s="98"/>
    </row>
    <row r="5" spans="1:19" ht="15" thickBot="1" x14ac:dyDescent="0.35">
      <c r="A5" s="82" t="s">
        <v>844</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845</v>
      </c>
      <c r="D12" s="13" t="s">
        <v>29</v>
      </c>
      <c r="E12" s="14"/>
      <c r="F12" s="14"/>
      <c r="G12" s="41">
        <v>68</v>
      </c>
      <c r="H12" s="71">
        <v>4.67</v>
      </c>
      <c r="I12" s="32">
        <f>G12*H12</f>
        <v>317.56</v>
      </c>
      <c r="J12">
        <v>1</v>
      </c>
    </row>
    <row r="13" spans="1:19" x14ac:dyDescent="0.3">
      <c r="D13" s="15" t="str">
        <f>SUBSTITUTE("Sp.mat: 0.00%",".",IF(VALUE("1.2")=1.2,".",","),2)</f>
        <v>Sp.mat: 0.00%</v>
      </c>
      <c r="F13" s="15" t="str">
        <f>SUBSTITUTE("Sp.man: 0.00%",".",IF(VALUE("1.2")=1.2,".",","),2)</f>
        <v>Sp.man: 0.00%</v>
      </c>
      <c r="G13" s="35" t="str">
        <f>SUBSTITUTE("Sp.uti: 0.00%",".",IF(VALUE("1.2")=1.2,".",","),2)</f>
        <v>Sp.uti: 0.00%</v>
      </c>
      <c r="H13" s="38">
        <v>7.37</v>
      </c>
      <c r="I13" s="29">
        <f>G12*H13</f>
        <v>501.16</v>
      </c>
      <c r="J13">
        <v>2</v>
      </c>
    </row>
    <row r="14" spans="1:19" x14ac:dyDescent="0.3">
      <c r="A14" s="88" t="s">
        <v>846</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110</v>
      </c>
      <c r="B16" s="101"/>
      <c r="C16" s="101"/>
      <c r="D16" s="101"/>
      <c r="E16" s="101"/>
      <c r="F16" s="101"/>
      <c r="G16" s="101"/>
      <c r="H16" s="33">
        <f>H12+H13+H14+H15</f>
        <v>12.04</v>
      </c>
      <c r="I16" s="37">
        <f>I12+I13+I14+I15</f>
        <v>818.72</v>
      </c>
      <c r="J16">
        <v>5</v>
      </c>
    </row>
    <row r="17" spans="1:19" x14ac:dyDescent="0.3">
      <c r="A17" s="102" t="s">
        <v>847</v>
      </c>
      <c r="B17" s="102"/>
      <c r="C17" s="102"/>
      <c r="D17" s="102"/>
      <c r="E17" s="102"/>
      <c r="F17" s="102"/>
      <c r="G17" s="102"/>
      <c r="H17" s="102"/>
      <c r="I17" s="102"/>
    </row>
    <row r="18" spans="1:19" x14ac:dyDescent="0.3">
      <c r="A18" s="98" t="s">
        <v>848</v>
      </c>
      <c r="B18" s="98"/>
      <c r="C18" s="98"/>
      <c r="D18" s="98"/>
      <c r="E18" s="98"/>
      <c r="F18" s="98"/>
      <c r="G18" s="98"/>
      <c r="H18" s="98"/>
      <c r="I18" s="98"/>
    </row>
    <row r="19" spans="1:19" x14ac:dyDescent="0.3">
      <c r="A19" s="98" t="s">
        <v>849</v>
      </c>
      <c r="B19" s="98"/>
      <c r="C19" s="98"/>
      <c r="D19" s="98"/>
      <c r="E19" s="98"/>
      <c r="F19" s="98"/>
      <c r="G19" s="98"/>
      <c r="H19" s="98"/>
      <c r="I19" s="98"/>
    </row>
    <row r="20" spans="1:19" x14ac:dyDescent="0.3">
      <c r="A20" s="97" t="s">
        <v>850</v>
      </c>
      <c r="B20" s="97"/>
      <c r="C20" s="97"/>
      <c r="D20" s="97"/>
      <c r="E20" s="97"/>
      <c r="F20" s="97"/>
      <c r="G20" s="97"/>
      <c r="H20" s="97"/>
      <c r="I20" s="97"/>
    </row>
    <row r="21" spans="1:19" x14ac:dyDescent="0.3">
      <c r="B21" s="2">
        <v>2</v>
      </c>
      <c r="C21" s="3" t="s">
        <v>851</v>
      </c>
      <c r="D21" s="5" t="s">
        <v>29</v>
      </c>
      <c r="G21" s="30">
        <v>2</v>
      </c>
      <c r="H21" s="38">
        <v>3.39</v>
      </c>
      <c r="I21" s="29">
        <f>G21*H21</f>
        <v>6.78</v>
      </c>
      <c r="J21">
        <v>1</v>
      </c>
    </row>
    <row r="22" spans="1:19" x14ac:dyDescent="0.3">
      <c r="D22" s="15" t="str">
        <f>SUBSTITUTE("Sp.mat: 0.00%",".",IF(VALUE("1.2")=1.2,".",","),2)</f>
        <v>Sp.mat: 0.00%</v>
      </c>
      <c r="F22" s="15" t="str">
        <f>SUBSTITUTE("Sp.man: 0.00%",".",IF(VALUE("1.2")=1.2,".",","),2)</f>
        <v>Sp.man: 0.00%</v>
      </c>
      <c r="G22" s="35" t="str">
        <f>SUBSTITUTE("Sp.uti: 0.00%",".",IF(VALUE("1.2")=1.2,".",","),2)</f>
        <v>Sp.uti: 0.00%</v>
      </c>
      <c r="H22" s="38">
        <v>4.47</v>
      </c>
      <c r="I22" s="29">
        <f>G21*H22</f>
        <v>8.94</v>
      </c>
      <c r="J22">
        <v>2</v>
      </c>
    </row>
    <row r="23" spans="1:19" x14ac:dyDescent="0.3">
      <c r="A23" s="88" t="s">
        <v>852</v>
      </c>
      <c r="B23" s="98"/>
      <c r="C23" s="98"/>
      <c r="D23" s="98"/>
      <c r="E23" s="98"/>
      <c r="F23" s="98"/>
      <c r="G23" s="98"/>
      <c r="H23" s="38">
        <f>(1+IF(OR(ISERR(FIND(":",G22)),ISERR(FIND("%",G22))),0,MID(G22,FIND(":",G22)+2,FIND("%",G22)-FIND(":",G22)-2)/100))*0</f>
        <v>0</v>
      </c>
      <c r="I23" s="29">
        <f>G21*H23</f>
        <v>0</v>
      </c>
      <c r="J23">
        <v>3</v>
      </c>
      <c r="K23" s="4">
        <v>0</v>
      </c>
      <c r="L23" s="4">
        <v>0</v>
      </c>
      <c r="M23" s="4">
        <f>I23-K23-L23</f>
        <v>0</v>
      </c>
    </row>
    <row r="24" spans="1:19" x14ac:dyDescent="0.3">
      <c r="A24" s="98"/>
      <c r="B24" s="98"/>
      <c r="C24" s="98"/>
      <c r="D24" s="98"/>
      <c r="E24" s="98"/>
      <c r="F24" s="98"/>
      <c r="G24" s="98"/>
      <c r="H24" s="38">
        <f>0</f>
        <v>0</v>
      </c>
      <c r="I24" s="29">
        <f>G21*H24</f>
        <v>0</v>
      </c>
      <c r="J24">
        <v>4</v>
      </c>
      <c r="N24" s="4">
        <f>IF(ISERR(SEARCH("TRA* 82",C21)),IF(Q24+R24+S24=0,0,I24*(Q24/(Q24+R24+S24))),I24)</f>
        <v>0</v>
      </c>
      <c r="O24" s="4">
        <f>IF(ISERR(SEARCH("TRA* 82",C21)),IF(Q24+R24+S24=0,0,I24*(R24/(Q24+R24+S24))),0)</f>
        <v>0</v>
      </c>
      <c r="P24" s="4">
        <f>IF(ISERR(SEARCH("TRA* 82",C21)),I24-N24-O24,0)</f>
        <v>0</v>
      </c>
      <c r="Q24" s="4">
        <v>0</v>
      </c>
      <c r="R24" s="4">
        <v>0</v>
      </c>
      <c r="S24" s="4">
        <v>0</v>
      </c>
    </row>
    <row r="25" spans="1:19" x14ac:dyDescent="0.3">
      <c r="A25" s="100" t="s">
        <v>110</v>
      </c>
      <c r="B25" s="101"/>
      <c r="C25" s="101"/>
      <c r="D25" s="101"/>
      <c r="E25" s="101"/>
      <c r="F25" s="101"/>
      <c r="G25" s="101"/>
      <c r="H25" s="33">
        <f>H21+H22+H23+H24</f>
        <v>7.8599999999999994</v>
      </c>
      <c r="I25" s="37">
        <f>I21+I22+I23+I24</f>
        <v>15.719999999999999</v>
      </c>
      <c r="J25">
        <v>5</v>
      </c>
    </row>
    <row r="26" spans="1:19" x14ac:dyDescent="0.3">
      <c r="A26" s="99" t="s">
        <v>853</v>
      </c>
      <c r="B26" s="99"/>
      <c r="C26" s="99"/>
      <c r="D26" s="99"/>
      <c r="E26" s="99"/>
      <c r="F26" s="99"/>
      <c r="G26" s="99"/>
      <c r="H26" s="99"/>
      <c r="I26" s="99"/>
    </row>
    <row r="27" spans="1:19" x14ac:dyDescent="0.3">
      <c r="B27" s="2">
        <v>3</v>
      </c>
      <c r="C27" s="3" t="s">
        <v>854</v>
      </c>
      <c r="D27" s="5" t="s">
        <v>29</v>
      </c>
      <c r="G27" s="30">
        <v>4</v>
      </c>
      <c r="H27" s="38">
        <v>7.18</v>
      </c>
      <c r="I27" s="29">
        <f>G27*H27</f>
        <v>28.72</v>
      </c>
      <c r="J27">
        <v>1</v>
      </c>
    </row>
    <row r="28" spans="1:19" x14ac:dyDescent="0.3">
      <c r="D28" s="15" t="str">
        <f>SUBSTITUTE("Sp.mat: 0.00%",".",IF(VALUE("1.2")=1.2,".",","),2)</f>
        <v>Sp.mat: 0.00%</v>
      </c>
      <c r="F28" s="15" t="str">
        <f>SUBSTITUTE("Sp.man: 0.00%",".",IF(VALUE("1.2")=1.2,".",","),2)</f>
        <v>Sp.man: 0.00%</v>
      </c>
      <c r="G28" s="35" t="str">
        <f>SUBSTITUTE("Sp.uti: 0.00%",".",IF(VALUE("1.2")=1.2,".",","),2)</f>
        <v>Sp.uti: 0.00%</v>
      </c>
      <c r="H28" s="38">
        <v>13.07</v>
      </c>
      <c r="I28" s="29">
        <f>G27*H28</f>
        <v>52.28</v>
      </c>
      <c r="J28">
        <v>2</v>
      </c>
    </row>
    <row r="29" spans="1:19" x14ac:dyDescent="0.3">
      <c r="A29" s="88" t="s">
        <v>855</v>
      </c>
      <c r="B29" s="98"/>
      <c r="C29" s="98"/>
      <c r="D29" s="98"/>
      <c r="E29" s="98"/>
      <c r="F29" s="98"/>
      <c r="G29" s="98"/>
      <c r="H29" s="38">
        <f>(1+IF(OR(ISERR(FIND(":",G28)),ISERR(FIND("%",G28))),0,MID(G28,FIND(":",G28)+2,FIND("%",G28)-FIND(":",G28)-2)/100))*0</f>
        <v>0</v>
      </c>
      <c r="I29" s="29">
        <f>G27*H29</f>
        <v>0</v>
      </c>
      <c r="J29">
        <v>3</v>
      </c>
      <c r="K29" s="4">
        <v>0</v>
      </c>
      <c r="L29" s="4">
        <v>0</v>
      </c>
      <c r="M29" s="4">
        <f>I29-K29-L29</f>
        <v>0</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100" t="s">
        <v>110</v>
      </c>
      <c r="B31" s="101"/>
      <c r="C31" s="101"/>
      <c r="D31" s="101"/>
      <c r="E31" s="101"/>
      <c r="F31" s="101"/>
      <c r="G31" s="101"/>
      <c r="H31" s="33">
        <f>H27+H28+H29+H30</f>
        <v>20.25</v>
      </c>
      <c r="I31" s="37">
        <f>I27+I28+I29+I30</f>
        <v>81</v>
      </c>
      <c r="J31">
        <v>5</v>
      </c>
    </row>
    <row r="32" spans="1:19" x14ac:dyDescent="0.3">
      <c r="A32" s="99" t="s">
        <v>856</v>
      </c>
      <c r="B32" s="99"/>
      <c r="C32" s="99"/>
      <c r="D32" s="99"/>
      <c r="E32" s="99"/>
      <c r="F32" s="99"/>
      <c r="G32" s="99"/>
      <c r="H32" s="99"/>
      <c r="I32" s="99"/>
    </row>
    <row r="33" spans="1:19" x14ac:dyDescent="0.3">
      <c r="B33" s="2">
        <v>4</v>
      </c>
      <c r="C33" s="3" t="s">
        <v>857</v>
      </c>
      <c r="D33" s="5" t="s">
        <v>29</v>
      </c>
      <c r="G33" s="30">
        <v>2</v>
      </c>
      <c r="H33" s="38">
        <v>12.47</v>
      </c>
      <c r="I33" s="29">
        <f>G33*H33</f>
        <v>24.94</v>
      </c>
      <c r="J33">
        <v>1</v>
      </c>
    </row>
    <row r="34" spans="1:19" x14ac:dyDescent="0.3">
      <c r="D34" s="15" t="str">
        <f>SUBSTITUTE("Sp.mat: 0.00%",".",IF(VALUE("1.2")=1.2,".",","),2)</f>
        <v>Sp.mat: 0.00%</v>
      </c>
      <c r="F34" s="15" t="str">
        <f>SUBSTITUTE("Sp.man: 0.00%",".",IF(VALUE("1.2")=1.2,".",","),2)</f>
        <v>Sp.man: 0.00%</v>
      </c>
      <c r="G34" s="35" t="str">
        <f>SUBSTITUTE("Sp.uti: 0.00%",".",IF(VALUE("1.2")=1.2,".",","),2)</f>
        <v>Sp.uti: 0.00%</v>
      </c>
      <c r="H34" s="38">
        <v>16.34</v>
      </c>
      <c r="I34" s="29">
        <f>G33*H34</f>
        <v>32.68</v>
      </c>
      <c r="J34">
        <v>2</v>
      </c>
    </row>
    <row r="35" spans="1:19" x14ac:dyDescent="0.3">
      <c r="A35" s="88" t="s">
        <v>858</v>
      </c>
      <c r="B35" s="98"/>
      <c r="C35" s="98"/>
      <c r="D35" s="98"/>
      <c r="E35" s="98"/>
      <c r="F35" s="98"/>
      <c r="G35" s="98"/>
      <c r="H35" s="38">
        <f>(1+IF(OR(ISERR(FIND(":",G34)),ISERR(FIND("%",G34))),0,MID(G34,FIND(":",G34)+2,FIND("%",G34)-FIND(":",G34)-2)/100))*0</f>
        <v>0</v>
      </c>
      <c r="I35" s="29">
        <f>G33*H35</f>
        <v>0</v>
      </c>
      <c r="J35">
        <v>3</v>
      </c>
      <c r="K35" s="4">
        <v>0</v>
      </c>
      <c r="L35" s="4">
        <v>0</v>
      </c>
      <c r="M35" s="4">
        <f>I35-K35-L35</f>
        <v>0</v>
      </c>
    </row>
    <row r="36" spans="1:19" x14ac:dyDescent="0.3">
      <c r="A36" s="98"/>
      <c r="B36" s="98"/>
      <c r="C36" s="98"/>
      <c r="D36" s="98"/>
      <c r="E36" s="98"/>
      <c r="F36" s="98"/>
      <c r="G36" s="98"/>
      <c r="H36" s="38">
        <f>0</f>
        <v>0</v>
      </c>
      <c r="I36" s="29">
        <f>G33*H36</f>
        <v>0</v>
      </c>
      <c r="J36">
        <v>4</v>
      </c>
      <c r="N36" s="4">
        <f>IF(ISERR(SEARCH("TRA* 82",C33)),IF(Q36+R36+S36=0,0,I36*(Q36/(Q36+R36+S36))),I36)</f>
        <v>0</v>
      </c>
      <c r="O36" s="4">
        <f>IF(ISERR(SEARCH("TRA* 82",C33)),IF(Q36+R36+S36=0,0,I36*(R36/(Q36+R36+S36))),0)</f>
        <v>0</v>
      </c>
      <c r="P36" s="4">
        <f>IF(ISERR(SEARCH("TRA* 82",C33)),I36-N36-O36,0)</f>
        <v>0</v>
      </c>
      <c r="Q36" s="4">
        <v>0</v>
      </c>
      <c r="R36" s="4">
        <v>0</v>
      </c>
      <c r="S36" s="4">
        <v>0</v>
      </c>
    </row>
    <row r="37" spans="1:19" x14ac:dyDescent="0.3">
      <c r="A37" s="100" t="s">
        <v>110</v>
      </c>
      <c r="B37" s="101"/>
      <c r="C37" s="101"/>
      <c r="D37" s="101"/>
      <c r="E37" s="101"/>
      <c r="F37" s="101"/>
      <c r="G37" s="101"/>
      <c r="H37" s="33">
        <f>H33+H34+H35+H36</f>
        <v>28.810000000000002</v>
      </c>
      <c r="I37" s="37">
        <f>I33+I34+I35+I36</f>
        <v>57.620000000000005</v>
      </c>
      <c r="J37">
        <v>5</v>
      </c>
    </row>
    <row r="38" spans="1:19" x14ac:dyDescent="0.3">
      <c r="A38" s="99" t="s">
        <v>859</v>
      </c>
      <c r="B38" s="99"/>
      <c r="C38" s="99"/>
      <c r="D38" s="99"/>
      <c r="E38" s="99"/>
      <c r="F38" s="99"/>
      <c r="G38" s="99"/>
      <c r="H38" s="99"/>
      <c r="I38" s="99"/>
    </row>
    <row r="39" spans="1:19" x14ac:dyDescent="0.3">
      <c r="B39" s="2">
        <v>5</v>
      </c>
      <c r="C39" s="3" t="s">
        <v>860</v>
      </c>
      <c r="D39" s="5" t="s">
        <v>29</v>
      </c>
      <c r="G39" s="30">
        <v>14</v>
      </c>
      <c r="H39" s="38">
        <v>91.71</v>
      </c>
      <c r="I39" s="29">
        <f>G39*H39</f>
        <v>1283.9399999999998</v>
      </c>
      <c r="J39">
        <v>1</v>
      </c>
    </row>
    <row r="40" spans="1:19" x14ac:dyDescent="0.3">
      <c r="D40" s="15" t="str">
        <f>SUBSTITUTE("Sp.mat: 0.00%",".",IF(VALUE("1.2")=1.2,".",","),2)</f>
        <v>Sp.mat: 0.00%</v>
      </c>
      <c r="F40" s="15" t="str">
        <f>SUBSTITUTE("Sp.man: 0.00%",".",IF(VALUE("1.2")=1.2,".",","),2)</f>
        <v>Sp.man: 0.00%</v>
      </c>
      <c r="G40" s="35" t="str">
        <f>SUBSTITUTE("Sp.uti: 0.00%",".",IF(VALUE("1.2")=1.2,".",","),2)</f>
        <v>Sp.uti: 0.00%</v>
      </c>
      <c r="H40" s="38">
        <v>118.93</v>
      </c>
      <c r="I40" s="29">
        <f>G39*H40</f>
        <v>1665.02</v>
      </c>
      <c r="J40">
        <v>2</v>
      </c>
    </row>
    <row r="41" spans="1:19" x14ac:dyDescent="0.3">
      <c r="A41" s="88" t="s">
        <v>861</v>
      </c>
      <c r="B41" s="98"/>
      <c r="C41" s="98"/>
      <c r="D41" s="98"/>
      <c r="E41" s="98"/>
      <c r="F41" s="98"/>
      <c r="G41" s="98"/>
      <c r="H41" s="38">
        <f>(1+IF(OR(ISERR(FIND(":",G40)),ISERR(FIND("%",G40))),0,MID(G40,FIND(":",G40)+2,FIND("%",G40)-FIND(":",G40)-2)/100))*0</f>
        <v>0</v>
      </c>
      <c r="I41" s="29">
        <f>G39*H41</f>
        <v>0</v>
      </c>
      <c r="J41">
        <v>3</v>
      </c>
      <c r="K41" s="4">
        <v>0</v>
      </c>
      <c r="L41" s="4">
        <v>0</v>
      </c>
      <c r="M41" s="4">
        <f>I41-K41-L41</f>
        <v>0</v>
      </c>
    </row>
    <row r="42" spans="1:19" x14ac:dyDescent="0.3">
      <c r="A42" s="98"/>
      <c r="B42" s="98"/>
      <c r="C42" s="98"/>
      <c r="D42" s="98"/>
      <c r="E42" s="98"/>
      <c r="F42" s="98"/>
      <c r="G42" s="98"/>
      <c r="H42" s="38">
        <f>0</f>
        <v>0</v>
      </c>
      <c r="I42" s="29">
        <f>G39*H42</f>
        <v>0</v>
      </c>
      <c r="J42">
        <v>4</v>
      </c>
      <c r="N42" s="4">
        <f>IF(ISERR(SEARCH("TRA* 82",C39)),IF(Q42+R42+S42=0,0,I42*(Q42/(Q42+R42+S42))),I42)</f>
        <v>0</v>
      </c>
      <c r="O42" s="4">
        <f>IF(ISERR(SEARCH("TRA* 82",C39)),IF(Q42+R42+S42=0,0,I42*(R42/(Q42+R42+S42))),0)</f>
        <v>0</v>
      </c>
      <c r="P42" s="4">
        <f>IF(ISERR(SEARCH("TRA* 82",C39)),I42-N42-O42,0)</f>
        <v>0</v>
      </c>
      <c r="Q42" s="4">
        <v>0</v>
      </c>
      <c r="R42" s="4">
        <v>0</v>
      </c>
      <c r="S42" s="4">
        <v>0</v>
      </c>
    </row>
    <row r="43" spans="1:19" x14ac:dyDescent="0.3">
      <c r="A43" s="100" t="s">
        <v>110</v>
      </c>
      <c r="B43" s="101"/>
      <c r="C43" s="101"/>
      <c r="D43" s="101"/>
      <c r="E43" s="101"/>
      <c r="F43" s="101"/>
      <c r="G43" s="101"/>
      <c r="H43" s="33">
        <f>H39+H40+H41+H42</f>
        <v>210.64</v>
      </c>
      <c r="I43" s="37">
        <f>I39+I40+I41+I42</f>
        <v>2948.96</v>
      </c>
      <c r="J43">
        <v>5</v>
      </c>
    </row>
    <row r="44" spans="1:19" x14ac:dyDescent="0.3">
      <c r="A44" s="102" t="s">
        <v>862</v>
      </c>
      <c r="B44" s="102"/>
      <c r="C44" s="102"/>
      <c r="D44" s="102"/>
      <c r="E44" s="102"/>
      <c r="F44" s="102"/>
      <c r="G44" s="102"/>
      <c r="H44" s="102"/>
      <c r="I44" s="102"/>
    </row>
    <row r="45" spans="1:19" x14ac:dyDescent="0.3">
      <c r="A45" s="98" t="s">
        <v>863</v>
      </c>
      <c r="B45" s="98"/>
      <c r="C45" s="98"/>
      <c r="D45" s="98"/>
      <c r="E45" s="98"/>
      <c r="F45" s="98"/>
      <c r="G45" s="98"/>
      <c r="H45" s="98"/>
      <c r="I45" s="98"/>
    </row>
    <row r="46" spans="1:19" x14ac:dyDescent="0.3">
      <c r="A46" s="98" t="s">
        <v>864</v>
      </c>
      <c r="B46" s="98"/>
      <c r="C46" s="98"/>
      <c r="D46" s="98"/>
      <c r="E46" s="98"/>
      <c r="F46" s="98"/>
      <c r="G46" s="98"/>
      <c r="H46" s="98"/>
      <c r="I46" s="98"/>
    </row>
    <row r="47" spans="1:19" x14ac:dyDescent="0.3">
      <c r="A47" s="98" t="s">
        <v>865</v>
      </c>
      <c r="B47" s="98"/>
      <c r="C47" s="98"/>
      <c r="D47" s="98"/>
      <c r="E47" s="98"/>
      <c r="F47" s="98"/>
      <c r="G47" s="98"/>
      <c r="H47" s="98"/>
      <c r="I47" s="98"/>
    </row>
    <row r="48" spans="1:19" x14ac:dyDescent="0.3">
      <c r="A48" s="98" t="s">
        <v>866</v>
      </c>
      <c r="B48" s="98"/>
      <c r="C48" s="98"/>
      <c r="D48" s="98"/>
      <c r="E48" s="98"/>
      <c r="F48" s="98"/>
      <c r="G48" s="98"/>
      <c r="H48" s="98"/>
      <c r="I48" s="98"/>
    </row>
    <row r="49" spans="1:13" x14ac:dyDescent="0.3">
      <c r="A49" s="98" t="s">
        <v>867</v>
      </c>
      <c r="B49" s="98"/>
      <c r="C49" s="98"/>
      <c r="D49" s="98"/>
      <c r="E49" s="98"/>
      <c r="F49" s="98"/>
      <c r="G49" s="98"/>
      <c r="H49" s="98"/>
      <c r="I49" s="98"/>
    </row>
    <row r="50" spans="1:13" x14ac:dyDescent="0.3">
      <c r="A50" s="98" t="s">
        <v>868</v>
      </c>
      <c r="B50" s="98"/>
      <c r="C50" s="98"/>
      <c r="D50" s="98"/>
      <c r="E50" s="98"/>
      <c r="F50" s="98"/>
      <c r="G50" s="98"/>
      <c r="H50" s="98"/>
      <c r="I50" s="98"/>
    </row>
    <row r="51" spans="1:13" x14ac:dyDescent="0.3">
      <c r="A51" s="98" t="s">
        <v>869</v>
      </c>
      <c r="B51" s="98"/>
      <c r="C51" s="98"/>
      <c r="D51" s="98"/>
      <c r="E51" s="98"/>
      <c r="F51" s="98"/>
      <c r="G51" s="98"/>
      <c r="H51" s="98"/>
      <c r="I51" s="98"/>
    </row>
    <row r="52" spans="1:13" x14ac:dyDescent="0.3">
      <c r="A52" s="98" t="s">
        <v>870</v>
      </c>
      <c r="B52" s="98"/>
      <c r="C52" s="98"/>
      <c r="D52" s="98"/>
      <c r="E52" s="98"/>
      <c r="F52" s="98"/>
      <c r="G52" s="98"/>
      <c r="H52" s="98"/>
      <c r="I52" s="98"/>
    </row>
    <row r="53" spans="1:13" x14ac:dyDescent="0.3">
      <c r="A53" s="98" t="s">
        <v>871</v>
      </c>
      <c r="B53" s="98"/>
      <c r="C53" s="98"/>
      <c r="D53" s="98"/>
      <c r="E53" s="98"/>
      <c r="F53" s="98"/>
      <c r="G53" s="98"/>
      <c r="H53" s="98"/>
      <c r="I53" s="98"/>
    </row>
    <row r="54" spans="1:13" x14ac:dyDescent="0.3">
      <c r="A54" s="98" t="s">
        <v>872</v>
      </c>
      <c r="B54" s="98"/>
      <c r="C54" s="98"/>
      <c r="D54" s="98"/>
      <c r="E54" s="98"/>
      <c r="F54" s="98"/>
      <c r="G54" s="98"/>
      <c r="H54" s="98"/>
      <c r="I54" s="98"/>
    </row>
    <row r="55" spans="1:13" x14ac:dyDescent="0.3">
      <c r="A55" s="98" t="s">
        <v>873</v>
      </c>
      <c r="B55" s="98"/>
      <c r="C55" s="98"/>
      <c r="D55" s="98"/>
      <c r="E55" s="98"/>
      <c r="F55" s="98"/>
      <c r="G55" s="98"/>
      <c r="H55" s="98"/>
      <c r="I55" s="98"/>
    </row>
    <row r="56" spans="1:13" x14ac:dyDescent="0.3">
      <c r="A56" s="98" t="s">
        <v>874</v>
      </c>
      <c r="B56" s="98"/>
      <c r="C56" s="98"/>
      <c r="D56" s="98"/>
      <c r="E56" s="98"/>
      <c r="F56" s="98"/>
      <c r="G56" s="98"/>
      <c r="H56" s="98"/>
      <c r="I56" s="98"/>
    </row>
    <row r="57" spans="1:13" x14ac:dyDescent="0.3">
      <c r="A57" s="98" t="s">
        <v>872</v>
      </c>
      <c r="B57" s="98"/>
      <c r="C57" s="98"/>
      <c r="D57" s="98"/>
      <c r="E57" s="98"/>
      <c r="F57" s="98"/>
      <c r="G57" s="98"/>
      <c r="H57" s="98"/>
      <c r="I57" s="98"/>
    </row>
    <row r="58" spans="1:13" x14ac:dyDescent="0.3">
      <c r="A58" s="98" t="s">
        <v>875</v>
      </c>
      <c r="B58" s="98"/>
      <c r="C58" s="98"/>
      <c r="D58" s="98"/>
      <c r="E58" s="98"/>
      <c r="F58" s="98"/>
      <c r="G58" s="98"/>
      <c r="H58" s="98"/>
      <c r="I58" s="98"/>
    </row>
    <row r="59" spans="1:13" x14ac:dyDescent="0.3">
      <c r="A59" s="98" t="s">
        <v>876</v>
      </c>
      <c r="B59" s="98"/>
      <c r="C59" s="98"/>
      <c r="D59" s="98"/>
      <c r="E59" s="98"/>
      <c r="F59" s="98"/>
      <c r="G59" s="98"/>
      <c r="H59" s="98"/>
      <c r="I59" s="98"/>
    </row>
    <row r="60" spans="1:13" x14ac:dyDescent="0.3">
      <c r="A60" s="98" t="s">
        <v>872</v>
      </c>
      <c r="B60" s="98"/>
      <c r="C60" s="98"/>
      <c r="D60" s="98"/>
      <c r="E60" s="98"/>
      <c r="F60" s="98"/>
      <c r="G60" s="98"/>
      <c r="H60" s="98"/>
      <c r="I60" s="98"/>
    </row>
    <row r="61" spans="1:13" x14ac:dyDescent="0.3">
      <c r="A61" s="97" t="s">
        <v>873</v>
      </c>
      <c r="B61" s="97"/>
      <c r="C61" s="97"/>
      <c r="D61" s="97"/>
      <c r="E61" s="97"/>
      <c r="F61" s="97"/>
      <c r="G61" s="97"/>
      <c r="H61" s="97"/>
      <c r="I61" s="97"/>
    </row>
    <row r="62" spans="1:13" x14ac:dyDescent="0.3">
      <c r="B62" s="2">
        <v>6</v>
      </c>
      <c r="C62" s="3" t="s">
        <v>877</v>
      </c>
      <c r="D62" s="5" t="s">
        <v>29</v>
      </c>
      <c r="G62" s="30">
        <v>4</v>
      </c>
      <c r="H62" s="38">
        <v>27.87</v>
      </c>
      <c r="I62" s="29">
        <f>G62*H62</f>
        <v>111.48</v>
      </c>
      <c r="J62">
        <v>1</v>
      </c>
    </row>
    <row r="63" spans="1:13" x14ac:dyDescent="0.3">
      <c r="D63" s="15" t="str">
        <f>SUBSTITUTE("Sp.mat: 0.00%",".",IF(VALUE("1.2")=1.2,".",","),2)</f>
        <v>Sp.mat: 0.00%</v>
      </c>
      <c r="F63" s="15" t="str">
        <f>SUBSTITUTE("Sp.man: 0.00%",".",IF(VALUE("1.2")=1.2,".",","),2)</f>
        <v>Sp.man: 0.00%</v>
      </c>
      <c r="G63" s="35" t="str">
        <f>SUBSTITUTE("Sp.uti: 0.00%",".",IF(VALUE("1.2")=1.2,".",","),2)</f>
        <v>Sp.uti: 0.00%</v>
      </c>
      <c r="H63" s="38">
        <v>144.53</v>
      </c>
      <c r="I63" s="29">
        <f>G62*H63</f>
        <v>578.12</v>
      </c>
      <c r="J63">
        <v>2</v>
      </c>
    </row>
    <row r="64" spans="1:13" x14ac:dyDescent="0.3">
      <c r="A64" s="88" t="s">
        <v>878</v>
      </c>
      <c r="B64" s="98"/>
      <c r="C64" s="98"/>
      <c r="D64" s="98"/>
      <c r="E64" s="98"/>
      <c r="F64" s="98"/>
      <c r="G64" s="98"/>
      <c r="H64" s="38">
        <v>20.02</v>
      </c>
      <c r="I64" s="29">
        <f>G62*H64</f>
        <v>80.08</v>
      </c>
      <c r="J64">
        <v>3</v>
      </c>
      <c r="K64" s="4">
        <v>150</v>
      </c>
      <c r="L64" s="4">
        <v>0</v>
      </c>
      <c r="M64" s="4">
        <f>I64-K64-L64</f>
        <v>-69.92</v>
      </c>
    </row>
    <row r="65" spans="1:19" x14ac:dyDescent="0.3">
      <c r="A65" s="98"/>
      <c r="B65" s="98"/>
      <c r="C65" s="98"/>
      <c r="D65" s="98"/>
      <c r="E65" s="98"/>
      <c r="F65" s="98"/>
      <c r="G65" s="98"/>
      <c r="H65" s="38">
        <f>0</f>
        <v>0</v>
      </c>
      <c r="I65" s="29">
        <f>G62*H65</f>
        <v>0</v>
      </c>
      <c r="J65">
        <v>4</v>
      </c>
      <c r="N65" s="4">
        <f>IF(ISERR(SEARCH("TRA* 82",C62)),IF(Q65+R65+S65=0,0,I65*(Q65/(Q65+R65+S65))),I65)</f>
        <v>0</v>
      </c>
      <c r="O65" s="4">
        <f>IF(ISERR(SEARCH("TRA* 82",C62)),IF(Q65+R65+S65=0,0,I65*(R65/(Q65+R65+S65))),0)</f>
        <v>0</v>
      </c>
      <c r="P65" s="4">
        <f>IF(ISERR(SEARCH("TRA* 82",C62)),I65-N65-O65,0)</f>
        <v>0</v>
      </c>
      <c r="Q65" s="4">
        <v>0</v>
      </c>
      <c r="R65" s="4">
        <v>0</v>
      </c>
      <c r="S65" s="4">
        <v>0</v>
      </c>
    </row>
    <row r="66" spans="1:19" x14ac:dyDescent="0.3">
      <c r="A66" s="100" t="s">
        <v>879</v>
      </c>
      <c r="B66" s="101"/>
      <c r="C66" s="101"/>
      <c r="D66" s="101"/>
      <c r="E66" s="101"/>
      <c r="F66" s="101"/>
      <c r="G66" s="101"/>
      <c r="H66" s="33">
        <f>H62+H63+H64+H65</f>
        <v>192.42000000000002</v>
      </c>
      <c r="I66" s="37">
        <f>I62+I63+I64+I65</f>
        <v>769.68000000000006</v>
      </c>
      <c r="J66">
        <v>5</v>
      </c>
    </row>
    <row r="67" spans="1:19" x14ac:dyDescent="0.3">
      <c r="A67" s="102" t="s">
        <v>880</v>
      </c>
      <c r="B67" s="102"/>
      <c r="C67" s="102"/>
      <c r="D67" s="102"/>
      <c r="E67" s="102"/>
      <c r="F67" s="102"/>
      <c r="G67" s="102"/>
      <c r="H67" s="102"/>
      <c r="I67" s="102"/>
    </row>
    <row r="68" spans="1:19" x14ac:dyDescent="0.3">
      <c r="A68" s="98" t="s">
        <v>881</v>
      </c>
      <c r="B68" s="98"/>
      <c r="C68" s="98"/>
      <c r="D68" s="98"/>
      <c r="E68" s="98"/>
      <c r="F68" s="98"/>
      <c r="G68" s="98"/>
      <c r="H68" s="98"/>
      <c r="I68" s="98"/>
    </row>
    <row r="69" spans="1:19" x14ac:dyDescent="0.3">
      <c r="A69" s="97" t="s">
        <v>882</v>
      </c>
      <c r="B69" s="97"/>
      <c r="C69" s="97"/>
      <c r="D69" s="97"/>
      <c r="E69" s="97"/>
      <c r="F69" s="97"/>
      <c r="G69" s="97"/>
      <c r="H69" s="97"/>
      <c r="I69" s="97"/>
    </row>
    <row r="70" spans="1:19" x14ac:dyDescent="0.3">
      <c r="B70" s="2">
        <v>7</v>
      </c>
      <c r="C70" s="3" t="s">
        <v>883</v>
      </c>
      <c r="D70" s="5" t="s">
        <v>29</v>
      </c>
      <c r="G70" s="30">
        <v>1</v>
      </c>
      <c r="H70" s="38">
        <v>44.87</v>
      </c>
      <c r="I70" s="29">
        <f>G70*H70</f>
        <v>44.87</v>
      </c>
      <c r="J70">
        <v>1</v>
      </c>
    </row>
    <row r="71" spans="1:19" x14ac:dyDescent="0.3">
      <c r="D71" s="15" t="str">
        <f>SUBSTITUTE("Sp.mat: 0.00%",".",IF(VALUE("1.2")=1.2,".",","),2)</f>
        <v>Sp.mat: 0.00%</v>
      </c>
      <c r="F71" s="15" t="str">
        <f>SUBSTITUTE("Sp.man: 0.00%",".",IF(VALUE("1.2")=1.2,".",","),2)</f>
        <v>Sp.man: 0.00%</v>
      </c>
      <c r="G71" s="35" t="str">
        <f>SUBSTITUTE("Sp.uti: 0.00%",".",IF(VALUE("1.2")=1.2,".",","),2)</f>
        <v>Sp.uti: 0.00%</v>
      </c>
      <c r="H71" s="38">
        <v>539.13</v>
      </c>
      <c r="I71" s="29">
        <f>G70*H71</f>
        <v>539.13</v>
      </c>
      <c r="J71">
        <v>2</v>
      </c>
    </row>
    <row r="72" spans="1:19" x14ac:dyDescent="0.3">
      <c r="A72" s="88" t="s">
        <v>884</v>
      </c>
      <c r="B72" s="98"/>
      <c r="C72" s="98"/>
      <c r="D72" s="98"/>
      <c r="E72" s="98"/>
      <c r="F72" s="98"/>
      <c r="G72" s="98"/>
      <c r="H72" s="38">
        <v>43.73</v>
      </c>
      <c r="I72" s="29">
        <f>G70*H72</f>
        <v>43.73</v>
      </c>
      <c r="J72">
        <v>3</v>
      </c>
      <c r="K72" s="4">
        <v>0</v>
      </c>
      <c r="L72" s="4">
        <v>0</v>
      </c>
      <c r="M72" s="4">
        <f>I72-K72-L72</f>
        <v>43.73</v>
      </c>
    </row>
    <row r="73" spans="1:19" x14ac:dyDescent="0.3">
      <c r="A73" s="98"/>
      <c r="B73" s="98"/>
      <c r="C73" s="98"/>
      <c r="D73" s="98"/>
      <c r="E73" s="98"/>
      <c r="F73" s="98"/>
      <c r="G73" s="98"/>
      <c r="H73" s="38">
        <f>0</f>
        <v>0</v>
      </c>
      <c r="I73" s="29">
        <f>G70*H73</f>
        <v>0</v>
      </c>
      <c r="J73">
        <v>4</v>
      </c>
      <c r="N73" s="4">
        <f>IF(ISERR(SEARCH("TRA* 82",C70)),IF(Q73+R73+S73=0,0,I73*(Q73/(Q73+R73+S73))),I73)</f>
        <v>0</v>
      </c>
      <c r="O73" s="4">
        <f>IF(ISERR(SEARCH("TRA* 82",C70)),IF(Q73+R73+S73=0,0,I73*(R73/(Q73+R73+S73))),0)</f>
        <v>0</v>
      </c>
      <c r="P73" s="4">
        <f>IF(ISERR(SEARCH("TRA* 82",C70)),I73-N73-O73,0)</f>
        <v>0</v>
      </c>
      <c r="Q73" s="4">
        <v>0</v>
      </c>
      <c r="R73" s="4">
        <v>0</v>
      </c>
      <c r="S73" s="4">
        <v>0</v>
      </c>
    </row>
    <row r="74" spans="1:19" x14ac:dyDescent="0.3">
      <c r="A74" s="96" t="s">
        <v>885</v>
      </c>
      <c r="B74" s="97"/>
      <c r="C74" s="97"/>
      <c r="D74" s="97"/>
      <c r="E74" s="97"/>
      <c r="F74" s="97"/>
      <c r="G74" s="97"/>
      <c r="H74" s="36">
        <f>H70+H71+H72+H73</f>
        <v>627.73</v>
      </c>
      <c r="I74" s="74">
        <f>I70+I71+I72+I73</f>
        <v>627.73</v>
      </c>
      <c r="J74">
        <v>5</v>
      </c>
    </row>
    <row r="75" spans="1:19" x14ac:dyDescent="0.3">
      <c r="B75" s="16"/>
      <c r="E75" s="4">
        <f>SUMIF(J12:J74,"1",I12:I74)</f>
        <v>1818.2899999999997</v>
      </c>
      <c r="F75" s="4">
        <f>SUMIF(J12:J74,"2",I12:I74)</f>
        <v>3377.33</v>
      </c>
      <c r="G75" s="29">
        <f>SUMIF(J12:J74,"3",I12:I74)</f>
        <v>123.81</v>
      </c>
      <c r="H75" s="29">
        <f>SUMIF(J12:J74,"4",I12:I74)</f>
        <v>0</v>
      </c>
      <c r="I75" s="29">
        <f>SUMIF(J12:J74,"5",I12:I74)</f>
        <v>5319.43</v>
      </c>
      <c r="K75" s="4">
        <f>SUMIF(J12:J74,"3",K12:K74)</f>
        <v>150</v>
      </c>
      <c r="L75" s="4">
        <f>SUMIF(J12:J74,"3",L12:L74)</f>
        <v>0</v>
      </c>
      <c r="M75" s="4">
        <f>SUMIF(J12:J74,"3",M12:M74)</f>
        <v>-26.190000000000005</v>
      </c>
      <c r="N75" s="4">
        <f>SUMIF(J12:J74,"4",N12:N74)</f>
        <v>0</v>
      </c>
      <c r="O75" s="4">
        <f>SUMIF(J12:J74,"4",O12:O74)</f>
        <v>0</v>
      </c>
      <c r="P75" s="4">
        <f>SUMIF(J12:J74,"4",P12:P74)</f>
        <v>0</v>
      </c>
      <c r="Q75" s="4">
        <f>SUMIF(J12:J74,"4",Q12:Q74)</f>
        <v>0</v>
      </c>
      <c r="R75" s="4">
        <f>SUMIF(J12:J74,"4",R12:R74)</f>
        <v>0</v>
      </c>
      <c r="S75" s="4">
        <f>SUMIF(J12:J74,"4",S12:S74)</f>
        <v>0</v>
      </c>
    </row>
    <row r="76" spans="1:19" x14ac:dyDescent="0.3">
      <c r="B76" s="107" t="s">
        <v>1554</v>
      </c>
      <c r="C76" s="108"/>
      <c r="D76" s="26"/>
      <c r="E76" s="26"/>
      <c r="F76" s="26"/>
      <c r="G76" s="109"/>
      <c r="H76" s="36"/>
      <c r="I76" s="110">
        <f>I75</f>
        <v>5319.43</v>
      </c>
    </row>
  </sheetData>
  <mergeCells count="47">
    <mergeCell ref="A14:G15"/>
    <mergeCell ref="A1:D1"/>
    <mergeCell ref="A2:I2"/>
    <mergeCell ref="A3:I3"/>
    <mergeCell ref="A4:I4"/>
    <mergeCell ref="A5:H5"/>
    <mergeCell ref="A35:G36"/>
    <mergeCell ref="A16:G16"/>
    <mergeCell ref="A17:I17"/>
    <mergeCell ref="A18:I18"/>
    <mergeCell ref="A19:I19"/>
    <mergeCell ref="A20:I20"/>
    <mergeCell ref="A23:G24"/>
    <mergeCell ref="A25:G25"/>
    <mergeCell ref="A26:I26"/>
    <mergeCell ref="A29:G30"/>
    <mergeCell ref="A31:G31"/>
    <mergeCell ref="A32:I32"/>
    <mergeCell ref="A51:I51"/>
    <mergeCell ref="A37:G37"/>
    <mergeCell ref="A38:I38"/>
    <mergeCell ref="A41:G42"/>
    <mergeCell ref="A43:G43"/>
    <mergeCell ref="A44:I44"/>
    <mergeCell ref="A45:I45"/>
    <mergeCell ref="A46:I46"/>
    <mergeCell ref="A47:I47"/>
    <mergeCell ref="A48:I48"/>
    <mergeCell ref="A49:I49"/>
    <mergeCell ref="A50:I50"/>
    <mergeCell ref="A66:G66"/>
    <mergeCell ref="A52:I52"/>
    <mergeCell ref="A53:I53"/>
    <mergeCell ref="A54:I54"/>
    <mergeCell ref="A55:I55"/>
    <mergeCell ref="A56:I56"/>
    <mergeCell ref="A57:I57"/>
    <mergeCell ref="A58:I58"/>
    <mergeCell ref="A59:I59"/>
    <mergeCell ref="A60:I60"/>
    <mergeCell ref="A61:I61"/>
    <mergeCell ref="A64:G65"/>
    <mergeCell ref="A67:I67"/>
    <mergeCell ref="A68:I68"/>
    <mergeCell ref="A69:I69"/>
    <mergeCell ref="A72:G73"/>
    <mergeCell ref="A74:G74"/>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3" manualBreakCount="3">
    <brk id="61" max="16383" man="1"/>
    <brk id="69" max="16383" man="1"/>
    <brk id="74"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D750-2A29-487C-9037-572A4CEAC0BA}">
  <sheetPr>
    <tabColor rgb="FF92D050"/>
  </sheetPr>
  <dimension ref="A1:T491"/>
  <sheetViews>
    <sheetView topLeftCell="A477" workbookViewId="0">
      <selection activeCell="E495" sqref="E495"/>
    </sheetView>
  </sheetViews>
  <sheetFormatPr defaultRowHeight="14.4" outlineLevelCol="1" x14ac:dyDescent="0.3"/>
  <cols>
    <col min="1" max="1" width="0.33203125" style="1" customWidth="1"/>
    <col min="2" max="2" width="5.77734375" style="2" customWidth="1"/>
    <col min="3" max="3" width="23.6640625" style="3" customWidth="1"/>
    <col min="4" max="4" width="10.77734375" style="5" customWidth="1"/>
    <col min="5" max="6" width="10.77734375" customWidth="1"/>
    <col min="7" max="7" width="10.77734375" style="30" customWidth="1"/>
    <col min="8" max="8" width="10.77734375" style="38" customWidth="1"/>
    <col min="9" max="9" width="10.777343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891</v>
      </c>
      <c r="B4" s="98"/>
      <c r="C4" s="98"/>
      <c r="D4" s="98"/>
      <c r="E4" s="98"/>
      <c r="F4" s="98"/>
      <c r="G4" s="98"/>
      <c r="H4" s="98"/>
      <c r="I4" s="98"/>
    </row>
    <row r="5" spans="1:19" ht="15" thickBot="1" x14ac:dyDescent="0.35">
      <c r="A5" s="82" t="s">
        <v>88</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89</v>
      </c>
      <c r="D12" s="13" t="s">
        <v>29</v>
      </c>
      <c r="E12" s="14"/>
      <c r="F12" s="14"/>
      <c r="G12" s="41">
        <v>12</v>
      </c>
      <c r="H12" s="71">
        <f>11860.65/G12</f>
        <v>988.38749999999993</v>
      </c>
      <c r="I12" s="32">
        <f>G12*H12</f>
        <v>11860.65</v>
      </c>
      <c r="J12">
        <v>1</v>
      </c>
    </row>
    <row r="13" spans="1:19" x14ac:dyDescent="0.3">
      <c r="D13" s="15" t="str">
        <f>SUBSTITUTE("Sp.mat: 0.00%",".",IF(VALUE("1.2")=1.2,".",","),2)</f>
        <v>Sp.mat: 0.00%</v>
      </c>
      <c r="F13" s="15" t="str">
        <f>SUBSTITUTE("Sp.man: 0.00%",".",IF(VALUE("1.2")=1.2,".",","),2)</f>
        <v>Sp.man: 0.00%</v>
      </c>
      <c r="G13" s="35" t="str">
        <f>SUBSTITUTE("Sp.uti: 0.00%",".",IF(VALUE("1.2")=1.2,".",","),2)</f>
        <v>Sp.uti: 0.00%</v>
      </c>
      <c r="H13" s="38">
        <f>768.82/G12</f>
        <v>64.068333333333342</v>
      </c>
      <c r="I13" s="29">
        <f>G12*H13</f>
        <v>768.82000000000016</v>
      </c>
      <c r="J13">
        <v>2</v>
      </c>
    </row>
    <row r="14" spans="1:19" x14ac:dyDescent="0.3">
      <c r="A14" s="88" t="s">
        <v>90</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96" t="s">
        <v>27</v>
      </c>
      <c r="B16" s="97"/>
      <c r="C16" s="97"/>
      <c r="D16" s="97"/>
      <c r="E16" s="97"/>
      <c r="F16" s="97"/>
      <c r="G16" s="97"/>
      <c r="H16" s="36">
        <f>H12+H13+H14+H15</f>
        <v>1052.4558333333332</v>
      </c>
      <c r="I16" s="74">
        <f>I12+I13+I14+I15</f>
        <v>12629.47</v>
      </c>
      <c r="J16">
        <v>5</v>
      </c>
    </row>
    <row r="17" spans="1:19" x14ac:dyDescent="0.3">
      <c r="B17" s="2">
        <v>2</v>
      </c>
      <c r="C17" s="3" t="s">
        <v>91</v>
      </c>
      <c r="D17" s="5" t="s">
        <v>25</v>
      </c>
      <c r="G17" s="30">
        <v>6</v>
      </c>
      <c r="H17" s="38">
        <f>118.71/G17</f>
        <v>19.785</v>
      </c>
      <c r="I17" s="29">
        <f>G17*H17</f>
        <v>118.71000000000001</v>
      </c>
      <c r="J17">
        <v>1</v>
      </c>
    </row>
    <row r="18" spans="1:19" x14ac:dyDescent="0.3">
      <c r="D18" s="15" t="str">
        <f>SUBSTITUTE("Sp.mat: 0.00%",".",IF(VALUE("1.2")=1.2,".",","),2)</f>
        <v>Sp.mat: 0.00%</v>
      </c>
      <c r="F18" s="15" t="str">
        <f>SUBSTITUTE("Sp.man: 0.00%",".",IF(VALUE("1.2")=1.2,".",","),2)</f>
        <v>Sp.man: 0.00%</v>
      </c>
      <c r="G18" s="35" t="str">
        <f>SUBSTITUTE("Sp.uti: 0.00%",".",IF(VALUE("1.2")=1.2,".",","),2)</f>
        <v>Sp.uti: 0.00%</v>
      </c>
      <c r="H18" s="38">
        <f>129.74/G17</f>
        <v>21.623333333333335</v>
      </c>
      <c r="I18" s="29">
        <f>G17*H18</f>
        <v>129.74</v>
      </c>
      <c r="J18">
        <v>2</v>
      </c>
    </row>
    <row r="19" spans="1:19" x14ac:dyDescent="0.3">
      <c r="A19" s="88" t="s">
        <v>92</v>
      </c>
      <c r="B19" s="98"/>
      <c r="C19" s="98"/>
      <c r="D19" s="98"/>
      <c r="E19" s="98"/>
      <c r="F19" s="98"/>
      <c r="G19" s="98"/>
      <c r="H19" s="38">
        <f>(1+IF(OR(ISERR(FIND(":",G18)),ISERR(FIND("%",G18))),0,MID(G18,FIND(":",G18)+2,FIND("%",G18)-FIND(":",G18)-2)/100))*0</f>
        <v>0</v>
      </c>
      <c r="I19" s="29">
        <f>G17*H19</f>
        <v>0</v>
      </c>
      <c r="J19">
        <v>3</v>
      </c>
      <c r="K19" s="4">
        <v>0</v>
      </c>
      <c r="L19" s="4">
        <v>0</v>
      </c>
      <c r="M19" s="4">
        <f>I19-K19-L19</f>
        <v>0</v>
      </c>
    </row>
    <row r="20" spans="1:19" x14ac:dyDescent="0.3">
      <c r="A20" s="98"/>
      <c r="B20" s="98"/>
      <c r="C20" s="98"/>
      <c r="D20" s="98"/>
      <c r="E20" s="98"/>
      <c r="F20" s="98"/>
      <c r="G20" s="98"/>
      <c r="H20" s="38">
        <f>0</f>
        <v>0</v>
      </c>
      <c r="I20" s="29">
        <f>G17*H20</f>
        <v>0</v>
      </c>
      <c r="J20">
        <v>4</v>
      </c>
      <c r="N20" s="4">
        <f>IF(ISERR(SEARCH("TRA* 82",C17)),IF(Q20+R20+S20=0,0,I20*(Q20/(Q20+R20+S20))),I20)</f>
        <v>0</v>
      </c>
      <c r="O20" s="4">
        <f>IF(ISERR(SEARCH("TRA* 82",C17)),IF(Q20+R20+S20=0,0,I20*(R20/(Q20+R20+S20))),0)</f>
        <v>0</v>
      </c>
      <c r="P20" s="4">
        <f>IF(ISERR(SEARCH("TRA* 82",C17)),I20-N20-O20,0)</f>
        <v>0</v>
      </c>
      <c r="Q20" s="4">
        <v>0</v>
      </c>
      <c r="R20" s="4">
        <v>0</v>
      </c>
      <c r="S20" s="4">
        <v>0</v>
      </c>
    </row>
    <row r="21" spans="1:19" x14ac:dyDescent="0.3">
      <c r="A21" s="96" t="s">
        <v>27</v>
      </c>
      <c r="B21" s="97"/>
      <c r="C21" s="97"/>
      <c r="D21" s="97"/>
      <c r="E21" s="97"/>
      <c r="F21" s="97"/>
      <c r="G21" s="97"/>
      <c r="H21" s="36">
        <f>H17+H18+H19+H20</f>
        <v>41.408333333333331</v>
      </c>
      <c r="I21" s="74">
        <f>I17+I18+I19+I20</f>
        <v>248.45000000000002</v>
      </c>
      <c r="J21">
        <v>5</v>
      </c>
    </row>
    <row r="22" spans="1:19" x14ac:dyDescent="0.3">
      <c r="B22" s="2">
        <v>3</v>
      </c>
      <c r="C22" s="3" t="s">
        <v>93</v>
      </c>
      <c r="D22" s="5" t="s">
        <v>25</v>
      </c>
      <c r="G22" s="30">
        <v>51</v>
      </c>
      <c r="H22" s="38">
        <f>1183.36/G22</f>
        <v>23.203137254901957</v>
      </c>
      <c r="I22" s="29">
        <f>G22*H22</f>
        <v>1183.3599999999999</v>
      </c>
      <c r="J22">
        <v>1</v>
      </c>
    </row>
    <row r="23" spans="1:19" x14ac:dyDescent="0.3">
      <c r="D23" s="15" t="str">
        <f>SUBSTITUTE("Sp.mat: 0.00%",".",IF(VALUE("1.2")=1.2,".",","),2)</f>
        <v>Sp.mat: 0.00%</v>
      </c>
      <c r="F23" s="15" t="str">
        <f>SUBSTITUTE("Sp.man: 0.00%",".",IF(VALUE("1.2")=1.2,".",","),2)</f>
        <v>Sp.man: 0.00%</v>
      </c>
      <c r="G23" s="35" t="str">
        <f>SUBSTITUTE("Sp.uti: 0.00%",".",IF(VALUE("1.2")=1.2,".",","),2)</f>
        <v>Sp.uti: 0.00%</v>
      </c>
      <c r="H23" s="38">
        <f>1388.67/G22</f>
        <v>27.228823529411766</v>
      </c>
      <c r="I23" s="29">
        <f>G22*H23</f>
        <v>1388.67</v>
      </c>
      <c r="J23">
        <v>2</v>
      </c>
    </row>
    <row r="24" spans="1:19" x14ac:dyDescent="0.3">
      <c r="A24" s="88" t="s">
        <v>94</v>
      </c>
      <c r="B24" s="98"/>
      <c r="C24" s="98"/>
      <c r="D24" s="98"/>
      <c r="E24" s="98"/>
      <c r="F24" s="98"/>
      <c r="G24" s="98"/>
      <c r="H24" s="38">
        <f>(1+IF(OR(ISERR(FIND(":",G23)),ISERR(FIND("%",G23))),0,MID(G23,FIND(":",G23)+2,FIND("%",G23)-FIND(":",G23)-2)/100))*0</f>
        <v>0</v>
      </c>
      <c r="I24" s="29">
        <f>G22*H24</f>
        <v>0</v>
      </c>
      <c r="J24">
        <v>3</v>
      </c>
      <c r="K24" s="4">
        <v>0</v>
      </c>
      <c r="L24" s="4">
        <v>0</v>
      </c>
      <c r="M24" s="4">
        <f>I24-K24-L24</f>
        <v>0</v>
      </c>
    </row>
    <row r="25" spans="1:19" x14ac:dyDescent="0.3">
      <c r="A25" s="98"/>
      <c r="B25" s="98"/>
      <c r="C25" s="98"/>
      <c r="D25" s="98"/>
      <c r="E25" s="98"/>
      <c r="F25" s="98"/>
      <c r="G25" s="98"/>
      <c r="H25" s="38">
        <f>0</f>
        <v>0</v>
      </c>
      <c r="I25" s="29">
        <f>G22*H25</f>
        <v>0</v>
      </c>
      <c r="J25">
        <v>4</v>
      </c>
      <c r="N25" s="4">
        <f>IF(ISERR(SEARCH("TRA* 82",C22)),IF(Q25+R25+S25=0,0,I25*(Q25/(Q25+R25+S25))),I25)</f>
        <v>0</v>
      </c>
      <c r="O25" s="4">
        <f>IF(ISERR(SEARCH("TRA* 82",C22)),IF(Q25+R25+S25=0,0,I25*(R25/(Q25+R25+S25))),0)</f>
        <v>0</v>
      </c>
      <c r="P25" s="4">
        <f>IF(ISERR(SEARCH("TRA* 82",C22)),I25-N25-O25,0)</f>
        <v>0</v>
      </c>
      <c r="Q25" s="4">
        <v>0</v>
      </c>
      <c r="R25" s="4">
        <v>0</v>
      </c>
      <c r="S25" s="4">
        <v>0</v>
      </c>
    </row>
    <row r="26" spans="1:19" x14ac:dyDescent="0.3">
      <c r="A26" s="96" t="s">
        <v>27</v>
      </c>
      <c r="B26" s="97"/>
      <c r="C26" s="97"/>
      <c r="D26" s="97"/>
      <c r="E26" s="97"/>
      <c r="F26" s="97"/>
      <c r="G26" s="97"/>
      <c r="H26" s="36">
        <f>H22+H23+H24+H25</f>
        <v>50.431960784313723</v>
      </c>
      <c r="I26" s="74">
        <f>I22+I23+I24+I25</f>
        <v>2572.0299999999997</v>
      </c>
      <c r="J26">
        <v>5</v>
      </c>
    </row>
    <row r="27" spans="1:19" x14ac:dyDescent="0.3">
      <c r="B27" s="2">
        <v>4</v>
      </c>
      <c r="C27" s="3" t="s">
        <v>93</v>
      </c>
      <c r="D27" s="5" t="s">
        <v>25</v>
      </c>
      <c r="G27" s="30">
        <v>15</v>
      </c>
      <c r="H27" s="38">
        <f>546.38/G27</f>
        <v>36.425333333333334</v>
      </c>
      <c r="I27" s="29">
        <f>G27*H27</f>
        <v>546.38</v>
      </c>
      <c r="J27">
        <v>1</v>
      </c>
    </row>
    <row r="28" spans="1:19" x14ac:dyDescent="0.3">
      <c r="D28" s="15" t="str">
        <f>SUBSTITUTE("Sp.mat: 0.00%",".",IF(VALUE("1.2")=1.2,".",","),2)</f>
        <v>Sp.mat: 0.00%</v>
      </c>
      <c r="F28" s="15" t="str">
        <f>SUBSTITUTE("Sp.man: 0.00%",".",IF(VALUE("1.2")=1.2,".",","),2)</f>
        <v>Sp.man: 0.00%</v>
      </c>
      <c r="G28" s="35" t="str">
        <f>SUBSTITUTE("Sp.uti: 0.00%",".",IF(VALUE("1.2")=1.2,".",","),2)</f>
        <v>Sp.uti: 0.00%</v>
      </c>
      <c r="H28" s="38">
        <f>408.43/G27</f>
        <v>27.228666666666665</v>
      </c>
      <c r="I28" s="29">
        <f>G27*H28</f>
        <v>408.43</v>
      </c>
      <c r="J28">
        <v>2</v>
      </c>
    </row>
    <row r="29" spans="1:19" x14ac:dyDescent="0.3">
      <c r="A29" s="88" t="s">
        <v>94</v>
      </c>
      <c r="B29" s="98"/>
      <c r="C29" s="98"/>
      <c r="D29" s="98"/>
      <c r="E29" s="98"/>
      <c r="F29" s="98"/>
      <c r="G29" s="98"/>
      <c r="H29" s="38">
        <f>(1+IF(OR(ISERR(FIND(":",G28)),ISERR(FIND("%",G28))),0,MID(G28,FIND(":",G28)+2,FIND("%",G28)-FIND(":",G28)-2)/100))*0</f>
        <v>0</v>
      </c>
      <c r="I29" s="29">
        <f>G27*H29</f>
        <v>0</v>
      </c>
      <c r="J29">
        <v>3</v>
      </c>
      <c r="K29" s="4">
        <v>0</v>
      </c>
      <c r="L29" s="4">
        <v>0</v>
      </c>
      <c r="M29" s="4">
        <f>I29-K29-L29</f>
        <v>0</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96" t="s">
        <v>27</v>
      </c>
      <c r="B31" s="97"/>
      <c r="C31" s="97"/>
      <c r="D31" s="97"/>
      <c r="E31" s="97"/>
      <c r="F31" s="97"/>
      <c r="G31" s="97"/>
      <c r="H31" s="36">
        <f>H27+H28+H29+H30</f>
        <v>63.653999999999996</v>
      </c>
      <c r="I31" s="74">
        <f>I27+I28+I29+I30</f>
        <v>954.81</v>
      </c>
      <c r="J31">
        <v>5</v>
      </c>
    </row>
    <row r="32" spans="1:19" x14ac:dyDescent="0.3">
      <c r="B32" s="2">
        <v>5</v>
      </c>
      <c r="C32" s="3" t="s">
        <v>97</v>
      </c>
      <c r="D32" s="5" t="s">
        <v>25</v>
      </c>
      <c r="G32" s="30">
        <v>6</v>
      </c>
      <c r="H32" s="38">
        <f>(1+IF(OR(ISERR(FIND(":",D33)),ISERR(FIND("%",D33))),0,MID(D33,FIND(":",D33)+2,FIND("%",D33)-FIND(":",D33)-2)/100))*0</f>
        <v>0</v>
      </c>
      <c r="I32" s="29">
        <f>G32*H32</f>
        <v>0</v>
      </c>
      <c r="J32">
        <v>1</v>
      </c>
    </row>
    <row r="33" spans="1:19" x14ac:dyDescent="0.3">
      <c r="D33" s="15" t="str">
        <f>SUBSTITUTE("Sp.mat: 0.00%",".",IF(VALUE("1.2")=1.2,".",","),2)</f>
        <v>Sp.mat: 0.00%</v>
      </c>
      <c r="F33" s="15" t="str">
        <f>SUBSTITUTE("Sp.man: 0.00%",".",IF(VALUE("1.2")=1.2,".",","),2)</f>
        <v>Sp.man: 0.00%</v>
      </c>
      <c r="G33" s="35" t="str">
        <f>SUBSTITUTE("Sp.uti: 0.00%",".",IF(VALUE("1.2")=1.2,".",","),2)</f>
        <v>Sp.uti: 0.00%</v>
      </c>
      <c r="H33" s="38">
        <f>5.77/G32</f>
        <v>0.96166666666666656</v>
      </c>
      <c r="I33" s="29">
        <f>G32*H33</f>
        <v>5.77</v>
      </c>
      <c r="J33">
        <v>2</v>
      </c>
    </row>
    <row r="34" spans="1:19" x14ac:dyDescent="0.3">
      <c r="A34" s="88" t="s">
        <v>98</v>
      </c>
      <c r="B34" s="98"/>
      <c r="C34" s="98"/>
      <c r="D34" s="98"/>
      <c r="E34" s="98"/>
      <c r="F34" s="98"/>
      <c r="G34" s="98"/>
      <c r="H34" s="38">
        <f>(1+IF(OR(ISERR(FIND(":",G33)),ISERR(FIND("%",G33))),0,MID(G33,FIND(":",G33)+2,FIND("%",G33)-FIND(":",G33)-2)/100))*0</f>
        <v>0</v>
      </c>
      <c r="I34" s="29">
        <f>G32*H34</f>
        <v>0</v>
      </c>
      <c r="J34">
        <v>3</v>
      </c>
      <c r="K34" s="4">
        <v>0</v>
      </c>
      <c r="L34" s="4">
        <v>0</v>
      </c>
      <c r="M34" s="4">
        <f>I34-K34-L34</f>
        <v>0</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96" t="s">
        <v>27</v>
      </c>
      <c r="B36" s="97"/>
      <c r="C36" s="97"/>
      <c r="D36" s="97"/>
      <c r="E36" s="97"/>
      <c r="F36" s="97"/>
      <c r="G36" s="97"/>
      <c r="H36" s="36">
        <f>H32+H33+H34+H35</f>
        <v>0.96166666666666656</v>
      </c>
      <c r="I36" s="74">
        <f>I32+I33+I34+I35</f>
        <v>5.77</v>
      </c>
      <c r="J36">
        <v>5</v>
      </c>
    </row>
    <row r="37" spans="1:19" x14ac:dyDescent="0.3">
      <c r="B37" s="2">
        <v>6</v>
      </c>
      <c r="C37" s="3" t="s">
        <v>99</v>
      </c>
      <c r="D37" s="5" t="s">
        <v>25</v>
      </c>
      <c r="G37" s="30">
        <v>66</v>
      </c>
      <c r="H37" s="38">
        <f>(1+IF(OR(ISERR(FIND(":",D38)),ISERR(FIND("%",D38))),0,MID(D38,FIND(":",D38)+2,FIND("%",D38)-FIND(":",D38)-2)/100))*0</f>
        <v>0</v>
      </c>
      <c r="I37" s="29">
        <f>G37*H37</f>
        <v>0</v>
      </c>
      <c r="J37">
        <v>1</v>
      </c>
    </row>
    <row r="38" spans="1:19" x14ac:dyDescent="0.3">
      <c r="D38" s="15" t="str">
        <f>SUBSTITUTE("Sp.mat: 0.00%",".",IF(VALUE("1.2")=1.2,".",","),2)</f>
        <v>Sp.mat: 0.00%</v>
      </c>
      <c r="F38" s="15" t="str">
        <f>SUBSTITUTE("Sp.man: 0.00%",".",IF(VALUE("1.2")=1.2,".",","),2)</f>
        <v>Sp.man: 0.00%</v>
      </c>
      <c r="G38" s="35" t="str">
        <f>SUBSTITUTE("Sp.uti: 0.00%",".",IF(VALUE("1.2")=1.2,".",","),2)</f>
        <v>Sp.uti: 0.00%</v>
      </c>
      <c r="H38" s="38">
        <f>84.57/G37</f>
        <v>1.2813636363636363</v>
      </c>
      <c r="I38" s="29">
        <f>G37*H38</f>
        <v>84.57</v>
      </c>
      <c r="J38">
        <v>2</v>
      </c>
    </row>
    <row r="39" spans="1:19" x14ac:dyDescent="0.3">
      <c r="A39" s="88" t="s">
        <v>100</v>
      </c>
      <c r="B39" s="98"/>
      <c r="C39" s="98"/>
      <c r="D39" s="98"/>
      <c r="E39" s="98"/>
      <c r="F39" s="98"/>
      <c r="G39" s="98"/>
      <c r="H39" s="38">
        <f>(1+IF(OR(ISERR(FIND(":",G38)),ISERR(FIND("%",G38))),0,MID(G38,FIND(":",G38)+2,FIND("%",G38)-FIND(":",G38)-2)/100))*0</f>
        <v>0</v>
      </c>
      <c r="I39" s="29">
        <f>G37*H39</f>
        <v>0</v>
      </c>
      <c r="J39">
        <v>3</v>
      </c>
      <c r="K39" s="4">
        <v>0</v>
      </c>
      <c r="L39" s="4">
        <v>0</v>
      </c>
      <c r="M39" s="4">
        <f>I39-K39-L39</f>
        <v>0</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96" t="s">
        <v>27</v>
      </c>
      <c r="B41" s="97"/>
      <c r="C41" s="97"/>
      <c r="D41" s="97"/>
      <c r="E41" s="97"/>
      <c r="F41" s="97"/>
      <c r="G41" s="97"/>
      <c r="H41" s="36">
        <f>H37+H38+H39+H40</f>
        <v>1.2813636363636363</v>
      </c>
      <c r="I41" s="74">
        <f>I37+I38+I39+I40</f>
        <v>84.57</v>
      </c>
      <c r="J41">
        <v>5</v>
      </c>
    </row>
    <row r="42" spans="1:19" x14ac:dyDescent="0.3">
      <c r="B42" s="2">
        <v>7</v>
      </c>
      <c r="C42" s="3" t="s">
        <v>101</v>
      </c>
      <c r="D42" s="5" t="s">
        <v>29</v>
      </c>
      <c r="G42" s="30">
        <v>1</v>
      </c>
      <c r="H42" s="38">
        <f>143.85/G42</f>
        <v>143.85</v>
      </c>
      <c r="I42" s="29">
        <f>G42*H42</f>
        <v>143.85</v>
      </c>
      <c r="J42">
        <v>1</v>
      </c>
    </row>
    <row r="43" spans="1:19" x14ac:dyDescent="0.3">
      <c r="D43" s="15" t="str">
        <f>SUBSTITUTE("Sp.mat: 0.00%",".",IF(VALUE("1.2")=1.2,".",","),2)</f>
        <v>Sp.mat: 0.00%</v>
      </c>
      <c r="F43" s="15" t="str">
        <f>SUBSTITUTE("Sp.man: 0.00%",".",IF(VALUE("1.2")=1.2,".",","),2)</f>
        <v>Sp.man: 0.00%</v>
      </c>
      <c r="G43" s="35" t="str">
        <f>SUBSTITUTE("Sp.uti: 0.00%",".",IF(VALUE("1.2")=1.2,".",","),2)</f>
        <v>Sp.uti: 0.00%</v>
      </c>
      <c r="H43" s="38">
        <v>54.46</v>
      </c>
      <c r="I43" s="29">
        <f>G42*H43</f>
        <v>54.46</v>
      </c>
      <c r="J43">
        <v>2</v>
      </c>
    </row>
    <row r="44" spans="1:19" x14ac:dyDescent="0.3">
      <c r="A44" s="88" t="s">
        <v>102</v>
      </c>
      <c r="B44" s="98"/>
      <c r="C44" s="98"/>
      <c r="D44" s="98"/>
      <c r="E44" s="98"/>
      <c r="F44" s="98"/>
      <c r="G44" s="98"/>
      <c r="H44" s="38">
        <f>(1+IF(OR(ISERR(FIND(":",G43)),ISERR(FIND("%",G43))),0,MID(G43,FIND(":",G43)+2,FIND("%",G43)-FIND(":",G43)-2)/100))*0</f>
        <v>0</v>
      </c>
      <c r="I44" s="29">
        <f>G42*H44</f>
        <v>0</v>
      </c>
      <c r="J44">
        <v>3</v>
      </c>
      <c r="K44" s="4">
        <v>0</v>
      </c>
      <c r="L44" s="4">
        <v>0</v>
      </c>
      <c r="M44" s="4">
        <f>I44-K44-L44</f>
        <v>0</v>
      </c>
    </row>
    <row r="45" spans="1:19" x14ac:dyDescent="0.3">
      <c r="A45" s="98"/>
      <c r="B45" s="98"/>
      <c r="C45" s="98"/>
      <c r="D45" s="98"/>
      <c r="E45" s="98"/>
      <c r="F45" s="98"/>
      <c r="G45" s="98"/>
      <c r="H45" s="38">
        <f>0</f>
        <v>0</v>
      </c>
      <c r="I45" s="29">
        <f>G42*H45</f>
        <v>0</v>
      </c>
      <c r="J45">
        <v>4</v>
      </c>
      <c r="N45" s="4">
        <f>IF(ISERR(SEARCH("TRA* 82",C42)),IF(Q45+R45+S45=0,0,I45*(Q45/(Q45+R45+S45))),I45)</f>
        <v>0</v>
      </c>
      <c r="O45" s="4">
        <f>IF(ISERR(SEARCH("TRA* 82",C42)),IF(Q45+R45+S45=0,0,I45*(R45/(Q45+R45+S45))),0)</f>
        <v>0</v>
      </c>
      <c r="P45" s="4">
        <f>IF(ISERR(SEARCH("TRA* 82",C42)),I45-N45-O45,0)</f>
        <v>0</v>
      </c>
      <c r="Q45" s="4">
        <v>0</v>
      </c>
      <c r="R45" s="4">
        <v>0</v>
      </c>
      <c r="S45" s="4">
        <v>0</v>
      </c>
    </row>
    <row r="46" spans="1:19" x14ac:dyDescent="0.3">
      <c r="A46" s="100" t="s">
        <v>87</v>
      </c>
      <c r="B46" s="101"/>
      <c r="C46" s="101"/>
      <c r="D46" s="101"/>
      <c r="E46" s="101"/>
      <c r="F46" s="101"/>
      <c r="G46" s="101"/>
      <c r="H46" s="33">
        <f>H42+H43+H44+H45</f>
        <v>198.31</v>
      </c>
      <c r="I46" s="37">
        <f>I42+I43+I44+I45</f>
        <v>198.31</v>
      </c>
      <c r="J46">
        <v>5</v>
      </c>
    </row>
    <row r="47" spans="1:19" x14ac:dyDescent="0.3">
      <c r="A47" s="102" t="s">
        <v>103</v>
      </c>
      <c r="B47" s="102"/>
      <c r="C47" s="102"/>
      <c r="D47" s="102"/>
      <c r="E47" s="102"/>
      <c r="F47" s="102"/>
      <c r="G47" s="102"/>
      <c r="H47" s="102"/>
      <c r="I47" s="102"/>
    </row>
    <row r="48" spans="1:19" x14ac:dyDescent="0.3">
      <c r="A48" s="97" t="s">
        <v>104</v>
      </c>
      <c r="B48" s="97"/>
      <c r="C48" s="97"/>
      <c r="D48" s="97"/>
      <c r="E48" s="97"/>
      <c r="F48" s="97"/>
      <c r="G48" s="97"/>
      <c r="H48" s="97"/>
      <c r="I48" s="97"/>
    </row>
    <row r="49" spans="1:19" x14ac:dyDescent="0.3">
      <c r="B49" s="2">
        <v>8</v>
      </c>
      <c r="C49" s="3" t="s">
        <v>105</v>
      </c>
      <c r="D49" s="5" t="s">
        <v>29</v>
      </c>
      <c r="G49" s="30">
        <v>1</v>
      </c>
      <c r="H49" s="38">
        <v>2117.08</v>
      </c>
      <c r="I49" s="29">
        <f>G49*H49</f>
        <v>2117.08</v>
      </c>
      <c r="J49">
        <v>1</v>
      </c>
    </row>
    <row r="50" spans="1:19" x14ac:dyDescent="0.3">
      <c r="D50" s="15" t="str">
        <f>SUBSTITUTE("Sp.mat: 0.00%",".",IF(VALUE("1.2")=1.2,".",","),2)</f>
        <v>Sp.mat: 0.00%</v>
      </c>
      <c r="F50" s="15" t="str">
        <f>SUBSTITUTE("Sp.man: 0.00%",".",IF(VALUE("1.2")=1.2,".",","),2)</f>
        <v>Sp.man: 0.00%</v>
      </c>
      <c r="G50" s="35" t="str">
        <f>SUBSTITUTE("Sp.uti: 0.00%",".",IF(VALUE("1.2")=1.2,".",","),2)</f>
        <v>Sp.uti: 0.00%</v>
      </c>
      <c r="H50" s="38">
        <v>36.840000000000003</v>
      </c>
      <c r="I50" s="29">
        <f>G49*H50</f>
        <v>36.840000000000003</v>
      </c>
      <c r="J50">
        <v>2</v>
      </c>
    </row>
    <row r="51" spans="1:19" x14ac:dyDescent="0.3">
      <c r="A51" s="88" t="s">
        <v>106</v>
      </c>
      <c r="B51" s="98"/>
      <c r="C51" s="98"/>
      <c r="D51" s="98"/>
      <c r="E51" s="98"/>
      <c r="F51" s="98"/>
      <c r="G51" s="98"/>
      <c r="H51" s="38">
        <f>(1+IF(OR(ISERR(FIND(":",G50)),ISERR(FIND("%",G50))),0,MID(G50,FIND(":",G50)+2,FIND("%",G50)-FIND(":",G50)-2)/100))*0</f>
        <v>0</v>
      </c>
      <c r="I51" s="29">
        <f>G49*H51</f>
        <v>0</v>
      </c>
      <c r="J51">
        <v>3</v>
      </c>
      <c r="K51" s="4">
        <v>0</v>
      </c>
      <c r="L51" s="4">
        <v>0</v>
      </c>
      <c r="M51" s="4">
        <f>I51-K51-L51</f>
        <v>0</v>
      </c>
    </row>
    <row r="52" spans="1:19" x14ac:dyDescent="0.3">
      <c r="A52" s="98"/>
      <c r="B52" s="98"/>
      <c r="C52" s="98"/>
      <c r="D52" s="98"/>
      <c r="E52" s="98"/>
      <c r="F52" s="98"/>
      <c r="G52" s="98"/>
      <c r="H52" s="38">
        <f>0</f>
        <v>0</v>
      </c>
      <c r="I52" s="29">
        <f>G49*H52</f>
        <v>0</v>
      </c>
      <c r="J52">
        <v>4</v>
      </c>
      <c r="N52" s="4">
        <f>IF(ISERR(SEARCH("TRA* 82",C49)),IF(Q52+R52+S52=0,0,I52*(Q52/(Q52+R52+S52))),I52)</f>
        <v>0</v>
      </c>
      <c r="O52" s="4">
        <f>IF(ISERR(SEARCH("TRA* 82",C49)),IF(Q52+R52+S52=0,0,I52*(R52/(Q52+R52+S52))),0)</f>
        <v>0</v>
      </c>
      <c r="P52" s="4">
        <f>IF(ISERR(SEARCH("TRA* 82",C49)),I52-N52-O52,0)</f>
        <v>0</v>
      </c>
      <c r="Q52" s="4">
        <v>0</v>
      </c>
      <c r="R52" s="4">
        <v>0</v>
      </c>
      <c r="S52" s="4">
        <v>0</v>
      </c>
    </row>
    <row r="53" spans="1:19" x14ac:dyDescent="0.3">
      <c r="A53" s="100" t="s">
        <v>87</v>
      </c>
      <c r="B53" s="101"/>
      <c r="C53" s="101"/>
      <c r="D53" s="101"/>
      <c r="E53" s="101"/>
      <c r="F53" s="101"/>
      <c r="G53" s="101"/>
      <c r="H53" s="33">
        <f>H49+H50+H51+H52</f>
        <v>2153.92</v>
      </c>
      <c r="I53" s="37">
        <f>I49+I50+I51+I52</f>
        <v>2153.92</v>
      </c>
      <c r="J53">
        <v>5</v>
      </c>
    </row>
    <row r="54" spans="1:19" x14ac:dyDescent="0.3">
      <c r="A54" s="99" t="s">
        <v>107</v>
      </c>
      <c r="B54" s="99"/>
      <c r="C54" s="99"/>
      <c r="D54" s="99"/>
      <c r="E54" s="99"/>
      <c r="F54" s="99"/>
      <c r="G54" s="99"/>
      <c r="H54" s="99"/>
      <c r="I54" s="99"/>
    </row>
    <row r="55" spans="1:19" x14ac:dyDescent="0.3">
      <c r="B55" s="2">
        <v>9</v>
      </c>
      <c r="C55" s="3" t="s">
        <v>115</v>
      </c>
      <c r="D55" s="5" t="s">
        <v>25</v>
      </c>
      <c r="G55" s="30">
        <v>120</v>
      </c>
      <c r="H55" s="38">
        <f>841.16/G55</f>
        <v>7.009666666666666</v>
      </c>
      <c r="I55" s="29">
        <f>G55*H55</f>
        <v>841.16</v>
      </c>
      <c r="J55">
        <v>1</v>
      </c>
    </row>
    <row r="56" spans="1:19" x14ac:dyDescent="0.3">
      <c r="D56" s="15" t="str">
        <f>SUBSTITUTE("Sp.mat: 0.00%",".",IF(VALUE("1.2")=1.2,".",","),2)</f>
        <v>Sp.mat: 0.00%</v>
      </c>
      <c r="F56" s="15" t="str">
        <f>SUBSTITUTE("Sp.man: 0.00%",".",IF(VALUE("1.2")=1.2,".",","),2)</f>
        <v>Sp.man: 0.00%</v>
      </c>
      <c r="G56" s="35" t="str">
        <f>SUBSTITUTE("Sp.uti: 0.00%",".",IF(VALUE("1.2")=1.2,".",","),2)</f>
        <v>Sp.uti: 0.00%</v>
      </c>
      <c r="H56" s="38">
        <f>326.75/G55</f>
        <v>2.7229166666666669</v>
      </c>
      <c r="I56" s="29">
        <f>G55*H56</f>
        <v>326.75</v>
      </c>
      <c r="J56">
        <v>2</v>
      </c>
    </row>
    <row r="57" spans="1:19" x14ac:dyDescent="0.3">
      <c r="A57" s="88" t="s">
        <v>116</v>
      </c>
      <c r="B57" s="98"/>
      <c r="C57" s="98"/>
      <c r="D57" s="98"/>
      <c r="E57" s="98"/>
      <c r="F57" s="98"/>
      <c r="G57" s="98"/>
      <c r="H57" s="38">
        <f>0.17/G55</f>
        <v>1.4166666666666668E-3</v>
      </c>
      <c r="I57" s="29">
        <f>G55*H57</f>
        <v>0.17</v>
      </c>
      <c r="J57">
        <v>3</v>
      </c>
      <c r="K57" s="4">
        <v>0.30599999999999999</v>
      </c>
      <c r="L57" s="4">
        <v>0</v>
      </c>
      <c r="M57" s="4">
        <f>I57-K57-L57</f>
        <v>-0.13599999999999998</v>
      </c>
    </row>
    <row r="58" spans="1:19" x14ac:dyDescent="0.3">
      <c r="A58" s="98"/>
      <c r="B58" s="98"/>
      <c r="C58" s="98"/>
      <c r="D58" s="98"/>
      <c r="E58" s="98"/>
      <c r="F58" s="98"/>
      <c r="G58" s="98"/>
      <c r="H58" s="38">
        <f>0</f>
        <v>0</v>
      </c>
      <c r="I58" s="29">
        <f>G55*H58</f>
        <v>0</v>
      </c>
      <c r="J58">
        <v>4</v>
      </c>
      <c r="N58" s="4">
        <f>IF(ISERR(SEARCH("TRA* 82",C55)),IF(Q58+R58+S58=0,0,I58*(Q58/(Q58+R58+S58))),I58)</f>
        <v>0</v>
      </c>
      <c r="O58" s="4">
        <f>IF(ISERR(SEARCH("TRA* 82",C55)),IF(Q58+R58+S58=0,0,I58*(R58/(Q58+R58+S58))),0)</f>
        <v>0</v>
      </c>
      <c r="P58" s="4">
        <f>IF(ISERR(SEARCH("TRA* 82",C55)),I58-N58-O58,0)</f>
        <v>0</v>
      </c>
      <c r="Q58" s="4">
        <v>0</v>
      </c>
      <c r="R58" s="4">
        <v>0</v>
      </c>
      <c r="S58" s="4">
        <v>0</v>
      </c>
    </row>
    <row r="59" spans="1:19" x14ac:dyDescent="0.3">
      <c r="A59" s="100" t="s">
        <v>87</v>
      </c>
      <c r="B59" s="101"/>
      <c r="C59" s="101"/>
      <c r="D59" s="101"/>
      <c r="E59" s="101"/>
      <c r="F59" s="101"/>
      <c r="G59" s="101"/>
      <c r="H59" s="33">
        <f>H55+H56+H57+H58</f>
        <v>9.734</v>
      </c>
      <c r="I59" s="37">
        <f>I55+I56+I57+I58</f>
        <v>1168.08</v>
      </c>
      <c r="J59">
        <v>5</v>
      </c>
    </row>
    <row r="60" spans="1:19" x14ac:dyDescent="0.3">
      <c r="A60" s="99" t="s">
        <v>117</v>
      </c>
      <c r="B60" s="99"/>
      <c r="C60" s="99"/>
      <c r="D60" s="99"/>
      <c r="E60" s="99"/>
      <c r="F60" s="99"/>
      <c r="G60" s="99"/>
      <c r="H60" s="99"/>
      <c r="I60" s="99"/>
    </row>
    <row r="61" spans="1:19" x14ac:dyDescent="0.3">
      <c r="B61" s="2">
        <v>10</v>
      </c>
      <c r="C61" s="3" t="s">
        <v>119</v>
      </c>
      <c r="D61" s="5" t="s">
        <v>25</v>
      </c>
      <c r="G61" s="30">
        <v>162</v>
      </c>
      <c r="H61" s="38">
        <f>1837.98/G61</f>
        <v>11.345555555555556</v>
      </c>
      <c r="I61" s="29">
        <f>G61*H61</f>
        <v>1837.98</v>
      </c>
      <c r="J61">
        <v>1</v>
      </c>
    </row>
    <row r="62" spans="1:19" x14ac:dyDescent="0.3">
      <c r="D62" s="15" t="str">
        <f>SUBSTITUTE("Sp.mat: 0.00%",".",IF(VALUE("1.2")=1.2,".",","),2)</f>
        <v>Sp.mat: 0.00%</v>
      </c>
      <c r="F62" s="15" t="str">
        <f>SUBSTITUTE("Sp.man: 0.00%",".",IF(VALUE("1.2")=1.2,".",","),2)</f>
        <v>Sp.man: 0.00%</v>
      </c>
      <c r="G62" s="35" t="str">
        <f>SUBSTITUTE("Sp.uti: 0.00%",".",IF(VALUE("1.2")=1.2,".",","),2)</f>
        <v>Sp.uti: 0.00%</v>
      </c>
      <c r="H62" s="38">
        <f>493/G61</f>
        <v>3.0432098765432101</v>
      </c>
      <c r="I62" s="29">
        <f>G61*H62</f>
        <v>493.00000000000006</v>
      </c>
      <c r="J62">
        <v>2</v>
      </c>
    </row>
    <row r="63" spans="1:19" x14ac:dyDescent="0.3">
      <c r="A63" s="88" t="s">
        <v>120</v>
      </c>
      <c r="B63" s="98"/>
      <c r="C63" s="98"/>
      <c r="D63" s="98"/>
      <c r="E63" s="98"/>
      <c r="F63" s="98"/>
      <c r="G63" s="98"/>
      <c r="H63" s="38">
        <f>0.22/G61</f>
        <v>1.3580246913580246E-3</v>
      </c>
      <c r="I63" s="29">
        <f>G61*H63</f>
        <v>0.22</v>
      </c>
      <c r="J63">
        <v>3</v>
      </c>
      <c r="K63" s="4">
        <v>0.41310000000000002</v>
      </c>
      <c r="L63" s="4">
        <v>0</v>
      </c>
      <c r="M63" s="4">
        <f>I63-K63-L63</f>
        <v>-0.19310000000000002</v>
      </c>
    </row>
    <row r="64" spans="1:19" x14ac:dyDescent="0.3">
      <c r="A64" s="98"/>
      <c r="B64" s="98"/>
      <c r="C64" s="98"/>
      <c r="D64" s="98"/>
      <c r="E64" s="98"/>
      <c r="F64" s="98"/>
      <c r="G64" s="98"/>
      <c r="H64" s="38">
        <f>0</f>
        <v>0</v>
      </c>
      <c r="I64" s="29">
        <f>G61*H64</f>
        <v>0</v>
      </c>
      <c r="J64">
        <v>4</v>
      </c>
      <c r="N64" s="4">
        <f>IF(ISERR(SEARCH("TRA* 82",C61)),IF(Q64+R64+S64=0,0,I64*(Q64/(Q64+R64+S64))),I64)</f>
        <v>0</v>
      </c>
      <c r="O64" s="4">
        <f>IF(ISERR(SEARCH("TRA* 82",C61)),IF(Q64+R64+S64=0,0,I64*(R64/(Q64+R64+S64))),0)</f>
        <v>0</v>
      </c>
      <c r="P64" s="4">
        <f>IF(ISERR(SEARCH("TRA* 82",C61)),I64-N64-O64,0)</f>
        <v>0</v>
      </c>
      <c r="Q64" s="4">
        <v>0</v>
      </c>
      <c r="R64" s="4">
        <v>0</v>
      </c>
      <c r="S64" s="4">
        <v>0</v>
      </c>
    </row>
    <row r="65" spans="1:19" x14ac:dyDescent="0.3">
      <c r="A65" s="100" t="s">
        <v>87</v>
      </c>
      <c r="B65" s="101"/>
      <c r="C65" s="101"/>
      <c r="D65" s="101"/>
      <c r="E65" s="101"/>
      <c r="F65" s="101"/>
      <c r="G65" s="101"/>
      <c r="H65" s="33">
        <f>H61+H62+H63+H64</f>
        <v>14.390123456790125</v>
      </c>
      <c r="I65" s="37">
        <f>I61+I62+I63+I64</f>
        <v>2331.1999999999998</v>
      </c>
      <c r="J65">
        <v>5</v>
      </c>
    </row>
    <row r="66" spans="1:19" x14ac:dyDescent="0.3">
      <c r="A66" s="99" t="s">
        <v>121</v>
      </c>
      <c r="B66" s="99"/>
      <c r="C66" s="99"/>
      <c r="D66" s="99"/>
      <c r="E66" s="99"/>
      <c r="F66" s="99"/>
      <c r="G66" s="99"/>
      <c r="H66" s="99"/>
      <c r="I66" s="99"/>
    </row>
    <row r="67" spans="1:19" x14ac:dyDescent="0.3">
      <c r="B67" s="2">
        <v>11</v>
      </c>
      <c r="C67" s="3" t="s">
        <v>122</v>
      </c>
      <c r="D67" s="5" t="s">
        <v>25</v>
      </c>
      <c r="G67" s="30">
        <v>90</v>
      </c>
      <c r="H67" s="38">
        <f>1943.91/G67</f>
        <v>21.599</v>
      </c>
      <c r="I67" s="29">
        <f>G67*H67</f>
        <v>1943.91</v>
      </c>
      <c r="J67">
        <v>1</v>
      </c>
    </row>
    <row r="68" spans="1:19" x14ac:dyDescent="0.3">
      <c r="D68" s="15" t="str">
        <f>SUBSTITUTE("Sp.mat: 0.00%",".",IF(VALUE("1.2")=1.2,".",","),2)</f>
        <v>Sp.mat: 0.00%</v>
      </c>
      <c r="F68" s="15" t="str">
        <f>SUBSTITUTE("Sp.man: 0.00%",".",IF(VALUE("1.2")=1.2,".",","),2)</f>
        <v>Sp.man: 0.00%</v>
      </c>
      <c r="G68" s="35" t="str">
        <f>SUBSTITUTE("Sp.uti: 0.00%",".",IF(VALUE("1.2")=1.2,".",","),2)</f>
        <v>Sp.uti: 0.00%</v>
      </c>
      <c r="H68" s="38">
        <f>317.14/G67</f>
        <v>3.5237777777777777</v>
      </c>
      <c r="I68" s="29">
        <f>G67*H68</f>
        <v>317.14</v>
      </c>
      <c r="J68">
        <v>2</v>
      </c>
    </row>
    <row r="69" spans="1:19" x14ac:dyDescent="0.3">
      <c r="A69" s="88" t="s">
        <v>123</v>
      </c>
      <c r="B69" s="98"/>
      <c r="C69" s="98"/>
      <c r="D69" s="98"/>
      <c r="E69" s="98"/>
      <c r="F69" s="98"/>
      <c r="G69" s="98"/>
      <c r="H69" s="38">
        <f>0.12/G67</f>
        <v>1.3333333333333333E-3</v>
      </c>
      <c r="I69" s="29">
        <f>G67*H69</f>
        <v>0.12</v>
      </c>
      <c r="J69">
        <v>3</v>
      </c>
      <c r="K69" s="4">
        <v>0.22950000000000001</v>
      </c>
      <c r="L69" s="4">
        <v>0</v>
      </c>
      <c r="M69" s="4">
        <f>I69-K69-L69</f>
        <v>-0.10950000000000001</v>
      </c>
    </row>
    <row r="70" spans="1:19" x14ac:dyDescent="0.3">
      <c r="A70" s="98"/>
      <c r="B70" s="98"/>
      <c r="C70" s="98"/>
      <c r="D70" s="98"/>
      <c r="E70" s="98"/>
      <c r="F70" s="98"/>
      <c r="G70" s="98"/>
      <c r="H70" s="38">
        <f>0</f>
        <v>0</v>
      </c>
      <c r="I70" s="29">
        <f>G67*H70</f>
        <v>0</v>
      </c>
      <c r="J70">
        <v>4</v>
      </c>
      <c r="N70" s="4">
        <f>IF(ISERR(SEARCH("TRA* 82",C67)),IF(Q70+R70+S70=0,0,I70*(Q70/(Q70+R70+S70))),I70)</f>
        <v>0</v>
      </c>
      <c r="O70" s="4">
        <f>IF(ISERR(SEARCH("TRA* 82",C67)),IF(Q70+R70+S70=0,0,I70*(R70/(Q70+R70+S70))),0)</f>
        <v>0</v>
      </c>
      <c r="P70" s="4">
        <f>IF(ISERR(SEARCH("TRA* 82",C67)),I70-N70-O70,0)</f>
        <v>0</v>
      </c>
      <c r="Q70" s="4">
        <v>0</v>
      </c>
      <c r="R70" s="4">
        <v>0</v>
      </c>
      <c r="S70" s="4">
        <v>0</v>
      </c>
    </row>
    <row r="71" spans="1:19" x14ac:dyDescent="0.3">
      <c r="A71" s="100" t="s">
        <v>87</v>
      </c>
      <c r="B71" s="101"/>
      <c r="C71" s="101"/>
      <c r="D71" s="101"/>
      <c r="E71" s="101"/>
      <c r="F71" s="101"/>
      <c r="G71" s="101"/>
      <c r="H71" s="33">
        <f>H67+H68+H69+H70</f>
        <v>25.124111111111112</v>
      </c>
      <c r="I71" s="37">
        <f>I67+I68+I69+I70</f>
        <v>2261.17</v>
      </c>
      <c r="J71">
        <v>5</v>
      </c>
    </row>
    <row r="72" spans="1:19" x14ac:dyDescent="0.3">
      <c r="A72" s="99" t="s">
        <v>124</v>
      </c>
      <c r="B72" s="99"/>
      <c r="C72" s="99"/>
      <c r="D72" s="99"/>
      <c r="E72" s="99"/>
      <c r="F72" s="99"/>
      <c r="G72" s="99"/>
      <c r="H72" s="99"/>
      <c r="I72" s="99"/>
    </row>
    <row r="73" spans="1:19" x14ac:dyDescent="0.3">
      <c r="B73" s="2">
        <v>12</v>
      </c>
      <c r="C73" s="3" t="s">
        <v>125</v>
      </c>
      <c r="D73" s="5" t="s">
        <v>25</v>
      </c>
      <c r="G73" s="30">
        <v>90</v>
      </c>
      <c r="H73" s="38">
        <f>6306.67/G73</f>
        <v>70.074111111111108</v>
      </c>
      <c r="I73" s="29">
        <f>G73*H73</f>
        <v>6306.67</v>
      </c>
      <c r="J73">
        <v>1</v>
      </c>
    </row>
    <row r="74" spans="1:19" x14ac:dyDescent="0.3">
      <c r="D74" s="15" t="str">
        <f>SUBSTITUTE("Sp.mat: 0.00%",".",IF(VALUE("1.2")=1.2,".",","),2)</f>
        <v>Sp.mat: 0.00%</v>
      </c>
      <c r="F74" s="15" t="str">
        <f>SUBSTITUTE("Sp.man: 0.00%",".",IF(VALUE("1.2")=1.2,".",","),2)</f>
        <v>Sp.man: 0.00%</v>
      </c>
      <c r="G74" s="35" t="str">
        <f>SUBSTITUTE("Sp.uti: 0.00%",".",IF(VALUE("1.2")=1.2,".",","),2)</f>
        <v>Sp.uti: 0.00%</v>
      </c>
      <c r="H74" s="38">
        <f>345.97/G73</f>
        <v>3.8441111111111113</v>
      </c>
      <c r="I74" s="29">
        <f>G73*H74</f>
        <v>345.97</v>
      </c>
      <c r="J74">
        <v>2</v>
      </c>
    </row>
    <row r="75" spans="1:19" x14ac:dyDescent="0.3">
      <c r="A75" s="88" t="s">
        <v>126</v>
      </c>
      <c r="B75" s="98"/>
      <c r="C75" s="98"/>
      <c r="D75" s="98"/>
      <c r="E75" s="98"/>
      <c r="F75" s="98"/>
      <c r="G75" s="98"/>
      <c r="H75" s="38">
        <f>0.25/G73</f>
        <v>2.7777777777777779E-3</v>
      </c>
      <c r="I75" s="29">
        <f>G73*H75</f>
        <v>0.25</v>
      </c>
      <c r="J75">
        <v>3</v>
      </c>
      <c r="K75" s="4">
        <v>0.45900000000000002</v>
      </c>
      <c r="L75" s="4">
        <v>0</v>
      </c>
      <c r="M75" s="4">
        <f>I75-K75-L75</f>
        <v>-0.20900000000000002</v>
      </c>
    </row>
    <row r="76" spans="1:19" x14ac:dyDescent="0.3">
      <c r="A76" s="98"/>
      <c r="B76" s="98"/>
      <c r="C76" s="98"/>
      <c r="D76" s="98"/>
      <c r="E76" s="98"/>
      <c r="F76" s="98"/>
      <c r="G76" s="98"/>
      <c r="H76" s="38">
        <f>0</f>
        <v>0</v>
      </c>
      <c r="I76" s="29">
        <f>G73*H76</f>
        <v>0</v>
      </c>
      <c r="J76">
        <v>4</v>
      </c>
      <c r="N76" s="4">
        <f>IF(ISERR(SEARCH("TRA* 82",C73)),IF(Q76+R76+S76=0,0,I76*(Q76/(Q76+R76+S76))),I76)</f>
        <v>0</v>
      </c>
      <c r="O76" s="4">
        <f>IF(ISERR(SEARCH("TRA* 82",C73)),IF(Q76+R76+S76=0,0,I76*(R76/(Q76+R76+S76))),0)</f>
        <v>0</v>
      </c>
      <c r="P76" s="4">
        <f>IF(ISERR(SEARCH("TRA* 82",C73)),I76-N76-O76,0)</f>
        <v>0</v>
      </c>
      <c r="Q76" s="4">
        <v>0</v>
      </c>
      <c r="R76" s="4">
        <v>0</v>
      </c>
      <c r="S76" s="4">
        <v>0</v>
      </c>
    </row>
    <row r="77" spans="1:19" x14ac:dyDescent="0.3">
      <c r="A77" s="100" t="s">
        <v>87</v>
      </c>
      <c r="B77" s="101"/>
      <c r="C77" s="101"/>
      <c r="D77" s="101"/>
      <c r="E77" s="101"/>
      <c r="F77" s="101"/>
      <c r="G77" s="101"/>
      <c r="H77" s="33">
        <f>H73+H74+H75+H76</f>
        <v>73.921000000000006</v>
      </c>
      <c r="I77" s="37">
        <f>I73+I74+I75+I76</f>
        <v>6652.89</v>
      </c>
      <c r="J77">
        <v>5</v>
      </c>
    </row>
    <row r="78" spans="1:19" x14ac:dyDescent="0.3">
      <c r="A78" s="99" t="s">
        <v>127</v>
      </c>
      <c r="B78" s="99"/>
      <c r="C78" s="99"/>
      <c r="D78" s="99"/>
      <c r="E78" s="99"/>
      <c r="F78" s="99"/>
      <c r="G78" s="99"/>
      <c r="H78" s="99"/>
      <c r="I78" s="99"/>
    </row>
    <row r="79" spans="1:19" x14ac:dyDescent="0.3">
      <c r="B79" s="2">
        <v>13</v>
      </c>
      <c r="C79" s="3" t="s">
        <v>128</v>
      </c>
      <c r="D79" s="5" t="s">
        <v>29</v>
      </c>
      <c r="G79" s="30">
        <v>15</v>
      </c>
      <c r="H79" s="38">
        <f>18669.86/G79</f>
        <v>1244.6573333333333</v>
      </c>
      <c r="I79" s="29">
        <f>G79*H79</f>
        <v>18669.86</v>
      </c>
      <c r="J79">
        <v>1</v>
      </c>
    </row>
    <row r="80" spans="1:19" x14ac:dyDescent="0.3">
      <c r="D80" s="15" t="str">
        <f>SUBSTITUTE("Sp.mat: 0.00%",".",IF(VALUE("1.2")=1.2,".",","),2)</f>
        <v>Sp.mat: 0.00%</v>
      </c>
      <c r="F80" s="15" t="str">
        <f>SUBSTITUTE("Sp.man: 0.00%",".",IF(VALUE("1.2")=1.2,".",","),2)</f>
        <v>Sp.man: 0.00%</v>
      </c>
      <c r="G80" s="35" t="str">
        <f>SUBSTITUTE("Sp.uti: 0.00%",".",IF(VALUE("1.2")=1.2,".",","),2)</f>
        <v>Sp.uti: 0.00%</v>
      </c>
      <c r="H80" s="38">
        <f>4701.54/G79</f>
        <v>313.43599999999998</v>
      </c>
      <c r="I80" s="29">
        <f>G79*H80</f>
        <v>4701.54</v>
      </c>
      <c r="J80">
        <v>2</v>
      </c>
    </row>
    <row r="81" spans="1:19" x14ac:dyDescent="0.3">
      <c r="A81" s="88" t="s">
        <v>129</v>
      </c>
      <c r="B81" s="98"/>
      <c r="C81" s="98"/>
      <c r="D81" s="98"/>
      <c r="E81" s="98"/>
      <c r="F81" s="98"/>
      <c r="G81" s="98"/>
      <c r="H81" s="38">
        <f>913.95/G79</f>
        <v>60.93</v>
      </c>
      <c r="I81" s="29">
        <f>G79*H81</f>
        <v>913.95</v>
      </c>
      <c r="J81">
        <v>3</v>
      </c>
      <c r="K81" s="4">
        <v>1629.0216</v>
      </c>
      <c r="L81" s="4">
        <v>0</v>
      </c>
      <c r="M81" s="4">
        <f>I81-K81-L81</f>
        <v>-715.07159999999999</v>
      </c>
    </row>
    <row r="82" spans="1:19" x14ac:dyDescent="0.3">
      <c r="A82" s="98"/>
      <c r="B82" s="98"/>
      <c r="C82" s="98"/>
      <c r="D82" s="98"/>
      <c r="E82" s="98"/>
      <c r="F82" s="98"/>
      <c r="G82" s="98"/>
      <c r="H82" s="38">
        <f>0</f>
        <v>0</v>
      </c>
      <c r="I82" s="29">
        <f>G79*H82</f>
        <v>0</v>
      </c>
      <c r="J82">
        <v>4</v>
      </c>
      <c r="N82" s="4">
        <f>IF(ISERR(SEARCH("TRA* 82",C79)),IF(Q82+R82+S82=0,0,I82*(Q82/(Q82+R82+S82))),I82)</f>
        <v>0</v>
      </c>
      <c r="O82" s="4">
        <f>IF(ISERR(SEARCH("TRA* 82",C79)),IF(Q82+R82+S82=0,0,I82*(R82/(Q82+R82+S82))),0)</f>
        <v>0</v>
      </c>
      <c r="P82" s="4">
        <f>IF(ISERR(SEARCH("TRA* 82",C79)),I82-N82-O82,0)</f>
        <v>0</v>
      </c>
      <c r="Q82" s="4">
        <v>0</v>
      </c>
      <c r="R82" s="4">
        <v>0</v>
      </c>
      <c r="S82" s="4">
        <v>0</v>
      </c>
    </row>
    <row r="83" spans="1:19" x14ac:dyDescent="0.3">
      <c r="A83" s="96" t="s">
        <v>27</v>
      </c>
      <c r="B83" s="97"/>
      <c r="C83" s="97"/>
      <c r="D83" s="97"/>
      <c r="E83" s="97"/>
      <c r="F83" s="97"/>
      <c r="G83" s="97"/>
      <c r="H83" s="36">
        <f>H79+H80+H81+H82</f>
        <v>1619.0233333333333</v>
      </c>
      <c r="I83" s="74">
        <f>I79+I80+I81+I82</f>
        <v>24285.350000000002</v>
      </c>
      <c r="J83">
        <v>5</v>
      </c>
    </row>
    <row r="84" spans="1:19" x14ac:dyDescent="0.3">
      <c r="B84" s="2">
        <v>14</v>
      </c>
      <c r="C84" s="3" t="s">
        <v>130</v>
      </c>
      <c r="D84" s="5" t="s">
        <v>29</v>
      </c>
      <c r="G84" s="30">
        <v>2</v>
      </c>
      <c r="H84" s="38">
        <f>695.1/G84</f>
        <v>347.55</v>
      </c>
      <c r="I84" s="29">
        <f>G84*H84</f>
        <v>695.1</v>
      </c>
      <c r="J84">
        <v>1</v>
      </c>
    </row>
    <row r="85" spans="1:19" x14ac:dyDescent="0.3">
      <c r="D85" s="15" t="str">
        <f>SUBSTITUTE("Sp.mat: 0.00%",".",IF(VALUE("1.2")=1.2,".",","),2)</f>
        <v>Sp.mat: 0.00%</v>
      </c>
      <c r="F85" s="15" t="str">
        <f>SUBSTITUTE("Sp.man: 0.00%",".",IF(VALUE("1.2")=1.2,".",","),2)</f>
        <v>Sp.man: 0.00%</v>
      </c>
      <c r="G85" s="35" t="str">
        <f>SUBSTITUTE("Sp.uti: 0.00%",".",IF(VALUE("1.2")=1.2,".",","),2)</f>
        <v>Sp.uti: 0.00%</v>
      </c>
      <c r="H85" s="38">
        <f>73.68/G84</f>
        <v>36.840000000000003</v>
      </c>
      <c r="I85" s="29">
        <f>G84*H85</f>
        <v>73.680000000000007</v>
      </c>
      <c r="J85">
        <v>2</v>
      </c>
    </row>
    <row r="86" spans="1:19" x14ac:dyDescent="0.3">
      <c r="A86" s="88" t="s">
        <v>131</v>
      </c>
      <c r="B86" s="98"/>
      <c r="C86" s="98"/>
      <c r="D86" s="98"/>
      <c r="E86" s="98"/>
      <c r="F86" s="98"/>
      <c r="G86" s="98"/>
      <c r="H86" s="38">
        <f>(1+IF(OR(ISERR(FIND(":",G85)),ISERR(FIND("%",G85))),0,MID(G85,FIND(":",G85)+2,FIND("%",G85)-FIND(":",G85)-2)/100))*0</f>
        <v>0</v>
      </c>
      <c r="I86" s="29">
        <f>G84*H86</f>
        <v>0</v>
      </c>
      <c r="J86">
        <v>3</v>
      </c>
      <c r="K86" s="4">
        <v>0</v>
      </c>
      <c r="L86" s="4">
        <v>0</v>
      </c>
      <c r="M86" s="4">
        <f>I86-K86-L86</f>
        <v>0</v>
      </c>
    </row>
    <row r="87" spans="1:19" x14ac:dyDescent="0.3">
      <c r="A87" s="98"/>
      <c r="B87" s="98"/>
      <c r="C87" s="98"/>
      <c r="D87" s="98"/>
      <c r="E87" s="98"/>
      <c r="F87" s="98"/>
      <c r="G87" s="98"/>
      <c r="H87" s="38">
        <f>0</f>
        <v>0</v>
      </c>
      <c r="I87" s="29">
        <f>G84*H87</f>
        <v>0</v>
      </c>
      <c r="J87">
        <v>4</v>
      </c>
      <c r="N87" s="4">
        <f>IF(ISERR(SEARCH("TRA* 82",C84)),IF(Q87+R87+S87=0,0,I87*(Q87/(Q87+R87+S87))),I87)</f>
        <v>0</v>
      </c>
      <c r="O87" s="4">
        <f>IF(ISERR(SEARCH("TRA* 82",C84)),IF(Q87+R87+S87=0,0,I87*(R87/(Q87+R87+S87))),0)</f>
        <v>0</v>
      </c>
      <c r="P87" s="4">
        <f>IF(ISERR(SEARCH("TRA* 82",C84)),I87-N87-O87,0)</f>
        <v>0</v>
      </c>
      <c r="Q87" s="4">
        <v>0</v>
      </c>
      <c r="R87" s="4">
        <v>0</v>
      </c>
      <c r="S87" s="4">
        <v>0</v>
      </c>
    </row>
    <row r="88" spans="1:19" x14ac:dyDescent="0.3">
      <c r="A88" s="96" t="s">
        <v>27</v>
      </c>
      <c r="B88" s="97"/>
      <c r="C88" s="97"/>
      <c r="D88" s="97"/>
      <c r="E88" s="97"/>
      <c r="F88" s="97"/>
      <c r="G88" s="97"/>
      <c r="H88" s="36">
        <f>H84+H85+H86+H87</f>
        <v>384.39</v>
      </c>
      <c r="I88" s="74">
        <f>I84+I85+I86+I87</f>
        <v>768.78</v>
      </c>
      <c r="J88">
        <v>5</v>
      </c>
    </row>
    <row r="89" spans="1:19" x14ac:dyDescent="0.3">
      <c r="B89" s="2">
        <v>15</v>
      </c>
      <c r="C89" s="3" t="s">
        <v>130</v>
      </c>
      <c r="D89" s="5" t="s">
        <v>29</v>
      </c>
      <c r="G89" s="30">
        <v>13</v>
      </c>
      <c r="H89" s="38">
        <f>4342.44/G89</f>
        <v>334.03384615384613</v>
      </c>
      <c r="I89" s="29">
        <f>G89*H89</f>
        <v>4342.4399999999996</v>
      </c>
      <c r="J89">
        <v>1</v>
      </c>
    </row>
    <row r="90" spans="1:19" x14ac:dyDescent="0.3">
      <c r="D90" s="15" t="str">
        <f>SUBSTITUTE("Sp.mat: 0.00%",".",IF(VALUE("1.2")=1.2,".",","),2)</f>
        <v>Sp.mat: 0.00%</v>
      </c>
      <c r="F90" s="15" t="str">
        <f>SUBSTITUTE("Sp.man: 0.00%",".",IF(VALUE("1.2")=1.2,".",","),2)</f>
        <v>Sp.man: 0.00%</v>
      </c>
      <c r="G90" s="35" t="str">
        <f>SUBSTITUTE("Sp.uti: 0.00%",".",IF(VALUE("1.2")=1.2,".",","),2)</f>
        <v>Sp.uti: 0.00%</v>
      </c>
      <c r="H90" s="38">
        <f>478.91/G89</f>
        <v>36.839230769230774</v>
      </c>
      <c r="I90" s="29">
        <f>G89*H90</f>
        <v>478.91000000000008</v>
      </c>
      <c r="J90">
        <v>2</v>
      </c>
    </row>
    <row r="91" spans="1:19" x14ac:dyDescent="0.3">
      <c r="A91" s="88" t="s">
        <v>131</v>
      </c>
      <c r="B91" s="98"/>
      <c r="C91" s="98"/>
      <c r="D91" s="98"/>
      <c r="E91" s="98"/>
      <c r="F91" s="98"/>
      <c r="G91" s="98"/>
      <c r="H91" s="38">
        <f>(1+IF(OR(ISERR(FIND(":",G90)),ISERR(FIND("%",G90))),0,MID(G90,FIND(":",G90)+2,FIND("%",G90)-FIND(":",G90)-2)/100))*0</f>
        <v>0</v>
      </c>
      <c r="I91" s="29">
        <f>G89*H91</f>
        <v>0</v>
      </c>
      <c r="J91">
        <v>3</v>
      </c>
      <c r="K91" s="4">
        <v>0</v>
      </c>
      <c r="L91" s="4">
        <v>0</v>
      </c>
      <c r="M91" s="4">
        <f>I91-K91-L91</f>
        <v>0</v>
      </c>
    </row>
    <row r="92" spans="1:19" x14ac:dyDescent="0.3">
      <c r="A92" s="98"/>
      <c r="B92" s="98"/>
      <c r="C92" s="98"/>
      <c r="D92" s="98"/>
      <c r="E92" s="98"/>
      <c r="F92" s="98"/>
      <c r="G92" s="98"/>
      <c r="H92" s="38">
        <f>0</f>
        <v>0</v>
      </c>
      <c r="I92" s="29">
        <f>G89*H92</f>
        <v>0</v>
      </c>
      <c r="J92">
        <v>4</v>
      </c>
      <c r="N92" s="4">
        <f>IF(ISERR(SEARCH("TRA* 82",C89)),IF(Q92+R92+S92=0,0,I92*(Q92/(Q92+R92+S92))),I92)</f>
        <v>0</v>
      </c>
      <c r="O92" s="4">
        <f>IF(ISERR(SEARCH("TRA* 82",C89)),IF(Q92+R92+S92=0,0,I92*(R92/(Q92+R92+S92))),0)</f>
        <v>0</v>
      </c>
      <c r="P92" s="4">
        <f>IF(ISERR(SEARCH("TRA* 82",C89)),I92-N92-O92,0)</f>
        <v>0</v>
      </c>
      <c r="Q92" s="4">
        <v>0</v>
      </c>
      <c r="R92" s="4">
        <v>0</v>
      </c>
      <c r="S92" s="4">
        <v>0</v>
      </c>
    </row>
    <row r="93" spans="1:19" x14ac:dyDescent="0.3">
      <c r="A93" s="96" t="s">
        <v>27</v>
      </c>
      <c r="B93" s="97"/>
      <c r="C93" s="97"/>
      <c r="D93" s="97"/>
      <c r="E93" s="97"/>
      <c r="F93" s="97"/>
      <c r="G93" s="97"/>
      <c r="H93" s="36">
        <f>H89+H90+H91+H92</f>
        <v>370.87307692307689</v>
      </c>
      <c r="I93" s="74">
        <f>I89+I90+I91+I92</f>
        <v>4821.3499999999995</v>
      </c>
      <c r="J93">
        <v>5</v>
      </c>
    </row>
    <row r="94" spans="1:19" x14ac:dyDescent="0.3">
      <c r="B94" s="2">
        <v>16</v>
      </c>
      <c r="C94" s="3" t="s">
        <v>132</v>
      </c>
      <c r="D94" s="5" t="s">
        <v>133</v>
      </c>
      <c r="G94" s="30">
        <v>46.2</v>
      </c>
      <c r="H94" s="38">
        <f>(1+IF(OR(ISERR(FIND(":",D95)),ISERR(FIND("%",D95))),0,MID(D95,FIND(":",D95)+2,FIND("%",D95)-FIND(":",D95)-2)/100))*0</f>
        <v>0</v>
      </c>
      <c r="I94" s="29">
        <f>G94*H94</f>
        <v>0</v>
      </c>
      <c r="J94">
        <v>1</v>
      </c>
    </row>
    <row r="95" spans="1:19" x14ac:dyDescent="0.3">
      <c r="D95" s="15" t="str">
        <f>SUBSTITUTE("Sp.mat: 0.00%",".",IF(VALUE("1.2")=1.2,".",","),2)</f>
        <v>Sp.mat: 0.00%</v>
      </c>
      <c r="F95" s="15" t="str">
        <f>SUBSTITUTE("Sp.man: 0.00%",".",IF(VALUE("1.2")=1.2,".",","),2)</f>
        <v>Sp.man: 0.00%</v>
      </c>
      <c r="G95" s="35" t="str">
        <f>SUBSTITUTE("Sp.uti: 0.00%",".",IF(VALUE("1.2")=1.2,".",","),2)</f>
        <v>Sp.uti: 0.00%</v>
      </c>
      <c r="H95" s="38">
        <f>74/G94</f>
        <v>1.6017316017316017</v>
      </c>
      <c r="I95" s="29">
        <f>G94*H95</f>
        <v>74</v>
      </c>
      <c r="J95">
        <v>2</v>
      </c>
    </row>
    <row r="96" spans="1:19" x14ac:dyDescent="0.3">
      <c r="A96" s="88" t="s">
        <v>134</v>
      </c>
      <c r="B96" s="98"/>
      <c r="C96" s="98"/>
      <c r="D96" s="98"/>
      <c r="E96" s="98"/>
      <c r="F96" s="98"/>
      <c r="G96" s="98"/>
      <c r="H96" s="38">
        <f>(1+IF(OR(ISERR(FIND(":",G95)),ISERR(FIND("%",G95))),0,MID(G95,FIND(":",G95)+2,FIND("%",G95)-FIND(":",G95)-2)/100))*0</f>
        <v>0</v>
      </c>
      <c r="I96" s="29">
        <f>G94*H96</f>
        <v>0</v>
      </c>
      <c r="J96">
        <v>3</v>
      </c>
      <c r="K96" s="4">
        <v>0</v>
      </c>
      <c r="L96" s="4">
        <v>0</v>
      </c>
      <c r="M96" s="4">
        <f>I96-K96-L96</f>
        <v>0</v>
      </c>
    </row>
    <row r="97" spans="1:19" x14ac:dyDescent="0.3">
      <c r="A97" s="98"/>
      <c r="B97" s="98"/>
      <c r="C97" s="98"/>
      <c r="D97" s="98"/>
      <c r="E97" s="98"/>
      <c r="F97" s="98"/>
      <c r="G97" s="98"/>
      <c r="H97" s="38">
        <f>0</f>
        <v>0</v>
      </c>
      <c r="I97" s="29">
        <f>G94*H97</f>
        <v>0</v>
      </c>
      <c r="J97">
        <v>4</v>
      </c>
      <c r="N97" s="4">
        <f>IF(ISERR(SEARCH("TRA* 82",C94)),IF(Q97+R97+S97=0,0,I97*(Q97/(Q97+R97+S97))),I97)</f>
        <v>0</v>
      </c>
      <c r="O97" s="4">
        <f>IF(ISERR(SEARCH("TRA* 82",C94)),IF(Q97+R97+S97=0,0,I97*(R97/(Q97+R97+S97))),0)</f>
        <v>0</v>
      </c>
      <c r="P97" s="4">
        <f>IF(ISERR(SEARCH("TRA* 82",C94)),I97-N97-O97,0)</f>
        <v>0</v>
      </c>
      <c r="Q97" s="4">
        <v>0</v>
      </c>
      <c r="R97" s="4">
        <v>0</v>
      </c>
      <c r="S97" s="4">
        <v>0</v>
      </c>
    </row>
    <row r="98" spans="1:19" x14ac:dyDescent="0.3">
      <c r="A98" s="96" t="s">
        <v>27</v>
      </c>
      <c r="B98" s="97"/>
      <c r="C98" s="97"/>
      <c r="D98" s="97"/>
      <c r="E98" s="97"/>
      <c r="F98" s="97"/>
      <c r="G98" s="97"/>
      <c r="H98" s="36">
        <f>H94+H95+H96+H97</f>
        <v>1.6017316017316017</v>
      </c>
      <c r="I98" s="74">
        <f>I94+I95+I96+I97</f>
        <v>74</v>
      </c>
      <c r="J98">
        <v>5</v>
      </c>
    </row>
    <row r="99" spans="1:19" x14ac:dyDescent="0.3">
      <c r="B99" s="2">
        <v>17</v>
      </c>
      <c r="C99" s="3" t="s">
        <v>34</v>
      </c>
      <c r="D99" s="5" t="s">
        <v>35</v>
      </c>
      <c r="G99" s="30">
        <v>46</v>
      </c>
      <c r="H99" s="38">
        <f>1893.04/G99</f>
        <v>41.153043478260869</v>
      </c>
      <c r="I99" s="29">
        <f>G99*H99</f>
        <v>1893.04</v>
      </c>
      <c r="J99">
        <v>1</v>
      </c>
    </row>
    <row r="100" spans="1:19" x14ac:dyDescent="0.3">
      <c r="D100" s="15" t="str">
        <f>SUBSTITUTE("Sp.mat: 0.00%",".",IF(VALUE("1.2")=1.2,".",","),2)</f>
        <v>Sp.mat: 0.00%</v>
      </c>
      <c r="F100" s="15" t="str">
        <f>SUBSTITUTE("Sp.man: 0.00%",".",IF(VALUE("1.2")=1.2,".",","),2)</f>
        <v>Sp.man: 0.00%</v>
      </c>
      <c r="G100" s="35" t="str">
        <f>SUBSTITUTE("Sp.uti: 0.00%",".",IF(VALUE("1.2")=1.2,".",","),2)</f>
        <v>Sp.uti: 0.00%</v>
      </c>
      <c r="H100" s="38">
        <f>449.44/G99</f>
        <v>9.7704347826086959</v>
      </c>
      <c r="I100" s="29">
        <f>G99*H100</f>
        <v>449.44</v>
      </c>
      <c r="J100">
        <v>2</v>
      </c>
    </row>
    <row r="101" spans="1:19" x14ac:dyDescent="0.3">
      <c r="A101" s="88" t="s">
        <v>36</v>
      </c>
      <c r="B101" s="98"/>
      <c r="C101" s="98"/>
      <c r="D101" s="98"/>
      <c r="E101" s="98"/>
      <c r="F101" s="98"/>
      <c r="G101" s="98"/>
      <c r="H101" s="38">
        <f>(1+IF(OR(ISERR(FIND(":",G100)),ISERR(FIND("%",G100))),0,MID(G100,FIND(":",G100)+2,FIND("%",G100)-FIND(":",G100)-2)/100))*0</f>
        <v>0</v>
      </c>
      <c r="I101" s="29">
        <f>G99*H101</f>
        <v>0</v>
      </c>
      <c r="J101">
        <v>3</v>
      </c>
      <c r="K101" s="4">
        <v>0</v>
      </c>
      <c r="L101" s="4">
        <v>0</v>
      </c>
      <c r="M101" s="4">
        <f>I101-K101-L101</f>
        <v>0</v>
      </c>
    </row>
    <row r="102" spans="1:19" x14ac:dyDescent="0.3">
      <c r="A102" s="98"/>
      <c r="B102" s="98"/>
      <c r="C102" s="98"/>
      <c r="D102" s="98"/>
      <c r="E102" s="98"/>
      <c r="F102" s="98"/>
      <c r="G102" s="98"/>
      <c r="H102" s="38">
        <f>0</f>
        <v>0</v>
      </c>
      <c r="I102" s="29">
        <f>G99*H102</f>
        <v>0</v>
      </c>
      <c r="J102">
        <v>4</v>
      </c>
      <c r="N102" s="4">
        <f>IF(ISERR(SEARCH("TRA* 82",C99)),IF(Q102+R102+S102=0,0,I102*(Q102/(Q102+R102+S102))),I102)</f>
        <v>0</v>
      </c>
      <c r="O102" s="4">
        <f>IF(ISERR(SEARCH("TRA* 82",C99)),IF(Q102+R102+S102=0,0,I102*(R102/(Q102+R102+S102))),0)</f>
        <v>0</v>
      </c>
      <c r="P102" s="4">
        <f>IF(ISERR(SEARCH("TRA* 82",C99)),I102-N102-O102,0)</f>
        <v>0</v>
      </c>
      <c r="Q102" s="4">
        <v>0</v>
      </c>
      <c r="R102" s="4">
        <v>0</v>
      </c>
      <c r="S102" s="4">
        <v>0</v>
      </c>
    </row>
    <row r="103" spans="1:19" x14ac:dyDescent="0.3">
      <c r="A103" s="96" t="s">
        <v>27</v>
      </c>
      <c r="B103" s="97"/>
      <c r="C103" s="97"/>
      <c r="D103" s="97"/>
      <c r="E103" s="97"/>
      <c r="F103" s="97"/>
      <c r="G103" s="97"/>
      <c r="H103" s="36">
        <f>H99+H100+H101+H102</f>
        <v>50.923478260869565</v>
      </c>
      <c r="I103" s="74">
        <f>I99+I100+I101+I102</f>
        <v>2342.48</v>
      </c>
      <c r="J103">
        <v>5</v>
      </c>
    </row>
    <row r="104" spans="1:19" x14ac:dyDescent="0.3">
      <c r="B104" s="2">
        <v>18</v>
      </c>
      <c r="C104" s="3" t="s">
        <v>135</v>
      </c>
      <c r="D104" s="5" t="s">
        <v>35</v>
      </c>
      <c r="G104" s="30">
        <v>157</v>
      </c>
      <c r="H104" s="38">
        <f>(1+IF(OR(ISERR(FIND(":",D105)),ISERR(FIND("%",D105))),0,MID(D105,FIND(":",D105)+2,FIND("%",D105)-FIND(":",D105)-2)/100))*0</f>
        <v>0</v>
      </c>
      <c r="I104" s="29">
        <f>G104*H104</f>
        <v>0</v>
      </c>
      <c r="J104">
        <v>1</v>
      </c>
    </row>
    <row r="105" spans="1:19" x14ac:dyDescent="0.3">
      <c r="D105" s="15" t="str">
        <f>SUBSTITUTE("Sp.mat: 0.00%",".",IF(VALUE("1.2")=1.2,".",","),2)</f>
        <v>Sp.mat: 0.00%</v>
      </c>
      <c r="F105" s="15" t="str">
        <f>SUBSTITUTE("Sp.man: 0.00%",".",IF(VALUE("1.2")=1.2,".",","),2)</f>
        <v>Sp.man: 0.00%</v>
      </c>
      <c r="G105" s="35" t="str">
        <f>SUBSTITUTE("Sp.uti: 0.00%",".",IF(VALUE("1.2")=1.2,".",","),2)</f>
        <v>Sp.uti: 0.00%</v>
      </c>
      <c r="H105" s="38">
        <f>3746.86/G104</f>
        <v>23.865350318471339</v>
      </c>
      <c r="I105" s="29">
        <f>G104*H105</f>
        <v>3746.86</v>
      </c>
      <c r="J105">
        <v>2</v>
      </c>
    </row>
    <row r="106" spans="1:19" x14ac:dyDescent="0.3">
      <c r="A106" s="88" t="s">
        <v>136</v>
      </c>
      <c r="B106" s="98"/>
      <c r="C106" s="98"/>
      <c r="D106" s="98"/>
      <c r="E106" s="98"/>
      <c r="F106" s="98"/>
      <c r="G106" s="98"/>
      <c r="H106" s="38">
        <f>(1+IF(OR(ISERR(FIND(":",G105)),ISERR(FIND("%",G105))),0,MID(G105,FIND(":",G105)+2,FIND("%",G105)-FIND(":",G105)-2)/100))*0</f>
        <v>0</v>
      </c>
      <c r="I106" s="29">
        <f>G104*H106</f>
        <v>0</v>
      </c>
      <c r="J106">
        <v>3</v>
      </c>
      <c r="K106" s="4">
        <v>0</v>
      </c>
      <c r="L106" s="4">
        <v>0</v>
      </c>
      <c r="M106" s="4">
        <f>I106-K106-L106</f>
        <v>0</v>
      </c>
    </row>
    <row r="107" spans="1:19" x14ac:dyDescent="0.3">
      <c r="A107" s="98"/>
      <c r="B107" s="98"/>
      <c r="C107" s="98"/>
      <c r="D107" s="98"/>
      <c r="E107" s="98"/>
      <c r="F107" s="98"/>
      <c r="G107" s="98"/>
      <c r="H107" s="38">
        <f>0</f>
        <v>0</v>
      </c>
      <c r="I107" s="29">
        <f>G104*H107</f>
        <v>0</v>
      </c>
      <c r="J107">
        <v>4</v>
      </c>
      <c r="N107" s="4">
        <f>IF(ISERR(SEARCH("TRA* 82",C104)),IF(Q107+R107+S107=0,0,I107*(Q107/(Q107+R107+S107))),I107)</f>
        <v>0</v>
      </c>
      <c r="O107" s="4">
        <f>IF(ISERR(SEARCH("TRA* 82",C104)),IF(Q107+R107+S107=0,0,I107*(R107/(Q107+R107+S107))),0)</f>
        <v>0</v>
      </c>
      <c r="P107" s="4">
        <f>IF(ISERR(SEARCH("TRA* 82",C104)),I107-N107-O107,0)</f>
        <v>0</v>
      </c>
      <c r="Q107" s="4">
        <v>0</v>
      </c>
      <c r="R107" s="4">
        <v>0</v>
      </c>
      <c r="S107" s="4">
        <v>0</v>
      </c>
    </row>
    <row r="108" spans="1:19" x14ac:dyDescent="0.3">
      <c r="A108" s="96" t="s">
        <v>27</v>
      </c>
      <c r="B108" s="97"/>
      <c r="C108" s="97"/>
      <c r="D108" s="97"/>
      <c r="E108" s="97"/>
      <c r="F108" s="97"/>
      <c r="G108" s="97"/>
      <c r="H108" s="36">
        <f>H104+H105+H106+H107</f>
        <v>23.865350318471339</v>
      </c>
      <c r="I108" s="74">
        <f>I104+I105+I106+I107</f>
        <v>3746.86</v>
      </c>
      <c r="J108">
        <v>5</v>
      </c>
    </row>
    <row r="109" spans="1:19" x14ac:dyDescent="0.3">
      <c r="B109" s="2">
        <v>19</v>
      </c>
      <c r="C109" s="3" t="s">
        <v>137</v>
      </c>
      <c r="D109" s="5" t="s">
        <v>40</v>
      </c>
      <c r="G109" s="30">
        <v>15</v>
      </c>
      <c r="H109" s="38">
        <f>94.07/G109</f>
        <v>6.2713333333333328</v>
      </c>
      <c r="I109" s="29">
        <f>G109*H109</f>
        <v>94.07</v>
      </c>
      <c r="J109">
        <v>1</v>
      </c>
    </row>
    <row r="110" spans="1:19" x14ac:dyDescent="0.3">
      <c r="D110" s="15" t="str">
        <f>SUBSTITUTE("Sp.mat: 0.00%",".",IF(VALUE("1.2")=1.2,".",","),2)</f>
        <v>Sp.mat: 0.00%</v>
      </c>
      <c r="F110" s="15" t="str">
        <f>SUBSTITUTE("Sp.man: 0.00%",".",IF(VALUE("1.2")=1.2,".",","),2)</f>
        <v>Sp.man: 0.00%</v>
      </c>
      <c r="G110" s="35" t="str">
        <f>SUBSTITUTE("Sp.uti: 0.00%",".",IF(VALUE("1.2")=1.2,".",","),2)</f>
        <v>Sp.uti: 0.00%</v>
      </c>
      <c r="H110" s="38">
        <f>122.53/G109</f>
        <v>8.1686666666666667</v>
      </c>
      <c r="I110" s="29">
        <f>G109*H110</f>
        <v>122.53</v>
      </c>
      <c r="J110">
        <v>2</v>
      </c>
    </row>
    <row r="111" spans="1:19" x14ac:dyDescent="0.3">
      <c r="A111" s="88" t="s">
        <v>138</v>
      </c>
      <c r="B111" s="98"/>
      <c r="C111" s="98"/>
      <c r="D111" s="98"/>
      <c r="E111" s="98"/>
      <c r="F111" s="98"/>
      <c r="G111" s="98"/>
      <c r="H111" s="38">
        <f>(1+IF(OR(ISERR(FIND(":",G110)),ISERR(FIND("%",G110))),0,MID(G110,FIND(":",G110)+2,FIND("%",G110)-FIND(":",G110)-2)/100))*0</f>
        <v>0</v>
      </c>
      <c r="I111" s="29">
        <f>G109*H111</f>
        <v>0</v>
      </c>
      <c r="J111">
        <v>3</v>
      </c>
      <c r="K111" s="4">
        <v>0</v>
      </c>
      <c r="L111" s="4">
        <v>0</v>
      </c>
      <c r="M111" s="4">
        <f>I111-K111-L111</f>
        <v>0</v>
      </c>
    </row>
    <row r="112" spans="1:19" x14ac:dyDescent="0.3">
      <c r="A112" s="98"/>
      <c r="B112" s="98"/>
      <c r="C112" s="98"/>
      <c r="D112" s="98"/>
      <c r="E112" s="98"/>
      <c r="F112" s="98"/>
      <c r="G112" s="98"/>
      <c r="H112" s="38">
        <f>0</f>
        <v>0</v>
      </c>
      <c r="I112" s="29">
        <f>G109*H112</f>
        <v>0</v>
      </c>
      <c r="J112">
        <v>4</v>
      </c>
      <c r="N112" s="4">
        <f>IF(ISERR(SEARCH("TRA* 82",C109)),IF(Q112+R112+S112=0,0,I112*(Q112/(Q112+R112+S112))),I112)</f>
        <v>0</v>
      </c>
      <c r="O112" s="4">
        <f>IF(ISERR(SEARCH("TRA* 82",C109)),IF(Q112+R112+S112=0,0,I112*(R112/(Q112+R112+S112))),0)</f>
        <v>0</v>
      </c>
      <c r="P112" s="4">
        <f>IF(ISERR(SEARCH("TRA* 82",C109)),I112-N112-O112,0)</f>
        <v>0</v>
      </c>
      <c r="Q112" s="4">
        <v>0</v>
      </c>
      <c r="R112" s="4">
        <v>0</v>
      </c>
      <c r="S112" s="4">
        <v>0</v>
      </c>
    </row>
    <row r="113" spans="1:19" x14ac:dyDescent="0.3">
      <c r="A113" s="96" t="s">
        <v>27</v>
      </c>
      <c r="B113" s="97"/>
      <c r="C113" s="97"/>
      <c r="D113" s="97"/>
      <c r="E113" s="97"/>
      <c r="F113" s="97"/>
      <c r="G113" s="97"/>
      <c r="H113" s="36">
        <f>H109+H110+H111+H112</f>
        <v>14.44</v>
      </c>
      <c r="I113" s="74">
        <f>I109+I110+I111+I112</f>
        <v>216.6</v>
      </c>
      <c r="J113">
        <v>5</v>
      </c>
    </row>
    <row r="114" spans="1:19" x14ac:dyDescent="0.3">
      <c r="B114" s="2">
        <v>20</v>
      </c>
      <c r="C114" s="3" t="s">
        <v>139</v>
      </c>
      <c r="D114" s="5" t="s">
        <v>25</v>
      </c>
      <c r="G114" s="30">
        <v>40</v>
      </c>
      <c r="H114" s="38">
        <f>186.66/G114</f>
        <v>4.6665000000000001</v>
      </c>
      <c r="I114" s="29">
        <f>G114*H114</f>
        <v>186.66</v>
      </c>
      <c r="J114">
        <v>1</v>
      </c>
    </row>
    <row r="115" spans="1:19" x14ac:dyDescent="0.3">
      <c r="D115" s="15" t="str">
        <f>SUBSTITUTE("Sp.mat: 0.00%",".",IF(VALUE("1.2")=1.2,".",","),2)</f>
        <v>Sp.mat: 0.00%</v>
      </c>
      <c r="F115" s="15" t="str">
        <f>SUBSTITUTE("Sp.man: 0.00%",".",IF(VALUE("1.2")=1.2,".",","),2)</f>
        <v>Sp.man: 0.00%</v>
      </c>
      <c r="G115" s="35" t="str">
        <f>SUBSTITUTE("Sp.uti: 0.00%",".",IF(VALUE("1.2")=1.2,".",","),2)</f>
        <v>Sp.uti: 0.00%</v>
      </c>
      <c r="H115" s="38">
        <f>896.95/G114</f>
        <v>22.423750000000002</v>
      </c>
      <c r="I115" s="29">
        <f>G114*H115</f>
        <v>896.95</v>
      </c>
      <c r="J115">
        <v>2</v>
      </c>
    </row>
    <row r="116" spans="1:19" x14ac:dyDescent="0.3">
      <c r="A116" s="88" t="s">
        <v>140</v>
      </c>
      <c r="B116" s="98"/>
      <c r="C116" s="98"/>
      <c r="D116" s="98"/>
      <c r="E116" s="98"/>
      <c r="F116" s="98"/>
      <c r="G116" s="98"/>
      <c r="H116" s="38">
        <f>(1+IF(OR(ISERR(FIND(":",G115)),ISERR(FIND("%",G115))),0,MID(G115,FIND(":",G115)+2,FIND("%",G115)-FIND(":",G115)-2)/100))*0</f>
        <v>0</v>
      </c>
      <c r="I116" s="29">
        <f>G114*H116</f>
        <v>0</v>
      </c>
      <c r="J116">
        <v>3</v>
      </c>
      <c r="K116" s="4">
        <v>0</v>
      </c>
      <c r="L116" s="4">
        <v>0</v>
      </c>
      <c r="M116" s="4">
        <f>I116-K116-L116</f>
        <v>0</v>
      </c>
    </row>
    <row r="117" spans="1:19" x14ac:dyDescent="0.3">
      <c r="A117" s="98"/>
      <c r="B117" s="98"/>
      <c r="C117" s="98"/>
      <c r="D117" s="98"/>
      <c r="E117" s="98"/>
      <c r="F117" s="98"/>
      <c r="G117" s="98"/>
      <c r="H117" s="38">
        <f>0</f>
        <v>0</v>
      </c>
      <c r="I117" s="29">
        <f>G114*H117</f>
        <v>0</v>
      </c>
      <c r="J117">
        <v>4</v>
      </c>
      <c r="N117" s="4">
        <f>IF(ISERR(SEARCH("TRA* 82",C114)),IF(Q117+R117+S117=0,0,I117*(Q117/(Q117+R117+S117))),I117)</f>
        <v>0</v>
      </c>
      <c r="O117" s="4">
        <f>IF(ISERR(SEARCH("TRA* 82",C114)),IF(Q117+R117+S117=0,0,I117*(R117/(Q117+R117+S117))),0)</f>
        <v>0</v>
      </c>
      <c r="P117" s="4">
        <f>IF(ISERR(SEARCH("TRA* 82",C114)),I117-N117-O117,0)</f>
        <v>0</v>
      </c>
      <c r="Q117" s="4">
        <v>0</v>
      </c>
      <c r="R117" s="4">
        <v>0</v>
      </c>
      <c r="S117" s="4">
        <v>0</v>
      </c>
    </row>
    <row r="118" spans="1:19" x14ac:dyDescent="0.3">
      <c r="A118" s="100" t="s">
        <v>27</v>
      </c>
      <c r="B118" s="101"/>
      <c r="C118" s="101"/>
      <c r="D118" s="101"/>
      <c r="E118" s="101"/>
      <c r="F118" s="101"/>
      <c r="G118" s="101"/>
      <c r="H118" s="33">
        <f>H114+H115+H116+H117</f>
        <v>27.090250000000001</v>
      </c>
      <c r="I118" s="37">
        <f>I114+I115+I116+I117</f>
        <v>1083.6100000000001</v>
      </c>
      <c r="J118">
        <v>5</v>
      </c>
    </row>
    <row r="119" spans="1:19" x14ac:dyDescent="0.3">
      <c r="A119" s="102" t="s">
        <v>141</v>
      </c>
      <c r="B119" s="102"/>
      <c r="C119" s="102"/>
      <c r="D119" s="102"/>
      <c r="E119" s="102"/>
      <c r="F119" s="102"/>
      <c r="G119" s="102"/>
      <c r="H119" s="102"/>
      <c r="I119" s="102"/>
    </row>
    <row r="120" spans="1:19" x14ac:dyDescent="0.3">
      <c r="A120" s="97" t="s">
        <v>142</v>
      </c>
      <c r="B120" s="97"/>
      <c r="C120" s="97"/>
      <c r="D120" s="97"/>
      <c r="E120" s="97"/>
      <c r="F120" s="97"/>
      <c r="G120" s="97"/>
      <c r="H120" s="97"/>
      <c r="I120" s="97"/>
    </row>
    <row r="121" spans="1:19" x14ac:dyDescent="0.3">
      <c r="B121" s="2">
        <v>21</v>
      </c>
      <c r="C121" s="3" t="s">
        <v>139</v>
      </c>
      <c r="D121" s="5" t="s">
        <v>25</v>
      </c>
      <c r="G121" s="30">
        <v>70</v>
      </c>
      <c r="H121" s="38">
        <f>341.65/G121</f>
        <v>4.8807142857142853</v>
      </c>
      <c r="I121" s="29">
        <f>G121*H121</f>
        <v>341.65</v>
      </c>
      <c r="J121">
        <v>1</v>
      </c>
    </row>
    <row r="122" spans="1:19" x14ac:dyDescent="0.3">
      <c r="D122" s="15" t="str">
        <f>SUBSTITUTE("Sp.mat: 0.00%",".",IF(VALUE("1.2")=1.2,".",","),2)</f>
        <v>Sp.mat: 0.00%</v>
      </c>
      <c r="F122" s="15" t="str">
        <f>SUBSTITUTE("Sp.man: 0.00%",".",IF(VALUE("1.2")=1.2,".",","),2)</f>
        <v>Sp.man: 0.00%</v>
      </c>
      <c r="G122" s="35" t="str">
        <f>SUBSTITUTE("Sp.uti: 0.00%",".",IF(VALUE("1.2")=1.2,".",","),2)</f>
        <v>Sp.uti: 0.00%</v>
      </c>
      <c r="H122" s="38">
        <f>1569.67/G121</f>
        <v>22.423857142857145</v>
      </c>
      <c r="I122" s="29">
        <f>G121*H122</f>
        <v>1569.67</v>
      </c>
      <c r="J122">
        <v>2</v>
      </c>
    </row>
    <row r="123" spans="1:19" x14ac:dyDescent="0.3">
      <c r="A123" s="88" t="s">
        <v>140</v>
      </c>
      <c r="B123" s="98"/>
      <c r="C123" s="98"/>
      <c r="D123" s="98"/>
      <c r="E123" s="98"/>
      <c r="F123" s="98"/>
      <c r="G123" s="98"/>
      <c r="H123" s="38">
        <f>(1+IF(OR(ISERR(FIND(":",G122)),ISERR(FIND("%",G122))),0,MID(G122,FIND(":",G122)+2,FIND("%",G122)-FIND(":",G122)-2)/100))*0</f>
        <v>0</v>
      </c>
      <c r="I123" s="29">
        <f>G121*H123</f>
        <v>0</v>
      </c>
      <c r="J123">
        <v>3</v>
      </c>
      <c r="K123" s="4">
        <v>0</v>
      </c>
      <c r="L123" s="4">
        <v>0</v>
      </c>
      <c r="M123" s="4">
        <f>I123-K123-L123</f>
        <v>0</v>
      </c>
    </row>
    <row r="124" spans="1:19" x14ac:dyDescent="0.3">
      <c r="A124" s="98"/>
      <c r="B124" s="98"/>
      <c r="C124" s="98"/>
      <c r="D124" s="98"/>
      <c r="E124" s="98"/>
      <c r="F124" s="98"/>
      <c r="G124" s="98"/>
      <c r="H124" s="38">
        <f>0</f>
        <v>0</v>
      </c>
      <c r="I124" s="29">
        <f>G121*H124</f>
        <v>0</v>
      </c>
      <c r="J124">
        <v>4</v>
      </c>
      <c r="N124" s="4">
        <f>IF(ISERR(SEARCH("TRA* 82",C121)),IF(Q124+R124+S124=0,0,I124*(Q124/(Q124+R124+S124))),I124)</f>
        <v>0</v>
      </c>
      <c r="O124" s="4">
        <f>IF(ISERR(SEARCH("TRA* 82",C121)),IF(Q124+R124+S124=0,0,I124*(R124/(Q124+R124+S124))),0)</f>
        <v>0</v>
      </c>
      <c r="P124" s="4">
        <f>IF(ISERR(SEARCH("TRA* 82",C121)),I124-N124-O124,0)</f>
        <v>0</v>
      </c>
      <c r="Q124" s="4">
        <v>0</v>
      </c>
      <c r="R124" s="4">
        <v>0</v>
      </c>
      <c r="S124" s="4">
        <v>0</v>
      </c>
    </row>
    <row r="125" spans="1:19" x14ac:dyDescent="0.3">
      <c r="A125" s="100" t="s">
        <v>27</v>
      </c>
      <c r="B125" s="101"/>
      <c r="C125" s="101"/>
      <c r="D125" s="101"/>
      <c r="E125" s="101"/>
      <c r="F125" s="101"/>
      <c r="G125" s="101"/>
      <c r="H125" s="33">
        <f>H121+H122+H123+H124</f>
        <v>27.304571428571428</v>
      </c>
      <c r="I125" s="37">
        <f>I121+I122+I123+I124</f>
        <v>1911.3200000000002</v>
      </c>
      <c r="J125">
        <v>5</v>
      </c>
    </row>
    <row r="126" spans="1:19" x14ac:dyDescent="0.3">
      <c r="A126" s="102" t="s">
        <v>143</v>
      </c>
      <c r="B126" s="102"/>
      <c r="C126" s="102"/>
      <c r="D126" s="102"/>
      <c r="E126" s="102"/>
      <c r="F126" s="102"/>
      <c r="G126" s="102"/>
      <c r="H126" s="102"/>
      <c r="I126" s="102"/>
    </row>
    <row r="127" spans="1:19" x14ac:dyDescent="0.3">
      <c r="A127" s="97" t="s">
        <v>142</v>
      </c>
      <c r="B127" s="97"/>
      <c r="C127" s="97"/>
      <c r="D127" s="97"/>
      <c r="E127" s="97"/>
      <c r="F127" s="97"/>
      <c r="G127" s="97"/>
      <c r="H127" s="97"/>
      <c r="I127" s="97"/>
    </row>
    <row r="128" spans="1:19" x14ac:dyDescent="0.3">
      <c r="B128" s="2">
        <v>22</v>
      </c>
      <c r="C128" s="3" t="s">
        <v>139</v>
      </c>
      <c r="D128" s="5" t="s">
        <v>25</v>
      </c>
      <c r="G128" s="30">
        <v>40</v>
      </c>
      <c r="H128" s="38">
        <f>238.06/G128</f>
        <v>5.9515000000000002</v>
      </c>
      <c r="I128" s="29">
        <f>G128*H128</f>
        <v>238.06</v>
      </c>
      <c r="J128">
        <v>1</v>
      </c>
    </row>
    <row r="129" spans="1:19" x14ac:dyDescent="0.3">
      <c r="D129" s="15" t="str">
        <f>SUBSTITUTE("Sp.mat: 0.00%",".",IF(VALUE("1.2")=1.2,".",","),2)</f>
        <v>Sp.mat: 0.00%</v>
      </c>
      <c r="F129" s="15" t="str">
        <f>SUBSTITUTE("Sp.man: 0.00%",".",IF(VALUE("1.2")=1.2,".",","),2)</f>
        <v>Sp.man: 0.00%</v>
      </c>
      <c r="G129" s="35" t="str">
        <f>SUBSTITUTE("Sp.uti: 0.00%",".",IF(VALUE("1.2")=1.2,".",","),2)</f>
        <v>Sp.uti: 0.00%</v>
      </c>
      <c r="H129" s="38">
        <f>896.95/G128</f>
        <v>22.423750000000002</v>
      </c>
      <c r="I129" s="29">
        <f>G128*H129</f>
        <v>896.95</v>
      </c>
      <c r="J129">
        <v>2</v>
      </c>
    </row>
    <row r="130" spans="1:19" x14ac:dyDescent="0.3">
      <c r="A130" s="88" t="s">
        <v>140</v>
      </c>
      <c r="B130" s="98"/>
      <c r="C130" s="98"/>
      <c r="D130" s="98"/>
      <c r="E130" s="98"/>
      <c r="F130" s="98"/>
      <c r="G130" s="98"/>
      <c r="H130" s="38">
        <f>(1+IF(OR(ISERR(FIND(":",G129)),ISERR(FIND("%",G129))),0,MID(G129,FIND(":",G129)+2,FIND("%",G129)-FIND(":",G129)-2)/100))*0</f>
        <v>0</v>
      </c>
      <c r="I130" s="29">
        <f>G128*H130</f>
        <v>0</v>
      </c>
      <c r="J130">
        <v>3</v>
      </c>
      <c r="K130" s="4">
        <v>0</v>
      </c>
      <c r="L130" s="4">
        <v>0</v>
      </c>
      <c r="M130" s="4">
        <f>I130-K130-L130</f>
        <v>0</v>
      </c>
    </row>
    <row r="131" spans="1:19" x14ac:dyDescent="0.3">
      <c r="A131" s="98"/>
      <c r="B131" s="98"/>
      <c r="C131" s="98"/>
      <c r="D131" s="98"/>
      <c r="E131" s="98"/>
      <c r="F131" s="98"/>
      <c r="G131" s="98"/>
      <c r="H131" s="38">
        <f>0</f>
        <v>0</v>
      </c>
      <c r="I131" s="29">
        <f>G128*H131</f>
        <v>0</v>
      </c>
      <c r="J131">
        <v>4</v>
      </c>
      <c r="N131" s="4">
        <f>IF(ISERR(SEARCH("TRA* 82",C128)),IF(Q131+R131+S131=0,0,I131*(Q131/(Q131+R131+S131))),I131)</f>
        <v>0</v>
      </c>
      <c r="O131" s="4">
        <f>IF(ISERR(SEARCH("TRA* 82",C128)),IF(Q131+R131+S131=0,0,I131*(R131/(Q131+R131+S131))),0)</f>
        <v>0</v>
      </c>
      <c r="P131" s="4">
        <f>IF(ISERR(SEARCH("TRA* 82",C128)),I131-N131-O131,0)</f>
        <v>0</v>
      </c>
      <c r="Q131" s="4">
        <v>0</v>
      </c>
      <c r="R131" s="4">
        <v>0</v>
      </c>
      <c r="S131" s="4">
        <v>0</v>
      </c>
    </row>
    <row r="132" spans="1:19" x14ac:dyDescent="0.3">
      <c r="A132" s="100" t="s">
        <v>27</v>
      </c>
      <c r="B132" s="101"/>
      <c r="C132" s="101"/>
      <c r="D132" s="101"/>
      <c r="E132" s="101"/>
      <c r="F132" s="101"/>
      <c r="G132" s="101"/>
      <c r="H132" s="33">
        <f>H128+H129+H130+H131</f>
        <v>28.375250000000001</v>
      </c>
      <c r="I132" s="37">
        <f>I128+I129+I130+I131</f>
        <v>1135.01</v>
      </c>
      <c r="J132">
        <v>5</v>
      </c>
    </row>
    <row r="133" spans="1:19" x14ac:dyDescent="0.3">
      <c r="A133" s="102" t="s">
        <v>144</v>
      </c>
      <c r="B133" s="102"/>
      <c r="C133" s="102"/>
      <c r="D133" s="102"/>
      <c r="E133" s="102"/>
      <c r="F133" s="102"/>
      <c r="G133" s="102"/>
      <c r="H133" s="102"/>
      <c r="I133" s="102"/>
    </row>
    <row r="134" spans="1:19" x14ac:dyDescent="0.3">
      <c r="A134" s="97" t="s">
        <v>892</v>
      </c>
      <c r="B134" s="97"/>
      <c r="C134" s="97"/>
      <c r="D134" s="97"/>
      <c r="E134" s="97"/>
      <c r="F134" s="97"/>
      <c r="G134" s="97"/>
      <c r="H134" s="97"/>
      <c r="I134" s="97"/>
    </row>
    <row r="135" spans="1:19" x14ac:dyDescent="0.3">
      <c r="B135" s="2">
        <v>23</v>
      </c>
      <c r="C135" s="3" t="s">
        <v>145</v>
      </c>
      <c r="D135" s="5" t="s">
        <v>25</v>
      </c>
      <c r="G135" s="30">
        <v>15</v>
      </c>
      <c r="H135" s="38">
        <f>70.1/G135</f>
        <v>4.6733333333333329</v>
      </c>
      <c r="I135" s="29">
        <f>G135*H135</f>
        <v>70.099999999999994</v>
      </c>
      <c r="J135">
        <v>1</v>
      </c>
    </row>
    <row r="136" spans="1:19" x14ac:dyDescent="0.3">
      <c r="D136" s="15" t="str">
        <f>SUBSTITUTE("Sp.mat: 0.00%",".",IF(VALUE("1.2")=1.2,".",","),2)</f>
        <v>Sp.mat: 0.00%</v>
      </c>
      <c r="F136" s="15" t="str">
        <f>SUBSTITUTE("Sp.man: 0.00%",".",IF(VALUE("1.2")=1.2,".",","),2)</f>
        <v>Sp.man: 0.00%</v>
      </c>
      <c r="G136" s="35" t="str">
        <f>SUBSTITUTE("Sp.uti: 0.00%",".",IF(VALUE("1.2")=1.2,".",","),2)</f>
        <v>Sp.uti: 0.00%</v>
      </c>
      <c r="H136" s="38">
        <f>288.31/G135</f>
        <v>19.220666666666666</v>
      </c>
      <c r="I136" s="29">
        <f>G135*H136</f>
        <v>288.31</v>
      </c>
      <c r="J136">
        <v>2</v>
      </c>
    </row>
    <row r="137" spans="1:19" x14ac:dyDescent="0.3">
      <c r="A137" s="88" t="s">
        <v>146</v>
      </c>
      <c r="B137" s="98"/>
      <c r="C137" s="98"/>
      <c r="D137" s="98"/>
      <c r="E137" s="98"/>
      <c r="F137" s="98"/>
      <c r="G137" s="98"/>
      <c r="H137" s="38">
        <f>(1+IF(OR(ISERR(FIND(":",G136)),ISERR(FIND("%",G136))),0,MID(G136,FIND(":",G136)+2,FIND("%",G136)-FIND(":",G136)-2)/100))*0</f>
        <v>0</v>
      </c>
      <c r="I137" s="29">
        <f>G135*H137</f>
        <v>0</v>
      </c>
      <c r="J137">
        <v>3</v>
      </c>
      <c r="K137" s="4">
        <v>0</v>
      </c>
      <c r="L137" s="4">
        <v>0</v>
      </c>
      <c r="M137" s="4">
        <f>I137-K137-L137</f>
        <v>0</v>
      </c>
    </row>
    <row r="138" spans="1:19" x14ac:dyDescent="0.3">
      <c r="A138" s="98"/>
      <c r="B138" s="98"/>
      <c r="C138" s="98"/>
      <c r="D138" s="98"/>
      <c r="E138" s="98"/>
      <c r="F138" s="98"/>
      <c r="G138" s="98"/>
      <c r="H138" s="38">
        <f>0</f>
        <v>0</v>
      </c>
      <c r="I138" s="29">
        <f>G135*H138</f>
        <v>0</v>
      </c>
      <c r="J138">
        <v>4</v>
      </c>
      <c r="N138" s="4">
        <f>IF(ISERR(SEARCH("TRA* 82",C135)),IF(Q138+R138+S138=0,0,I138*(Q138/(Q138+R138+S138))),I138)</f>
        <v>0</v>
      </c>
      <c r="O138" s="4">
        <f>IF(ISERR(SEARCH("TRA* 82",C135)),IF(Q138+R138+S138=0,0,I138*(R138/(Q138+R138+S138))),0)</f>
        <v>0</v>
      </c>
      <c r="P138" s="4">
        <f>IF(ISERR(SEARCH("TRA* 82",C135)),I138-N138-O138,0)</f>
        <v>0</v>
      </c>
      <c r="Q138" s="4">
        <v>0</v>
      </c>
      <c r="R138" s="4">
        <v>0</v>
      </c>
      <c r="S138" s="4">
        <v>0</v>
      </c>
    </row>
    <row r="139" spans="1:19" x14ac:dyDescent="0.3">
      <c r="A139" s="100" t="s">
        <v>27</v>
      </c>
      <c r="B139" s="101"/>
      <c r="C139" s="101"/>
      <c r="D139" s="101"/>
      <c r="E139" s="101"/>
      <c r="F139" s="101"/>
      <c r="G139" s="101"/>
      <c r="H139" s="33">
        <f>H135+H136+H137+H138</f>
        <v>23.893999999999998</v>
      </c>
      <c r="I139" s="37">
        <f>I135+I136+I137+I138</f>
        <v>358.40999999999997</v>
      </c>
      <c r="J139">
        <v>5</v>
      </c>
    </row>
    <row r="140" spans="1:19" x14ac:dyDescent="0.3">
      <c r="A140" s="102" t="s">
        <v>147</v>
      </c>
      <c r="B140" s="102"/>
      <c r="C140" s="102"/>
      <c r="D140" s="102"/>
      <c r="E140" s="102"/>
      <c r="F140" s="102"/>
      <c r="G140" s="102"/>
      <c r="H140" s="102"/>
      <c r="I140" s="102"/>
    </row>
    <row r="141" spans="1:19" x14ac:dyDescent="0.3">
      <c r="A141" s="97" t="s">
        <v>142</v>
      </c>
      <c r="B141" s="97"/>
      <c r="C141" s="97"/>
      <c r="D141" s="97"/>
      <c r="E141" s="97"/>
      <c r="F141" s="97"/>
      <c r="G141" s="97"/>
      <c r="H141" s="97"/>
      <c r="I141" s="97"/>
    </row>
    <row r="142" spans="1:19" x14ac:dyDescent="0.3">
      <c r="B142" s="2">
        <v>24</v>
      </c>
      <c r="C142" s="3" t="s">
        <v>148</v>
      </c>
      <c r="D142" s="5" t="s">
        <v>25</v>
      </c>
      <c r="G142" s="30">
        <v>90</v>
      </c>
      <c r="H142" s="38">
        <f>1475.76/G142</f>
        <v>16.397333333333332</v>
      </c>
      <c r="I142" s="29">
        <f>G142*H142</f>
        <v>1475.76</v>
      </c>
      <c r="J142">
        <v>1</v>
      </c>
    </row>
    <row r="143" spans="1:19" x14ac:dyDescent="0.3">
      <c r="D143" s="15" t="str">
        <f>SUBSTITUTE("Sp.mat: 0.00%",".",IF(VALUE("1.2")=1.2,".",","),2)</f>
        <v>Sp.mat: 0.00%</v>
      </c>
      <c r="F143" s="15" t="str">
        <f>SUBSTITUTE("Sp.man: 0.00%",".",IF(VALUE("1.2")=1.2,".",","),2)</f>
        <v>Sp.man: 0.00%</v>
      </c>
      <c r="G143" s="35" t="str">
        <f>SUBSTITUTE("Sp.uti: 0.00%",".",IF(VALUE("1.2")=1.2,".",","),2)</f>
        <v>Sp.uti: 0.00%</v>
      </c>
      <c r="H143" s="38">
        <f>2018.14/G142</f>
        <v>22.423777777777779</v>
      </c>
      <c r="I143" s="29">
        <f>G142*H143</f>
        <v>2018.14</v>
      </c>
      <c r="J143">
        <v>2</v>
      </c>
    </row>
    <row r="144" spans="1:19" x14ac:dyDescent="0.3">
      <c r="A144" s="88" t="s">
        <v>149</v>
      </c>
      <c r="B144" s="98"/>
      <c r="C144" s="98"/>
      <c r="D144" s="98"/>
      <c r="E144" s="98"/>
      <c r="F144" s="98"/>
      <c r="G144" s="98"/>
      <c r="H144" s="38">
        <f>(1+IF(OR(ISERR(FIND(":",G143)),ISERR(FIND("%",G143))),0,MID(G143,FIND(":",G143)+2,FIND("%",G143)-FIND(":",G143)-2)/100))*0</f>
        <v>0</v>
      </c>
      <c r="I144" s="29">
        <f>G142*H144</f>
        <v>0</v>
      </c>
      <c r="J144">
        <v>3</v>
      </c>
      <c r="K144" s="4">
        <v>0</v>
      </c>
      <c r="L144" s="4">
        <v>0</v>
      </c>
      <c r="M144" s="4">
        <f>I144-K144-L144</f>
        <v>0</v>
      </c>
    </row>
    <row r="145" spans="1:19" x14ac:dyDescent="0.3">
      <c r="A145" s="98"/>
      <c r="B145" s="98"/>
      <c r="C145" s="98"/>
      <c r="D145" s="98"/>
      <c r="E145" s="98"/>
      <c r="F145" s="98"/>
      <c r="G145" s="98"/>
      <c r="H145" s="38">
        <f>0</f>
        <v>0</v>
      </c>
      <c r="I145" s="29">
        <f>G142*H145</f>
        <v>0</v>
      </c>
      <c r="J145">
        <v>4</v>
      </c>
      <c r="N145" s="4">
        <f>IF(ISERR(SEARCH("TRA* 82",C142)),IF(Q145+R145+S145=0,0,I145*(Q145/(Q145+R145+S145))),I145)</f>
        <v>0</v>
      </c>
      <c r="O145" s="4">
        <f>IF(ISERR(SEARCH("TRA* 82",C142)),IF(Q145+R145+S145=0,0,I145*(R145/(Q145+R145+S145))),0)</f>
        <v>0</v>
      </c>
      <c r="P145" s="4">
        <f>IF(ISERR(SEARCH("TRA* 82",C142)),I145-N145-O145,0)</f>
        <v>0</v>
      </c>
      <c r="Q145" s="4">
        <v>0</v>
      </c>
      <c r="R145" s="4">
        <v>0</v>
      </c>
      <c r="S145" s="4">
        <v>0</v>
      </c>
    </row>
    <row r="146" spans="1:19" x14ac:dyDescent="0.3">
      <c r="A146" s="100" t="s">
        <v>27</v>
      </c>
      <c r="B146" s="101"/>
      <c r="C146" s="101"/>
      <c r="D146" s="101"/>
      <c r="E146" s="101"/>
      <c r="F146" s="101"/>
      <c r="G146" s="101"/>
      <c r="H146" s="33">
        <f>H142+H143+H144+H145</f>
        <v>38.821111111111108</v>
      </c>
      <c r="I146" s="37">
        <f>I142+I143+I144+I145</f>
        <v>3493.9</v>
      </c>
      <c r="J146">
        <v>5</v>
      </c>
    </row>
    <row r="147" spans="1:19" x14ac:dyDescent="0.3">
      <c r="A147" s="102" t="s">
        <v>150</v>
      </c>
      <c r="B147" s="102"/>
      <c r="C147" s="102"/>
      <c r="D147" s="102"/>
      <c r="E147" s="102"/>
      <c r="F147" s="102"/>
      <c r="G147" s="102"/>
      <c r="H147" s="102"/>
      <c r="I147" s="102"/>
    </row>
    <row r="148" spans="1:19" x14ac:dyDescent="0.3">
      <c r="A148" s="97" t="s">
        <v>151</v>
      </c>
      <c r="B148" s="97"/>
      <c r="C148" s="97"/>
      <c r="D148" s="97"/>
      <c r="E148" s="97"/>
      <c r="F148" s="97"/>
      <c r="G148" s="97"/>
      <c r="H148" s="97"/>
      <c r="I148" s="97"/>
    </row>
    <row r="149" spans="1:19" x14ac:dyDescent="0.3">
      <c r="B149" s="2">
        <v>25</v>
      </c>
      <c r="C149" s="3" t="s">
        <v>152</v>
      </c>
      <c r="D149" s="5" t="s">
        <v>29</v>
      </c>
      <c r="G149" s="30">
        <v>13</v>
      </c>
      <c r="H149" s="38">
        <f>380.76/G149</f>
        <v>29.28923076923077</v>
      </c>
      <c r="I149" s="29">
        <f>G149*H149</f>
        <v>380.76</v>
      </c>
      <c r="J149">
        <v>1</v>
      </c>
    </row>
    <row r="150" spans="1:19" x14ac:dyDescent="0.3">
      <c r="D150" s="15" t="str">
        <f>SUBSTITUTE("Sp.mat: 0.00%",".",IF(VALUE("1.2")=1.2,".",","),2)</f>
        <v>Sp.mat: 0.00%</v>
      </c>
      <c r="F150" s="15" t="str">
        <f>SUBSTITUTE("Sp.man: 0.00%",".",IF(VALUE("1.2")=1.2,".",","),2)</f>
        <v>Sp.man: 0.00%</v>
      </c>
      <c r="G150" s="35" t="str">
        <f>SUBSTITUTE("Sp.uti: 0.00%",".",IF(VALUE("1.2")=1.2,".",","),2)</f>
        <v>Sp.uti: 0.00%</v>
      </c>
      <c r="H150" s="38">
        <f>116.6/G149</f>
        <v>8.9692307692307693</v>
      </c>
      <c r="I150" s="29">
        <f>G149*H150</f>
        <v>116.6</v>
      </c>
      <c r="J150">
        <v>2</v>
      </c>
    </row>
    <row r="151" spans="1:19" x14ac:dyDescent="0.3">
      <c r="A151" s="88" t="s">
        <v>153</v>
      </c>
      <c r="B151" s="98"/>
      <c r="C151" s="98"/>
      <c r="D151" s="98"/>
      <c r="E151" s="98"/>
      <c r="F151" s="98"/>
      <c r="G151" s="98"/>
      <c r="H151" s="38">
        <f>(1+IF(OR(ISERR(FIND(":",G150)),ISERR(FIND("%",G150))),0,MID(G150,FIND(":",G150)+2,FIND("%",G150)-FIND(":",G150)-2)/100))*0</f>
        <v>0</v>
      </c>
      <c r="I151" s="29">
        <f>G149*H151</f>
        <v>0</v>
      </c>
      <c r="J151">
        <v>3</v>
      </c>
      <c r="K151" s="4">
        <v>0</v>
      </c>
      <c r="L151" s="4">
        <v>0</v>
      </c>
      <c r="M151" s="4">
        <f>I151-K151-L151</f>
        <v>0</v>
      </c>
    </row>
    <row r="152" spans="1:19" x14ac:dyDescent="0.3">
      <c r="A152" s="98"/>
      <c r="B152" s="98"/>
      <c r="C152" s="98"/>
      <c r="D152" s="98"/>
      <c r="E152" s="98"/>
      <c r="F152" s="98"/>
      <c r="G152" s="98"/>
      <c r="H152" s="38">
        <f>0</f>
        <v>0</v>
      </c>
      <c r="I152" s="29">
        <f>G149*H152</f>
        <v>0</v>
      </c>
      <c r="J152">
        <v>4</v>
      </c>
      <c r="N152" s="4">
        <f>IF(ISERR(SEARCH("TRA* 82",C149)),IF(Q152+R152+S152=0,0,I152*(Q152/(Q152+R152+S152))),I152)</f>
        <v>0</v>
      </c>
      <c r="O152" s="4">
        <f>IF(ISERR(SEARCH("TRA* 82",C149)),IF(Q152+R152+S152=0,0,I152*(R152/(Q152+R152+S152))),0)</f>
        <v>0</v>
      </c>
      <c r="P152" s="4">
        <f>IF(ISERR(SEARCH("TRA* 82",C149)),I152-N152-O152,0)</f>
        <v>0</v>
      </c>
      <c r="Q152" s="4">
        <v>0</v>
      </c>
      <c r="R152" s="4">
        <v>0</v>
      </c>
      <c r="S152" s="4">
        <v>0</v>
      </c>
    </row>
    <row r="153" spans="1:19" x14ac:dyDescent="0.3">
      <c r="A153" s="96" t="s">
        <v>27</v>
      </c>
      <c r="B153" s="97"/>
      <c r="C153" s="97"/>
      <c r="D153" s="97"/>
      <c r="E153" s="97"/>
      <c r="F153" s="97"/>
      <c r="G153" s="97"/>
      <c r="H153" s="36">
        <f>H149+H150+H151+H152</f>
        <v>38.258461538461539</v>
      </c>
      <c r="I153" s="74">
        <f>I149+I150+I151+I152</f>
        <v>497.36</v>
      </c>
      <c r="J153">
        <v>5</v>
      </c>
    </row>
    <row r="154" spans="1:19" x14ac:dyDescent="0.3">
      <c r="B154" s="2">
        <v>26</v>
      </c>
      <c r="C154" s="3" t="s">
        <v>154</v>
      </c>
      <c r="D154" s="5" t="s">
        <v>29</v>
      </c>
      <c r="G154" s="30">
        <v>1</v>
      </c>
      <c r="H154" s="38">
        <v>129.74</v>
      </c>
      <c r="I154" s="29">
        <f>G154*H154</f>
        <v>129.74</v>
      </c>
      <c r="J154">
        <v>1</v>
      </c>
    </row>
    <row r="155" spans="1:19" x14ac:dyDescent="0.3">
      <c r="D155" s="15" t="str">
        <f>SUBSTITUTE("Sp.mat: 0.00%",".",IF(VALUE("1.2")=1.2,".",","),2)</f>
        <v>Sp.mat: 0.00%</v>
      </c>
      <c r="F155" s="15" t="str">
        <f>SUBSTITUTE("Sp.man: 0.00%",".",IF(VALUE("1.2")=1.2,".",","),2)</f>
        <v>Sp.man: 0.00%</v>
      </c>
      <c r="G155" s="35" t="str">
        <f>SUBSTITUTE("Sp.uti: 0.00%",".",IF(VALUE("1.2")=1.2,".",","),2)</f>
        <v>Sp.uti: 0.00%</v>
      </c>
      <c r="H155" s="38">
        <v>13.29</v>
      </c>
      <c r="I155" s="29">
        <f>G154*H155</f>
        <v>13.29</v>
      </c>
      <c r="J155">
        <v>2</v>
      </c>
    </row>
    <row r="156" spans="1:19" x14ac:dyDescent="0.3">
      <c r="A156" s="88" t="s">
        <v>155</v>
      </c>
      <c r="B156" s="98"/>
      <c r="C156" s="98"/>
      <c r="D156" s="98"/>
      <c r="E156" s="98"/>
      <c r="F156" s="98"/>
      <c r="G156" s="98"/>
      <c r="H156" s="38">
        <f>(1+IF(OR(ISERR(FIND(":",G155)),ISERR(FIND("%",G155))),0,MID(G155,FIND(":",G155)+2,FIND("%",G155)-FIND(":",G155)-2)/100))*0</f>
        <v>0</v>
      </c>
      <c r="I156" s="29">
        <f>G154*H156</f>
        <v>0</v>
      </c>
      <c r="J156">
        <v>3</v>
      </c>
      <c r="K156" s="4">
        <v>0</v>
      </c>
      <c r="L156" s="4">
        <v>0</v>
      </c>
      <c r="M156" s="4">
        <f>I156-K156-L156</f>
        <v>0</v>
      </c>
    </row>
    <row r="157" spans="1:19" x14ac:dyDescent="0.3">
      <c r="A157" s="98"/>
      <c r="B157" s="98"/>
      <c r="C157" s="98"/>
      <c r="D157" s="98"/>
      <c r="E157" s="98"/>
      <c r="F157" s="98"/>
      <c r="G157" s="98"/>
      <c r="H157" s="38">
        <f>0</f>
        <v>0</v>
      </c>
      <c r="I157" s="29">
        <f>G154*H157</f>
        <v>0</v>
      </c>
      <c r="J157">
        <v>4</v>
      </c>
      <c r="N157" s="4">
        <f>IF(ISERR(SEARCH("TRA* 82",C154)),IF(Q157+R157+S157=0,0,I157*(Q157/(Q157+R157+S157))),I157)</f>
        <v>0</v>
      </c>
      <c r="O157" s="4">
        <f>IF(ISERR(SEARCH("TRA* 82",C154)),IF(Q157+R157+S157=0,0,I157*(R157/(Q157+R157+S157))),0)</f>
        <v>0</v>
      </c>
      <c r="P157" s="4">
        <f>IF(ISERR(SEARCH("TRA* 82",C154)),I157-N157-O157,0)</f>
        <v>0</v>
      </c>
      <c r="Q157" s="4">
        <v>0</v>
      </c>
      <c r="R157" s="4">
        <v>0</v>
      </c>
      <c r="S157" s="4">
        <v>0</v>
      </c>
    </row>
    <row r="158" spans="1:19" x14ac:dyDescent="0.3">
      <c r="A158" s="100" t="s">
        <v>87</v>
      </c>
      <c r="B158" s="101"/>
      <c r="C158" s="101"/>
      <c r="D158" s="101"/>
      <c r="E158" s="101"/>
      <c r="F158" s="101"/>
      <c r="G158" s="101"/>
      <c r="H158" s="33">
        <f>H154+H155+H156+H157</f>
        <v>143.03</v>
      </c>
      <c r="I158" s="37">
        <f>I154+I155+I156+I157</f>
        <v>143.03</v>
      </c>
      <c r="J158">
        <v>5</v>
      </c>
    </row>
    <row r="159" spans="1:19" x14ac:dyDescent="0.3">
      <c r="A159" s="102" t="s">
        <v>156</v>
      </c>
      <c r="B159" s="102"/>
      <c r="C159" s="102"/>
      <c r="D159" s="102"/>
      <c r="E159" s="102"/>
      <c r="F159" s="102"/>
      <c r="G159" s="102"/>
      <c r="H159" s="102"/>
      <c r="I159" s="102"/>
    </row>
    <row r="160" spans="1:19" x14ac:dyDescent="0.3">
      <c r="A160" s="97" t="s">
        <v>157</v>
      </c>
      <c r="B160" s="97"/>
      <c r="C160" s="97"/>
      <c r="D160" s="97"/>
      <c r="E160" s="97"/>
      <c r="F160" s="97"/>
      <c r="G160" s="97"/>
      <c r="H160" s="97"/>
      <c r="I160" s="97"/>
    </row>
    <row r="161" spans="1:19" x14ac:dyDescent="0.3">
      <c r="B161" s="2">
        <v>27</v>
      </c>
      <c r="C161" s="3" t="s">
        <v>158</v>
      </c>
      <c r="D161" s="5" t="s">
        <v>29</v>
      </c>
      <c r="G161" s="30">
        <v>4</v>
      </c>
      <c r="H161" s="38">
        <f>230.1/G161</f>
        <v>57.524999999999999</v>
      </c>
      <c r="I161" s="29">
        <f>G161*H161</f>
        <v>230.1</v>
      </c>
      <c r="J161">
        <v>1</v>
      </c>
    </row>
    <row r="162" spans="1:19" x14ac:dyDescent="0.3">
      <c r="D162" s="15" t="str">
        <f>SUBSTITUTE("Sp.mat: 0.00%",".",IF(VALUE("1.2")=1.2,".",","),2)</f>
        <v>Sp.mat: 0.00%</v>
      </c>
      <c r="F162" s="15" t="str">
        <f>SUBSTITUTE("Sp.man: 0.00%",".",IF(VALUE("1.2")=1.2,".",","),2)</f>
        <v>Sp.man: 0.00%</v>
      </c>
      <c r="G162" s="35" t="str">
        <f>SUBSTITUTE("Sp.uti: 0.00%",".",IF(VALUE("1.2")=1.2,".",","),2)</f>
        <v>Sp.uti: 0.00%</v>
      </c>
      <c r="H162" s="38">
        <f>62.79/G161</f>
        <v>15.6975</v>
      </c>
      <c r="I162" s="29">
        <f>G161*H162</f>
        <v>62.79</v>
      </c>
      <c r="J162">
        <v>2</v>
      </c>
    </row>
    <row r="163" spans="1:19" x14ac:dyDescent="0.3">
      <c r="A163" s="88" t="s">
        <v>159</v>
      </c>
      <c r="B163" s="98"/>
      <c r="C163" s="98"/>
      <c r="D163" s="98"/>
      <c r="E163" s="98"/>
      <c r="F163" s="98"/>
      <c r="G163" s="98"/>
      <c r="H163" s="38">
        <f>(1+IF(OR(ISERR(FIND(":",G162)),ISERR(FIND("%",G162))),0,MID(G162,FIND(":",G162)+2,FIND("%",G162)-FIND(":",G162)-2)/100))*0</f>
        <v>0</v>
      </c>
      <c r="I163" s="29">
        <f>G161*H163</f>
        <v>0</v>
      </c>
      <c r="J163">
        <v>3</v>
      </c>
      <c r="K163" s="4">
        <v>0</v>
      </c>
      <c r="L163" s="4">
        <v>0</v>
      </c>
      <c r="M163" s="4">
        <f>I163-K163-L163</f>
        <v>0</v>
      </c>
    </row>
    <row r="164" spans="1:19" x14ac:dyDescent="0.3">
      <c r="A164" s="98"/>
      <c r="B164" s="98"/>
      <c r="C164" s="98"/>
      <c r="D164" s="98"/>
      <c r="E164" s="98"/>
      <c r="F164" s="98"/>
      <c r="G164" s="98"/>
      <c r="H164" s="38">
        <f>0</f>
        <v>0</v>
      </c>
      <c r="I164" s="29">
        <f>G161*H164</f>
        <v>0</v>
      </c>
      <c r="J164">
        <v>4</v>
      </c>
      <c r="N164" s="4">
        <f>IF(ISERR(SEARCH("TRA* 82",C161)),IF(Q164+R164+S164=0,0,I164*(Q164/(Q164+R164+S164))),I164)</f>
        <v>0</v>
      </c>
      <c r="O164" s="4">
        <f>IF(ISERR(SEARCH("TRA* 82",C161)),IF(Q164+R164+S164=0,0,I164*(R164/(Q164+R164+S164))),0)</f>
        <v>0</v>
      </c>
      <c r="P164" s="4">
        <f>IF(ISERR(SEARCH("TRA* 82",C161)),I164-N164-O164,0)</f>
        <v>0</v>
      </c>
      <c r="Q164" s="4">
        <v>0</v>
      </c>
      <c r="R164" s="4">
        <v>0</v>
      </c>
      <c r="S164" s="4">
        <v>0</v>
      </c>
    </row>
    <row r="165" spans="1:19" x14ac:dyDescent="0.3">
      <c r="A165" s="100" t="s">
        <v>87</v>
      </c>
      <c r="B165" s="101"/>
      <c r="C165" s="101"/>
      <c r="D165" s="101"/>
      <c r="E165" s="101"/>
      <c r="F165" s="101"/>
      <c r="G165" s="101"/>
      <c r="H165" s="33">
        <f>H161+H162+H163+H164</f>
        <v>73.222499999999997</v>
      </c>
      <c r="I165" s="37">
        <f>I161+I162+I163+I164</f>
        <v>292.89</v>
      </c>
      <c r="J165">
        <v>5</v>
      </c>
    </row>
    <row r="166" spans="1:19" x14ac:dyDescent="0.3">
      <c r="A166" s="99" t="s">
        <v>160</v>
      </c>
      <c r="B166" s="99"/>
      <c r="C166" s="99"/>
      <c r="D166" s="99"/>
      <c r="E166" s="99"/>
      <c r="F166" s="99"/>
      <c r="G166" s="99"/>
      <c r="H166" s="99"/>
      <c r="I166" s="99"/>
    </row>
    <row r="167" spans="1:19" x14ac:dyDescent="0.3">
      <c r="B167" s="2">
        <v>28</v>
      </c>
      <c r="C167" s="3" t="s">
        <v>164</v>
      </c>
      <c r="D167" s="5" t="s">
        <v>29</v>
      </c>
      <c r="G167" s="30">
        <v>57</v>
      </c>
      <c r="H167" s="38">
        <f>7695.36/G167</f>
        <v>135.00631578947369</v>
      </c>
      <c r="I167" s="29">
        <f>G167*H167</f>
        <v>7695.3600000000006</v>
      </c>
      <c r="J167">
        <v>1</v>
      </c>
    </row>
    <row r="168" spans="1:19" x14ac:dyDescent="0.3">
      <c r="D168" s="15" t="str">
        <f>SUBSTITUTE("Sp.mat: 0.00%",".",IF(VALUE("1.2")=1.2,".",","),2)</f>
        <v>Sp.mat: 0.00%</v>
      </c>
      <c r="F168" s="15" t="str">
        <f>SUBSTITUTE("Sp.man: 0.00%",".",IF(VALUE("1.2")=1.2,".",","),2)</f>
        <v>Sp.man: 0.00%</v>
      </c>
      <c r="G168" s="35" t="str">
        <f>SUBSTITUTE("Sp.uti: 0.00%",".",IF(VALUE("1.2")=1.2,".",","),2)</f>
        <v>Sp.uti: 0.00%</v>
      </c>
      <c r="H168" s="38">
        <f>1688.99/G167</f>
        <v>29.631403508771928</v>
      </c>
      <c r="I168" s="29">
        <f>G167*H168</f>
        <v>1688.99</v>
      </c>
      <c r="J168">
        <v>2</v>
      </c>
    </row>
    <row r="169" spans="1:19" x14ac:dyDescent="0.3">
      <c r="A169" s="88" t="s">
        <v>165</v>
      </c>
      <c r="B169" s="98"/>
      <c r="C169" s="98"/>
      <c r="D169" s="98"/>
      <c r="E169" s="98"/>
      <c r="F169" s="98"/>
      <c r="G169" s="98"/>
      <c r="H169" s="38">
        <f>(1+IF(OR(ISERR(FIND(":",G168)),ISERR(FIND("%",G168))),0,MID(G168,FIND(":",G168)+2,FIND("%",G168)-FIND(":",G168)-2)/100))*0</f>
        <v>0</v>
      </c>
      <c r="I169" s="29">
        <f>G167*H169</f>
        <v>0</v>
      </c>
      <c r="J169">
        <v>3</v>
      </c>
      <c r="K169" s="4">
        <v>0</v>
      </c>
      <c r="L169" s="4">
        <v>0</v>
      </c>
      <c r="M169" s="4">
        <f>I169-K169-L169</f>
        <v>0</v>
      </c>
    </row>
    <row r="170" spans="1:19" x14ac:dyDescent="0.3">
      <c r="A170" s="98"/>
      <c r="B170" s="98"/>
      <c r="C170" s="98"/>
      <c r="D170" s="98"/>
      <c r="E170" s="98"/>
      <c r="F170" s="98"/>
      <c r="G170" s="98"/>
      <c r="H170" s="38">
        <f>0</f>
        <v>0</v>
      </c>
      <c r="I170" s="29">
        <f>G167*H170</f>
        <v>0</v>
      </c>
      <c r="J170">
        <v>4</v>
      </c>
      <c r="N170" s="4">
        <f>IF(ISERR(SEARCH("TRA* 82",C167)),IF(Q170+R170+S170=0,0,I170*(Q170/(Q170+R170+S170))),I170)</f>
        <v>0</v>
      </c>
      <c r="O170" s="4">
        <f>IF(ISERR(SEARCH("TRA* 82",C167)),IF(Q170+R170+S170=0,0,I170*(R170/(Q170+R170+S170))),0)</f>
        <v>0</v>
      </c>
      <c r="P170" s="4">
        <f>IF(ISERR(SEARCH("TRA* 82",C167)),I170-N170-O170,0)</f>
        <v>0</v>
      </c>
      <c r="Q170" s="4">
        <v>0</v>
      </c>
      <c r="R170" s="4">
        <v>0</v>
      </c>
      <c r="S170" s="4">
        <v>0</v>
      </c>
    </row>
    <row r="171" spans="1:19" x14ac:dyDescent="0.3">
      <c r="A171" s="96" t="s">
        <v>27</v>
      </c>
      <c r="B171" s="97"/>
      <c r="C171" s="97"/>
      <c r="D171" s="97"/>
      <c r="E171" s="97"/>
      <c r="F171" s="97"/>
      <c r="G171" s="97"/>
      <c r="H171" s="36">
        <f>H167+H168+H169+H170</f>
        <v>164.63771929824563</v>
      </c>
      <c r="I171" s="74">
        <f>I167+I168+I169+I170</f>
        <v>9384.35</v>
      </c>
      <c r="J171">
        <v>5</v>
      </c>
    </row>
    <row r="172" spans="1:19" x14ac:dyDescent="0.3">
      <c r="B172" s="2">
        <v>29</v>
      </c>
      <c r="C172" s="3" t="s">
        <v>166</v>
      </c>
      <c r="D172" s="5" t="s">
        <v>29</v>
      </c>
      <c r="G172" s="30">
        <v>57</v>
      </c>
      <c r="H172" s="38">
        <f>3525.24/G172</f>
        <v>61.846315789473678</v>
      </c>
      <c r="I172" s="29">
        <f>G172*H172</f>
        <v>3525.24</v>
      </c>
      <c r="J172">
        <v>1</v>
      </c>
    </row>
    <row r="173" spans="1:19" x14ac:dyDescent="0.3">
      <c r="D173" s="15" t="str">
        <f>SUBSTITUTE("Sp.mat: 0.00%",".",IF(VALUE("1.2")=1.2,".",","),2)</f>
        <v>Sp.mat: 0.00%</v>
      </c>
      <c r="F173" s="15" t="str">
        <f>SUBSTITUTE("Sp.man: 0.00%",".",IF(VALUE("1.2")=1.2,".",","),2)</f>
        <v>Sp.man: 0.00%</v>
      </c>
      <c r="G173" s="35" t="str">
        <f>SUBSTITUTE("Sp.uti: 0.00%",".",IF(VALUE("1.2")=1.2,".",","),2)</f>
        <v>Sp.uti: 0.00%</v>
      </c>
      <c r="H173" s="38">
        <f>1479.01/G172</f>
        <v>25.947543859649123</v>
      </c>
      <c r="I173" s="29">
        <f>G172*H173</f>
        <v>1479.01</v>
      </c>
      <c r="J173">
        <v>2</v>
      </c>
    </row>
    <row r="174" spans="1:19" x14ac:dyDescent="0.3">
      <c r="A174" s="88" t="s">
        <v>167</v>
      </c>
      <c r="B174" s="98"/>
      <c r="C174" s="98"/>
      <c r="D174" s="98"/>
      <c r="E174" s="98"/>
      <c r="F174" s="98"/>
      <c r="G174" s="98"/>
      <c r="H174" s="38">
        <f>(1+IF(OR(ISERR(FIND(":",G173)),ISERR(FIND("%",G173))),0,MID(G173,FIND(":",G173)+2,FIND("%",G173)-FIND(":",G173)-2)/100))*0</f>
        <v>0</v>
      </c>
      <c r="I174" s="29">
        <f>G172*H174</f>
        <v>0</v>
      </c>
      <c r="J174">
        <v>3</v>
      </c>
      <c r="K174" s="4">
        <v>0</v>
      </c>
      <c r="L174" s="4">
        <v>0</v>
      </c>
      <c r="M174" s="4">
        <f>I174-K174-L174</f>
        <v>0</v>
      </c>
    </row>
    <row r="175" spans="1:19" x14ac:dyDescent="0.3">
      <c r="A175" s="98"/>
      <c r="B175" s="98"/>
      <c r="C175" s="98"/>
      <c r="D175" s="98"/>
      <c r="E175" s="98"/>
      <c r="F175" s="98"/>
      <c r="G175" s="98"/>
      <c r="H175" s="38">
        <f>0</f>
        <v>0</v>
      </c>
      <c r="I175" s="29">
        <f>G172*H175</f>
        <v>0</v>
      </c>
      <c r="J175">
        <v>4</v>
      </c>
      <c r="N175" s="4">
        <f>IF(ISERR(SEARCH("TRA* 82",C172)),IF(Q175+R175+S175=0,0,I175*(Q175/(Q175+R175+S175))),I175)</f>
        <v>0</v>
      </c>
      <c r="O175" s="4">
        <f>IF(ISERR(SEARCH("TRA* 82",C172)),IF(Q175+R175+S175=0,0,I175*(R175/(Q175+R175+S175))),0)</f>
        <v>0</v>
      </c>
      <c r="P175" s="4">
        <f>IF(ISERR(SEARCH("TRA* 82",C172)),I175-N175-O175,0)</f>
        <v>0</v>
      </c>
      <c r="Q175" s="4">
        <v>0</v>
      </c>
      <c r="R175" s="4">
        <v>0</v>
      </c>
      <c r="S175" s="4">
        <v>0</v>
      </c>
    </row>
    <row r="176" spans="1:19" x14ac:dyDescent="0.3">
      <c r="A176" s="100" t="s">
        <v>87</v>
      </c>
      <c r="B176" s="101"/>
      <c r="C176" s="101"/>
      <c r="D176" s="101"/>
      <c r="E176" s="101"/>
      <c r="F176" s="101"/>
      <c r="G176" s="101"/>
      <c r="H176" s="33">
        <f>H172+H173+H174+H175</f>
        <v>87.793859649122794</v>
      </c>
      <c r="I176" s="76">
        <f>I172+I173+I174+I175</f>
        <v>5004.25</v>
      </c>
      <c r="J176">
        <v>5</v>
      </c>
    </row>
    <row r="177" spans="1:19" x14ac:dyDescent="0.3">
      <c r="A177" s="99" t="s">
        <v>168</v>
      </c>
      <c r="B177" s="99"/>
      <c r="C177" s="99"/>
      <c r="D177" s="99"/>
      <c r="E177" s="99"/>
      <c r="F177" s="99"/>
      <c r="G177" s="99"/>
      <c r="H177" s="99"/>
      <c r="I177" s="99"/>
    </row>
    <row r="178" spans="1:19" x14ac:dyDescent="0.3">
      <c r="B178" s="2">
        <v>30</v>
      </c>
      <c r="C178" s="3" t="s">
        <v>169</v>
      </c>
      <c r="D178" s="5" t="s">
        <v>29</v>
      </c>
      <c r="G178" s="30">
        <v>57</v>
      </c>
      <c r="H178" s="38">
        <f>3497.25/G178</f>
        <v>61.35526315789474</v>
      </c>
      <c r="I178" s="29">
        <f>G178*H178</f>
        <v>3497.25</v>
      </c>
      <c r="J178">
        <v>1</v>
      </c>
    </row>
    <row r="179" spans="1:19" x14ac:dyDescent="0.3">
      <c r="D179" s="15" t="str">
        <f>SUBSTITUTE("Sp.mat: 0.00%",".",IF(VALUE("1.2")=1.2,".",","),2)</f>
        <v>Sp.mat: 0.00%</v>
      </c>
      <c r="F179" s="15" t="str">
        <f>SUBSTITUTE("Sp.man: 0.00%",".",IF(VALUE("1.2")=1.2,".",","),2)</f>
        <v>Sp.man: 0.00%</v>
      </c>
      <c r="G179" s="35" t="str">
        <f>SUBSTITUTE("Sp.uti: 0.00%",".",IF(VALUE("1.2")=1.2,".",","),2)</f>
        <v>Sp.uti: 0.00%</v>
      </c>
      <c r="H179" s="38">
        <f>721.25/G178</f>
        <v>12.653508771929825</v>
      </c>
      <c r="I179" s="29">
        <f>G178*H179</f>
        <v>721.25</v>
      </c>
      <c r="J179">
        <v>2</v>
      </c>
    </row>
    <row r="180" spans="1:19" x14ac:dyDescent="0.3">
      <c r="A180" s="88" t="s">
        <v>170</v>
      </c>
      <c r="B180" s="98"/>
      <c r="C180" s="98"/>
      <c r="D180" s="98"/>
      <c r="E180" s="98"/>
      <c r="F180" s="98"/>
      <c r="G180" s="98"/>
      <c r="H180" s="38">
        <f>(1+IF(OR(ISERR(FIND(":",G179)),ISERR(FIND("%",G179))),0,MID(G179,FIND(":",G179)+2,FIND("%",G179)-FIND(":",G179)-2)/100))*0</f>
        <v>0</v>
      </c>
      <c r="I180" s="29">
        <f>G178*H180</f>
        <v>0</v>
      </c>
      <c r="J180">
        <v>3</v>
      </c>
      <c r="K180" s="4">
        <v>0</v>
      </c>
      <c r="L180" s="4">
        <v>0</v>
      </c>
      <c r="M180" s="4">
        <f>I180-K180-L180</f>
        <v>0</v>
      </c>
    </row>
    <row r="181" spans="1:19" x14ac:dyDescent="0.3">
      <c r="A181" s="98"/>
      <c r="B181" s="98"/>
      <c r="C181" s="98"/>
      <c r="D181" s="98"/>
      <c r="E181" s="98"/>
      <c r="F181" s="98"/>
      <c r="G181" s="98"/>
      <c r="H181" s="38">
        <f>0</f>
        <v>0</v>
      </c>
      <c r="I181" s="29">
        <f>G178*H181</f>
        <v>0</v>
      </c>
      <c r="J181">
        <v>4</v>
      </c>
      <c r="N181" s="4">
        <f>IF(ISERR(SEARCH("TRA* 82",C178)),IF(Q181+R181+S181=0,0,I181*(Q181/(Q181+R181+S181))),I181)</f>
        <v>0</v>
      </c>
      <c r="O181" s="4">
        <f>IF(ISERR(SEARCH("TRA* 82",C178)),IF(Q181+R181+S181=0,0,I181*(R181/(Q181+R181+S181))),0)</f>
        <v>0</v>
      </c>
      <c r="P181" s="4">
        <f>IF(ISERR(SEARCH("TRA* 82",C178)),I181-N181-O181,0)</f>
        <v>0</v>
      </c>
      <c r="Q181" s="4">
        <v>0</v>
      </c>
      <c r="R181" s="4">
        <v>0</v>
      </c>
      <c r="S181" s="4">
        <v>0</v>
      </c>
    </row>
    <row r="182" spans="1:19" x14ac:dyDescent="0.3">
      <c r="A182" s="96" t="s">
        <v>27</v>
      </c>
      <c r="B182" s="97"/>
      <c r="C182" s="97"/>
      <c r="D182" s="97"/>
      <c r="E182" s="97"/>
      <c r="F182" s="97"/>
      <c r="G182" s="97"/>
      <c r="H182" s="36">
        <f>H178+H179+H180+H181</f>
        <v>74.008771929824562</v>
      </c>
      <c r="I182" s="74">
        <f>I178+I179+I180+I181</f>
        <v>4218.5</v>
      </c>
      <c r="J182">
        <v>5</v>
      </c>
    </row>
    <row r="183" spans="1:19" x14ac:dyDescent="0.3">
      <c r="B183" s="2">
        <v>31</v>
      </c>
      <c r="C183" s="3" t="s">
        <v>171</v>
      </c>
      <c r="D183" s="5" t="s">
        <v>29</v>
      </c>
      <c r="G183" s="30">
        <v>114</v>
      </c>
      <c r="H183" s="38">
        <f>1032.93/G183</f>
        <v>9.0607894736842116</v>
      </c>
      <c r="I183" s="29">
        <f>G183*H183</f>
        <v>1032.93</v>
      </c>
      <c r="J183">
        <v>1</v>
      </c>
    </row>
    <row r="184" spans="1:19" x14ac:dyDescent="0.3">
      <c r="D184" s="15" t="str">
        <f>SUBSTITUTE("Sp.mat: 0.00%",".",IF(VALUE("1.2")=1.2,".",","),2)</f>
        <v>Sp.mat: 0.00%</v>
      </c>
      <c r="F184" s="15" t="str">
        <f>SUBSTITUTE("Sp.man: 0.00%",".",IF(VALUE("1.2")=1.2,".",","),2)</f>
        <v>Sp.man: 0.00%</v>
      </c>
      <c r="G184" s="35" t="str">
        <f>SUBSTITUTE("Sp.uti: 0.00%",".",IF(VALUE("1.2")=1.2,".",","),2)</f>
        <v>Sp.uti: 0.00%</v>
      </c>
      <c r="H184" s="38">
        <f>529.52/G183</f>
        <v>4.644912280701754</v>
      </c>
      <c r="I184" s="29">
        <f>G183*H184</f>
        <v>529.52</v>
      </c>
      <c r="J184">
        <v>2</v>
      </c>
    </row>
    <row r="185" spans="1:19" x14ac:dyDescent="0.3">
      <c r="A185" s="88" t="s">
        <v>172</v>
      </c>
      <c r="B185" s="98"/>
      <c r="C185" s="98"/>
      <c r="D185" s="98"/>
      <c r="E185" s="98"/>
      <c r="F185" s="98"/>
      <c r="G185" s="98"/>
      <c r="H185" s="38">
        <f>(1+IF(OR(ISERR(FIND(":",G184)),ISERR(FIND("%",G184))),0,MID(G184,FIND(":",G184)+2,FIND("%",G184)-FIND(":",G184)-2)/100))*0</f>
        <v>0</v>
      </c>
      <c r="I185" s="29">
        <f>G183*H185</f>
        <v>0</v>
      </c>
      <c r="J185">
        <v>3</v>
      </c>
      <c r="K185" s="4">
        <v>0</v>
      </c>
      <c r="L185" s="4">
        <v>0</v>
      </c>
      <c r="M185" s="4">
        <f>I185-K185-L185</f>
        <v>0</v>
      </c>
    </row>
    <row r="186" spans="1:19" x14ac:dyDescent="0.3">
      <c r="A186" s="98"/>
      <c r="B186" s="98"/>
      <c r="C186" s="98"/>
      <c r="D186" s="98"/>
      <c r="E186" s="98"/>
      <c r="F186" s="98"/>
      <c r="G186" s="98"/>
      <c r="H186" s="38">
        <f>0</f>
        <v>0</v>
      </c>
      <c r="I186" s="29">
        <f>G183*H186</f>
        <v>0</v>
      </c>
      <c r="J186">
        <v>4</v>
      </c>
      <c r="N186" s="4">
        <f>IF(ISERR(SEARCH("TRA* 82",C183)),IF(Q186+R186+S186=0,0,I186*(Q186/(Q186+R186+S186))),I186)</f>
        <v>0</v>
      </c>
      <c r="O186" s="4">
        <f>IF(ISERR(SEARCH("TRA* 82",C183)),IF(Q186+R186+S186=0,0,I186*(R186/(Q186+R186+S186))),0)</f>
        <v>0</v>
      </c>
      <c r="P186" s="4">
        <f>IF(ISERR(SEARCH("TRA* 82",C183)),I186-N186-O186,0)</f>
        <v>0</v>
      </c>
      <c r="Q186" s="4">
        <v>0</v>
      </c>
      <c r="R186" s="4">
        <v>0</v>
      </c>
      <c r="S186" s="4">
        <v>0</v>
      </c>
    </row>
    <row r="187" spans="1:19" x14ac:dyDescent="0.3">
      <c r="A187" s="100" t="s">
        <v>87</v>
      </c>
      <c r="B187" s="101"/>
      <c r="C187" s="101"/>
      <c r="D187" s="101"/>
      <c r="E187" s="101"/>
      <c r="F187" s="101"/>
      <c r="G187" s="101"/>
      <c r="H187" s="33">
        <f>H183+H184+H185+H186</f>
        <v>13.705701754385966</v>
      </c>
      <c r="I187" s="37">
        <f>I183+I184+I185+I186</f>
        <v>1562.45</v>
      </c>
      <c r="J187">
        <v>5</v>
      </c>
    </row>
    <row r="188" spans="1:19" x14ac:dyDescent="0.3">
      <c r="A188" s="99" t="s">
        <v>173</v>
      </c>
      <c r="B188" s="99"/>
      <c r="C188" s="99"/>
      <c r="D188" s="99"/>
      <c r="E188" s="99"/>
      <c r="F188" s="99"/>
      <c r="G188" s="99"/>
      <c r="H188" s="99"/>
      <c r="I188" s="99"/>
    </row>
    <row r="189" spans="1:19" x14ac:dyDescent="0.3">
      <c r="B189" s="2">
        <v>32</v>
      </c>
      <c r="C189" s="3" t="s">
        <v>174</v>
      </c>
      <c r="D189" s="5" t="s">
        <v>29</v>
      </c>
      <c r="G189" s="30">
        <v>114</v>
      </c>
      <c r="H189" s="38">
        <f>840.59/G189</f>
        <v>7.3735964912280707</v>
      </c>
      <c r="I189" s="29">
        <f>G189*H189</f>
        <v>840.59</v>
      </c>
      <c r="J189">
        <v>1</v>
      </c>
    </row>
    <row r="190" spans="1:19" x14ac:dyDescent="0.3">
      <c r="D190" s="15" t="str">
        <f>SUBSTITUTE("Sp.mat: 0.00%",".",IF(VALUE("1.2")=1.2,".",","),2)</f>
        <v>Sp.mat: 0.00%</v>
      </c>
      <c r="F190" s="15" t="str">
        <f>SUBSTITUTE("Sp.man: 0.00%",".",IF(VALUE("1.2")=1.2,".",","),2)</f>
        <v>Sp.man: 0.00%</v>
      </c>
      <c r="G190" s="35" t="str">
        <f>SUBSTITUTE("Sp.uti: 0.00%",".",IF(VALUE("1.2")=1.2,".",","),2)</f>
        <v>Sp.uti: 0.00%</v>
      </c>
      <c r="H190" s="38">
        <f>292.15/G189</f>
        <v>2.562719298245614</v>
      </c>
      <c r="I190" s="29">
        <f>G189*H190</f>
        <v>292.14999999999998</v>
      </c>
      <c r="J190">
        <v>2</v>
      </c>
    </row>
    <row r="191" spans="1:19" x14ac:dyDescent="0.3">
      <c r="A191" s="88" t="s">
        <v>893</v>
      </c>
      <c r="B191" s="98"/>
      <c r="C191" s="98"/>
      <c r="D191" s="98"/>
      <c r="E191" s="98"/>
      <c r="F191" s="98"/>
      <c r="G191" s="98"/>
      <c r="H191" s="38">
        <f>(1+IF(OR(ISERR(FIND(":",G190)),ISERR(FIND("%",G190))),0,MID(G190,FIND(":",G190)+2,FIND("%",G190)-FIND(":",G190)-2)/100))*0</f>
        <v>0</v>
      </c>
      <c r="I191" s="29">
        <f>G189*H191</f>
        <v>0</v>
      </c>
      <c r="J191">
        <v>3</v>
      </c>
      <c r="K191" s="4">
        <v>0</v>
      </c>
      <c r="L191" s="4">
        <v>0</v>
      </c>
      <c r="M191" s="4">
        <f>I191-K191-L191</f>
        <v>0</v>
      </c>
    </row>
    <row r="192" spans="1:19" x14ac:dyDescent="0.3">
      <c r="A192" s="98"/>
      <c r="B192" s="98"/>
      <c r="C192" s="98"/>
      <c r="D192" s="98"/>
      <c r="E192" s="98"/>
      <c r="F192" s="98"/>
      <c r="G192" s="98"/>
      <c r="H192" s="38">
        <f>0</f>
        <v>0</v>
      </c>
      <c r="I192" s="29">
        <f>G189*H192</f>
        <v>0</v>
      </c>
      <c r="J192">
        <v>4</v>
      </c>
      <c r="N192" s="4">
        <f>IF(ISERR(SEARCH("TRA* 82",C189)),IF(Q192+R192+S192=0,0,I192*(Q192/(Q192+R192+S192))),I192)</f>
        <v>0</v>
      </c>
      <c r="O192" s="4">
        <f>IF(ISERR(SEARCH("TRA* 82",C189)),IF(Q192+R192+S192=0,0,I192*(R192/(Q192+R192+S192))),0)</f>
        <v>0</v>
      </c>
      <c r="P192" s="4">
        <f>IF(ISERR(SEARCH("TRA* 82",C189)),I192-N192-O192,0)</f>
        <v>0</v>
      </c>
      <c r="Q192" s="4">
        <v>0</v>
      </c>
      <c r="R192" s="4">
        <v>0</v>
      </c>
      <c r="S192" s="4">
        <v>0</v>
      </c>
    </row>
    <row r="193" spans="1:19" x14ac:dyDescent="0.3">
      <c r="A193" s="100" t="s">
        <v>87</v>
      </c>
      <c r="B193" s="101"/>
      <c r="C193" s="101"/>
      <c r="D193" s="101"/>
      <c r="E193" s="101"/>
      <c r="F193" s="101"/>
      <c r="G193" s="101"/>
      <c r="H193" s="33">
        <f>H189+H190+H191+H192</f>
        <v>9.9363157894736851</v>
      </c>
      <c r="I193" s="37">
        <f>I189+I190+I191+I192</f>
        <v>1132.74</v>
      </c>
      <c r="J193">
        <v>5</v>
      </c>
    </row>
    <row r="194" spans="1:19" x14ac:dyDescent="0.3">
      <c r="A194" s="99" t="s">
        <v>176</v>
      </c>
      <c r="B194" s="99"/>
      <c r="C194" s="99"/>
      <c r="D194" s="99"/>
      <c r="E194" s="99"/>
      <c r="F194" s="99"/>
      <c r="G194" s="99"/>
      <c r="H194" s="99"/>
      <c r="I194" s="99"/>
    </row>
    <row r="195" spans="1:19" x14ac:dyDescent="0.3">
      <c r="B195" s="2">
        <v>33</v>
      </c>
      <c r="C195" s="3" t="s">
        <v>164</v>
      </c>
      <c r="D195" s="5" t="s">
        <v>29</v>
      </c>
      <c r="G195" s="30">
        <v>2</v>
      </c>
      <c r="H195" s="38">
        <f>495.04/G195</f>
        <v>247.52</v>
      </c>
      <c r="I195" s="29">
        <f>G195*H195</f>
        <v>495.04</v>
      </c>
      <c r="J195">
        <v>1</v>
      </c>
    </row>
    <row r="196" spans="1:19" x14ac:dyDescent="0.3">
      <c r="D196" s="15" t="str">
        <f>SUBSTITUTE("Sp.mat: 0.00%",".",IF(VALUE("1.2")=1.2,".",","),2)</f>
        <v>Sp.mat: 0.00%</v>
      </c>
      <c r="F196" s="15" t="str">
        <f>SUBSTITUTE("Sp.man: 0.00%",".",IF(VALUE("1.2")=1.2,".",","),2)</f>
        <v>Sp.man: 0.00%</v>
      </c>
      <c r="G196" s="35" t="str">
        <f>SUBSTITUTE("Sp.uti: 0.00%",".",IF(VALUE("1.2")=1.2,".",","),2)</f>
        <v>Sp.uti: 0.00%</v>
      </c>
      <c r="H196" s="38">
        <f>59.26/G195</f>
        <v>29.63</v>
      </c>
      <c r="I196" s="29">
        <f>G195*H196</f>
        <v>59.26</v>
      </c>
      <c r="J196">
        <v>2</v>
      </c>
    </row>
    <row r="197" spans="1:19" x14ac:dyDescent="0.3">
      <c r="A197" s="88" t="s">
        <v>165</v>
      </c>
      <c r="B197" s="98"/>
      <c r="C197" s="98"/>
      <c r="D197" s="98"/>
      <c r="E197" s="98"/>
      <c r="F197" s="98"/>
      <c r="G197" s="98"/>
      <c r="H197" s="38">
        <f>(1+IF(OR(ISERR(FIND(":",G196)),ISERR(FIND("%",G196))),0,MID(G196,FIND(":",G196)+2,FIND("%",G196)-FIND(":",G196)-2)/100))*0</f>
        <v>0</v>
      </c>
      <c r="I197" s="29">
        <f>G195*H197</f>
        <v>0</v>
      </c>
      <c r="J197">
        <v>3</v>
      </c>
      <c r="K197" s="4">
        <v>0</v>
      </c>
      <c r="L197" s="4">
        <v>0</v>
      </c>
      <c r="M197" s="4">
        <f>I197-K197-L197</f>
        <v>0</v>
      </c>
    </row>
    <row r="198" spans="1:19" x14ac:dyDescent="0.3">
      <c r="A198" s="98"/>
      <c r="B198" s="98"/>
      <c r="C198" s="98"/>
      <c r="D198" s="98"/>
      <c r="E198" s="98"/>
      <c r="F198" s="98"/>
      <c r="G198" s="98"/>
      <c r="H198" s="38">
        <f>0</f>
        <v>0</v>
      </c>
      <c r="I198" s="29">
        <f>G195*H198</f>
        <v>0</v>
      </c>
      <c r="J198">
        <v>4</v>
      </c>
      <c r="N198" s="4">
        <f>IF(ISERR(SEARCH("TRA* 82",C195)),IF(Q198+R198+S198=0,0,I198*(Q198/(Q198+R198+S198))),I198)</f>
        <v>0</v>
      </c>
      <c r="O198" s="4">
        <f>IF(ISERR(SEARCH("TRA* 82",C195)),IF(Q198+R198+S198=0,0,I198*(R198/(Q198+R198+S198))),0)</f>
        <v>0</v>
      </c>
      <c r="P198" s="4">
        <f>IF(ISERR(SEARCH("TRA* 82",C195)),I198-N198-O198,0)</f>
        <v>0</v>
      </c>
      <c r="Q198" s="4">
        <v>0</v>
      </c>
      <c r="R198" s="4">
        <v>0</v>
      </c>
      <c r="S198" s="4">
        <v>0</v>
      </c>
    </row>
    <row r="199" spans="1:19" x14ac:dyDescent="0.3">
      <c r="A199" s="100" t="s">
        <v>87</v>
      </c>
      <c r="B199" s="101"/>
      <c r="C199" s="101"/>
      <c r="D199" s="101"/>
      <c r="E199" s="101"/>
      <c r="F199" s="101"/>
      <c r="G199" s="101"/>
      <c r="H199" s="33">
        <f>H195+H196+H197+H198</f>
        <v>277.15000000000003</v>
      </c>
      <c r="I199" s="37">
        <f>I195+I196+I197+I198</f>
        <v>554.30000000000007</v>
      </c>
      <c r="J199">
        <v>5</v>
      </c>
    </row>
    <row r="200" spans="1:19" x14ac:dyDescent="0.3">
      <c r="A200" s="99" t="s">
        <v>177</v>
      </c>
      <c r="B200" s="99"/>
      <c r="C200" s="99"/>
      <c r="D200" s="99"/>
      <c r="E200" s="99"/>
      <c r="F200" s="99"/>
      <c r="G200" s="99"/>
      <c r="H200" s="99"/>
      <c r="I200" s="99"/>
    </row>
    <row r="201" spans="1:19" x14ac:dyDescent="0.3">
      <c r="B201" s="2">
        <v>34</v>
      </c>
      <c r="C201" s="3" t="s">
        <v>178</v>
      </c>
      <c r="D201" s="5" t="s">
        <v>29</v>
      </c>
      <c r="G201" s="30">
        <v>2</v>
      </c>
      <c r="H201" s="38">
        <f>109.2/G201</f>
        <v>54.6</v>
      </c>
      <c r="I201" s="29">
        <f>G201*H201</f>
        <v>109.2</v>
      </c>
      <c r="J201">
        <v>1</v>
      </c>
    </row>
    <row r="202" spans="1:19" x14ac:dyDescent="0.3">
      <c r="D202" s="15" t="str">
        <f>SUBSTITUTE("Sp.mat: 0.00%",".",IF(VALUE("1.2")=1.2,".",","),2)</f>
        <v>Sp.mat: 0.00%</v>
      </c>
      <c r="F202" s="15" t="str">
        <f>SUBSTITUTE("Sp.man: 0.00%",".",IF(VALUE("1.2")=1.2,".",","),2)</f>
        <v>Sp.man: 0.00%</v>
      </c>
      <c r="G202" s="35" t="str">
        <f>SUBSTITUTE("Sp.uti: 0.00%",".",IF(VALUE("1.2")=1.2,".",","),2)</f>
        <v>Sp.uti: 0.00%</v>
      </c>
      <c r="H202" s="38">
        <f>11.21/G201</f>
        <v>5.6050000000000004</v>
      </c>
      <c r="I202" s="29">
        <f>G201*H202</f>
        <v>11.21</v>
      </c>
      <c r="J202">
        <v>2</v>
      </c>
    </row>
    <row r="203" spans="1:19" x14ac:dyDescent="0.3">
      <c r="A203" s="88" t="s">
        <v>179</v>
      </c>
      <c r="B203" s="98"/>
      <c r="C203" s="98"/>
      <c r="D203" s="98"/>
      <c r="E203" s="98"/>
      <c r="F203" s="98"/>
      <c r="G203" s="98"/>
      <c r="H203" s="38">
        <f>(1+IF(OR(ISERR(FIND(":",G202)),ISERR(FIND("%",G202))),0,MID(G202,FIND(":",G202)+2,FIND("%",G202)-FIND(":",G202)-2)/100))*0</f>
        <v>0</v>
      </c>
      <c r="I203" s="29">
        <f>G201*H203</f>
        <v>0</v>
      </c>
      <c r="J203">
        <v>3</v>
      </c>
      <c r="K203" s="4">
        <v>0</v>
      </c>
      <c r="L203" s="4">
        <v>0</v>
      </c>
      <c r="M203" s="4">
        <f>I203-K203-L203</f>
        <v>0</v>
      </c>
    </row>
    <row r="204" spans="1:19" x14ac:dyDescent="0.3">
      <c r="A204" s="98"/>
      <c r="B204" s="98"/>
      <c r="C204" s="98"/>
      <c r="D204" s="98"/>
      <c r="E204" s="98"/>
      <c r="F204" s="98"/>
      <c r="G204" s="98"/>
      <c r="H204" s="38">
        <f>0</f>
        <v>0</v>
      </c>
      <c r="I204" s="29">
        <f>G201*H204</f>
        <v>0</v>
      </c>
      <c r="J204">
        <v>4</v>
      </c>
      <c r="N204" s="4">
        <f>IF(ISERR(SEARCH("TRA* 82",C201)),IF(Q204+R204+S204=0,0,I204*(Q204/(Q204+R204+S204))),I204)</f>
        <v>0</v>
      </c>
      <c r="O204" s="4">
        <f>IF(ISERR(SEARCH("TRA* 82",C201)),IF(Q204+R204+S204=0,0,I204*(R204/(Q204+R204+S204))),0)</f>
        <v>0</v>
      </c>
      <c r="P204" s="4">
        <f>IF(ISERR(SEARCH("TRA* 82",C201)),I204-N204-O204,0)</f>
        <v>0</v>
      </c>
      <c r="Q204" s="4">
        <v>0</v>
      </c>
      <c r="R204" s="4">
        <v>0</v>
      </c>
      <c r="S204" s="4">
        <v>0</v>
      </c>
    </row>
    <row r="205" spans="1:19" x14ac:dyDescent="0.3">
      <c r="A205" s="96" t="s">
        <v>27</v>
      </c>
      <c r="B205" s="97"/>
      <c r="C205" s="97"/>
      <c r="D205" s="97"/>
      <c r="E205" s="97"/>
      <c r="F205" s="97"/>
      <c r="G205" s="97"/>
      <c r="H205" s="36">
        <f>H201+H202+H203+H204</f>
        <v>60.204999999999998</v>
      </c>
      <c r="I205" s="74">
        <f>I201+I202+I203+I204</f>
        <v>120.41</v>
      </c>
      <c r="J205">
        <v>5</v>
      </c>
    </row>
    <row r="206" spans="1:19" x14ac:dyDescent="0.3">
      <c r="B206" s="2">
        <v>35</v>
      </c>
      <c r="C206" s="3" t="s">
        <v>166</v>
      </c>
      <c r="D206" s="5" t="s">
        <v>29</v>
      </c>
      <c r="G206" s="30">
        <v>2</v>
      </c>
      <c r="H206" s="38">
        <f>123.69/G206</f>
        <v>61.844999999999999</v>
      </c>
      <c r="I206" s="29">
        <f>G206*H206</f>
        <v>123.69</v>
      </c>
      <c r="J206">
        <v>1</v>
      </c>
    </row>
    <row r="207" spans="1:19" x14ac:dyDescent="0.3">
      <c r="D207" s="15" t="str">
        <f>SUBSTITUTE("Sp.mat: 0.00%",".",IF(VALUE("1.2")=1.2,".",","),2)</f>
        <v>Sp.mat: 0.00%</v>
      </c>
      <c r="F207" s="15" t="str">
        <f>SUBSTITUTE("Sp.man: 0.00%",".",IF(VALUE("1.2")=1.2,".",","),2)</f>
        <v>Sp.man: 0.00%</v>
      </c>
      <c r="G207" s="35" t="str">
        <f>SUBSTITUTE("Sp.uti: 0.00%",".",IF(VALUE("1.2")=1.2,".",","),2)</f>
        <v>Sp.uti: 0.00%</v>
      </c>
      <c r="H207" s="38">
        <f>51.9/G206</f>
        <v>25.95</v>
      </c>
      <c r="I207" s="29">
        <f>G206*H207</f>
        <v>51.9</v>
      </c>
      <c r="J207">
        <v>2</v>
      </c>
    </row>
    <row r="208" spans="1:19" x14ac:dyDescent="0.3">
      <c r="A208" s="88" t="s">
        <v>167</v>
      </c>
      <c r="B208" s="98"/>
      <c r="C208" s="98"/>
      <c r="D208" s="98"/>
      <c r="E208" s="98"/>
      <c r="F208" s="98"/>
      <c r="G208" s="98"/>
      <c r="H208" s="38">
        <f>(1+IF(OR(ISERR(FIND(":",G207)),ISERR(FIND("%",G207))),0,MID(G207,FIND(":",G207)+2,FIND("%",G207)-FIND(":",G207)-2)/100))*0</f>
        <v>0</v>
      </c>
      <c r="I208" s="29">
        <f>G206*H208</f>
        <v>0</v>
      </c>
      <c r="J208">
        <v>3</v>
      </c>
      <c r="K208" s="4">
        <v>0</v>
      </c>
      <c r="L208" s="4">
        <v>0</v>
      </c>
      <c r="M208" s="4">
        <f>I208-K208-L208</f>
        <v>0</v>
      </c>
    </row>
    <row r="209" spans="1:19" x14ac:dyDescent="0.3">
      <c r="A209" s="98"/>
      <c r="B209" s="98"/>
      <c r="C209" s="98"/>
      <c r="D209" s="98"/>
      <c r="E209" s="98"/>
      <c r="F209" s="98"/>
      <c r="G209" s="98"/>
      <c r="H209" s="38">
        <f>0</f>
        <v>0</v>
      </c>
      <c r="I209" s="29">
        <f>G206*H209</f>
        <v>0</v>
      </c>
      <c r="J209">
        <v>4</v>
      </c>
      <c r="N209" s="4">
        <f>IF(ISERR(SEARCH("TRA* 82",C206)),IF(Q209+R209+S209=0,0,I209*(Q209/(Q209+R209+S209))),I209)</f>
        <v>0</v>
      </c>
      <c r="O209" s="4">
        <f>IF(ISERR(SEARCH("TRA* 82",C206)),IF(Q209+R209+S209=0,0,I209*(R209/(Q209+R209+S209))),0)</f>
        <v>0</v>
      </c>
      <c r="P209" s="4">
        <f>IF(ISERR(SEARCH("TRA* 82",C206)),I209-N209-O209,0)</f>
        <v>0</v>
      </c>
      <c r="Q209" s="4">
        <v>0</v>
      </c>
      <c r="R209" s="4">
        <v>0</v>
      </c>
      <c r="S209" s="4">
        <v>0</v>
      </c>
    </row>
    <row r="210" spans="1:19" x14ac:dyDescent="0.3">
      <c r="A210" s="100" t="s">
        <v>87</v>
      </c>
      <c r="B210" s="101"/>
      <c r="C210" s="101"/>
      <c r="D210" s="101"/>
      <c r="E210" s="101"/>
      <c r="F210" s="101"/>
      <c r="G210" s="101"/>
      <c r="H210" s="33">
        <f>H206+H207+H208+H209</f>
        <v>87.795000000000002</v>
      </c>
      <c r="I210" s="37">
        <f>I206+I207+I208+I209</f>
        <v>175.59</v>
      </c>
      <c r="J210">
        <v>5</v>
      </c>
    </row>
    <row r="211" spans="1:19" x14ac:dyDescent="0.3">
      <c r="A211" s="99" t="s">
        <v>168</v>
      </c>
      <c r="B211" s="99"/>
      <c r="C211" s="99"/>
      <c r="D211" s="99"/>
      <c r="E211" s="99"/>
      <c r="F211" s="99"/>
      <c r="G211" s="99"/>
      <c r="H211" s="99"/>
      <c r="I211" s="99"/>
    </row>
    <row r="212" spans="1:19" x14ac:dyDescent="0.3">
      <c r="B212" s="2">
        <v>36</v>
      </c>
      <c r="C212" s="3" t="s">
        <v>169</v>
      </c>
      <c r="D212" s="5" t="s">
        <v>29</v>
      </c>
      <c r="G212" s="30">
        <v>2</v>
      </c>
      <c r="H212" s="38">
        <f>122.71/G212</f>
        <v>61.354999999999997</v>
      </c>
      <c r="I212" s="29">
        <f>G212*H212</f>
        <v>122.71</v>
      </c>
      <c r="J212">
        <v>1</v>
      </c>
    </row>
    <row r="213" spans="1:19" x14ac:dyDescent="0.3">
      <c r="D213" s="15" t="str">
        <f>SUBSTITUTE("Sp.mat: 0.00%",".",IF(VALUE("1.2")=1.2,".",","),2)</f>
        <v>Sp.mat: 0.00%</v>
      </c>
      <c r="F213" s="15" t="str">
        <f>SUBSTITUTE("Sp.man: 0.00%",".",IF(VALUE("1.2")=1.2,".",","),2)</f>
        <v>Sp.man: 0.00%</v>
      </c>
      <c r="G213" s="35" t="str">
        <f>SUBSTITUTE("Sp.uti: 0.00%",".",IF(VALUE("1.2")=1.2,".",","),2)</f>
        <v>Sp.uti: 0.00%</v>
      </c>
      <c r="H213" s="38">
        <f>25.31/G212</f>
        <v>12.654999999999999</v>
      </c>
      <c r="I213" s="29">
        <f>G212*H213</f>
        <v>25.31</v>
      </c>
      <c r="J213">
        <v>2</v>
      </c>
    </row>
    <row r="214" spans="1:19" x14ac:dyDescent="0.3">
      <c r="A214" s="88" t="s">
        <v>170</v>
      </c>
      <c r="B214" s="98"/>
      <c r="C214" s="98"/>
      <c r="D214" s="98"/>
      <c r="E214" s="98"/>
      <c r="F214" s="98"/>
      <c r="G214" s="98"/>
      <c r="H214" s="38">
        <f>(1+IF(OR(ISERR(FIND(":",G213)),ISERR(FIND("%",G213))),0,MID(G213,FIND(":",G213)+2,FIND("%",G213)-FIND(":",G213)-2)/100))*0</f>
        <v>0</v>
      </c>
      <c r="I214" s="29">
        <f>G212*H214</f>
        <v>0</v>
      </c>
      <c r="J214">
        <v>3</v>
      </c>
      <c r="K214" s="4">
        <v>0</v>
      </c>
      <c r="L214" s="4">
        <v>0</v>
      </c>
      <c r="M214" s="4">
        <f>I214-K214-L214</f>
        <v>0</v>
      </c>
    </row>
    <row r="215" spans="1:19" x14ac:dyDescent="0.3">
      <c r="A215" s="98"/>
      <c r="B215" s="98"/>
      <c r="C215" s="98"/>
      <c r="D215" s="98"/>
      <c r="E215" s="98"/>
      <c r="F215" s="98"/>
      <c r="G215" s="98"/>
      <c r="H215" s="38">
        <f>0</f>
        <v>0</v>
      </c>
      <c r="I215" s="29">
        <f>G212*H215</f>
        <v>0</v>
      </c>
      <c r="J215">
        <v>4</v>
      </c>
      <c r="N215" s="4">
        <f>IF(ISERR(SEARCH("TRA* 82",C212)),IF(Q215+R215+S215=0,0,I215*(Q215/(Q215+R215+S215))),I215)</f>
        <v>0</v>
      </c>
      <c r="O215" s="4">
        <f>IF(ISERR(SEARCH("TRA* 82",C212)),IF(Q215+R215+S215=0,0,I215*(R215/(Q215+R215+S215))),0)</f>
        <v>0</v>
      </c>
      <c r="P215" s="4">
        <f>IF(ISERR(SEARCH("TRA* 82",C212)),I215-N215-O215,0)</f>
        <v>0</v>
      </c>
      <c r="Q215" s="4">
        <v>0</v>
      </c>
      <c r="R215" s="4">
        <v>0</v>
      </c>
      <c r="S215" s="4">
        <v>0</v>
      </c>
    </row>
    <row r="216" spans="1:19" x14ac:dyDescent="0.3">
      <c r="A216" s="96" t="s">
        <v>27</v>
      </c>
      <c r="B216" s="97"/>
      <c r="C216" s="97"/>
      <c r="D216" s="97"/>
      <c r="E216" s="97"/>
      <c r="F216" s="97"/>
      <c r="G216" s="97"/>
      <c r="H216" s="36">
        <f>H212+H213+H214+H215</f>
        <v>74.009999999999991</v>
      </c>
      <c r="I216" s="74">
        <f>I212+I213+I214+I215</f>
        <v>148.01999999999998</v>
      </c>
      <c r="J216">
        <v>5</v>
      </c>
    </row>
    <row r="217" spans="1:19" x14ac:dyDescent="0.3">
      <c r="B217" s="2">
        <v>37</v>
      </c>
      <c r="C217" s="3" t="s">
        <v>171</v>
      </c>
      <c r="D217" s="5" t="s">
        <v>29</v>
      </c>
      <c r="G217" s="30">
        <v>4</v>
      </c>
      <c r="H217" s="38">
        <f>36.24/G217</f>
        <v>9.06</v>
      </c>
      <c r="I217" s="29">
        <f>G217*H217</f>
        <v>36.24</v>
      </c>
      <c r="J217">
        <v>1</v>
      </c>
    </row>
    <row r="218" spans="1:19" x14ac:dyDescent="0.3">
      <c r="D218" s="15" t="str">
        <f>SUBSTITUTE("Sp.mat: 0.00%",".",IF(VALUE("1.2")=1.2,".",","),2)</f>
        <v>Sp.mat: 0.00%</v>
      </c>
      <c r="F218" s="15" t="str">
        <f>SUBSTITUTE("Sp.man: 0.00%",".",IF(VALUE("1.2")=1.2,".",","),2)</f>
        <v>Sp.man: 0.00%</v>
      </c>
      <c r="G218" s="35" t="str">
        <f>SUBSTITUTE("Sp.uti: 0.00%",".",IF(VALUE("1.2")=1.2,".",","),2)</f>
        <v>Sp.uti: 0.00%</v>
      </c>
      <c r="H218" s="38">
        <f>18.58/G217</f>
        <v>4.6449999999999996</v>
      </c>
      <c r="I218" s="29">
        <f>G217*H218</f>
        <v>18.579999999999998</v>
      </c>
      <c r="J218">
        <v>2</v>
      </c>
    </row>
    <row r="219" spans="1:19" x14ac:dyDescent="0.3">
      <c r="A219" s="88" t="s">
        <v>172</v>
      </c>
      <c r="B219" s="98"/>
      <c r="C219" s="98"/>
      <c r="D219" s="98"/>
      <c r="E219" s="98"/>
      <c r="F219" s="98"/>
      <c r="G219" s="98"/>
      <c r="H219" s="38">
        <f>(1+IF(OR(ISERR(FIND(":",G218)),ISERR(FIND("%",G218))),0,MID(G218,FIND(":",G218)+2,FIND("%",G218)-FIND(":",G218)-2)/100))*0</f>
        <v>0</v>
      </c>
      <c r="I219" s="29">
        <f>G217*H219</f>
        <v>0</v>
      </c>
      <c r="J219">
        <v>3</v>
      </c>
      <c r="K219" s="4">
        <v>0</v>
      </c>
      <c r="L219" s="4">
        <v>0</v>
      </c>
      <c r="M219" s="4">
        <f>I219-K219-L219</f>
        <v>0</v>
      </c>
    </row>
    <row r="220" spans="1:19" x14ac:dyDescent="0.3">
      <c r="A220" s="98"/>
      <c r="B220" s="98"/>
      <c r="C220" s="98"/>
      <c r="D220" s="98"/>
      <c r="E220" s="98"/>
      <c r="F220" s="98"/>
      <c r="G220" s="98"/>
      <c r="H220" s="38">
        <f>0</f>
        <v>0</v>
      </c>
      <c r="I220" s="29">
        <f>G217*H220</f>
        <v>0</v>
      </c>
      <c r="J220">
        <v>4</v>
      </c>
      <c r="N220" s="4">
        <f>IF(ISERR(SEARCH("TRA* 82",C217)),IF(Q220+R220+S220=0,0,I220*(Q220/(Q220+R220+S220))),I220)</f>
        <v>0</v>
      </c>
      <c r="O220" s="4">
        <f>IF(ISERR(SEARCH("TRA* 82",C217)),IF(Q220+R220+S220=0,0,I220*(R220/(Q220+R220+S220))),0)</f>
        <v>0</v>
      </c>
      <c r="P220" s="4">
        <f>IF(ISERR(SEARCH("TRA* 82",C217)),I220-N220-O220,0)</f>
        <v>0</v>
      </c>
      <c r="Q220" s="4">
        <v>0</v>
      </c>
      <c r="R220" s="4">
        <v>0</v>
      </c>
      <c r="S220" s="4">
        <v>0</v>
      </c>
    </row>
    <row r="221" spans="1:19" x14ac:dyDescent="0.3">
      <c r="A221" s="100" t="s">
        <v>87</v>
      </c>
      <c r="B221" s="101"/>
      <c r="C221" s="101"/>
      <c r="D221" s="101"/>
      <c r="E221" s="101"/>
      <c r="F221" s="101"/>
      <c r="G221" s="101"/>
      <c r="H221" s="33">
        <f>H217+H218+H219+H220</f>
        <v>13.705</v>
      </c>
      <c r="I221" s="37">
        <f>I217+I218+I219+I220</f>
        <v>54.82</v>
      </c>
      <c r="J221">
        <v>5</v>
      </c>
    </row>
    <row r="222" spans="1:19" x14ac:dyDescent="0.3">
      <c r="A222" s="99" t="s">
        <v>173</v>
      </c>
      <c r="B222" s="99"/>
      <c r="C222" s="99"/>
      <c r="D222" s="99"/>
      <c r="E222" s="99"/>
      <c r="F222" s="99"/>
      <c r="G222" s="99"/>
      <c r="H222" s="99"/>
      <c r="I222" s="99"/>
    </row>
    <row r="223" spans="1:19" x14ac:dyDescent="0.3">
      <c r="B223" s="2">
        <v>38</v>
      </c>
      <c r="C223" s="3" t="s">
        <v>174</v>
      </c>
      <c r="D223" s="5" t="s">
        <v>29</v>
      </c>
      <c r="G223" s="30">
        <v>4</v>
      </c>
      <c r="H223" s="38">
        <f>29.35/G223</f>
        <v>7.3375000000000004</v>
      </c>
      <c r="I223" s="29">
        <f>G223*H223</f>
        <v>29.35</v>
      </c>
      <c r="J223">
        <v>1</v>
      </c>
    </row>
    <row r="224" spans="1:19" x14ac:dyDescent="0.3">
      <c r="D224" s="15" t="str">
        <f>SUBSTITUTE("Sp.mat: 0.00%",".",IF(VALUE("1.2")=1.2,".",","),2)</f>
        <v>Sp.mat: 0.00%</v>
      </c>
      <c r="F224" s="15" t="str">
        <f>SUBSTITUTE("Sp.man: 0.00%",".",IF(VALUE("1.2")=1.2,".",","),2)</f>
        <v>Sp.man: 0.00%</v>
      </c>
      <c r="G224" s="35" t="str">
        <f>SUBSTITUTE("Sp.uti: 0.00%",".",IF(VALUE("1.2")=1.2,".",","),2)</f>
        <v>Sp.uti: 0.00%</v>
      </c>
      <c r="H224" s="38">
        <f>10.25/G223</f>
        <v>2.5625</v>
      </c>
      <c r="I224" s="29">
        <f>G223*H224</f>
        <v>10.25</v>
      </c>
      <c r="J224">
        <v>2</v>
      </c>
    </row>
    <row r="225" spans="1:19" x14ac:dyDescent="0.3">
      <c r="A225" s="88" t="s">
        <v>894</v>
      </c>
      <c r="B225" s="98"/>
      <c r="C225" s="98"/>
      <c r="D225" s="98"/>
      <c r="E225" s="98"/>
      <c r="F225" s="98"/>
      <c r="G225" s="98"/>
      <c r="H225" s="38">
        <f>(1+IF(OR(ISERR(FIND(":",G224)),ISERR(FIND("%",G224))),0,MID(G224,FIND(":",G224)+2,FIND("%",G224)-FIND(":",G224)-2)/100))*0</f>
        <v>0</v>
      </c>
      <c r="I225" s="29">
        <f>G223*H225</f>
        <v>0</v>
      </c>
      <c r="J225">
        <v>3</v>
      </c>
      <c r="K225" s="4">
        <v>0</v>
      </c>
      <c r="L225" s="4">
        <v>0</v>
      </c>
      <c r="M225" s="4">
        <f>I225-K225-L225</f>
        <v>0</v>
      </c>
    </row>
    <row r="226" spans="1:19" x14ac:dyDescent="0.3">
      <c r="A226" s="98"/>
      <c r="B226" s="98"/>
      <c r="C226" s="98"/>
      <c r="D226" s="98"/>
      <c r="E226" s="98"/>
      <c r="F226" s="98"/>
      <c r="G226" s="98"/>
      <c r="H226" s="38">
        <f>0</f>
        <v>0</v>
      </c>
      <c r="I226" s="29">
        <f>G223*H226</f>
        <v>0</v>
      </c>
      <c r="J226">
        <v>4</v>
      </c>
      <c r="N226" s="4">
        <f>IF(ISERR(SEARCH("TRA* 82",C223)),IF(Q226+R226+S226=0,0,I226*(Q226/(Q226+R226+S226))),I226)</f>
        <v>0</v>
      </c>
      <c r="O226" s="4">
        <f>IF(ISERR(SEARCH("TRA* 82",C223)),IF(Q226+R226+S226=0,0,I226*(R226/(Q226+R226+S226))),0)</f>
        <v>0</v>
      </c>
      <c r="P226" s="4">
        <f>IF(ISERR(SEARCH("TRA* 82",C223)),I226-N226-O226,0)</f>
        <v>0</v>
      </c>
      <c r="Q226" s="4">
        <v>0</v>
      </c>
      <c r="R226" s="4">
        <v>0</v>
      </c>
      <c r="S226" s="4">
        <v>0</v>
      </c>
    </row>
    <row r="227" spans="1:19" x14ac:dyDescent="0.3">
      <c r="A227" s="100" t="s">
        <v>87</v>
      </c>
      <c r="B227" s="101"/>
      <c r="C227" s="101"/>
      <c r="D227" s="101"/>
      <c r="E227" s="101"/>
      <c r="F227" s="101"/>
      <c r="G227" s="101"/>
      <c r="H227" s="33">
        <f>H223+H224+H225+H226</f>
        <v>9.9</v>
      </c>
      <c r="I227" s="37">
        <f>I223+I224+I225+I226</f>
        <v>39.6</v>
      </c>
      <c r="J227">
        <v>5</v>
      </c>
    </row>
    <row r="228" spans="1:19" x14ac:dyDescent="0.3">
      <c r="A228" s="99" t="s">
        <v>181</v>
      </c>
      <c r="B228" s="99"/>
      <c r="C228" s="99"/>
      <c r="D228" s="99"/>
      <c r="E228" s="99"/>
      <c r="F228" s="99"/>
      <c r="G228" s="99"/>
      <c r="H228" s="99"/>
      <c r="I228" s="99"/>
    </row>
    <row r="229" spans="1:19" x14ac:dyDescent="0.3">
      <c r="B229" s="2">
        <v>39</v>
      </c>
      <c r="C229" s="3" t="s">
        <v>182</v>
      </c>
      <c r="D229" s="5" t="s">
        <v>29</v>
      </c>
      <c r="G229" s="30">
        <v>50</v>
      </c>
      <c r="H229" s="38">
        <f>21750.18/G229</f>
        <v>435.00360000000001</v>
      </c>
      <c r="I229" s="29">
        <f>G229*H229</f>
        <v>21750.18</v>
      </c>
      <c r="J229">
        <v>1</v>
      </c>
    </row>
    <row r="230" spans="1:19" x14ac:dyDescent="0.3">
      <c r="D230" s="15" t="str">
        <f>SUBSTITUTE("Sp.mat: 0.00%",".",IF(VALUE("1.2")=1.2,".",","),2)</f>
        <v>Sp.mat: 0.00%</v>
      </c>
      <c r="F230" s="15" t="str">
        <f>SUBSTITUTE("Sp.man: 0.00%",".",IF(VALUE("1.2")=1.2,".",","),2)</f>
        <v>Sp.man: 0.00%</v>
      </c>
      <c r="G230" s="35" t="str">
        <f>SUBSTITUTE("Sp.uti: 0.00%",".",IF(VALUE("1.2")=1.2,".",","),2)</f>
        <v>Sp.uti: 0.00%</v>
      </c>
      <c r="H230" s="38">
        <f>3603.83/G229</f>
        <v>72.076599999999999</v>
      </c>
      <c r="I230" s="29">
        <f>G229*H230</f>
        <v>3603.83</v>
      </c>
      <c r="J230">
        <v>2</v>
      </c>
    </row>
    <row r="231" spans="1:19" x14ac:dyDescent="0.3">
      <c r="A231" s="88" t="s">
        <v>183</v>
      </c>
      <c r="B231" s="98"/>
      <c r="C231" s="98"/>
      <c r="D231" s="98"/>
      <c r="E231" s="98"/>
      <c r="F231" s="98"/>
      <c r="G231" s="98"/>
      <c r="H231" s="38">
        <f>(1+IF(OR(ISERR(FIND(":",G230)),ISERR(FIND("%",G230))),0,MID(G230,FIND(":",G230)+2,FIND("%",G230)-FIND(":",G230)-2)/100))*0</f>
        <v>0</v>
      </c>
      <c r="I231" s="29">
        <f>G229*H231</f>
        <v>0</v>
      </c>
      <c r="J231">
        <v>3</v>
      </c>
      <c r="K231" s="4">
        <v>0</v>
      </c>
      <c r="L231" s="4">
        <v>0</v>
      </c>
      <c r="M231" s="4">
        <f>I231-K231-L231</f>
        <v>0</v>
      </c>
    </row>
    <row r="232" spans="1:19" x14ac:dyDescent="0.3">
      <c r="A232" s="98"/>
      <c r="B232" s="98"/>
      <c r="C232" s="98"/>
      <c r="D232" s="98"/>
      <c r="E232" s="98"/>
      <c r="F232" s="98"/>
      <c r="G232" s="98"/>
      <c r="H232" s="38">
        <f>0</f>
        <v>0</v>
      </c>
      <c r="I232" s="29">
        <f>G229*H232</f>
        <v>0</v>
      </c>
      <c r="J232">
        <v>4</v>
      </c>
      <c r="N232" s="4">
        <f>IF(ISERR(SEARCH("TRA* 82",C229)),IF(Q232+R232+S232=0,0,I232*(Q232/(Q232+R232+S232))),I232)</f>
        <v>0</v>
      </c>
      <c r="O232" s="4">
        <f>IF(ISERR(SEARCH("TRA* 82",C229)),IF(Q232+R232+S232=0,0,I232*(R232/(Q232+R232+S232))),0)</f>
        <v>0</v>
      </c>
      <c r="P232" s="4">
        <f>IF(ISERR(SEARCH("TRA* 82",C229)),I232-N232-O232,0)</f>
        <v>0</v>
      </c>
      <c r="Q232" s="4">
        <v>0</v>
      </c>
      <c r="R232" s="4">
        <v>0</v>
      </c>
      <c r="S232" s="4">
        <v>0</v>
      </c>
    </row>
    <row r="233" spans="1:19" x14ac:dyDescent="0.3">
      <c r="A233" s="100" t="s">
        <v>87</v>
      </c>
      <c r="B233" s="101"/>
      <c r="C233" s="101"/>
      <c r="D233" s="101"/>
      <c r="E233" s="101"/>
      <c r="F233" s="101"/>
      <c r="G233" s="101"/>
      <c r="H233" s="33">
        <f>H229+H230+H231+H232</f>
        <v>507.08019999999999</v>
      </c>
      <c r="I233" s="37">
        <f>I229+I230+I231+I232</f>
        <v>25354.010000000002</v>
      </c>
      <c r="J233">
        <v>5</v>
      </c>
    </row>
    <row r="234" spans="1:19" x14ac:dyDescent="0.3">
      <c r="A234" s="102" t="s">
        <v>184</v>
      </c>
      <c r="B234" s="102"/>
      <c r="C234" s="102"/>
      <c r="D234" s="102"/>
      <c r="E234" s="102"/>
      <c r="F234" s="102"/>
      <c r="G234" s="102"/>
      <c r="H234" s="102"/>
      <c r="I234" s="102"/>
    </row>
    <row r="235" spans="1:19" x14ac:dyDescent="0.3">
      <c r="A235" s="98" t="s">
        <v>185</v>
      </c>
      <c r="B235" s="98"/>
      <c r="C235" s="98"/>
      <c r="D235" s="98"/>
      <c r="E235" s="98"/>
      <c r="F235" s="98"/>
      <c r="G235" s="98"/>
      <c r="H235" s="98"/>
      <c r="I235" s="98"/>
    </row>
    <row r="236" spans="1:19" x14ac:dyDescent="0.3">
      <c r="A236" s="98" t="s">
        <v>186</v>
      </c>
      <c r="B236" s="98"/>
      <c r="C236" s="98"/>
      <c r="D236" s="98"/>
      <c r="E236" s="98"/>
      <c r="F236" s="98"/>
      <c r="G236" s="98"/>
      <c r="H236" s="98"/>
      <c r="I236" s="98"/>
    </row>
    <row r="237" spans="1:19" x14ac:dyDescent="0.3">
      <c r="A237" s="98" t="s">
        <v>187</v>
      </c>
      <c r="B237" s="98"/>
      <c r="C237" s="98"/>
      <c r="D237" s="98"/>
      <c r="E237" s="98"/>
      <c r="F237" s="98"/>
      <c r="G237" s="98"/>
      <c r="H237" s="98"/>
      <c r="I237" s="98"/>
    </row>
    <row r="238" spans="1:19" x14ac:dyDescent="0.3">
      <c r="A238" s="98" t="s">
        <v>188</v>
      </c>
      <c r="B238" s="98"/>
      <c r="C238" s="98"/>
      <c r="D238" s="98"/>
      <c r="E238" s="98"/>
      <c r="F238" s="98"/>
      <c r="G238" s="98"/>
      <c r="H238" s="98"/>
      <c r="I238" s="98"/>
    </row>
    <row r="239" spans="1:19" x14ac:dyDescent="0.3">
      <c r="A239" s="97" t="s">
        <v>189</v>
      </c>
      <c r="B239" s="97"/>
      <c r="C239" s="97"/>
      <c r="D239" s="97"/>
      <c r="E239" s="97"/>
      <c r="F239" s="97"/>
      <c r="G239" s="97"/>
      <c r="H239" s="97"/>
      <c r="I239" s="97"/>
    </row>
    <row r="240" spans="1:19" x14ac:dyDescent="0.3">
      <c r="B240" s="2">
        <v>40</v>
      </c>
      <c r="C240" s="3" t="s">
        <v>182</v>
      </c>
      <c r="D240" s="5" t="s">
        <v>29</v>
      </c>
      <c r="G240" s="30">
        <v>2</v>
      </c>
      <c r="H240" s="38">
        <f>2205.38/G240</f>
        <v>1102.69</v>
      </c>
      <c r="I240" s="29">
        <f>G240*H240</f>
        <v>2205.38</v>
      </c>
      <c r="J240">
        <v>1</v>
      </c>
    </row>
    <row r="241" spans="1:19" x14ac:dyDescent="0.3">
      <c r="D241" s="15" t="str">
        <f>SUBSTITUTE("Sp.mat: 0.00%",".",IF(VALUE("1.2")=1.2,".",","),2)</f>
        <v>Sp.mat: 0.00%</v>
      </c>
      <c r="F241" s="15" t="str">
        <f>SUBSTITUTE("Sp.man: 0.00%",".",IF(VALUE("1.2")=1.2,".",","),2)</f>
        <v>Sp.man: 0.00%</v>
      </c>
      <c r="G241" s="35" t="str">
        <f>SUBSTITUTE("Sp.uti: 0.00%",".",IF(VALUE("1.2")=1.2,".",","),2)</f>
        <v>Sp.uti: 0.00%</v>
      </c>
      <c r="H241" s="38">
        <f>144.15/G240</f>
        <v>72.075000000000003</v>
      </c>
      <c r="I241" s="29">
        <f>G240*H241</f>
        <v>144.15</v>
      </c>
      <c r="J241">
        <v>2</v>
      </c>
    </row>
    <row r="242" spans="1:19" x14ac:dyDescent="0.3">
      <c r="A242" s="88" t="s">
        <v>183</v>
      </c>
      <c r="B242" s="98"/>
      <c r="C242" s="98"/>
      <c r="D242" s="98"/>
      <c r="E242" s="98"/>
      <c r="F242" s="98"/>
      <c r="G242" s="98"/>
      <c r="H242" s="38">
        <f>(1+IF(OR(ISERR(FIND(":",G241)),ISERR(FIND("%",G241))),0,MID(G241,FIND(":",G241)+2,FIND("%",G241)-FIND(":",G241)-2)/100))*0</f>
        <v>0</v>
      </c>
      <c r="I242" s="29">
        <f>G240*H242</f>
        <v>0</v>
      </c>
      <c r="J242">
        <v>3</v>
      </c>
      <c r="K242" s="4">
        <v>0</v>
      </c>
      <c r="L242" s="4">
        <v>0</v>
      </c>
      <c r="M242" s="4">
        <f>I242-K242-L242</f>
        <v>0</v>
      </c>
    </row>
    <row r="243" spans="1:19" x14ac:dyDescent="0.3">
      <c r="A243" s="98"/>
      <c r="B243" s="98"/>
      <c r="C243" s="98"/>
      <c r="D243" s="98"/>
      <c r="E243" s="98"/>
      <c r="F243" s="98"/>
      <c r="G243" s="98"/>
      <c r="H243" s="38">
        <f>0</f>
        <v>0</v>
      </c>
      <c r="I243" s="29">
        <f>G240*H243</f>
        <v>0</v>
      </c>
      <c r="J243">
        <v>4</v>
      </c>
      <c r="N243" s="4">
        <f>IF(ISERR(SEARCH("TRA* 82",C240)),IF(Q243+R243+S243=0,0,I243*(Q243/(Q243+R243+S243))),I243)</f>
        <v>0</v>
      </c>
      <c r="O243" s="4">
        <f>IF(ISERR(SEARCH("TRA* 82",C240)),IF(Q243+R243+S243=0,0,I243*(R243/(Q243+R243+S243))),0)</f>
        <v>0</v>
      </c>
      <c r="P243" s="4">
        <f>IF(ISERR(SEARCH("TRA* 82",C240)),I243-N243-O243,0)</f>
        <v>0</v>
      </c>
      <c r="Q243" s="4">
        <v>0</v>
      </c>
      <c r="R243" s="4">
        <v>0</v>
      </c>
      <c r="S243" s="4">
        <v>0</v>
      </c>
    </row>
    <row r="244" spans="1:19" x14ac:dyDescent="0.3">
      <c r="A244" s="100" t="s">
        <v>87</v>
      </c>
      <c r="B244" s="101"/>
      <c r="C244" s="101"/>
      <c r="D244" s="101"/>
      <c r="E244" s="101"/>
      <c r="F244" s="101"/>
      <c r="G244" s="101"/>
      <c r="H244" s="33">
        <f>H240+H241+H242+H243</f>
        <v>1174.7650000000001</v>
      </c>
      <c r="I244" s="37">
        <f>I240+I241+I242+I243</f>
        <v>2349.5300000000002</v>
      </c>
      <c r="J244">
        <v>5</v>
      </c>
    </row>
    <row r="245" spans="1:19" x14ac:dyDescent="0.3">
      <c r="A245" s="102" t="s">
        <v>190</v>
      </c>
      <c r="B245" s="102"/>
      <c r="C245" s="102"/>
      <c r="D245" s="102"/>
      <c r="E245" s="102"/>
      <c r="F245" s="102"/>
      <c r="G245" s="102"/>
      <c r="H245" s="102"/>
      <c r="I245" s="102"/>
    </row>
    <row r="246" spans="1:19" x14ac:dyDescent="0.3">
      <c r="A246" s="98" t="s">
        <v>191</v>
      </c>
      <c r="B246" s="98"/>
      <c r="C246" s="98"/>
      <c r="D246" s="98"/>
      <c r="E246" s="98"/>
      <c r="F246" s="98"/>
      <c r="G246" s="98"/>
      <c r="H246" s="98"/>
      <c r="I246" s="98"/>
    </row>
    <row r="247" spans="1:19" x14ac:dyDescent="0.3">
      <c r="A247" s="98" t="s">
        <v>192</v>
      </c>
      <c r="B247" s="98"/>
      <c r="C247" s="98"/>
      <c r="D247" s="98"/>
      <c r="E247" s="98"/>
      <c r="F247" s="98"/>
      <c r="G247" s="98"/>
      <c r="H247" s="98"/>
      <c r="I247" s="98"/>
    </row>
    <row r="248" spans="1:19" x14ac:dyDescent="0.3">
      <c r="A248" s="98" t="s">
        <v>193</v>
      </c>
      <c r="B248" s="98"/>
      <c r="C248" s="98"/>
      <c r="D248" s="98"/>
      <c r="E248" s="98"/>
      <c r="F248" s="98"/>
      <c r="G248" s="98"/>
      <c r="H248" s="98"/>
      <c r="I248" s="98"/>
    </row>
    <row r="249" spans="1:19" x14ac:dyDescent="0.3">
      <c r="A249" s="98" t="s">
        <v>194</v>
      </c>
      <c r="B249" s="98"/>
      <c r="C249" s="98"/>
      <c r="D249" s="98"/>
      <c r="E249" s="98"/>
      <c r="F249" s="98"/>
      <c r="G249" s="98"/>
      <c r="H249" s="98"/>
      <c r="I249" s="98"/>
    </row>
    <row r="250" spans="1:19" x14ac:dyDescent="0.3">
      <c r="A250" s="97" t="s">
        <v>195</v>
      </c>
      <c r="B250" s="97"/>
      <c r="C250" s="97"/>
      <c r="D250" s="97"/>
      <c r="E250" s="97"/>
      <c r="F250" s="97"/>
      <c r="G250" s="97"/>
      <c r="H250" s="97"/>
      <c r="I250" s="97"/>
    </row>
    <row r="251" spans="1:19" x14ac:dyDescent="0.3">
      <c r="B251" s="2">
        <v>41</v>
      </c>
      <c r="C251" s="3" t="s">
        <v>213</v>
      </c>
      <c r="D251" s="5" t="s">
        <v>29</v>
      </c>
      <c r="G251" s="30">
        <v>3</v>
      </c>
      <c r="H251" s="38">
        <f>2276.68/G251</f>
        <v>758.89333333333332</v>
      </c>
      <c r="I251" s="29">
        <f>G251*H251</f>
        <v>2276.6799999999998</v>
      </c>
      <c r="J251">
        <v>1</v>
      </c>
    </row>
    <row r="252" spans="1:19" x14ac:dyDescent="0.3">
      <c r="D252" s="15" t="str">
        <f>SUBSTITUTE("Sp.mat: 0.00%",".",IF(VALUE("1.2")=1.2,".",","),2)</f>
        <v>Sp.mat: 0.00%</v>
      </c>
      <c r="F252" s="15" t="str">
        <f>SUBSTITUTE("Sp.man: 0.00%",".",IF(VALUE("1.2")=1.2,".",","),2)</f>
        <v>Sp.man: 0.00%</v>
      </c>
      <c r="G252" s="35" t="str">
        <f>SUBSTITUTE("Sp.uti: 0.00%",".",IF(VALUE("1.2")=1.2,".",","),2)</f>
        <v>Sp.uti: 0.00%</v>
      </c>
      <c r="H252" s="38">
        <f>81.21/G251</f>
        <v>27.069999999999997</v>
      </c>
      <c r="I252" s="29">
        <f>G251*H252</f>
        <v>81.209999999999994</v>
      </c>
      <c r="J252">
        <v>2</v>
      </c>
    </row>
    <row r="253" spans="1:19" x14ac:dyDescent="0.3">
      <c r="A253" s="88" t="s">
        <v>895</v>
      </c>
      <c r="B253" s="98"/>
      <c r="C253" s="98"/>
      <c r="D253" s="98"/>
      <c r="E253" s="98"/>
      <c r="F253" s="98"/>
      <c r="G253" s="98"/>
      <c r="H253" s="38">
        <f>(1+IF(OR(ISERR(FIND(":",G252)),ISERR(FIND("%",G252))),0,MID(G252,FIND(":",G252)+2,FIND("%",G252)-FIND(":",G252)-2)/100))*0</f>
        <v>0</v>
      </c>
      <c r="I253" s="29">
        <f>G251*H253</f>
        <v>0</v>
      </c>
      <c r="J253">
        <v>3</v>
      </c>
      <c r="K253" s="4">
        <v>0</v>
      </c>
      <c r="L253" s="4">
        <v>0</v>
      </c>
      <c r="M253" s="4">
        <f>I253-K253-L253</f>
        <v>0</v>
      </c>
    </row>
    <row r="254" spans="1:19" x14ac:dyDescent="0.3">
      <c r="A254" s="98"/>
      <c r="B254" s="98"/>
      <c r="C254" s="98"/>
      <c r="D254" s="98"/>
      <c r="E254" s="98"/>
      <c r="F254" s="98"/>
      <c r="G254" s="98"/>
      <c r="H254" s="38">
        <f>0</f>
        <v>0</v>
      </c>
      <c r="I254" s="29">
        <f>G251*H254</f>
        <v>0</v>
      </c>
      <c r="J254">
        <v>4</v>
      </c>
      <c r="N254" s="4">
        <f>IF(ISERR(SEARCH("TRA* 82",C251)),IF(Q254+R254+S254=0,0,I254*(Q254/(Q254+R254+S254))),I254)</f>
        <v>0</v>
      </c>
      <c r="O254" s="4">
        <f>IF(ISERR(SEARCH("TRA* 82",C251)),IF(Q254+R254+S254=0,0,I254*(R254/(Q254+R254+S254))),0)</f>
        <v>0</v>
      </c>
      <c r="P254" s="4">
        <f>IF(ISERR(SEARCH("TRA* 82",C251)),I254-N254-O254,0)</f>
        <v>0</v>
      </c>
      <c r="Q254" s="4">
        <v>0</v>
      </c>
      <c r="R254" s="4">
        <v>0</v>
      </c>
      <c r="S254" s="4">
        <v>0</v>
      </c>
    </row>
    <row r="255" spans="1:19" x14ac:dyDescent="0.3">
      <c r="A255" s="100" t="s">
        <v>87</v>
      </c>
      <c r="B255" s="101"/>
      <c r="C255" s="101"/>
      <c r="D255" s="101"/>
      <c r="E255" s="101"/>
      <c r="F255" s="101"/>
      <c r="G255" s="101"/>
      <c r="H255" s="33">
        <f>H251+H252+H253+H254</f>
        <v>785.96333333333337</v>
      </c>
      <c r="I255" s="37">
        <f>I251+I252+I253+I254</f>
        <v>2357.89</v>
      </c>
      <c r="J255">
        <v>5</v>
      </c>
    </row>
    <row r="256" spans="1:19" x14ac:dyDescent="0.3">
      <c r="A256" s="99" t="s">
        <v>215</v>
      </c>
      <c r="B256" s="99"/>
      <c r="C256" s="99"/>
      <c r="D256" s="99"/>
      <c r="E256" s="99"/>
      <c r="F256" s="99"/>
      <c r="G256" s="99"/>
      <c r="H256" s="99"/>
      <c r="I256" s="99"/>
    </row>
    <row r="257" spans="1:19" x14ac:dyDescent="0.3">
      <c r="B257" s="2">
        <v>42</v>
      </c>
      <c r="C257" s="3" t="s">
        <v>216</v>
      </c>
      <c r="D257" s="5" t="s">
        <v>29</v>
      </c>
      <c r="G257" s="30">
        <v>3</v>
      </c>
      <c r="H257" s="38">
        <f>234.32/G257</f>
        <v>78.106666666666669</v>
      </c>
      <c r="I257" s="29">
        <f>G257*H257</f>
        <v>234.32</v>
      </c>
      <c r="J257">
        <v>1</v>
      </c>
    </row>
    <row r="258" spans="1:19" x14ac:dyDescent="0.3">
      <c r="D258" s="15" t="str">
        <f>SUBSTITUTE("Sp.mat: 0.00%",".",IF(VALUE("1.2")=1.2,".",","),2)</f>
        <v>Sp.mat: 0.00%</v>
      </c>
      <c r="F258" s="15" t="str">
        <f>SUBSTITUTE("Sp.man: 0.00%",".",IF(VALUE("1.2")=1.2,".",","),2)</f>
        <v>Sp.man: 0.00%</v>
      </c>
      <c r="G258" s="35" t="str">
        <f>SUBSTITUTE("Sp.uti: 0.00%",".",IF(VALUE("1.2")=1.2,".",","),2)</f>
        <v>Sp.uti: 0.00%</v>
      </c>
      <c r="H258" s="38">
        <f>24.03/G257</f>
        <v>8.01</v>
      </c>
      <c r="I258" s="29">
        <f>G257*H258</f>
        <v>24.03</v>
      </c>
      <c r="J258">
        <v>2</v>
      </c>
    </row>
    <row r="259" spans="1:19" x14ac:dyDescent="0.3">
      <c r="A259" s="88" t="s">
        <v>896</v>
      </c>
      <c r="B259" s="98"/>
      <c r="C259" s="98"/>
      <c r="D259" s="98"/>
      <c r="E259" s="98"/>
      <c r="F259" s="98"/>
      <c r="G259" s="98"/>
      <c r="H259" s="38">
        <f>(1+IF(OR(ISERR(FIND(":",G258)),ISERR(FIND("%",G258))),0,MID(G258,FIND(":",G258)+2,FIND("%",G258)-FIND(":",G258)-2)/100))*0</f>
        <v>0</v>
      </c>
      <c r="I259" s="29">
        <f>G257*H259</f>
        <v>0</v>
      </c>
      <c r="J259">
        <v>3</v>
      </c>
      <c r="K259" s="4">
        <v>0</v>
      </c>
      <c r="L259" s="4">
        <v>0</v>
      </c>
      <c r="M259" s="4">
        <f>I259-K259-L259</f>
        <v>0</v>
      </c>
    </row>
    <row r="260" spans="1:19" x14ac:dyDescent="0.3">
      <c r="A260" s="98"/>
      <c r="B260" s="98"/>
      <c r="C260" s="98"/>
      <c r="D260" s="98"/>
      <c r="E260" s="98"/>
      <c r="F260" s="98"/>
      <c r="G260" s="98"/>
      <c r="H260" s="38">
        <f>0</f>
        <v>0</v>
      </c>
      <c r="I260" s="29">
        <f>G257*H260</f>
        <v>0</v>
      </c>
      <c r="J260">
        <v>4</v>
      </c>
      <c r="N260" s="4">
        <f>IF(ISERR(SEARCH("TRA* 82",C257)),IF(Q260+R260+S260=0,0,I260*(Q260/(Q260+R260+S260))),I260)</f>
        <v>0</v>
      </c>
      <c r="O260" s="4">
        <f>IF(ISERR(SEARCH("TRA* 82",C257)),IF(Q260+R260+S260=0,0,I260*(R260/(Q260+R260+S260))),0)</f>
        <v>0</v>
      </c>
      <c r="P260" s="4">
        <f>IF(ISERR(SEARCH("TRA* 82",C257)),I260-N260-O260,0)</f>
        <v>0</v>
      </c>
      <c r="Q260" s="4">
        <v>0</v>
      </c>
      <c r="R260" s="4">
        <v>0</v>
      </c>
      <c r="S260" s="4">
        <v>0</v>
      </c>
    </row>
    <row r="261" spans="1:19" x14ac:dyDescent="0.3">
      <c r="A261" s="100" t="s">
        <v>87</v>
      </c>
      <c r="B261" s="101"/>
      <c r="C261" s="101"/>
      <c r="D261" s="101"/>
      <c r="E261" s="101"/>
      <c r="F261" s="101"/>
      <c r="G261" s="101"/>
      <c r="H261" s="33">
        <f>H257+H258+H259+H260</f>
        <v>86.116666666666674</v>
      </c>
      <c r="I261" s="37">
        <f>I257+I258+I259+I260</f>
        <v>258.35000000000002</v>
      </c>
      <c r="J261">
        <v>5</v>
      </c>
    </row>
    <row r="262" spans="1:19" x14ac:dyDescent="0.3">
      <c r="A262" s="99" t="s">
        <v>218</v>
      </c>
      <c r="B262" s="99"/>
      <c r="C262" s="99"/>
      <c r="D262" s="99"/>
      <c r="E262" s="99"/>
      <c r="F262" s="99"/>
      <c r="G262" s="99"/>
      <c r="H262" s="99"/>
      <c r="I262" s="99"/>
    </row>
    <row r="263" spans="1:19" x14ac:dyDescent="0.3">
      <c r="B263" s="2">
        <v>43</v>
      </c>
      <c r="C263" s="3" t="s">
        <v>169</v>
      </c>
      <c r="D263" s="5" t="s">
        <v>29</v>
      </c>
      <c r="G263" s="30">
        <v>3</v>
      </c>
      <c r="H263" s="38">
        <f>58.08/G263</f>
        <v>19.36</v>
      </c>
      <c r="I263" s="29">
        <f>G263*H263</f>
        <v>58.08</v>
      </c>
      <c r="J263">
        <v>1</v>
      </c>
    </row>
    <row r="264" spans="1:19" x14ac:dyDescent="0.3">
      <c r="D264" s="15" t="str">
        <f>SUBSTITUTE("Sp.mat: 0.00%",".",IF(VALUE("1.2")=1.2,".",","),2)</f>
        <v>Sp.mat: 0.00%</v>
      </c>
      <c r="F264" s="15" t="str">
        <f>SUBSTITUTE("Sp.man: 0.00%",".",IF(VALUE("1.2")=1.2,".",","),2)</f>
        <v>Sp.man: 0.00%</v>
      </c>
      <c r="G264" s="35" t="str">
        <f>SUBSTITUTE("Sp.uti: 0.00%",".",IF(VALUE("1.2")=1.2,".",","),2)</f>
        <v>Sp.uti: 0.00%</v>
      </c>
      <c r="H264" s="38">
        <f>37.96/G263</f>
        <v>12.653333333333334</v>
      </c>
      <c r="I264" s="29">
        <f>G263*H264</f>
        <v>37.96</v>
      </c>
      <c r="J264">
        <v>2</v>
      </c>
    </row>
    <row r="265" spans="1:19" x14ac:dyDescent="0.3">
      <c r="A265" s="88" t="s">
        <v>170</v>
      </c>
      <c r="B265" s="98"/>
      <c r="C265" s="98"/>
      <c r="D265" s="98"/>
      <c r="E265" s="98"/>
      <c r="F265" s="98"/>
      <c r="G265" s="98"/>
      <c r="H265" s="38">
        <f>(1+IF(OR(ISERR(FIND(":",G264)),ISERR(FIND("%",G264))),0,MID(G264,FIND(":",G264)+2,FIND("%",G264)-FIND(":",G264)-2)/100))*0</f>
        <v>0</v>
      </c>
      <c r="I265" s="29">
        <f>G263*H265</f>
        <v>0</v>
      </c>
      <c r="J265">
        <v>3</v>
      </c>
      <c r="K265" s="4">
        <v>0</v>
      </c>
      <c r="L265" s="4">
        <v>0</v>
      </c>
      <c r="M265" s="4">
        <f>I265-K265-L265</f>
        <v>0</v>
      </c>
    </row>
    <row r="266" spans="1:19" x14ac:dyDescent="0.3">
      <c r="A266" s="98"/>
      <c r="B266" s="98"/>
      <c r="C266" s="98"/>
      <c r="D266" s="98"/>
      <c r="E266" s="98"/>
      <c r="F266" s="98"/>
      <c r="G266" s="98"/>
      <c r="H266" s="38">
        <f>0</f>
        <v>0</v>
      </c>
      <c r="I266" s="29">
        <f>G263*H266</f>
        <v>0</v>
      </c>
      <c r="J266">
        <v>4</v>
      </c>
      <c r="N266" s="4">
        <f>IF(ISERR(SEARCH("TRA* 82",C263)),IF(Q266+R266+S266=0,0,I266*(Q266/(Q266+R266+S266))),I266)</f>
        <v>0</v>
      </c>
      <c r="O266" s="4">
        <f>IF(ISERR(SEARCH("TRA* 82",C263)),IF(Q266+R266+S266=0,0,I266*(R266/(Q266+R266+S266))),0)</f>
        <v>0</v>
      </c>
      <c r="P266" s="4">
        <f>IF(ISERR(SEARCH("TRA* 82",C263)),I266-N266-O266,0)</f>
        <v>0</v>
      </c>
      <c r="Q266" s="4">
        <v>0</v>
      </c>
      <c r="R266" s="4">
        <v>0</v>
      </c>
      <c r="S266" s="4">
        <v>0</v>
      </c>
    </row>
    <row r="267" spans="1:19" x14ac:dyDescent="0.3">
      <c r="A267" s="100" t="s">
        <v>87</v>
      </c>
      <c r="B267" s="101"/>
      <c r="C267" s="101"/>
      <c r="D267" s="101"/>
      <c r="E267" s="101"/>
      <c r="F267" s="101"/>
      <c r="G267" s="101"/>
      <c r="H267" s="33">
        <f>H263+H264+H265+H266</f>
        <v>32.013333333333335</v>
      </c>
      <c r="I267" s="37">
        <f>I263+I264+I265+I266</f>
        <v>96.039999999999992</v>
      </c>
      <c r="J267">
        <v>5</v>
      </c>
    </row>
    <row r="268" spans="1:19" x14ac:dyDescent="0.3">
      <c r="A268" s="99" t="s">
        <v>219</v>
      </c>
      <c r="B268" s="99"/>
      <c r="C268" s="99"/>
      <c r="D268" s="99"/>
      <c r="E268" s="99"/>
      <c r="F268" s="99"/>
      <c r="G268" s="99"/>
      <c r="H268" s="99"/>
      <c r="I268" s="99"/>
    </row>
    <row r="269" spans="1:19" x14ac:dyDescent="0.3">
      <c r="B269" s="2">
        <v>44</v>
      </c>
      <c r="C269" s="3" t="s">
        <v>171</v>
      </c>
      <c r="D269" s="5" t="s">
        <v>29</v>
      </c>
      <c r="G269" s="30">
        <v>6</v>
      </c>
      <c r="H269" s="38">
        <f>54.37/G269</f>
        <v>9.0616666666666656</v>
      </c>
      <c r="I269" s="29">
        <f>G269*H269</f>
        <v>54.36999999999999</v>
      </c>
      <c r="J269">
        <v>1</v>
      </c>
    </row>
    <row r="270" spans="1:19" x14ac:dyDescent="0.3">
      <c r="D270" s="15" t="str">
        <f>SUBSTITUTE("Sp.mat: 0.00%",".",IF(VALUE("1.2")=1.2,".",","),2)</f>
        <v>Sp.mat: 0.00%</v>
      </c>
      <c r="F270" s="15" t="str">
        <f>SUBSTITUTE("Sp.man: 0.00%",".",IF(VALUE("1.2")=1.2,".",","),2)</f>
        <v>Sp.man: 0.00%</v>
      </c>
      <c r="G270" s="35" t="str">
        <f>SUBSTITUTE("Sp.uti: 0.00%",".",IF(VALUE("1.2")=1.2,".",","),2)</f>
        <v>Sp.uti: 0.00%</v>
      </c>
      <c r="H270" s="38">
        <f>27.87/G269</f>
        <v>4.6450000000000005</v>
      </c>
      <c r="I270" s="29">
        <f>G269*H270</f>
        <v>27.870000000000005</v>
      </c>
      <c r="J270">
        <v>2</v>
      </c>
    </row>
    <row r="271" spans="1:19" x14ac:dyDescent="0.3">
      <c r="A271" s="88" t="s">
        <v>172</v>
      </c>
      <c r="B271" s="98"/>
      <c r="C271" s="98"/>
      <c r="D271" s="98"/>
      <c r="E271" s="98"/>
      <c r="F271" s="98"/>
      <c r="G271" s="98"/>
      <c r="H271" s="38">
        <f>(1+IF(OR(ISERR(FIND(":",G270)),ISERR(FIND("%",G270))),0,MID(G270,FIND(":",G270)+2,FIND("%",G270)-FIND(":",G270)-2)/100))*0</f>
        <v>0</v>
      </c>
      <c r="I271" s="29">
        <f>G269*H271</f>
        <v>0</v>
      </c>
      <c r="J271">
        <v>3</v>
      </c>
      <c r="K271" s="4">
        <v>0</v>
      </c>
      <c r="L271" s="4">
        <v>0</v>
      </c>
      <c r="M271" s="4">
        <f>I271-K271-L271</f>
        <v>0</v>
      </c>
    </row>
    <row r="272" spans="1:19" x14ac:dyDescent="0.3">
      <c r="A272" s="98"/>
      <c r="B272" s="98"/>
      <c r="C272" s="98"/>
      <c r="D272" s="98"/>
      <c r="E272" s="98"/>
      <c r="F272" s="98"/>
      <c r="G272" s="98"/>
      <c r="H272" s="38">
        <f>0</f>
        <v>0</v>
      </c>
      <c r="I272" s="29">
        <f>G269*H272</f>
        <v>0</v>
      </c>
      <c r="J272">
        <v>4</v>
      </c>
      <c r="N272" s="4">
        <f>IF(ISERR(SEARCH("TRA* 82",C269)),IF(Q272+R272+S272=0,0,I272*(Q272/(Q272+R272+S272))),I272)</f>
        <v>0</v>
      </c>
      <c r="O272" s="4">
        <f>IF(ISERR(SEARCH("TRA* 82",C269)),IF(Q272+R272+S272=0,0,I272*(R272/(Q272+R272+S272))),0)</f>
        <v>0</v>
      </c>
      <c r="P272" s="4">
        <f>IF(ISERR(SEARCH("TRA* 82",C269)),I272-N272-O272,0)</f>
        <v>0</v>
      </c>
      <c r="Q272" s="4">
        <v>0</v>
      </c>
      <c r="R272" s="4">
        <v>0</v>
      </c>
      <c r="S272" s="4">
        <v>0</v>
      </c>
    </row>
    <row r="273" spans="1:19" x14ac:dyDescent="0.3">
      <c r="A273" s="100" t="s">
        <v>87</v>
      </c>
      <c r="B273" s="101"/>
      <c r="C273" s="101"/>
      <c r="D273" s="101"/>
      <c r="E273" s="101"/>
      <c r="F273" s="101"/>
      <c r="G273" s="101"/>
      <c r="H273" s="33">
        <f>H269+H270+H271+H272</f>
        <v>13.706666666666667</v>
      </c>
      <c r="I273" s="37">
        <f>I269+I270+I271+I272</f>
        <v>82.24</v>
      </c>
      <c r="J273">
        <v>5</v>
      </c>
    </row>
    <row r="274" spans="1:19" x14ac:dyDescent="0.3">
      <c r="A274" s="99" t="s">
        <v>220</v>
      </c>
      <c r="B274" s="99"/>
      <c r="C274" s="99"/>
      <c r="D274" s="99"/>
      <c r="E274" s="99"/>
      <c r="F274" s="99"/>
      <c r="G274" s="99"/>
      <c r="H274" s="99"/>
      <c r="I274" s="99"/>
    </row>
    <row r="275" spans="1:19" x14ac:dyDescent="0.3">
      <c r="B275" s="2">
        <v>45</v>
      </c>
      <c r="C275" s="3" t="s">
        <v>174</v>
      </c>
      <c r="D275" s="5" t="s">
        <v>29</v>
      </c>
      <c r="G275" s="30">
        <v>6</v>
      </c>
      <c r="H275" s="38">
        <f>44.03/G275</f>
        <v>7.3383333333333338</v>
      </c>
      <c r="I275" s="29">
        <f>G275*H275</f>
        <v>44.03</v>
      </c>
      <c r="J275">
        <v>1</v>
      </c>
    </row>
    <row r="276" spans="1:19" x14ac:dyDescent="0.3">
      <c r="D276" s="15" t="str">
        <f>SUBSTITUTE("Sp.mat: 0.00%",".",IF(VALUE("1.2")=1.2,".",","),2)</f>
        <v>Sp.mat: 0.00%</v>
      </c>
      <c r="F276" s="15" t="str">
        <f>SUBSTITUTE("Sp.man: 0.00%",".",IF(VALUE("1.2")=1.2,".",","),2)</f>
        <v>Sp.man: 0.00%</v>
      </c>
      <c r="G276" s="35" t="str">
        <f>SUBSTITUTE("Sp.uti: 0.00%",".",IF(VALUE("1.2")=1.2,".",","),2)</f>
        <v>Sp.uti: 0.00%</v>
      </c>
      <c r="H276" s="38">
        <f>15.38/G275</f>
        <v>2.5633333333333335</v>
      </c>
      <c r="I276" s="29">
        <f>G275*H276</f>
        <v>15.38</v>
      </c>
      <c r="J276">
        <v>2</v>
      </c>
    </row>
    <row r="277" spans="1:19" x14ac:dyDescent="0.3">
      <c r="A277" s="88" t="s">
        <v>175</v>
      </c>
      <c r="B277" s="98"/>
      <c r="C277" s="98"/>
      <c r="D277" s="98"/>
      <c r="E277" s="98"/>
      <c r="F277" s="98"/>
      <c r="G277" s="98"/>
      <c r="H277" s="38">
        <f>(1+IF(OR(ISERR(FIND(":",G276)),ISERR(FIND("%",G276))),0,MID(G276,FIND(":",G276)+2,FIND("%",G276)-FIND(":",G276)-2)/100))*0</f>
        <v>0</v>
      </c>
      <c r="I277" s="29">
        <f>G275*H277</f>
        <v>0</v>
      </c>
      <c r="J277">
        <v>3</v>
      </c>
      <c r="K277" s="4">
        <v>0</v>
      </c>
      <c r="L277" s="4">
        <v>0</v>
      </c>
      <c r="M277" s="4">
        <f>I277-K277-L277</f>
        <v>0</v>
      </c>
    </row>
    <row r="278" spans="1:19" x14ac:dyDescent="0.3">
      <c r="A278" s="98"/>
      <c r="B278" s="98"/>
      <c r="C278" s="98"/>
      <c r="D278" s="98"/>
      <c r="E278" s="98"/>
      <c r="F278" s="98"/>
      <c r="G278" s="98"/>
      <c r="H278" s="38">
        <f>0</f>
        <v>0</v>
      </c>
      <c r="I278" s="29">
        <f>G275*H278</f>
        <v>0</v>
      </c>
      <c r="J278">
        <v>4</v>
      </c>
      <c r="N278" s="4">
        <f>IF(ISERR(SEARCH("TRA* 82",C275)),IF(Q278+R278+S278=0,0,I278*(Q278/(Q278+R278+S278))),I278)</f>
        <v>0</v>
      </c>
      <c r="O278" s="4">
        <f>IF(ISERR(SEARCH("TRA* 82",C275)),IF(Q278+R278+S278=0,0,I278*(R278/(Q278+R278+S278))),0)</f>
        <v>0</v>
      </c>
      <c r="P278" s="4">
        <f>IF(ISERR(SEARCH("TRA* 82",C275)),I278-N278-O278,0)</f>
        <v>0</v>
      </c>
      <c r="Q278" s="4">
        <v>0</v>
      </c>
      <c r="R278" s="4">
        <v>0</v>
      </c>
      <c r="S278" s="4">
        <v>0</v>
      </c>
    </row>
    <row r="279" spans="1:19" x14ac:dyDescent="0.3">
      <c r="A279" s="100" t="s">
        <v>87</v>
      </c>
      <c r="B279" s="101"/>
      <c r="C279" s="101"/>
      <c r="D279" s="101"/>
      <c r="E279" s="101"/>
      <c r="F279" s="101"/>
      <c r="G279" s="101"/>
      <c r="H279" s="33">
        <f>H275+H276+H277+H278</f>
        <v>9.9016666666666673</v>
      </c>
      <c r="I279" s="37">
        <f>I275+I276+I277+I278</f>
        <v>59.410000000000004</v>
      </c>
      <c r="J279">
        <v>5</v>
      </c>
    </row>
    <row r="280" spans="1:19" x14ac:dyDescent="0.3">
      <c r="A280" s="99" t="s">
        <v>897</v>
      </c>
      <c r="B280" s="99"/>
      <c r="C280" s="99"/>
      <c r="D280" s="99"/>
      <c r="E280" s="99"/>
      <c r="F280" s="99"/>
      <c r="G280" s="99"/>
      <c r="H280" s="99"/>
      <c r="I280" s="99"/>
    </row>
    <row r="281" spans="1:19" x14ac:dyDescent="0.3">
      <c r="B281" s="2">
        <v>46</v>
      </c>
      <c r="C281" s="3" t="s">
        <v>222</v>
      </c>
      <c r="D281" s="5" t="s">
        <v>25</v>
      </c>
      <c r="G281" s="30">
        <v>45</v>
      </c>
      <c r="H281" s="38">
        <f>100.37/G281</f>
        <v>2.2304444444444447</v>
      </c>
      <c r="I281" s="29">
        <f>G281*H281</f>
        <v>100.37</v>
      </c>
      <c r="J281">
        <v>1</v>
      </c>
    </row>
    <row r="282" spans="1:19" x14ac:dyDescent="0.3">
      <c r="D282" s="15" t="str">
        <f>SUBSTITUTE("Sp.mat: 0.00%",".",IF(VALUE("1.2")=1.2,".",","),2)</f>
        <v>Sp.mat: 0.00%</v>
      </c>
      <c r="F282" s="15" t="str">
        <f>SUBSTITUTE("Sp.man: 0.00%",".",IF(VALUE("1.2")=1.2,".",","),2)</f>
        <v>Sp.man: 0.00%</v>
      </c>
      <c r="G282" s="35" t="str">
        <f>SUBSTITUTE("Sp.uti: 0.00%",".",IF(VALUE("1.2")=1.2,".",","),2)</f>
        <v>Sp.uti: 0.00%</v>
      </c>
      <c r="H282" s="38">
        <f>432.46/G281</f>
        <v>9.6102222222222213</v>
      </c>
      <c r="I282" s="29">
        <f>G281*H282</f>
        <v>432.46</v>
      </c>
      <c r="J282">
        <v>2</v>
      </c>
    </row>
    <row r="283" spans="1:19" x14ac:dyDescent="0.3">
      <c r="A283" s="88" t="s">
        <v>223</v>
      </c>
      <c r="B283" s="98"/>
      <c r="C283" s="98"/>
      <c r="D283" s="98"/>
      <c r="E283" s="98"/>
      <c r="F283" s="98"/>
      <c r="G283" s="98"/>
      <c r="H283" s="38">
        <f>2.88/G281</f>
        <v>6.4000000000000001E-2</v>
      </c>
      <c r="I283" s="29">
        <f>G281*H283</f>
        <v>2.88</v>
      </c>
      <c r="J283">
        <v>3</v>
      </c>
      <c r="K283" s="4">
        <v>0</v>
      </c>
      <c r="L283" s="4">
        <v>5.4</v>
      </c>
      <c r="M283" s="4">
        <f>I283-K283-L283</f>
        <v>-2.5200000000000005</v>
      </c>
    </row>
    <row r="284" spans="1:19" x14ac:dyDescent="0.3">
      <c r="A284" s="98"/>
      <c r="B284" s="98"/>
      <c r="C284" s="98"/>
      <c r="D284" s="98"/>
      <c r="E284" s="98"/>
      <c r="F284" s="98"/>
      <c r="G284" s="98"/>
      <c r="H284" s="38">
        <f>0</f>
        <v>0</v>
      </c>
      <c r="I284" s="29">
        <f>G281*H284</f>
        <v>0</v>
      </c>
      <c r="J284">
        <v>4</v>
      </c>
      <c r="N284" s="4">
        <f>IF(ISERR(SEARCH("TRA* 82",C281)),IF(Q284+R284+S284=0,0,I284*(Q284/(Q284+R284+S284))),I284)</f>
        <v>0</v>
      </c>
      <c r="O284" s="4">
        <f>IF(ISERR(SEARCH("TRA* 82",C281)),IF(Q284+R284+S284=0,0,I284*(R284/(Q284+R284+S284))),0)</f>
        <v>0</v>
      </c>
      <c r="P284" s="4">
        <f>IF(ISERR(SEARCH("TRA* 82",C281)),I284-N284-O284,0)</f>
        <v>0</v>
      </c>
      <c r="Q284" s="4">
        <v>0</v>
      </c>
      <c r="R284" s="4">
        <v>0</v>
      </c>
      <c r="S284" s="4">
        <v>0</v>
      </c>
    </row>
    <row r="285" spans="1:19" x14ac:dyDescent="0.3">
      <c r="A285" s="96" t="s">
        <v>27</v>
      </c>
      <c r="B285" s="97"/>
      <c r="C285" s="97"/>
      <c r="D285" s="97"/>
      <c r="E285" s="97"/>
      <c r="F285" s="97"/>
      <c r="G285" s="97"/>
      <c r="H285" s="36">
        <f>H281+H282+H283+H284</f>
        <v>11.904666666666666</v>
      </c>
      <c r="I285" s="74">
        <f>I281+I282+I283+I284</f>
        <v>535.70999999999992</v>
      </c>
      <c r="J285">
        <v>5</v>
      </c>
    </row>
    <row r="286" spans="1:19" x14ac:dyDescent="0.3">
      <c r="B286" s="2">
        <v>47</v>
      </c>
      <c r="C286" s="3" t="s">
        <v>224</v>
      </c>
      <c r="D286" s="5" t="s">
        <v>25</v>
      </c>
      <c r="G286" s="30">
        <v>46</v>
      </c>
      <c r="H286" s="38">
        <f>202.72/G286</f>
        <v>4.4069565217391302</v>
      </c>
      <c r="I286" s="29">
        <f>G286*H286</f>
        <v>202.72</v>
      </c>
      <c r="J286">
        <v>1</v>
      </c>
    </row>
    <row r="287" spans="1:19" x14ac:dyDescent="0.3">
      <c r="D287" s="15" t="str">
        <f>SUBSTITUTE("Sp.mat: 0.00%",".",IF(VALUE("1.2")=1.2,".",","),2)</f>
        <v>Sp.mat: 0.00%</v>
      </c>
      <c r="F287" s="15" t="str">
        <f>SUBSTITUTE("Sp.man: 0.00%",".",IF(VALUE("1.2")=1.2,".",","),2)</f>
        <v>Sp.man: 0.00%</v>
      </c>
      <c r="G287" s="35" t="str">
        <f>SUBSTITUTE("Sp.uti: 0.00%",".",IF(VALUE("1.2")=1.2,".",","),2)</f>
        <v>Sp.uti: 0.00%</v>
      </c>
      <c r="H287" s="38">
        <f>464.17/G286</f>
        <v>10.090652173913044</v>
      </c>
      <c r="I287" s="29">
        <f>G286*H287</f>
        <v>464.17</v>
      </c>
      <c r="J287">
        <v>2</v>
      </c>
    </row>
    <row r="288" spans="1:19" x14ac:dyDescent="0.3">
      <c r="A288" s="88" t="s">
        <v>225</v>
      </c>
      <c r="B288" s="98"/>
      <c r="C288" s="98"/>
      <c r="D288" s="98"/>
      <c r="E288" s="98"/>
      <c r="F288" s="98"/>
      <c r="G288" s="98"/>
      <c r="H288" s="38">
        <f>30.87/G286</f>
        <v>0.67108695652173911</v>
      </c>
      <c r="I288" s="29">
        <f>G286*H288</f>
        <v>30.869999999999997</v>
      </c>
      <c r="J288">
        <v>3</v>
      </c>
      <c r="K288" s="4">
        <v>0</v>
      </c>
      <c r="L288" s="4">
        <v>57.822000000000003</v>
      </c>
      <c r="M288" s="4">
        <f>I288-K288-L288</f>
        <v>-26.952000000000005</v>
      </c>
    </row>
    <row r="289" spans="1:19" x14ac:dyDescent="0.3">
      <c r="A289" s="98"/>
      <c r="B289" s="98"/>
      <c r="C289" s="98"/>
      <c r="D289" s="98"/>
      <c r="E289" s="98"/>
      <c r="F289" s="98"/>
      <c r="G289" s="98"/>
      <c r="H289" s="38">
        <f>0</f>
        <v>0</v>
      </c>
      <c r="I289" s="29">
        <f>G286*H289</f>
        <v>0</v>
      </c>
      <c r="J289">
        <v>4</v>
      </c>
      <c r="N289" s="4">
        <f>IF(ISERR(SEARCH("TRA* 82",C286)),IF(Q289+R289+S289=0,0,I289*(Q289/(Q289+R289+S289))),I289)</f>
        <v>0</v>
      </c>
      <c r="O289" s="4">
        <f>IF(ISERR(SEARCH("TRA* 82",C286)),IF(Q289+R289+S289=0,0,I289*(R289/(Q289+R289+S289))),0)</f>
        <v>0</v>
      </c>
      <c r="P289" s="4">
        <f>IF(ISERR(SEARCH("TRA* 82",C286)),I289-N289-O289,0)</f>
        <v>0</v>
      </c>
      <c r="Q289" s="4">
        <v>0</v>
      </c>
      <c r="R289" s="4">
        <v>0</v>
      </c>
      <c r="S289" s="4">
        <v>0</v>
      </c>
    </row>
    <row r="290" spans="1:19" x14ac:dyDescent="0.3">
      <c r="A290" s="96" t="s">
        <v>27</v>
      </c>
      <c r="B290" s="97"/>
      <c r="C290" s="97"/>
      <c r="D290" s="97"/>
      <c r="E290" s="97"/>
      <c r="F290" s="97"/>
      <c r="G290" s="97"/>
      <c r="H290" s="36">
        <f>H286+H287+H288+H289</f>
        <v>15.168695652173914</v>
      </c>
      <c r="I290" s="74">
        <f>I286+I287+I288+I289</f>
        <v>697.76</v>
      </c>
      <c r="J290">
        <v>5</v>
      </c>
    </row>
    <row r="291" spans="1:19" x14ac:dyDescent="0.3">
      <c r="B291" s="2">
        <v>48</v>
      </c>
      <c r="C291" s="3" t="s">
        <v>226</v>
      </c>
      <c r="D291" s="5" t="s">
        <v>25</v>
      </c>
      <c r="G291" s="30">
        <v>84</v>
      </c>
      <c r="H291" s="38">
        <f>267.21/G291</f>
        <v>3.1810714285714283</v>
      </c>
      <c r="I291" s="29">
        <f>G291*H291</f>
        <v>267.20999999999998</v>
      </c>
      <c r="J291">
        <v>1</v>
      </c>
    </row>
    <row r="292" spans="1:19" x14ac:dyDescent="0.3">
      <c r="D292" s="15" t="str">
        <f>SUBSTITUTE("Sp.mat: 0.00%",".",IF(VALUE("1.2")=1.2,".",","),2)</f>
        <v>Sp.mat: 0.00%</v>
      </c>
      <c r="F292" s="15" t="str">
        <f>SUBSTITUTE("Sp.man: 0.00%",".",IF(VALUE("1.2")=1.2,".",","),2)</f>
        <v>Sp.man: 0.00%</v>
      </c>
      <c r="G292" s="35" t="str">
        <f>SUBSTITUTE("Sp.uti: 0.00%",".",IF(VALUE("1.2")=1.2,".",","),2)</f>
        <v>Sp.uti: 0.00%</v>
      </c>
      <c r="H292" s="38">
        <f>470.9/G291</f>
        <v>5.605952380952381</v>
      </c>
      <c r="I292" s="29">
        <f>G291*H292</f>
        <v>470.9</v>
      </c>
      <c r="J292">
        <v>2</v>
      </c>
    </row>
    <row r="293" spans="1:19" x14ac:dyDescent="0.3">
      <c r="A293" s="88" t="s">
        <v>227</v>
      </c>
      <c r="B293" s="98"/>
      <c r="C293" s="98"/>
      <c r="D293" s="98"/>
      <c r="E293" s="98"/>
      <c r="F293" s="98"/>
      <c r="G293" s="98"/>
      <c r="H293" s="38">
        <f>31.35/G291</f>
        <v>0.37321428571428572</v>
      </c>
      <c r="I293" s="29">
        <f>G291*H293</f>
        <v>31.35</v>
      </c>
      <c r="J293">
        <v>3</v>
      </c>
      <c r="K293" s="4">
        <v>0</v>
      </c>
      <c r="L293" s="4">
        <v>58.716000000000001</v>
      </c>
      <c r="M293" s="4">
        <f>I293-K293-L293</f>
        <v>-27.366</v>
      </c>
    </row>
    <row r="294" spans="1:19" x14ac:dyDescent="0.3">
      <c r="A294" s="98"/>
      <c r="B294" s="98"/>
      <c r="C294" s="98"/>
      <c r="D294" s="98"/>
      <c r="E294" s="98"/>
      <c r="F294" s="98"/>
      <c r="G294" s="98"/>
      <c r="H294" s="38">
        <f>0</f>
        <v>0</v>
      </c>
      <c r="I294" s="29">
        <f>G291*H294</f>
        <v>0</v>
      </c>
      <c r="J294">
        <v>4</v>
      </c>
      <c r="N294" s="4">
        <f>IF(ISERR(SEARCH("TRA* 82",C291)),IF(Q294+R294+S294=0,0,I294*(Q294/(Q294+R294+S294))),I294)</f>
        <v>0</v>
      </c>
      <c r="O294" s="4">
        <f>IF(ISERR(SEARCH("TRA* 82",C291)),IF(Q294+R294+S294=0,0,I294*(R294/(Q294+R294+S294))),0)</f>
        <v>0</v>
      </c>
      <c r="P294" s="4">
        <f>IF(ISERR(SEARCH("TRA* 82",C291)),I294-N294-O294,0)</f>
        <v>0</v>
      </c>
      <c r="Q294" s="4">
        <v>0</v>
      </c>
      <c r="R294" s="4">
        <v>0</v>
      </c>
      <c r="S294" s="4">
        <v>0</v>
      </c>
    </row>
    <row r="295" spans="1:19" x14ac:dyDescent="0.3">
      <c r="A295" s="96" t="s">
        <v>27</v>
      </c>
      <c r="B295" s="97"/>
      <c r="C295" s="97"/>
      <c r="D295" s="97"/>
      <c r="E295" s="97"/>
      <c r="F295" s="97"/>
      <c r="G295" s="97"/>
      <c r="H295" s="36">
        <f>H291+H292+H293+H294</f>
        <v>9.1602380952380944</v>
      </c>
      <c r="I295" s="74">
        <f>I291+I292+I293+I294</f>
        <v>769.45999999999992</v>
      </c>
      <c r="J295">
        <v>5</v>
      </c>
    </row>
    <row r="296" spans="1:19" x14ac:dyDescent="0.3">
      <c r="B296" s="2">
        <v>49</v>
      </c>
      <c r="C296" s="3" t="s">
        <v>228</v>
      </c>
      <c r="D296" s="5" t="s">
        <v>25</v>
      </c>
      <c r="G296" s="30">
        <v>76</v>
      </c>
      <c r="H296" s="38">
        <f>393.98/G296</f>
        <v>5.1839473684210526</v>
      </c>
      <c r="I296" s="29">
        <f>G296*H296</f>
        <v>393.98</v>
      </c>
      <c r="J296">
        <v>1</v>
      </c>
    </row>
    <row r="297" spans="1:19" x14ac:dyDescent="0.3">
      <c r="D297" s="15" t="str">
        <f>SUBSTITUTE("Sp.mat: 0.00%",".",IF(VALUE("1.2")=1.2,".",","),2)</f>
        <v>Sp.mat: 0.00%</v>
      </c>
      <c r="F297" s="15" t="str">
        <f>SUBSTITUTE("Sp.man: 0.00%",".",IF(VALUE("1.2")=1.2,".",","),2)</f>
        <v>Sp.man: 0.00%</v>
      </c>
      <c r="G297" s="35" t="str">
        <f>SUBSTITUTE("Sp.uti: 0.00%",".",IF(VALUE("1.2")=1.2,".",","),2)</f>
        <v>Sp.uti: 0.00%</v>
      </c>
      <c r="H297" s="38">
        <f>499.09/G296</f>
        <v>6.5669736842105264</v>
      </c>
      <c r="I297" s="29">
        <f>G296*H297</f>
        <v>499.09000000000003</v>
      </c>
      <c r="J297">
        <v>2</v>
      </c>
    </row>
    <row r="298" spans="1:19" x14ac:dyDescent="0.3">
      <c r="A298" s="88" t="s">
        <v>229</v>
      </c>
      <c r="B298" s="98"/>
      <c r="C298" s="98"/>
      <c r="D298" s="98"/>
      <c r="E298" s="98"/>
      <c r="F298" s="98"/>
      <c r="G298" s="98"/>
      <c r="H298" s="38">
        <f>33.23/G296</f>
        <v>0.43723684210526309</v>
      </c>
      <c r="I298" s="29">
        <f>G296*H298</f>
        <v>33.229999999999997</v>
      </c>
      <c r="J298">
        <v>3</v>
      </c>
      <c r="K298" s="4">
        <v>0</v>
      </c>
      <c r="L298" s="4">
        <v>62.015999999999998</v>
      </c>
      <c r="M298" s="4">
        <f>I298-K298-L298</f>
        <v>-28.786000000000001</v>
      </c>
    </row>
    <row r="299" spans="1:19" x14ac:dyDescent="0.3">
      <c r="A299" s="98"/>
      <c r="B299" s="98"/>
      <c r="C299" s="98"/>
      <c r="D299" s="98"/>
      <c r="E299" s="98"/>
      <c r="F299" s="98"/>
      <c r="G299" s="98"/>
      <c r="H299" s="38">
        <f>0</f>
        <v>0</v>
      </c>
      <c r="I299" s="29">
        <f>G296*H299</f>
        <v>0</v>
      </c>
      <c r="J299">
        <v>4</v>
      </c>
      <c r="N299" s="4">
        <f>IF(ISERR(SEARCH("TRA* 82",C296)),IF(Q299+R299+S299=0,0,I299*(Q299/(Q299+R299+S299))),I299)</f>
        <v>0</v>
      </c>
      <c r="O299" s="4">
        <f>IF(ISERR(SEARCH("TRA* 82",C296)),IF(Q299+R299+S299=0,0,I299*(R299/(Q299+R299+S299))),0)</f>
        <v>0</v>
      </c>
      <c r="P299" s="4">
        <f>IF(ISERR(SEARCH("TRA* 82",C296)),I299-N299-O299,0)</f>
        <v>0</v>
      </c>
      <c r="Q299" s="4">
        <v>0</v>
      </c>
      <c r="R299" s="4">
        <v>0</v>
      </c>
      <c r="S299" s="4">
        <v>0</v>
      </c>
    </row>
    <row r="300" spans="1:19" x14ac:dyDescent="0.3">
      <c r="A300" s="96" t="s">
        <v>27</v>
      </c>
      <c r="B300" s="97"/>
      <c r="C300" s="97"/>
      <c r="D300" s="97"/>
      <c r="E300" s="97"/>
      <c r="F300" s="97"/>
      <c r="G300" s="97"/>
      <c r="H300" s="36">
        <f>H296+H297+H298+H299</f>
        <v>12.188157894736841</v>
      </c>
      <c r="I300" s="74">
        <f>I296+I297+I298+I299</f>
        <v>926.30000000000007</v>
      </c>
      <c r="J300">
        <v>5</v>
      </c>
    </row>
    <row r="301" spans="1:19" x14ac:dyDescent="0.3">
      <c r="B301" s="2">
        <v>50</v>
      </c>
      <c r="C301" s="3" t="s">
        <v>230</v>
      </c>
      <c r="D301" s="5" t="s">
        <v>25</v>
      </c>
      <c r="G301" s="30">
        <v>25</v>
      </c>
      <c r="H301" s="38">
        <f>187.95/G301</f>
        <v>7.5179999999999998</v>
      </c>
      <c r="I301" s="29">
        <f>G301*H301</f>
        <v>187.95</v>
      </c>
      <c r="J301">
        <v>1</v>
      </c>
    </row>
    <row r="302" spans="1:19" x14ac:dyDescent="0.3">
      <c r="D302" s="15" t="str">
        <f>SUBSTITUTE("Sp.mat: 0.00%",".",IF(VALUE("1.2")=1.2,".",","),2)</f>
        <v>Sp.mat: 0.00%</v>
      </c>
      <c r="F302" s="15" t="str">
        <f>SUBSTITUTE("Sp.man: 0.00%",".",IF(VALUE("1.2")=1.2,".",","),2)</f>
        <v>Sp.man: 0.00%</v>
      </c>
      <c r="G302" s="35" t="str">
        <f>SUBSTITUTE("Sp.uti: 0.00%",".",IF(VALUE("1.2")=1.2,".",","),2)</f>
        <v>Sp.uti: 0.00%</v>
      </c>
      <c r="H302" s="38">
        <f>172.18/G301</f>
        <v>6.8872</v>
      </c>
      <c r="I302" s="29">
        <f>G301*H302</f>
        <v>172.18</v>
      </c>
      <c r="J302">
        <v>2</v>
      </c>
    </row>
    <row r="303" spans="1:19" x14ac:dyDescent="0.3">
      <c r="A303" s="88" t="s">
        <v>231</v>
      </c>
      <c r="B303" s="98"/>
      <c r="C303" s="98"/>
      <c r="D303" s="98"/>
      <c r="E303" s="98"/>
      <c r="F303" s="98"/>
      <c r="G303" s="98"/>
      <c r="H303" s="38">
        <f>11.42/G301</f>
        <v>0.45679999999999998</v>
      </c>
      <c r="I303" s="29">
        <f>G301*H303</f>
        <v>11.42</v>
      </c>
      <c r="J303">
        <v>3</v>
      </c>
      <c r="K303" s="4">
        <v>0</v>
      </c>
      <c r="L303" s="4">
        <v>21.45</v>
      </c>
      <c r="M303" s="4">
        <f>I303-K303-L303</f>
        <v>-10.029999999999999</v>
      </c>
    </row>
    <row r="304" spans="1:19" x14ac:dyDescent="0.3">
      <c r="A304" s="98"/>
      <c r="B304" s="98"/>
      <c r="C304" s="98"/>
      <c r="D304" s="98"/>
      <c r="E304" s="98"/>
      <c r="F304" s="98"/>
      <c r="G304" s="98"/>
      <c r="H304" s="38">
        <f>0</f>
        <v>0</v>
      </c>
      <c r="I304" s="29">
        <f>G301*H304</f>
        <v>0</v>
      </c>
      <c r="J304">
        <v>4</v>
      </c>
      <c r="N304" s="4">
        <f>IF(ISERR(SEARCH("TRA* 82",C301)),IF(Q304+R304+S304=0,0,I304*(Q304/(Q304+R304+S304))),I304)</f>
        <v>0</v>
      </c>
      <c r="O304" s="4">
        <f>IF(ISERR(SEARCH("TRA* 82",C301)),IF(Q304+R304+S304=0,0,I304*(R304/(Q304+R304+S304))),0)</f>
        <v>0</v>
      </c>
      <c r="P304" s="4">
        <f>IF(ISERR(SEARCH("TRA* 82",C301)),I304-N304-O304,0)</f>
        <v>0</v>
      </c>
      <c r="Q304" s="4">
        <v>0</v>
      </c>
      <c r="R304" s="4">
        <v>0</v>
      </c>
      <c r="S304" s="4">
        <v>0</v>
      </c>
    </row>
    <row r="305" spans="1:19" x14ac:dyDescent="0.3">
      <c r="A305" s="96" t="s">
        <v>27</v>
      </c>
      <c r="B305" s="97"/>
      <c r="C305" s="97"/>
      <c r="D305" s="97"/>
      <c r="E305" s="97"/>
      <c r="F305" s="97"/>
      <c r="G305" s="97"/>
      <c r="H305" s="36">
        <f>H301+H302+H303+H304</f>
        <v>14.862</v>
      </c>
      <c r="I305" s="74">
        <f>I301+I302+I303+I304</f>
        <v>371.55</v>
      </c>
      <c r="J305">
        <v>5</v>
      </c>
    </row>
    <row r="306" spans="1:19" x14ac:dyDescent="0.3">
      <c r="B306" s="2">
        <v>51</v>
      </c>
      <c r="C306" s="3" t="s">
        <v>232</v>
      </c>
      <c r="D306" s="5" t="s">
        <v>25</v>
      </c>
      <c r="G306" s="30">
        <v>12</v>
      </c>
      <c r="H306" s="38">
        <f>147.64/G306</f>
        <v>12.303333333333333</v>
      </c>
      <c r="I306" s="29">
        <f>G306*H306</f>
        <v>147.63999999999999</v>
      </c>
      <c r="J306">
        <v>1</v>
      </c>
    </row>
    <row r="307" spans="1:19" x14ac:dyDescent="0.3">
      <c r="D307" s="15" t="str">
        <f>SUBSTITUTE("Sp.mat: 0.00%",".",IF(VALUE("1.2")=1.2,".",","),2)</f>
        <v>Sp.mat: 0.00%</v>
      </c>
      <c r="F307" s="15" t="str">
        <f>SUBSTITUTE("Sp.man: 0.00%",".",IF(VALUE("1.2")=1.2,".",","),2)</f>
        <v>Sp.man: 0.00%</v>
      </c>
      <c r="G307" s="35" t="str">
        <f>SUBSTITUTE("Sp.uti: 0.00%",".",IF(VALUE("1.2")=1.2,".",","),2)</f>
        <v>Sp.uti: 0.00%</v>
      </c>
      <c r="H307" s="38">
        <f>92.26/G306</f>
        <v>7.6883333333333335</v>
      </c>
      <c r="I307" s="29">
        <f>G306*H307</f>
        <v>92.26</v>
      </c>
      <c r="J307">
        <v>2</v>
      </c>
    </row>
    <row r="308" spans="1:19" x14ac:dyDescent="0.3">
      <c r="A308" s="88" t="s">
        <v>233</v>
      </c>
      <c r="B308" s="98"/>
      <c r="C308" s="98"/>
      <c r="D308" s="98"/>
      <c r="E308" s="98"/>
      <c r="F308" s="98"/>
      <c r="G308" s="98"/>
      <c r="H308" s="38">
        <f>6.14/G306</f>
        <v>0.5116666666666666</v>
      </c>
      <c r="I308" s="29">
        <f>G306*H308</f>
        <v>6.1399999999999988</v>
      </c>
      <c r="J308">
        <v>3</v>
      </c>
      <c r="K308" s="4">
        <v>0</v>
      </c>
      <c r="L308" s="4">
        <v>11.484</v>
      </c>
      <c r="M308" s="4">
        <f>I308-K308-L308</f>
        <v>-5.3440000000000012</v>
      </c>
    </row>
    <row r="309" spans="1:19" x14ac:dyDescent="0.3">
      <c r="A309" s="98"/>
      <c r="B309" s="98"/>
      <c r="C309" s="98"/>
      <c r="D309" s="98"/>
      <c r="E309" s="98"/>
      <c r="F309" s="98"/>
      <c r="G309" s="98"/>
      <c r="H309" s="38">
        <f>0</f>
        <v>0</v>
      </c>
      <c r="I309" s="29">
        <f>G306*H309</f>
        <v>0</v>
      </c>
      <c r="J309">
        <v>4</v>
      </c>
      <c r="N309" s="4">
        <f>IF(ISERR(SEARCH("TRA* 82",C306)),IF(Q309+R309+S309=0,0,I309*(Q309/(Q309+R309+S309))),I309)</f>
        <v>0</v>
      </c>
      <c r="O309" s="4">
        <f>IF(ISERR(SEARCH("TRA* 82",C306)),IF(Q309+R309+S309=0,0,I309*(R309/(Q309+R309+S309))),0)</f>
        <v>0</v>
      </c>
      <c r="P309" s="4">
        <f>IF(ISERR(SEARCH("TRA* 82",C306)),I309-N309-O309,0)</f>
        <v>0</v>
      </c>
      <c r="Q309" s="4">
        <v>0</v>
      </c>
      <c r="R309" s="4">
        <v>0</v>
      </c>
      <c r="S309" s="4">
        <v>0</v>
      </c>
    </row>
    <row r="310" spans="1:19" x14ac:dyDescent="0.3">
      <c r="A310" s="96" t="s">
        <v>27</v>
      </c>
      <c r="B310" s="97"/>
      <c r="C310" s="97"/>
      <c r="D310" s="97"/>
      <c r="E310" s="97"/>
      <c r="F310" s="97"/>
      <c r="G310" s="97"/>
      <c r="H310" s="36">
        <f>H306+H307+H308+H309</f>
        <v>20.503333333333334</v>
      </c>
      <c r="I310" s="74">
        <f>I306+I307+I308+I309</f>
        <v>246.03999999999996</v>
      </c>
      <c r="J310">
        <v>5</v>
      </c>
    </row>
    <row r="311" spans="1:19" x14ac:dyDescent="0.3">
      <c r="B311" s="2">
        <v>52</v>
      </c>
      <c r="C311" s="3" t="s">
        <v>234</v>
      </c>
      <c r="D311" s="5" t="s">
        <v>25</v>
      </c>
      <c r="G311" s="30">
        <v>18</v>
      </c>
      <c r="H311" s="38">
        <f>292.91/G311</f>
        <v>16.27277777777778</v>
      </c>
      <c r="I311" s="29">
        <f>G311*H311</f>
        <v>292.91000000000003</v>
      </c>
      <c r="J311">
        <v>1</v>
      </c>
    </row>
    <row r="312" spans="1:19" x14ac:dyDescent="0.3">
      <c r="D312" s="15" t="str">
        <f>SUBSTITUTE("Sp.mat: 0.00%",".",IF(VALUE("1.2")=1.2,".",","),2)</f>
        <v>Sp.mat: 0.00%</v>
      </c>
      <c r="F312" s="15" t="str">
        <f>SUBSTITUTE("Sp.man: 0.00%",".",IF(VALUE("1.2")=1.2,".",","),2)</f>
        <v>Sp.man: 0.00%</v>
      </c>
      <c r="G312" s="35" t="str">
        <f>SUBSTITUTE("Sp.uti: 0.00%",".",IF(VALUE("1.2")=1.2,".",","),2)</f>
        <v>Sp.uti: 0.00%</v>
      </c>
      <c r="H312" s="38">
        <f>66.31/G311</f>
        <v>3.6838888888888892</v>
      </c>
      <c r="I312" s="29">
        <f>G311*H312</f>
        <v>66.31</v>
      </c>
      <c r="J312">
        <v>2</v>
      </c>
    </row>
    <row r="313" spans="1:19" x14ac:dyDescent="0.3">
      <c r="A313" s="88" t="s">
        <v>235</v>
      </c>
      <c r="B313" s="98"/>
      <c r="C313" s="98"/>
      <c r="D313" s="98"/>
      <c r="E313" s="98"/>
      <c r="F313" s="98"/>
      <c r="G313" s="98"/>
      <c r="H313" s="38">
        <f>4.41/G311</f>
        <v>0.245</v>
      </c>
      <c r="I313" s="29">
        <f>G311*H313</f>
        <v>4.41</v>
      </c>
      <c r="J313">
        <v>3</v>
      </c>
      <c r="K313" s="4">
        <v>0</v>
      </c>
      <c r="L313" s="4">
        <v>8.2620000000000005</v>
      </c>
      <c r="M313" s="4">
        <f>I313-K313-L313</f>
        <v>-3.8520000000000003</v>
      </c>
    </row>
    <row r="314" spans="1:19" x14ac:dyDescent="0.3">
      <c r="A314" s="98"/>
      <c r="B314" s="98"/>
      <c r="C314" s="98"/>
      <c r="D314" s="98"/>
      <c r="E314" s="98"/>
      <c r="F314" s="98"/>
      <c r="G314" s="98"/>
      <c r="H314" s="38">
        <f>0</f>
        <v>0</v>
      </c>
      <c r="I314" s="29">
        <f>G311*H314</f>
        <v>0</v>
      </c>
      <c r="J314">
        <v>4</v>
      </c>
      <c r="N314" s="4">
        <f>IF(ISERR(SEARCH("TRA* 82",C311)),IF(Q314+R314+S314=0,0,I314*(Q314/(Q314+R314+S314))),I314)</f>
        <v>0</v>
      </c>
      <c r="O314" s="4">
        <f>IF(ISERR(SEARCH("TRA* 82",C311)),IF(Q314+R314+S314=0,0,I314*(R314/(Q314+R314+S314))),0)</f>
        <v>0</v>
      </c>
      <c r="P314" s="4">
        <f>IF(ISERR(SEARCH("TRA* 82",C311)),I314-N314-O314,0)</f>
        <v>0</v>
      </c>
      <c r="Q314" s="4">
        <v>0</v>
      </c>
      <c r="R314" s="4">
        <v>0</v>
      </c>
      <c r="S314" s="4">
        <v>0</v>
      </c>
    </row>
    <row r="315" spans="1:19" x14ac:dyDescent="0.3">
      <c r="A315" s="96" t="s">
        <v>27</v>
      </c>
      <c r="B315" s="97"/>
      <c r="C315" s="97"/>
      <c r="D315" s="97"/>
      <c r="E315" s="97"/>
      <c r="F315" s="97"/>
      <c r="G315" s="97"/>
      <c r="H315" s="36">
        <f>H311+H312+H313+H314</f>
        <v>20.201666666666672</v>
      </c>
      <c r="I315" s="74">
        <f>I311+I312+I313+I314</f>
        <v>363.63000000000005</v>
      </c>
      <c r="J315">
        <v>5</v>
      </c>
    </row>
    <row r="316" spans="1:19" x14ac:dyDescent="0.3">
      <c r="B316" s="2">
        <v>53</v>
      </c>
      <c r="C316" s="3" t="s">
        <v>238</v>
      </c>
      <c r="D316" s="5" t="s">
        <v>25</v>
      </c>
      <c r="G316" s="30">
        <v>306</v>
      </c>
      <c r="H316" s="38">
        <f>80.33/G316</f>
        <v>0.26251633986928102</v>
      </c>
      <c r="I316" s="29">
        <f>G316*H316</f>
        <v>80.33</v>
      </c>
      <c r="J316">
        <v>1</v>
      </c>
    </row>
    <row r="317" spans="1:19" x14ac:dyDescent="0.3">
      <c r="D317" s="15" t="str">
        <f>SUBSTITUTE("Sp.mat: 0.00%",".",IF(VALUE("1.2")=1.2,".",","),2)</f>
        <v>Sp.mat: 0.00%</v>
      </c>
      <c r="F317" s="15" t="str">
        <f>SUBSTITUTE("Sp.man: 0.00%",".",IF(VALUE("1.2")=1.2,".",","),2)</f>
        <v>Sp.man: 0.00%</v>
      </c>
      <c r="G317" s="35" t="str">
        <f>SUBSTITUTE("Sp.uti: 0.00%",".",IF(VALUE("1.2")=1.2,".",","),2)</f>
        <v>Sp.uti: 0.00%</v>
      </c>
      <c r="H317" s="38">
        <f>588.14/G316</f>
        <v>1.9220261437908497</v>
      </c>
      <c r="I317" s="29">
        <f>G316*H317</f>
        <v>588.14</v>
      </c>
      <c r="J317">
        <v>2</v>
      </c>
    </row>
    <row r="318" spans="1:19" x14ac:dyDescent="0.3">
      <c r="A318" s="88" t="s">
        <v>239</v>
      </c>
      <c r="B318" s="98"/>
      <c r="C318" s="98"/>
      <c r="D318" s="98"/>
      <c r="E318" s="98"/>
      <c r="F318" s="98"/>
      <c r="G318" s="98"/>
      <c r="H318" s="38">
        <f>9.56/G316</f>
        <v>3.124183006535948E-2</v>
      </c>
      <c r="I318" s="29">
        <f>G316*H318</f>
        <v>9.56</v>
      </c>
      <c r="J318">
        <v>3</v>
      </c>
      <c r="K318" s="4">
        <v>0</v>
      </c>
      <c r="L318" s="4">
        <v>0</v>
      </c>
      <c r="M318" s="4">
        <f>I318-K318-L318</f>
        <v>9.56</v>
      </c>
    </row>
    <row r="319" spans="1:19" x14ac:dyDescent="0.3">
      <c r="A319" s="98"/>
      <c r="B319" s="98"/>
      <c r="C319" s="98"/>
      <c r="D319" s="98"/>
      <c r="E319" s="98"/>
      <c r="F319" s="98"/>
      <c r="G319" s="98"/>
      <c r="H319" s="38">
        <f>0</f>
        <v>0</v>
      </c>
      <c r="I319" s="29">
        <f>G316*H319</f>
        <v>0</v>
      </c>
      <c r="J319">
        <v>4</v>
      </c>
      <c r="N319" s="4">
        <f>IF(ISERR(SEARCH("TRA* 82",C316)),IF(Q319+R319+S319=0,0,I319*(Q319/(Q319+R319+S319))),I319)</f>
        <v>0</v>
      </c>
      <c r="O319" s="4">
        <f>IF(ISERR(SEARCH("TRA* 82",C316)),IF(Q319+R319+S319=0,0,I319*(R319/(Q319+R319+S319))),0)</f>
        <v>0</v>
      </c>
      <c r="P319" s="4">
        <f>IF(ISERR(SEARCH("TRA* 82",C316)),I319-N319-O319,0)</f>
        <v>0</v>
      </c>
      <c r="Q319" s="4">
        <v>0</v>
      </c>
      <c r="R319" s="4">
        <v>0</v>
      </c>
      <c r="S319" s="4">
        <v>0</v>
      </c>
    </row>
    <row r="320" spans="1:19" x14ac:dyDescent="0.3">
      <c r="A320" s="96" t="s">
        <v>240</v>
      </c>
      <c r="B320" s="97"/>
      <c r="C320" s="97"/>
      <c r="D320" s="97"/>
      <c r="E320" s="97"/>
      <c r="F320" s="97"/>
      <c r="G320" s="97"/>
      <c r="H320" s="36">
        <f>H316+H317+H318+H319</f>
        <v>2.2157843137254902</v>
      </c>
      <c r="I320" s="74">
        <f>I316+I317+I318+I319</f>
        <v>678.03</v>
      </c>
      <c r="J320">
        <v>5</v>
      </c>
    </row>
    <row r="321" spans="1:19" x14ac:dyDescent="0.3">
      <c r="B321" s="2">
        <v>54</v>
      </c>
      <c r="C321" s="3" t="s">
        <v>241</v>
      </c>
      <c r="D321" s="5" t="s">
        <v>25</v>
      </c>
      <c r="G321" s="30">
        <v>45</v>
      </c>
      <c r="H321" s="38">
        <f>52.02/G321</f>
        <v>1.1560000000000001</v>
      </c>
      <c r="I321" s="29">
        <f>G321*H321</f>
        <v>52.02</v>
      </c>
      <c r="J321">
        <v>1</v>
      </c>
    </row>
    <row r="322" spans="1:19" x14ac:dyDescent="0.3">
      <c r="D322" s="15" t="str">
        <f>SUBSTITUTE("Sp.mat: 0.00%",".",IF(VALUE("1.2")=1.2,".",","),2)</f>
        <v>Sp.mat: 0.00%</v>
      </c>
      <c r="F322" s="15" t="str">
        <f>SUBSTITUTE("Sp.man: 0.00%",".",IF(VALUE("1.2")=1.2,".",","),2)</f>
        <v>Sp.man: 0.00%</v>
      </c>
      <c r="G322" s="35" t="str">
        <f>SUBSTITUTE("Sp.uti: 0.00%",".",IF(VALUE("1.2")=1.2,".",","),2)</f>
        <v>Sp.uti: 0.00%</v>
      </c>
      <c r="H322" s="38">
        <f>(1+IF(OR(ISERR(FIND(":",F322)),ISERR(FIND("%",F322))),0,MID(F322,FIND(":",F322)+2,FIND("%",F322)-FIND(":",F322)-2)/100))*0</f>
        <v>0</v>
      </c>
      <c r="I322" s="29">
        <f>G321*H322</f>
        <v>0</v>
      </c>
      <c r="J322">
        <v>2</v>
      </c>
    </row>
    <row r="323" spans="1:19" x14ac:dyDescent="0.3">
      <c r="A323" s="88" t="s">
        <v>242</v>
      </c>
      <c r="B323" s="98"/>
      <c r="C323" s="98"/>
      <c r="D323" s="98"/>
      <c r="E323" s="98"/>
      <c r="F323" s="98"/>
      <c r="G323" s="98"/>
      <c r="H323" s="38">
        <f>(1+IF(OR(ISERR(FIND(":",G322)),ISERR(FIND("%",G322))),0,MID(G322,FIND(":",G322)+2,FIND("%",G322)-FIND(":",G322)-2)/100))*0</f>
        <v>0</v>
      </c>
      <c r="I323" s="29">
        <f>G321*H323</f>
        <v>0</v>
      </c>
      <c r="J323">
        <v>3</v>
      </c>
      <c r="K323" s="4">
        <v>0</v>
      </c>
      <c r="L323" s="4">
        <v>0</v>
      </c>
      <c r="M323" s="4">
        <f>I323-K323-L323</f>
        <v>0</v>
      </c>
    </row>
    <row r="324" spans="1:19" x14ac:dyDescent="0.3">
      <c r="A324" s="98"/>
      <c r="B324" s="98"/>
      <c r="C324" s="98"/>
      <c r="D324" s="98"/>
      <c r="E324" s="98"/>
      <c r="F324" s="98"/>
      <c r="G324" s="98"/>
      <c r="H324" s="38">
        <f>0</f>
        <v>0</v>
      </c>
      <c r="I324" s="29">
        <f>G321*H324</f>
        <v>0</v>
      </c>
      <c r="J324">
        <v>4</v>
      </c>
      <c r="N324" s="4">
        <f>IF(ISERR(SEARCH("TRA* 82",C321)),IF(Q324+R324+S324=0,0,I324*(Q324/(Q324+R324+S324))),I324)</f>
        <v>0</v>
      </c>
      <c r="O324" s="4">
        <f>IF(ISERR(SEARCH("TRA* 82",C321)),IF(Q324+R324+S324=0,0,I324*(R324/(Q324+R324+S324))),0)</f>
        <v>0</v>
      </c>
      <c r="P324" s="4">
        <f>IF(ISERR(SEARCH("TRA* 82",C321)),I324-N324-O324,0)</f>
        <v>0</v>
      </c>
      <c r="Q324" s="4">
        <v>0</v>
      </c>
      <c r="R324" s="4">
        <v>0</v>
      </c>
      <c r="S324" s="4">
        <v>0</v>
      </c>
    </row>
    <row r="325" spans="1:19" x14ac:dyDescent="0.3">
      <c r="A325" s="96" t="s">
        <v>27</v>
      </c>
      <c r="B325" s="97"/>
      <c r="C325" s="97"/>
      <c r="D325" s="97"/>
      <c r="E325" s="97"/>
      <c r="F325" s="97"/>
      <c r="G325" s="97"/>
      <c r="H325" s="36">
        <f>H321+H322+H323+H324</f>
        <v>1.1560000000000001</v>
      </c>
      <c r="I325" s="74">
        <f>I321+I322+I323+I324</f>
        <v>52.02</v>
      </c>
      <c r="J325">
        <v>5</v>
      </c>
    </row>
    <row r="326" spans="1:19" x14ac:dyDescent="0.3">
      <c r="B326" s="2">
        <v>55</v>
      </c>
      <c r="C326" s="3" t="s">
        <v>243</v>
      </c>
      <c r="D326" s="5" t="s">
        <v>29</v>
      </c>
      <c r="G326" s="30">
        <v>46</v>
      </c>
      <c r="H326" s="38">
        <f>83.5/G326</f>
        <v>1.8152173913043479</v>
      </c>
      <c r="I326" s="29">
        <f>G326*H326</f>
        <v>83.5</v>
      </c>
      <c r="J326">
        <v>1</v>
      </c>
    </row>
    <row r="327" spans="1:19" x14ac:dyDescent="0.3">
      <c r="D327" s="15" t="str">
        <f>SUBSTITUTE("Sp.mat: 0.00%",".",IF(VALUE("1.2")=1.2,".",","),2)</f>
        <v>Sp.mat: 0.00%</v>
      </c>
      <c r="F327" s="15" t="str">
        <f>SUBSTITUTE("Sp.man: 0.00%",".",IF(VALUE("1.2")=1.2,".",","),2)</f>
        <v>Sp.man: 0.00%</v>
      </c>
      <c r="G327" s="35" t="str">
        <f>SUBSTITUTE("Sp.uti: 0.00%",".",IF(VALUE("1.2")=1.2,".",","),2)</f>
        <v>Sp.uti: 0.00%</v>
      </c>
      <c r="H327" s="38">
        <f>(1+IF(OR(ISERR(FIND(":",F327)),ISERR(FIND("%",F327))),0,MID(F327,FIND(":",F327)+2,FIND("%",F327)-FIND(":",F327)-2)/100))*0</f>
        <v>0</v>
      </c>
      <c r="I327" s="29">
        <f>G326*H327</f>
        <v>0</v>
      </c>
      <c r="J327">
        <v>2</v>
      </c>
    </row>
    <row r="328" spans="1:19" x14ac:dyDescent="0.3">
      <c r="A328" s="88" t="s">
        <v>244</v>
      </c>
      <c r="B328" s="98"/>
      <c r="C328" s="98"/>
      <c r="D328" s="98"/>
      <c r="E328" s="98"/>
      <c r="F328" s="98"/>
      <c r="G328" s="98"/>
      <c r="H328" s="38">
        <f>(1+IF(OR(ISERR(FIND(":",G327)),ISERR(FIND("%",G327))),0,MID(G327,FIND(":",G327)+2,FIND("%",G327)-FIND(":",G327)-2)/100))*0</f>
        <v>0</v>
      </c>
      <c r="I328" s="29">
        <f>G326*H328</f>
        <v>0</v>
      </c>
      <c r="J328">
        <v>3</v>
      </c>
      <c r="K328" s="4">
        <v>0</v>
      </c>
      <c r="L328" s="4">
        <v>0</v>
      </c>
      <c r="M328" s="4">
        <f>I328-K328-L328</f>
        <v>0</v>
      </c>
    </row>
    <row r="329" spans="1:19" x14ac:dyDescent="0.3">
      <c r="A329" s="98"/>
      <c r="B329" s="98"/>
      <c r="C329" s="98"/>
      <c r="D329" s="98"/>
      <c r="E329" s="98"/>
      <c r="F329" s="98"/>
      <c r="G329" s="98"/>
      <c r="H329" s="38">
        <f>0</f>
        <v>0</v>
      </c>
      <c r="I329" s="29">
        <f>G326*H329</f>
        <v>0</v>
      </c>
      <c r="J329">
        <v>4</v>
      </c>
      <c r="N329" s="4">
        <f>IF(ISERR(SEARCH("TRA* 82",C326)),IF(Q329+R329+S329=0,0,I329*(Q329/(Q329+R329+S329))),I329)</f>
        <v>0</v>
      </c>
      <c r="O329" s="4">
        <f>IF(ISERR(SEARCH("TRA* 82",C326)),IF(Q329+R329+S329=0,0,I329*(R329/(Q329+R329+S329))),0)</f>
        <v>0</v>
      </c>
      <c r="P329" s="4">
        <f>IF(ISERR(SEARCH("TRA* 82",C326)),I329-N329-O329,0)</f>
        <v>0</v>
      </c>
      <c r="Q329" s="4">
        <v>0</v>
      </c>
      <c r="R329" s="4">
        <v>0</v>
      </c>
      <c r="S329" s="4">
        <v>0</v>
      </c>
    </row>
    <row r="330" spans="1:19" x14ac:dyDescent="0.3">
      <c r="A330" s="96" t="s">
        <v>898</v>
      </c>
      <c r="B330" s="97"/>
      <c r="C330" s="97"/>
      <c r="D330" s="97"/>
      <c r="E330" s="97"/>
      <c r="F330" s="97"/>
      <c r="G330" s="97"/>
      <c r="H330" s="36">
        <f>H326+H327+H328+H329</f>
        <v>1.8152173913043479</v>
      </c>
      <c r="I330" s="74">
        <f>I326+I327+I328+I329</f>
        <v>83.5</v>
      </c>
      <c r="J330">
        <v>5</v>
      </c>
    </row>
    <row r="331" spans="1:19" x14ac:dyDescent="0.3">
      <c r="B331" s="2">
        <v>56</v>
      </c>
      <c r="C331" s="3" t="s">
        <v>246</v>
      </c>
      <c r="D331" s="5" t="s">
        <v>25</v>
      </c>
      <c r="G331" s="30">
        <v>84</v>
      </c>
      <c r="H331" s="38">
        <f>188.36/G331</f>
        <v>2.2423809523809526</v>
      </c>
      <c r="I331" s="29">
        <f>G331*H331</f>
        <v>188.36</v>
      </c>
      <c r="J331">
        <v>1</v>
      </c>
    </row>
    <row r="332" spans="1:19" x14ac:dyDescent="0.3">
      <c r="D332" s="15" t="str">
        <f>SUBSTITUTE("Sp.mat: 0.00%",".",IF(VALUE("1.2")=1.2,".",","),2)</f>
        <v>Sp.mat: 0.00%</v>
      </c>
      <c r="F332" s="15" t="str">
        <f>SUBSTITUTE("Sp.man: 0.00%",".",IF(VALUE("1.2")=1.2,".",","),2)</f>
        <v>Sp.man: 0.00%</v>
      </c>
      <c r="G332" s="35" t="str">
        <f>SUBSTITUTE("Sp.uti: 0.00%",".",IF(VALUE("1.2")=1.2,".",","),2)</f>
        <v>Sp.uti: 0.00%</v>
      </c>
      <c r="H332" s="38">
        <f>(1+IF(OR(ISERR(FIND(":",F332)),ISERR(FIND("%",F332))),0,MID(F332,FIND(":",F332)+2,FIND("%",F332)-FIND(":",F332)-2)/100))*0</f>
        <v>0</v>
      </c>
      <c r="I332" s="29">
        <f>G331*H332</f>
        <v>0</v>
      </c>
      <c r="J332">
        <v>2</v>
      </c>
    </row>
    <row r="333" spans="1:19" x14ac:dyDescent="0.3">
      <c r="A333" s="88" t="s">
        <v>247</v>
      </c>
      <c r="B333" s="98"/>
      <c r="C333" s="98"/>
      <c r="D333" s="98"/>
      <c r="E333" s="98"/>
      <c r="F333" s="98"/>
      <c r="G333" s="98"/>
      <c r="H333" s="38">
        <f>(1+IF(OR(ISERR(FIND(":",G332)),ISERR(FIND("%",G332))),0,MID(G332,FIND(":",G332)+2,FIND("%",G332)-FIND(":",G332)-2)/100))*0</f>
        <v>0</v>
      </c>
      <c r="I333" s="29">
        <f>G331*H333</f>
        <v>0</v>
      </c>
      <c r="J333">
        <v>3</v>
      </c>
      <c r="K333" s="4">
        <v>0</v>
      </c>
      <c r="L333" s="4">
        <v>0</v>
      </c>
      <c r="M333" s="4">
        <f>I333-K333-L333</f>
        <v>0</v>
      </c>
    </row>
    <row r="334" spans="1:19" x14ac:dyDescent="0.3">
      <c r="A334" s="98"/>
      <c r="B334" s="98"/>
      <c r="C334" s="98"/>
      <c r="D334" s="98"/>
      <c r="E334" s="98"/>
      <c r="F334" s="98"/>
      <c r="G334" s="98"/>
      <c r="H334" s="38">
        <f>0</f>
        <v>0</v>
      </c>
      <c r="I334" s="29">
        <f>G331*H334</f>
        <v>0</v>
      </c>
      <c r="J334">
        <v>4</v>
      </c>
      <c r="N334" s="4">
        <f>IF(ISERR(SEARCH("TRA* 82",C331)),IF(Q334+R334+S334=0,0,I334*(Q334/(Q334+R334+S334))),I334)</f>
        <v>0</v>
      </c>
      <c r="O334" s="4">
        <f>IF(ISERR(SEARCH("TRA* 82",C331)),IF(Q334+R334+S334=0,0,I334*(R334/(Q334+R334+S334))),0)</f>
        <v>0</v>
      </c>
      <c r="P334" s="4">
        <f>IF(ISERR(SEARCH("TRA* 82",C331)),I334-N334-O334,0)</f>
        <v>0</v>
      </c>
      <c r="Q334" s="4">
        <v>0</v>
      </c>
      <c r="R334" s="4">
        <v>0</v>
      </c>
      <c r="S334" s="4">
        <v>0</v>
      </c>
    </row>
    <row r="335" spans="1:19" x14ac:dyDescent="0.3">
      <c r="A335" s="96" t="s">
        <v>27</v>
      </c>
      <c r="B335" s="97"/>
      <c r="C335" s="97"/>
      <c r="D335" s="97"/>
      <c r="E335" s="97"/>
      <c r="F335" s="97"/>
      <c r="G335" s="97"/>
      <c r="H335" s="36">
        <f>H331+H332+H333+H334</f>
        <v>2.2423809523809526</v>
      </c>
      <c r="I335" s="74">
        <f>I331+I332+I333+I334</f>
        <v>188.36</v>
      </c>
      <c r="J335">
        <v>5</v>
      </c>
    </row>
    <row r="336" spans="1:19" x14ac:dyDescent="0.3">
      <c r="B336" s="2">
        <v>57</v>
      </c>
      <c r="C336" s="3" t="s">
        <v>248</v>
      </c>
      <c r="D336" s="5" t="s">
        <v>25</v>
      </c>
      <c r="G336" s="30">
        <v>76</v>
      </c>
      <c r="H336" s="38">
        <f>241.02/G336</f>
        <v>3.1713157894736845</v>
      </c>
      <c r="I336" s="29">
        <f>G336*H336</f>
        <v>241.02000000000004</v>
      </c>
      <c r="J336">
        <v>1</v>
      </c>
    </row>
    <row r="337" spans="1:19" x14ac:dyDescent="0.3">
      <c r="D337" s="15" t="str">
        <f>SUBSTITUTE("Sp.mat: 0.00%",".",IF(VALUE("1.2")=1.2,".",","),2)</f>
        <v>Sp.mat: 0.00%</v>
      </c>
      <c r="F337" s="15" t="str">
        <f>SUBSTITUTE("Sp.man: 0.00%",".",IF(VALUE("1.2")=1.2,".",","),2)</f>
        <v>Sp.man: 0.00%</v>
      </c>
      <c r="G337" s="35" t="str">
        <f>SUBSTITUTE("Sp.uti: 0.00%",".",IF(VALUE("1.2")=1.2,".",","),2)</f>
        <v>Sp.uti: 0.00%</v>
      </c>
      <c r="H337" s="38">
        <f>(1+IF(OR(ISERR(FIND(":",F337)),ISERR(FIND("%",F337))),0,MID(F337,FIND(":",F337)+2,FIND("%",F337)-FIND(":",F337)-2)/100))*0</f>
        <v>0</v>
      </c>
      <c r="I337" s="29">
        <f>G336*H337</f>
        <v>0</v>
      </c>
      <c r="J337">
        <v>2</v>
      </c>
    </row>
    <row r="338" spans="1:19" x14ac:dyDescent="0.3">
      <c r="A338" s="88" t="s">
        <v>249</v>
      </c>
      <c r="B338" s="98"/>
      <c r="C338" s="98"/>
      <c r="D338" s="98"/>
      <c r="E338" s="98"/>
      <c r="F338" s="98"/>
      <c r="G338" s="98"/>
      <c r="H338" s="38">
        <f>(1+IF(OR(ISERR(FIND(":",G337)),ISERR(FIND("%",G337))),0,MID(G337,FIND(":",G337)+2,FIND("%",G337)-FIND(":",G337)-2)/100))*0</f>
        <v>0</v>
      </c>
      <c r="I338" s="29">
        <f>G336*H338</f>
        <v>0</v>
      </c>
      <c r="J338">
        <v>3</v>
      </c>
      <c r="K338" s="4">
        <v>0</v>
      </c>
      <c r="L338" s="4">
        <v>0</v>
      </c>
      <c r="M338" s="4">
        <f>I338-K338-L338</f>
        <v>0</v>
      </c>
    </row>
    <row r="339" spans="1:19" x14ac:dyDescent="0.3">
      <c r="A339" s="98"/>
      <c r="B339" s="98"/>
      <c r="C339" s="98"/>
      <c r="D339" s="98"/>
      <c r="E339" s="98"/>
      <c r="F339" s="98"/>
      <c r="G339" s="98"/>
      <c r="H339" s="38">
        <f>0</f>
        <v>0</v>
      </c>
      <c r="I339" s="29">
        <f>G336*H339</f>
        <v>0</v>
      </c>
      <c r="J339">
        <v>4</v>
      </c>
      <c r="N339" s="4">
        <f>IF(ISERR(SEARCH("TRA* 82",C336)),IF(Q339+R339+S339=0,0,I339*(Q339/(Q339+R339+S339))),I339)</f>
        <v>0</v>
      </c>
      <c r="O339" s="4">
        <f>IF(ISERR(SEARCH("TRA* 82",C336)),IF(Q339+R339+S339=0,0,I339*(R339/(Q339+R339+S339))),0)</f>
        <v>0</v>
      </c>
      <c r="P339" s="4">
        <f>IF(ISERR(SEARCH("TRA* 82",C336)),I339-N339-O339,0)</f>
        <v>0</v>
      </c>
      <c r="Q339" s="4">
        <v>0</v>
      </c>
      <c r="R339" s="4">
        <v>0</v>
      </c>
      <c r="S339" s="4">
        <v>0</v>
      </c>
    </row>
    <row r="340" spans="1:19" x14ac:dyDescent="0.3">
      <c r="A340" s="96" t="s">
        <v>27</v>
      </c>
      <c r="B340" s="97"/>
      <c r="C340" s="97"/>
      <c r="D340" s="97"/>
      <c r="E340" s="97"/>
      <c r="F340" s="97"/>
      <c r="G340" s="97"/>
      <c r="H340" s="36">
        <f>H336+H337+H338+H339</f>
        <v>3.1713157894736845</v>
      </c>
      <c r="I340" s="74">
        <f>I336+I337+I338+I339</f>
        <v>241.02000000000004</v>
      </c>
      <c r="J340">
        <v>5</v>
      </c>
    </row>
    <row r="341" spans="1:19" x14ac:dyDescent="0.3">
      <c r="B341" s="2">
        <v>58</v>
      </c>
      <c r="C341" s="3" t="s">
        <v>250</v>
      </c>
      <c r="D341" s="5" t="s">
        <v>25</v>
      </c>
      <c r="G341" s="30">
        <v>25</v>
      </c>
      <c r="H341" s="38">
        <f>79.28/G341</f>
        <v>3.1712000000000002</v>
      </c>
      <c r="I341" s="29">
        <f>G341*H341</f>
        <v>79.28</v>
      </c>
      <c r="J341">
        <v>1</v>
      </c>
    </row>
    <row r="342" spans="1:19" x14ac:dyDescent="0.3">
      <c r="D342" s="15" t="str">
        <f>SUBSTITUTE("Sp.mat: 0.00%",".",IF(VALUE("1.2")=1.2,".",","),2)</f>
        <v>Sp.mat: 0.00%</v>
      </c>
      <c r="F342" s="15" t="str">
        <f>SUBSTITUTE("Sp.man: 0.00%",".",IF(VALUE("1.2")=1.2,".",","),2)</f>
        <v>Sp.man: 0.00%</v>
      </c>
      <c r="G342" s="35" t="str">
        <f>SUBSTITUTE("Sp.uti: 0.00%",".",IF(VALUE("1.2")=1.2,".",","),2)</f>
        <v>Sp.uti: 0.00%</v>
      </c>
      <c r="H342" s="38">
        <f>(1+IF(OR(ISERR(FIND(":",F342)),ISERR(FIND("%",F342))),0,MID(F342,FIND(":",F342)+2,FIND("%",F342)-FIND(":",F342)-2)/100))*0</f>
        <v>0</v>
      </c>
      <c r="I342" s="29">
        <f>G341*H342</f>
        <v>0</v>
      </c>
      <c r="J342">
        <v>2</v>
      </c>
    </row>
    <row r="343" spans="1:19" x14ac:dyDescent="0.3">
      <c r="A343" s="88" t="s">
        <v>251</v>
      </c>
      <c r="B343" s="98"/>
      <c r="C343" s="98"/>
      <c r="D343" s="98"/>
      <c r="E343" s="98"/>
      <c r="F343" s="98"/>
      <c r="G343" s="98"/>
      <c r="H343" s="38">
        <f>(1+IF(OR(ISERR(FIND(":",G342)),ISERR(FIND("%",G342))),0,MID(G342,FIND(":",G342)+2,FIND("%",G342)-FIND(":",G342)-2)/100))*0</f>
        <v>0</v>
      </c>
      <c r="I343" s="29">
        <f>G341*H343</f>
        <v>0</v>
      </c>
      <c r="J343">
        <v>3</v>
      </c>
      <c r="K343" s="4">
        <v>0</v>
      </c>
      <c r="L343" s="4">
        <v>0</v>
      </c>
      <c r="M343" s="4">
        <f>I343-K343-L343</f>
        <v>0</v>
      </c>
    </row>
    <row r="344" spans="1:19" x14ac:dyDescent="0.3">
      <c r="A344" s="98"/>
      <c r="B344" s="98"/>
      <c r="C344" s="98"/>
      <c r="D344" s="98"/>
      <c r="E344" s="98"/>
      <c r="F344" s="98"/>
      <c r="G344" s="98"/>
      <c r="H344" s="38">
        <f>0</f>
        <v>0</v>
      </c>
      <c r="I344" s="29">
        <f>G341*H344</f>
        <v>0</v>
      </c>
      <c r="J344">
        <v>4</v>
      </c>
      <c r="N344" s="4">
        <f>IF(ISERR(SEARCH("TRA* 82",C341)),IF(Q344+R344+S344=0,0,I344*(Q344/(Q344+R344+S344))),I344)</f>
        <v>0</v>
      </c>
      <c r="O344" s="4">
        <f>IF(ISERR(SEARCH("TRA* 82",C341)),IF(Q344+R344+S344=0,0,I344*(R344/(Q344+R344+S344))),0)</f>
        <v>0</v>
      </c>
      <c r="P344" s="4">
        <f>IF(ISERR(SEARCH("TRA* 82",C341)),I344-N344-O344,0)</f>
        <v>0</v>
      </c>
      <c r="Q344" s="4">
        <v>0</v>
      </c>
      <c r="R344" s="4">
        <v>0</v>
      </c>
      <c r="S344" s="4">
        <v>0</v>
      </c>
    </row>
    <row r="345" spans="1:19" x14ac:dyDescent="0.3">
      <c r="A345" s="96" t="s">
        <v>27</v>
      </c>
      <c r="B345" s="97"/>
      <c r="C345" s="97"/>
      <c r="D345" s="97"/>
      <c r="E345" s="97"/>
      <c r="F345" s="97"/>
      <c r="G345" s="97"/>
      <c r="H345" s="36">
        <f>H341+H342+H343+H344</f>
        <v>3.1712000000000002</v>
      </c>
      <c r="I345" s="74">
        <f>I341+I342+I343+I344</f>
        <v>79.28</v>
      </c>
      <c r="J345">
        <v>5</v>
      </c>
    </row>
    <row r="346" spans="1:19" x14ac:dyDescent="0.3">
      <c r="B346" s="2">
        <v>59</v>
      </c>
      <c r="C346" s="3" t="s">
        <v>252</v>
      </c>
      <c r="D346" s="5" t="s">
        <v>25</v>
      </c>
      <c r="G346" s="30">
        <v>12</v>
      </c>
      <c r="H346" s="38">
        <f>41.13/G346</f>
        <v>3.4275000000000002</v>
      </c>
      <c r="I346" s="29">
        <f>G346*H346</f>
        <v>41.13</v>
      </c>
      <c r="J346">
        <v>1</v>
      </c>
    </row>
    <row r="347" spans="1:19" x14ac:dyDescent="0.3">
      <c r="D347" s="15" t="str">
        <f>SUBSTITUTE("Sp.mat: 0.00%",".",IF(VALUE("1.2")=1.2,".",","),2)</f>
        <v>Sp.mat: 0.00%</v>
      </c>
      <c r="F347" s="15" t="str">
        <f>SUBSTITUTE("Sp.man: 0.00%",".",IF(VALUE("1.2")=1.2,".",","),2)</f>
        <v>Sp.man: 0.00%</v>
      </c>
      <c r="G347" s="35" t="str">
        <f>SUBSTITUTE("Sp.uti: 0.00%",".",IF(VALUE("1.2")=1.2,".",","),2)</f>
        <v>Sp.uti: 0.00%</v>
      </c>
      <c r="H347" s="38">
        <f>(1+IF(OR(ISERR(FIND(":",F347)),ISERR(FIND("%",F347))),0,MID(F347,FIND(":",F347)+2,FIND("%",F347)-FIND(":",F347)-2)/100))*0</f>
        <v>0</v>
      </c>
      <c r="I347" s="29">
        <f>G346*H347</f>
        <v>0</v>
      </c>
      <c r="J347">
        <v>2</v>
      </c>
    </row>
    <row r="348" spans="1:19" x14ac:dyDescent="0.3">
      <c r="A348" s="88" t="s">
        <v>253</v>
      </c>
      <c r="B348" s="98"/>
      <c r="C348" s="98"/>
      <c r="D348" s="98"/>
      <c r="E348" s="98"/>
      <c r="F348" s="98"/>
      <c r="G348" s="98"/>
      <c r="H348" s="38">
        <f>(1+IF(OR(ISERR(FIND(":",G347)),ISERR(FIND("%",G347))),0,MID(G347,FIND(":",G347)+2,FIND("%",G347)-FIND(":",G347)-2)/100))*0</f>
        <v>0</v>
      </c>
      <c r="I348" s="29">
        <f>G346*H348</f>
        <v>0</v>
      </c>
      <c r="J348">
        <v>3</v>
      </c>
      <c r="K348" s="4">
        <v>0</v>
      </c>
      <c r="L348" s="4">
        <v>0</v>
      </c>
      <c r="M348" s="4">
        <f>I348-K348-L348</f>
        <v>0</v>
      </c>
    </row>
    <row r="349" spans="1:19" x14ac:dyDescent="0.3">
      <c r="A349" s="98"/>
      <c r="B349" s="98"/>
      <c r="C349" s="98"/>
      <c r="D349" s="98"/>
      <c r="E349" s="98"/>
      <c r="F349" s="98"/>
      <c r="G349" s="98"/>
      <c r="H349" s="38">
        <f>0</f>
        <v>0</v>
      </c>
      <c r="I349" s="29">
        <f>G346*H349</f>
        <v>0</v>
      </c>
      <c r="J349">
        <v>4</v>
      </c>
      <c r="N349" s="4">
        <f>IF(ISERR(SEARCH("TRA* 82",C346)),IF(Q349+R349+S349=0,0,I349*(Q349/(Q349+R349+S349))),I349)</f>
        <v>0</v>
      </c>
      <c r="O349" s="4">
        <f>IF(ISERR(SEARCH("TRA* 82",C346)),IF(Q349+R349+S349=0,0,I349*(R349/(Q349+R349+S349))),0)</f>
        <v>0</v>
      </c>
      <c r="P349" s="4">
        <f>IF(ISERR(SEARCH("TRA* 82",C346)),I349-N349-O349,0)</f>
        <v>0</v>
      </c>
      <c r="Q349" s="4">
        <v>0</v>
      </c>
      <c r="R349" s="4">
        <v>0</v>
      </c>
      <c r="S349" s="4">
        <v>0</v>
      </c>
    </row>
    <row r="350" spans="1:19" x14ac:dyDescent="0.3">
      <c r="A350" s="96" t="s">
        <v>27</v>
      </c>
      <c r="B350" s="97"/>
      <c r="C350" s="97"/>
      <c r="D350" s="97"/>
      <c r="E350" s="97"/>
      <c r="F350" s="97"/>
      <c r="G350" s="97"/>
      <c r="H350" s="36">
        <f>H346+H347+H348+H349</f>
        <v>3.4275000000000002</v>
      </c>
      <c r="I350" s="74">
        <f>I346+I347+I348+I349</f>
        <v>41.13</v>
      </c>
      <c r="J350">
        <v>5</v>
      </c>
    </row>
    <row r="351" spans="1:19" x14ac:dyDescent="0.3">
      <c r="B351" s="2">
        <v>60</v>
      </c>
      <c r="C351" s="3" t="s">
        <v>254</v>
      </c>
      <c r="D351" s="5" t="s">
        <v>25</v>
      </c>
      <c r="G351" s="30">
        <v>18</v>
      </c>
      <c r="H351" s="38">
        <f>76.69/G351</f>
        <v>4.2605555555555554</v>
      </c>
      <c r="I351" s="29">
        <f>G351*H351</f>
        <v>76.69</v>
      </c>
      <c r="J351">
        <v>1</v>
      </c>
    </row>
    <row r="352" spans="1:19" x14ac:dyDescent="0.3">
      <c r="D352" s="15" t="str">
        <f>SUBSTITUTE("Sp.mat: 0.00%",".",IF(VALUE("1.2")=1.2,".",","),2)</f>
        <v>Sp.mat: 0.00%</v>
      </c>
      <c r="F352" s="15" t="str">
        <f>SUBSTITUTE("Sp.man: 0.00%",".",IF(VALUE("1.2")=1.2,".",","),2)</f>
        <v>Sp.man: 0.00%</v>
      </c>
      <c r="G352" s="35" t="str">
        <f>SUBSTITUTE("Sp.uti: 0.00%",".",IF(VALUE("1.2")=1.2,".",","),2)</f>
        <v>Sp.uti: 0.00%</v>
      </c>
      <c r="H352" s="38">
        <f>(1+IF(OR(ISERR(FIND(":",F352)),ISERR(FIND("%",F352))),0,MID(F352,FIND(":",F352)+2,FIND("%",F352)-FIND(":",F352)-2)/100))*0</f>
        <v>0</v>
      </c>
      <c r="I352" s="29">
        <f>G351*H352</f>
        <v>0</v>
      </c>
      <c r="J352">
        <v>2</v>
      </c>
    </row>
    <row r="353" spans="1:19" x14ac:dyDescent="0.3">
      <c r="A353" s="88" t="s">
        <v>255</v>
      </c>
      <c r="B353" s="98"/>
      <c r="C353" s="98"/>
      <c r="D353" s="98"/>
      <c r="E353" s="98"/>
      <c r="F353" s="98"/>
      <c r="G353" s="98"/>
      <c r="H353" s="38">
        <f>(1+IF(OR(ISERR(FIND(":",G352)),ISERR(FIND("%",G352))),0,MID(G352,FIND(":",G352)+2,FIND("%",G352)-FIND(":",G352)-2)/100))*0</f>
        <v>0</v>
      </c>
      <c r="I353" s="29">
        <f>G351*H353</f>
        <v>0</v>
      </c>
      <c r="J353">
        <v>3</v>
      </c>
      <c r="K353" s="4">
        <v>0</v>
      </c>
      <c r="L353" s="4">
        <v>0</v>
      </c>
      <c r="M353" s="4">
        <f>I353-K353-L353</f>
        <v>0</v>
      </c>
    </row>
    <row r="354" spans="1:19" x14ac:dyDescent="0.3">
      <c r="A354" s="98"/>
      <c r="B354" s="98"/>
      <c r="C354" s="98"/>
      <c r="D354" s="98"/>
      <c r="E354" s="98"/>
      <c r="F354" s="98"/>
      <c r="G354" s="98"/>
      <c r="H354" s="38">
        <f>0</f>
        <v>0</v>
      </c>
      <c r="I354" s="29">
        <f>G351*H354</f>
        <v>0</v>
      </c>
      <c r="J354">
        <v>4</v>
      </c>
      <c r="N354" s="4">
        <f>IF(ISERR(SEARCH("TRA* 82",C351)),IF(Q354+R354+S354=0,0,I354*(Q354/(Q354+R354+S354))),I354)</f>
        <v>0</v>
      </c>
      <c r="O354" s="4">
        <f>IF(ISERR(SEARCH("TRA* 82",C351)),IF(Q354+R354+S354=0,0,I354*(R354/(Q354+R354+S354))),0)</f>
        <v>0</v>
      </c>
      <c r="P354" s="4">
        <f>IF(ISERR(SEARCH("TRA* 82",C351)),I354-N354-O354,0)</f>
        <v>0</v>
      </c>
      <c r="Q354" s="4">
        <v>0</v>
      </c>
      <c r="R354" s="4">
        <v>0</v>
      </c>
      <c r="S354" s="4">
        <v>0</v>
      </c>
    </row>
    <row r="355" spans="1:19" x14ac:dyDescent="0.3">
      <c r="A355" s="96" t="s">
        <v>27</v>
      </c>
      <c r="B355" s="97"/>
      <c r="C355" s="97"/>
      <c r="D355" s="97"/>
      <c r="E355" s="97"/>
      <c r="F355" s="97"/>
      <c r="G355" s="97"/>
      <c r="H355" s="36">
        <f>H351+H352+H353+H354</f>
        <v>4.2605555555555554</v>
      </c>
      <c r="I355" s="74">
        <f>I351+I352+I353+I354</f>
        <v>76.69</v>
      </c>
      <c r="J355">
        <v>5</v>
      </c>
    </row>
    <row r="356" spans="1:19" x14ac:dyDescent="0.3">
      <c r="B356" s="2">
        <v>61</v>
      </c>
      <c r="C356" s="3" t="s">
        <v>258</v>
      </c>
      <c r="D356" s="5" t="s">
        <v>29</v>
      </c>
      <c r="G356" s="30">
        <v>54</v>
      </c>
      <c r="H356" s="38">
        <f>456.16/G356</f>
        <v>8.4474074074074075</v>
      </c>
      <c r="I356" s="29">
        <f>G356*H356</f>
        <v>456.16</v>
      </c>
      <c r="J356">
        <v>1</v>
      </c>
    </row>
    <row r="357" spans="1:19" x14ac:dyDescent="0.3">
      <c r="D357" s="15" t="str">
        <f>SUBSTITUTE("Sp.mat: 0.00%",".",IF(VALUE("1.2")=1.2,".",","),2)</f>
        <v>Sp.mat: 0.00%</v>
      </c>
      <c r="F357" s="15" t="str">
        <f>SUBSTITUTE("Sp.man: 0.00%",".",IF(VALUE("1.2")=1.2,".",","),2)</f>
        <v>Sp.man: 0.00%</v>
      </c>
      <c r="G357" s="35" t="str">
        <f>SUBSTITUTE("Sp.uti: 0.00%",".",IF(VALUE("1.2")=1.2,".",","),2)</f>
        <v>Sp.uti: 0.00%</v>
      </c>
      <c r="H357" s="38">
        <f>2248.79/G356</f>
        <v>41.644259259259258</v>
      </c>
      <c r="I357" s="29">
        <f>G356*H357</f>
        <v>2248.79</v>
      </c>
      <c r="J357">
        <v>2</v>
      </c>
    </row>
    <row r="358" spans="1:19" x14ac:dyDescent="0.3">
      <c r="A358" s="88" t="s">
        <v>259</v>
      </c>
      <c r="B358" s="98"/>
      <c r="C358" s="98"/>
      <c r="D358" s="98"/>
      <c r="E358" s="98"/>
      <c r="F358" s="98"/>
      <c r="G358" s="98"/>
      <c r="H358" s="38">
        <f>(1+IF(OR(ISERR(FIND(":",G357)),ISERR(FIND("%",G357))),0,MID(G357,FIND(":",G357)+2,FIND("%",G357)-FIND(":",G357)-2)/100))*0</f>
        <v>0</v>
      </c>
      <c r="I358" s="29">
        <f>G356*H358</f>
        <v>0</v>
      </c>
      <c r="J358">
        <v>3</v>
      </c>
      <c r="K358" s="4">
        <v>0</v>
      </c>
      <c r="L358" s="4">
        <v>0</v>
      </c>
      <c r="M358" s="4">
        <f>I358-K358-L358</f>
        <v>0</v>
      </c>
    </row>
    <row r="359" spans="1:19" x14ac:dyDescent="0.3">
      <c r="A359" s="98"/>
      <c r="B359" s="98"/>
      <c r="C359" s="98"/>
      <c r="D359" s="98"/>
      <c r="E359" s="98"/>
      <c r="F359" s="98"/>
      <c r="G359" s="98"/>
      <c r="H359" s="38">
        <f>0</f>
        <v>0</v>
      </c>
      <c r="I359" s="29">
        <f>G356*H359</f>
        <v>0</v>
      </c>
      <c r="J359">
        <v>4</v>
      </c>
      <c r="N359" s="4">
        <f>IF(ISERR(SEARCH("TRA* 82",C356)),IF(Q359+R359+S359=0,0,I359*(Q359/(Q359+R359+S359))),I359)</f>
        <v>0</v>
      </c>
      <c r="O359" s="4">
        <f>IF(ISERR(SEARCH("TRA* 82",C356)),IF(Q359+R359+S359=0,0,I359*(R359/(Q359+R359+S359))),0)</f>
        <v>0</v>
      </c>
      <c r="P359" s="4">
        <f>IF(ISERR(SEARCH("TRA* 82",C356)),I359-N359-O359,0)</f>
        <v>0</v>
      </c>
      <c r="Q359" s="4">
        <v>0</v>
      </c>
      <c r="R359" s="4">
        <v>0</v>
      </c>
      <c r="S359" s="4">
        <v>0</v>
      </c>
    </row>
    <row r="360" spans="1:19" x14ac:dyDescent="0.3">
      <c r="A360" s="96" t="s">
        <v>260</v>
      </c>
      <c r="B360" s="97"/>
      <c r="C360" s="97"/>
      <c r="D360" s="97"/>
      <c r="E360" s="97"/>
      <c r="F360" s="97"/>
      <c r="G360" s="97"/>
      <c r="H360" s="36">
        <f>H356+H357+H358+H359</f>
        <v>50.091666666666669</v>
      </c>
      <c r="I360" s="74">
        <f>I356+I357+I358+I359</f>
        <v>2704.95</v>
      </c>
      <c r="J360">
        <v>5</v>
      </c>
    </row>
    <row r="361" spans="1:19" x14ac:dyDescent="0.3">
      <c r="B361" s="2">
        <v>62</v>
      </c>
      <c r="C361" s="3" t="s">
        <v>261</v>
      </c>
      <c r="D361" s="5" t="s">
        <v>29</v>
      </c>
      <c r="G361" s="30">
        <v>54</v>
      </c>
      <c r="H361" s="38">
        <f>23987.06/G361</f>
        <v>444.20481481481482</v>
      </c>
      <c r="I361" s="29">
        <f>G361*H361</f>
        <v>23987.06</v>
      </c>
      <c r="J361">
        <v>1</v>
      </c>
    </row>
    <row r="362" spans="1:19" x14ac:dyDescent="0.3">
      <c r="D362" s="15" t="str">
        <f>SUBSTITUTE("Sp.mat: 0.00%",".",IF(VALUE("1.2")=1.2,".",","),2)</f>
        <v>Sp.mat: 0.00%</v>
      </c>
      <c r="F362" s="15" t="str">
        <f>SUBSTITUTE("Sp.man: 0.00%",".",IF(VALUE("1.2")=1.2,".",","),2)</f>
        <v>Sp.man: 0.00%</v>
      </c>
      <c r="G362" s="35" t="str">
        <f>SUBSTITUTE("Sp.uti: 0.00%",".",IF(VALUE("1.2")=1.2,".",","),2)</f>
        <v>Sp.uti: 0.00%</v>
      </c>
      <c r="H362" s="38">
        <f>(1+IF(OR(ISERR(FIND(":",F362)),ISERR(FIND("%",F362))),0,MID(F362,FIND(":",F362)+2,FIND("%",F362)-FIND(":",F362)-2)/100))*0</f>
        <v>0</v>
      </c>
      <c r="I362" s="29">
        <f>G361*H362</f>
        <v>0</v>
      </c>
      <c r="J362">
        <v>2</v>
      </c>
    </row>
    <row r="363" spans="1:19" x14ac:dyDescent="0.3">
      <c r="A363" s="88" t="s">
        <v>262</v>
      </c>
      <c r="B363" s="98"/>
      <c r="C363" s="98"/>
      <c r="D363" s="98"/>
      <c r="E363" s="98"/>
      <c r="F363" s="98"/>
      <c r="G363" s="98"/>
      <c r="H363" s="38">
        <f>(1+IF(OR(ISERR(FIND(":",G362)),ISERR(FIND("%",G362))),0,MID(G362,FIND(":",G362)+2,FIND("%",G362)-FIND(":",G362)-2)/100))*0</f>
        <v>0</v>
      </c>
      <c r="I363" s="29">
        <f>G361*H363</f>
        <v>0</v>
      </c>
      <c r="J363">
        <v>3</v>
      </c>
      <c r="K363" s="4">
        <v>0</v>
      </c>
      <c r="L363" s="4">
        <v>0</v>
      </c>
      <c r="M363" s="4">
        <f>I363-K363-L363</f>
        <v>0</v>
      </c>
    </row>
    <row r="364" spans="1:19" x14ac:dyDescent="0.3">
      <c r="A364" s="98"/>
      <c r="B364" s="98"/>
      <c r="C364" s="98"/>
      <c r="D364" s="98"/>
      <c r="E364" s="98"/>
      <c r="F364" s="98"/>
      <c r="G364" s="98"/>
      <c r="H364" s="38">
        <f>0</f>
        <v>0</v>
      </c>
      <c r="I364" s="29">
        <f>G361*H364</f>
        <v>0</v>
      </c>
      <c r="J364">
        <v>4</v>
      </c>
      <c r="N364" s="4">
        <f>IF(ISERR(SEARCH("TRA* 82",C361)),IF(Q364+R364+S364=0,0,I364*(Q364/(Q364+R364+S364))),I364)</f>
        <v>0</v>
      </c>
      <c r="O364" s="4">
        <f>IF(ISERR(SEARCH("TRA* 82",C361)),IF(Q364+R364+S364=0,0,I364*(R364/(Q364+R364+S364))),0)</f>
        <v>0</v>
      </c>
      <c r="P364" s="4">
        <f>IF(ISERR(SEARCH("TRA* 82",C361)),I364-N364-O364,0)</f>
        <v>0</v>
      </c>
      <c r="Q364" s="4">
        <v>0</v>
      </c>
      <c r="R364" s="4">
        <v>0</v>
      </c>
      <c r="S364" s="4">
        <v>0</v>
      </c>
    </row>
    <row r="365" spans="1:19" x14ac:dyDescent="0.3">
      <c r="A365" s="96" t="s">
        <v>27</v>
      </c>
      <c r="B365" s="97"/>
      <c r="C365" s="97"/>
      <c r="D365" s="97"/>
      <c r="E365" s="97"/>
      <c r="F365" s="97"/>
      <c r="G365" s="97"/>
      <c r="H365" s="36">
        <f>H361+H362+H363+H364</f>
        <v>444.20481481481482</v>
      </c>
      <c r="I365" s="74">
        <f>I361+I362+I363+I364</f>
        <v>23987.06</v>
      </c>
      <c r="J365">
        <v>5</v>
      </c>
    </row>
    <row r="366" spans="1:19" x14ac:dyDescent="0.3">
      <c r="B366" s="2">
        <v>63</v>
      </c>
      <c r="C366" s="3" t="s">
        <v>263</v>
      </c>
      <c r="D366" s="5" t="s">
        <v>25</v>
      </c>
      <c r="G366" s="30">
        <v>306</v>
      </c>
      <c r="H366" s="38">
        <f>(1+IF(OR(ISERR(FIND(":",D367)),ISERR(FIND("%",D367))),0,MID(D367,FIND(":",D367)+2,FIND("%",D367)-FIND(":",D367)-2)/100))*0</f>
        <v>0</v>
      </c>
      <c r="I366" s="29">
        <f>G366*H366</f>
        <v>0</v>
      </c>
      <c r="J366">
        <v>1</v>
      </c>
    </row>
    <row r="367" spans="1:19" x14ac:dyDescent="0.3">
      <c r="D367" s="15" t="str">
        <f>SUBSTITUTE("Sp.mat: 0.00%",".",IF(VALUE("1.2")=1.2,".",","),2)</f>
        <v>Sp.mat: 0.00%</v>
      </c>
      <c r="F367" s="15" t="str">
        <f>SUBSTITUTE("Sp.man: 0.00%",".",IF(VALUE("1.2")=1.2,".",","),2)</f>
        <v>Sp.man: 0.00%</v>
      </c>
      <c r="G367" s="35" t="str">
        <f>SUBSTITUTE("Sp.uti: 0.00%",".",IF(VALUE("1.2")=1.2,".",","),2)</f>
        <v>Sp.uti: 0.00%</v>
      </c>
      <c r="H367" s="38">
        <f>245.06/G366</f>
        <v>0.80084967320261435</v>
      </c>
      <c r="I367" s="29">
        <f>G366*H367</f>
        <v>245.06</v>
      </c>
      <c r="J367">
        <v>2</v>
      </c>
    </row>
    <row r="368" spans="1:19" x14ac:dyDescent="0.3">
      <c r="A368" s="88" t="s">
        <v>264</v>
      </c>
      <c r="B368" s="98"/>
      <c r="C368" s="98"/>
      <c r="D368" s="98"/>
      <c r="E368" s="98"/>
      <c r="F368" s="98"/>
      <c r="G368" s="98"/>
      <c r="H368" s="38">
        <f>(1+IF(OR(ISERR(FIND(":",G367)),ISERR(FIND("%",G367))),0,MID(G367,FIND(":",G367)+2,FIND("%",G367)-FIND(":",G367)-2)/100))*0</f>
        <v>0</v>
      </c>
      <c r="I368" s="29">
        <f>G366*H368</f>
        <v>0</v>
      </c>
      <c r="J368">
        <v>3</v>
      </c>
      <c r="K368" s="4">
        <v>0</v>
      </c>
      <c r="L368" s="4">
        <v>0</v>
      </c>
      <c r="M368" s="4">
        <f>I368-K368-L368</f>
        <v>0</v>
      </c>
    </row>
    <row r="369" spans="1:19" x14ac:dyDescent="0.3">
      <c r="A369" s="98"/>
      <c r="B369" s="98"/>
      <c r="C369" s="98"/>
      <c r="D369" s="98"/>
      <c r="E369" s="98"/>
      <c r="F369" s="98"/>
      <c r="G369" s="98"/>
      <c r="H369" s="38">
        <f>0</f>
        <v>0</v>
      </c>
      <c r="I369" s="29">
        <f>G366*H369</f>
        <v>0</v>
      </c>
      <c r="J369">
        <v>4</v>
      </c>
      <c r="N369" s="4">
        <f>IF(ISERR(SEARCH("TRA* 82",C366)),IF(Q369+R369+S369=0,0,I369*(Q369/(Q369+R369+S369))),I369)</f>
        <v>0</v>
      </c>
      <c r="O369" s="4">
        <f>IF(ISERR(SEARCH("TRA* 82",C366)),IF(Q369+R369+S369=0,0,I369*(R369/(Q369+R369+S369))),0)</f>
        <v>0</v>
      </c>
      <c r="P369" s="4">
        <f>IF(ISERR(SEARCH("TRA* 82",C366)),I369-N369-O369,0)</f>
        <v>0</v>
      </c>
      <c r="Q369" s="4">
        <v>0</v>
      </c>
      <c r="R369" s="4">
        <v>0</v>
      </c>
      <c r="S369" s="4">
        <v>0</v>
      </c>
    </row>
    <row r="370" spans="1:19" x14ac:dyDescent="0.3">
      <c r="A370" s="96" t="s">
        <v>27</v>
      </c>
      <c r="B370" s="97"/>
      <c r="C370" s="97"/>
      <c r="D370" s="97"/>
      <c r="E370" s="97"/>
      <c r="F370" s="97"/>
      <c r="G370" s="97"/>
      <c r="H370" s="36">
        <f>H366+H367+H368+H369</f>
        <v>0.80084967320261435</v>
      </c>
      <c r="I370" s="74">
        <f>I366+I367+I368+I369</f>
        <v>245.06</v>
      </c>
      <c r="J370">
        <v>5</v>
      </c>
    </row>
    <row r="371" spans="1:19" x14ac:dyDescent="0.3">
      <c r="B371" s="2">
        <v>64</v>
      </c>
      <c r="C371" s="3" t="s">
        <v>265</v>
      </c>
      <c r="D371" s="5" t="s">
        <v>133</v>
      </c>
      <c r="G371" s="30">
        <v>30.6</v>
      </c>
      <c r="H371" s="38">
        <f>(1+IF(OR(ISERR(FIND(":",D372)),ISERR(FIND("%",D372))),0,MID(D372,FIND(":",D372)+2,FIND("%",D372)-FIND(":",D372)-2)/100))*0</f>
        <v>0</v>
      </c>
      <c r="I371" s="29">
        <f>G371*H371</f>
        <v>0</v>
      </c>
      <c r="J371">
        <v>1</v>
      </c>
    </row>
    <row r="372" spans="1:19" x14ac:dyDescent="0.3">
      <c r="D372" s="15" t="str">
        <f>SUBSTITUTE("Sp.mat: 0.00%",".",IF(VALUE("1.2")=1.2,".",","),2)</f>
        <v>Sp.mat: 0.00%</v>
      </c>
      <c r="F372" s="15" t="str">
        <f>SUBSTITUTE("Sp.man: 0.00%",".",IF(VALUE("1.2")=1.2,".",","),2)</f>
        <v>Sp.man: 0.00%</v>
      </c>
      <c r="G372" s="35" t="str">
        <f>SUBSTITUTE("Sp.uti: 0.00%",".",IF(VALUE("1.2")=1.2,".",","),2)</f>
        <v>Sp.uti: 0.00%</v>
      </c>
      <c r="H372" s="38">
        <f>53.91/G371</f>
        <v>1.7617647058823527</v>
      </c>
      <c r="I372" s="29">
        <f>G371*H372</f>
        <v>53.91</v>
      </c>
      <c r="J372">
        <v>2</v>
      </c>
    </row>
    <row r="373" spans="1:19" x14ac:dyDescent="0.3">
      <c r="A373" s="88" t="s">
        <v>266</v>
      </c>
      <c r="B373" s="98"/>
      <c r="C373" s="98"/>
      <c r="D373" s="98"/>
      <c r="E373" s="98"/>
      <c r="F373" s="98"/>
      <c r="G373" s="98"/>
      <c r="H373" s="38">
        <f>(1+IF(OR(ISERR(FIND(":",G372)),ISERR(FIND("%",G372))),0,MID(G372,FIND(":",G372)+2,FIND("%",G372)-FIND(":",G372)-2)/100))*0</f>
        <v>0</v>
      </c>
      <c r="I373" s="29">
        <f>G371*H373</f>
        <v>0</v>
      </c>
      <c r="J373">
        <v>3</v>
      </c>
      <c r="K373" s="4">
        <v>0</v>
      </c>
      <c r="L373" s="4">
        <v>0</v>
      </c>
      <c r="M373" s="4">
        <f>I373-K373-L373</f>
        <v>0</v>
      </c>
    </row>
    <row r="374" spans="1:19" x14ac:dyDescent="0.3">
      <c r="A374" s="98"/>
      <c r="B374" s="98"/>
      <c r="C374" s="98"/>
      <c r="D374" s="98"/>
      <c r="E374" s="98"/>
      <c r="F374" s="98"/>
      <c r="G374" s="98"/>
      <c r="H374" s="38">
        <f>0</f>
        <v>0</v>
      </c>
      <c r="I374" s="29">
        <f>G371*H374</f>
        <v>0</v>
      </c>
      <c r="J374">
        <v>4</v>
      </c>
      <c r="N374" s="4">
        <f>IF(ISERR(SEARCH("TRA* 82",C371)),IF(Q374+R374+S374=0,0,I374*(Q374/(Q374+R374+S374))),I374)</f>
        <v>0</v>
      </c>
      <c r="O374" s="4">
        <f>IF(ISERR(SEARCH("TRA* 82",C371)),IF(Q374+R374+S374=0,0,I374*(R374/(Q374+R374+S374))),0)</f>
        <v>0</v>
      </c>
      <c r="P374" s="4">
        <f>IF(ISERR(SEARCH("TRA* 82",C371)),I374-N374-O374,0)</f>
        <v>0</v>
      </c>
      <c r="Q374" s="4">
        <v>0</v>
      </c>
      <c r="R374" s="4">
        <v>0</v>
      </c>
      <c r="S374" s="4">
        <v>0</v>
      </c>
    </row>
    <row r="375" spans="1:19" x14ac:dyDescent="0.3">
      <c r="A375" s="96" t="s">
        <v>27</v>
      </c>
      <c r="B375" s="97"/>
      <c r="C375" s="97"/>
      <c r="D375" s="97"/>
      <c r="E375" s="97"/>
      <c r="F375" s="97"/>
      <c r="G375" s="97"/>
      <c r="H375" s="36">
        <f>H371+H372+H373+H374</f>
        <v>1.7617647058823527</v>
      </c>
      <c r="I375" s="74">
        <f>I371+I372+I373+I374</f>
        <v>53.91</v>
      </c>
      <c r="J375">
        <v>5</v>
      </c>
    </row>
    <row r="376" spans="1:19" x14ac:dyDescent="0.3">
      <c r="B376" s="2">
        <v>65</v>
      </c>
      <c r="C376" s="3" t="s">
        <v>267</v>
      </c>
      <c r="D376" s="5" t="s">
        <v>29</v>
      </c>
      <c r="G376" s="30">
        <v>52</v>
      </c>
      <c r="H376" s="38">
        <f>1020.12/G376</f>
        <v>19.617692307692309</v>
      </c>
      <c r="I376" s="29">
        <f>G376*H376</f>
        <v>1020.1200000000001</v>
      </c>
      <c r="J376">
        <v>1</v>
      </c>
    </row>
    <row r="377" spans="1:19" x14ac:dyDescent="0.3">
      <c r="D377" s="15" t="str">
        <f>SUBSTITUTE("Sp.mat: 0.00%",".",IF(VALUE("1.2")=1.2,".",","),2)</f>
        <v>Sp.mat: 0.00%</v>
      </c>
      <c r="F377" s="15" t="str">
        <f>SUBSTITUTE("Sp.man: 0.00%",".",IF(VALUE("1.2")=1.2,".",","),2)</f>
        <v>Sp.man: 0.00%</v>
      </c>
      <c r="G377" s="35" t="str">
        <f>SUBSTITUTE("Sp.uti: 0.00%",".",IF(VALUE("1.2")=1.2,".",","),2)</f>
        <v>Sp.uti: 0.00%</v>
      </c>
      <c r="H377" s="38">
        <f>341.48/G376</f>
        <v>6.5669230769230769</v>
      </c>
      <c r="I377" s="29">
        <f>G376*H377</f>
        <v>341.48</v>
      </c>
      <c r="J377">
        <v>2</v>
      </c>
    </row>
    <row r="378" spans="1:19" x14ac:dyDescent="0.3">
      <c r="A378" s="88" t="s">
        <v>268</v>
      </c>
      <c r="B378" s="98"/>
      <c r="C378" s="98"/>
      <c r="D378" s="98"/>
      <c r="E378" s="98"/>
      <c r="F378" s="98"/>
      <c r="G378" s="98"/>
      <c r="H378" s="38">
        <f>(1+IF(OR(ISERR(FIND(":",G377)),ISERR(FIND("%",G377))),0,MID(G377,FIND(":",G377)+2,FIND("%",G377)-FIND(":",G377)-2)/100))*0</f>
        <v>0</v>
      </c>
      <c r="I378" s="29">
        <f>G376*H378</f>
        <v>0</v>
      </c>
      <c r="J378">
        <v>3</v>
      </c>
      <c r="K378" s="4">
        <v>0</v>
      </c>
      <c r="L378" s="4">
        <v>0</v>
      </c>
      <c r="M378" s="4">
        <f>I378-K378-L378</f>
        <v>0</v>
      </c>
    </row>
    <row r="379" spans="1:19" x14ac:dyDescent="0.3">
      <c r="A379" s="98"/>
      <c r="B379" s="98"/>
      <c r="C379" s="98"/>
      <c r="D379" s="98"/>
      <c r="E379" s="98"/>
      <c r="F379" s="98"/>
      <c r="G379" s="98"/>
      <c r="H379" s="38">
        <f>0</f>
        <v>0</v>
      </c>
      <c r="I379" s="29">
        <f>G376*H379</f>
        <v>0</v>
      </c>
      <c r="J379">
        <v>4</v>
      </c>
      <c r="N379" s="4">
        <f>IF(ISERR(SEARCH("TRA* 82",C376)),IF(Q379+R379+S379=0,0,I379*(Q379/(Q379+R379+S379))),I379)</f>
        <v>0</v>
      </c>
      <c r="O379" s="4">
        <f>IF(ISERR(SEARCH("TRA* 82",C376)),IF(Q379+R379+S379=0,0,I379*(R379/(Q379+R379+S379))),0)</f>
        <v>0</v>
      </c>
      <c r="P379" s="4">
        <f>IF(ISERR(SEARCH("TRA* 82",C376)),I379-N379-O379,0)</f>
        <v>0</v>
      </c>
      <c r="Q379" s="4">
        <v>0</v>
      </c>
      <c r="R379" s="4">
        <v>0</v>
      </c>
      <c r="S379" s="4">
        <v>0</v>
      </c>
    </row>
    <row r="380" spans="1:19" x14ac:dyDescent="0.3">
      <c r="A380" s="96" t="s">
        <v>27</v>
      </c>
      <c r="B380" s="97"/>
      <c r="C380" s="97"/>
      <c r="D380" s="97"/>
      <c r="E380" s="97"/>
      <c r="F380" s="97"/>
      <c r="G380" s="97"/>
      <c r="H380" s="36">
        <f>H376+H377+H378+H379</f>
        <v>26.184615384615384</v>
      </c>
      <c r="I380" s="74">
        <f>I376+I377+I378+I379</f>
        <v>1361.6000000000001</v>
      </c>
      <c r="J380">
        <v>5</v>
      </c>
    </row>
    <row r="381" spans="1:19" x14ac:dyDescent="0.3">
      <c r="B381" s="2">
        <v>66</v>
      </c>
      <c r="C381" s="3" t="s">
        <v>148</v>
      </c>
      <c r="D381" s="5" t="s">
        <v>25</v>
      </c>
      <c r="G381" s="30">
        <v>73</v>
      </c>
      <c r="H381" s="38">
        <f>754.18/G381</f>
        <v>10.331232876712328</v>
      </c>
      <c r="I381" s="29">
        <f>G381*H381</f>
        <v>754.18</v>
      </c>
      <c r="J381">
        <v>1</v>
      </c>
    </row>
    <row r="382" spans="1:19" x14ac:dyDescent="0.3">
      <c r="D382" s="15" t="str">
        <f>SUBSTITUTE("Sp.mat: 0.00%",".",IF(VALUE("1.2")=1.2,".",","),2)</f>
        <v>Sp.mat: 0.00%</v>
      </c>
      <c r="F382" s="15" t="str">
        <f>SUBSTITUTE("Sp.man: 0.00%",".",IF(VALUE("1.2")=1.2,".",","),2)</f>
        <v>Sp.man: 0.00%</v>
      </c>
      <c r="G382" s="35" t="str">
        <f>SUBSTITUTE("Sp.uti: 0.00%",".",IF(VALUE("1.2")=1.2,".",","),2)</f>
        <v>Sp.uti: 0.00%</v>
      </c>
      <c r="H382" s="38">
        <f>1636.94/G381</f>
        <v>22.423835616438357</v>
      </c>
      <c r="I382" s="29">
        <f>G381*H382</f>
        <v>1636.94</v>
      </c>
      <c r="J382">
        <v>2</v>
      </c>
    </row>
    <row r="383" spans="1:19" x14ac:dyDescent="0.3">
      <c r="A383" s="88" t="s">
        <v>149</v>
      </c>
      <c r="B383" s="98"/>
      <c r="C383" s="98"/>
      <c r="D383" s="98"/>
      <c r="E383" s="98"/>
      <c r="F383" s="98"/>
      <c r="G383" s="98"/>
      <c r="H383" s="38">
        <f>(1+IF(OR(ISERR(FIND(":",G382)),ISERR(FIND("%",G382))),0,MID(G382,FIND(":",G382)+2,FIND("%",G382)-FIND(":",G382)-2)/100))*0</f>
        <v>0</v>
      </c>
      <c r="I383" s="29">
        <f>G381*H383</f>
        <v>0</v>
      </c>
      <c r="J383">
        <v>3</v>
      </c>
      <c r="K383" s="4">
        <v>0</v>
      </c>
      <c r="L383" s="4">
        <v>0</v>
      </c>
      <c r="M383" s="4">
        <f>I383-K383-L383</f>
        <v>0</v>
      </c>
    </row>
    <row r="384" spans="1:19" x14ac:dyDescent="0.3">
      <c r="A384" s="98"/>
      <c r="B384" s="98"/>
      <c r="C384" s="98"/>
      <c r="D384" s="98"/>
      <c r="E384" s="98"/>
      <c r="F384" s="98"/>
      <c r="G384" s="98"/>
      <c r="H384" s="38">
        <f>0</f>
        <v>0</v>
      </c>
      <c r="I384" s="29">
        <f>G381*H384</f>
        <v>0</v>
      </c>
      <c r="J384">
        <v>4</v>
      </c>
      <c r="N384" s="4">
        <f>IF(ISERR(SEARCH("TRA* 82",C381)),IF(Q384+R384+S384=0,0,I384*(Q384/(Q384+R384+S384))),I384)</f>
        <v>0</v>
      </c>
      <c r="O384" s="4">
        <f>IF(ISERR(SEARCH("TRA* 82",C381)),IF(Q384+R384+S384=0,0,I384*(R384/(Q384+R384+S384))),0)</f>
        <v>0</v>
      </c>
      <c r="P384" s="4">
        <f>IF(ISERR(SEARCH("TRA* 82",C381)),I384-N384-O384,0)</f>
        <v>0</v>
      </c>
      <c r="Q384" s="4">
        <v>0</v>
      </c>
      <c r="R384" s="4">
        <v>0</v>
      </c>
      <c r="S384" s="4">
        <v>0</v>
      </c>
    </row>
    <row r="385" spans="1:19" x14ac:dyDescent="0.3">
      <c r="A385" s="96" t="s">
        <v>27</v>
      </c>
      <c r="B385" s="97"/>
      <c r="C385" s="97"/>
      <c r="D385" s="97"/>
      <c r="E385" s="97"/>
      <c r="F385" s="97"/>
      <c r="G385" s="97"/>
      <c r="H385" s="36">
        <f>H381+H382+H383+H384</f>
        <v>32.755068493150688</v>
      </c>
      <c r="I385" s="74">
        <f>I381+I382+I383+I384</f>
        <v>2391.12</v>
      </c>
      <c r="J385">
        <v>5</v>
      </c>
    </row>
    <row r="386" spans="1:19" x14ac:dyDescent="0.3">
      <c r="B386" s="2">
        <v>67</v>
      </c>
      <c r="C386" s="3" t="s">
        <v>115</v>
      </c>
      <c r="D386" s="5" t="s">
        <v>25</v>
      </c>
      <c r="G386" s="30">
        <v>17</v>
      </c>
      <c r="H386" s="38">
        <f>119.17/G386</f>
        <v>7.01</v>
      </c>
      <c r="I386" s="29">
        <f>G386*H386</f>
        <v>119.17</v>
      </c>
      <c r="J386">
        <v>1</v>
      </c>
    </row>
    <row r="387" spans="1:19" x14ac:dyDescent="0.3">
      <c r="D387" s="15" t="str">
        <f>SUBSTITUTE("Sp.mat: 0.00%",".",IF(VALUE("1.2")=1.2,".",","),2)</f>
        <v>Sp.mat: 0.00%</v>
      </c>
      <c r="F387" s="15" t="str">
        <f>SUBSTITUTE("Sp.man: 0.00%",".",IF(VALUE("1.2")=1.2,".",","),2)</f>
        <v>Sp.man: 0.00%</v>
      </c>
      <c r="G387" s="35" t="str">
        <f>SUBSTITUTE("Sp.uti: 0.00%",".",IF(VALUE("1.2")=1.2,".",","),2)</f>
        <v>Sp.uti: 0.00%</v>
      </c>
      <c r="H387" s="38">
        <f>46.29/G386</f>
        <v>2.722941176470588</v>
      </c>
      <c r="I387" s="29">
        <f>G386*H387</f>
        <v>46.289999999999992</v>
      </c>
      <c r="J387">
        <v>2</v>
      </c>
    </row>
    <row r="388" spans="1:19" x14ac:dyDescent="0.3">
      <c r="A388" s="88" t="s">
        <v>116</v>
      </c>
      <c r="B388" s="98"/>
      <c r="C388" s="98"/>
      <c r="D388" s="98"/>
      <c r="E388" s="98"/>
      <c r="F388" s="98"/>
      <c r="G388" s="98"/>
      <c r="H388" s="38">
        <f>0.02/G386</f>
        <v>1.1764705882352942E-3</v>
      </c>
      <c r="I388" s="29">
        <f>G386*H388</f>
        <v>0.02</v>
      </c>
      <c r="J388">
        <v>3</v>
      </c>
      <c r="K388" s="4">
        <v>4.335E-2</v>
      </c>
      <c r="L388" s="4">
        <v>0</v>
      </c>
      <c r="M388" s="4">
        <f>I388-K388-L388</f>
        <v>-2.3349999999999999E-2</v>
      </c>
    </row>
    <row r="389" spans="1:19" x14ac:dyDescent="0.3">
      <c r="A389" s="98"/>
      <c r="B389" s="98"/>
      <c r="C389" s="98"/>
      <c r="D389" s="98"/>
      <c r="E389" s="98"/>
      <c r="F389" s="98"/>
      <c r="G389" s="98"/>
      <c r="H389" s="38">
        <f>0</f>
        <v>0</v>
      </c>
      <c r="I389" s="29">
        <f>G386*H389</f>
        <v>0</v>
      </c>
      <c r="J389">
        <v>4</v>
      </c>
      <c r="N389" s="4">
        <f>IF(ISERR(SEARCH("TRA* 82",C386)),IF(Q389+R389+S389=0,0,I389*(Q389/(Q389+R389+S389))),I389)</f>
        <v>0</v>
      </c>
      <c r="O389" s="4">
        <f>IF(ISERR(SEARCH("TRA* 82",C386)),IF(Q389+R389+S389=0,0,I389*(R389/(Q389+R389+S389))),0)</f>
        <v>0</v>
      </c>
      <c r="P389" s="4">
        <f>IF(ISERR(SEARCH("TRA* 82",C386)),I389-N389-O389,0)</f>
        <v>0</v>
      </c>
      <c r="Q389" s="4">
        <v>0</v>
      </c>
      <c r="R389" s="4">
        <v>0</v>
      </c>
      <c r="S389" s="4">
        <v>0</v>
      </c>
    </row>
    <row r="390" spans="1:19" x14ac:dyDescent="0.3">
      <c r="A390" s="100" t="s">
        <v>87</v>
      </c>
      <c r="B390" s="101"/>
      <c r="C390" s="101"/>
      <c r="D390" s="101"/>
      <c r="E390" s="101"/>
      <c r="F390" s="101"/>
      <c r="G390" s="101"/>
      <c r="H390" s="33">
        <f>H386+H387+H388+H389</f>
        <v>9.7341176470588238</v>
      </c>
      <c r="I390" s="37">
        <f>I386+I387+I388+I389</f>
        <v>165.48</v>
      </c>
      <c r="J390">
        <v>5</v>
      </c>
    </row>
    <row r="391" spans="1:19" x14ac:dyDescent="0.3">
      <c r="A391" s="99" t="s">
        <v>117</v>
      </c>
      <c r="B391" s="99"/>
      <c r="C391" s="99"/>
      <c r="D391" s="99"/>
      <c r="E391" s="99"/>
      <c r="F391" s="99"/>
      <c r="G391" s="99"/>
      <c r="H391" s="99"/>
      <c r="I391" s="99"/>
    </row>
    <row r="392" spans="1:19" x14ac:dyDescent="0.3">
      <c r="B392" s="2">
        <v>68</v>
      </c>
      <c r="C392" s="3" t="s">
        <v>119</v>
      </c>
      <c r="D392" s="5" t="s">
        <v>25</v>
      </c>
      <c r="G392" s="30">
        <v>80</v>
      </c>
      <c r="H392" s="38">
        <f>907.65/G392</f>
        <v>11.345625</v>
      </c>
      <c r="I392" s="29">
        <f>G392*H392</f>
        <v>907.65</v>
      </c>
      <c r="J392">
        <v>1</v>
      </c>
    </row>
    <row r="393" spans="1:19" x14ac:dyDescent="0.3">
      <c r="D393" s="15" t="str">
        <f>SUBSTITUTE("Sp.mat: 0.00%",".",IF(VALUE("1.2")=1.2,".",","),2)</f>
        <v>Sp.mat: 0.00%</v>
      </c>
      <c r="F393" s="15" t="str">
        <f>SUBSTITUTE("Sp.man: 0.00%",".",IF(VALUE("1.2")=1.2,".",","),2)</f>
        <v>Sp.man: 0.00%</v>
      </c>
      <c r="G393" s="35" t="str">
        <f>SUBSTITUTE("Sp.uti: 0.00%",".",IF(VALUE("1.2")=1.2,".",","),2)</f>
        <v>Sp.uti: 0.00%</v>
      </c>
      <c r="H393" s="38">
        <f>243.46/G392</f>
        <v>3.04325</v>
      </c>
      <c r="I393" s="29">
        <f>G392*H393</f>
        <v>243.46</v>
      </c>
      <c r="J393">
        <v>2</v>
      </c>
    </row>
    <row r="394" spans="1:19" x14ac:dyDescent="0.3">
      <c r="A394" s="88" t="s">
        <v>120</v>
      </c>
      <c r="B394" s="98"/>
      <c r="C394" s="98"/>
      <c r="D394" s="98"/>
      <c r="E394" s="98"/>
      <c r="F394" s="98"/>
      <c r="G394" s="98"/>
      <c r="H394" s="38">
        <v>0</v>
      </c>
      <c r="I394" s="29">
        <f>G392*H394</f>
        <v>0</v>
      </c>
      <c r="J394">
        <v>3</v>
      </c>
      <c r="K394" s="4">
        <v>0.20399999999999999</v>
      </c>
      <c r="L394" s="4">
        <v>0</v>
      </c>
      <c r="M394" s="4">
        <f>I394-K394-L394</f>
        <v>-0.20399999999999999</v>
      </c>
    </row>
    <row r="395" spans="1:19" x14ac:dyDescent="0.3">
      <c r="A395" s="98"/>
      <c r="B395" s="98"/>
      <c r="C395" s="98"/>
      <c r="D395" s="98"/>
      <c r="E395" s="98"/>
      <c r="F395" s="98"/>
      <c r="G395" s="98"/>
      <c r="H395" s="38">
        <f>0</f>
        <v>0</v>
      </c>
      <c r="I395" s="29">
        <f>G392*H395</f>
        <v>0</v>
      </c>
      <c r="J395">
        <v>4</v>
      </c>
      <c r="N395" s="4">
        <f>IF(ISERR(SEARCH("TRA* 82",C392)),IF(Q395+R395+S395=0,0,I395*(Q395/(Q395+R395+S395))),I395)</f>
        <v>0</v>
      </c>
      <c r="O395" s="4">
        <f>IF(ISERR(SEARCH("TRA* 82",C392)),IF(Q395+R395+S395=0,0,I395*(R395/(Q395+R395+S395))),0)</f>
        <v>0</v>
      </c>
      <c r="P395" s="4">
        <f>IF(ISERR(SEARCH("TRA* 82",C392)),I395-N395-O395,0)</f>
        <v>0</v>
      </c>
      <c r="Q395" s="4">
        <v>0</v>
      </c>
      <c r="R395" s="4">
        <v>0</v>
      </c>
      <c r="S395" s="4">
        <v>0</v>
      </c>
    </row>
    <row r="396" spans="1:19" x14ac:dyDescent="0.3">
      <c r="A396" s="100" t="s">
        <v>27</v>
      </c>
      <c r="B396" s="101"/>
      <c r="C396" s="101"/>
      <c r="D396" s="101"/>
      <c r="E396" s="101"/>
      <c r="F396" s="101"/>
      <c r="G396" s="101"/>
      <c r="H396" s="33">
        <f>H392+H393+H394+H395</f>
        <v>14.388875000000001</v>
      </c>
      <c r="I396" s="37">
        <f>I392+I393+I394+I395</f>
        <v>1151.1099999999999</v>
      </c>
      <c r="J396">
        <v>5</v>
      </c>
    </row>
    <row r="397" spans="1:19" x14ac:dyDescent="0.3">
      <c r="A397" s="99" t="s">
        <v>121</v>
      </c>
      <c r="B397" s="99"/>
      <c r="C397" s="99"/>
      <c r="D397" s="99"/>
      <c r="E397" s="99"/>
      <c r="F397" s="99"/>
      <c r="G397" s="99"/>
      <c r="H397" s="99"/>
      <c r="I397" s="99"/>
    </row>
    <row r="398" spans="1:19" x14ac:dyDescent="0.3">
      <c r="B398" s="2">
        <v>69</v>
      </c>
      <c r="C398" s="3" t="s">
        <v>122</v>
      </c>
      <c r="D398" s="5" t="s">
        <v>25</v>
      </c>
      <c r="G398" s="30">
        <v>84</v>
      </c>
      <c r="H398" s="38">
        <f>1814.31/G398</f>
        <v>21.598928571428569</v>
      </c>
      <c r="I398" s="29">
        <f>G398*H398</f>
        <v>1814.3099999999997</v>
      </c>
      <c r="J398">
        <v>1</v>
      </c>
    </row>
    <row r="399" spans="1:19" x14ac:dyDescent="0.3">
      <c r="D399" s="15" t="str">
        <f>SUBSTITUTE("Sp.mat: 0.00%",".",IF(VALUE("1.2")=1.2,".",","),2)</f>
        <v>Sp.mat: 0.00%</v>
      </c>
      <c r="F399" s="15" t="str">
        <f>SUBSTITUTE("Sp.man: 0.00%",".",IF(VALUE("1.2")=1.2,".",","),2)</f>
        <v>Sp.man: 0.00%</v>
      </c>
      <c r="G399" s="35" t="str">
        <f>SUBSTITUTE("Sp.uti: 0.00%",".",IF(VALUE("1.2")=1.2,".",","),2)</f>
        <v>Sp.uti: 0.00%</v>
      </c>
      <c r="H399" s="38">
        <f>295.99/G398</f>
        <v>3.5236904761904762</v>
      </c>
      <c r="I399" s="29">
        <f>G398*H399</f>
        <v>295.99</v>
      </c>
      <c r="J399">
        <v>2</v>
      </c>
    </row>
    <row r="400" spans="1:19" x14ac:dyDescent="0.3">
      <c r="A400" s="88" t="s">
        <v>123</v>
      </c>
      <c r="B400" s="98"/>
      <c r="C400" s="98"/>
      <c r="D400" s="98"/>
      <c r="E400" s="98"/>
      <c r="F400" s="98"/>
      <c r="G400" s="98"/>
      <c r="H400" s="38">
        <f>0.11/G398</f>
        <v>1.3095238095238095E-3</v>
      </c>
      <c r="I400" s="29">
        <f>G398*H400</f>
        <v>0.11</v>
      </c>
      <c r="J400">
        <v>3</v>
      </c>
      <c r="K400" s="4">
        <v>0.2142</v>
      </c>
      <c r="L400" s="4">
        <v>0</v>
      </c>
      <c r="M400" s="4">
        <f>I400-K400-L400</f>
        <v>-0.1042</v>
      </c>
    </row>
    <row r="401" spans="1:19" x14ac:dyDescent="0.3">
      <c r="A401" s="98"/>
      <c r="B401" s="98"/>
      <c r="C401" s="98"/>
      <c r="D401" s="98"/>
      <c r="E401" s="98"/>
      <c r="F401" s="98"/>
      <c r="G401" s="98"/>
      <c r="H401" s="38">
        <f>0</f>
        <v>0</v>
      </c>
      <c r="I401" s="29">
        <f>G398*H401</f>
        <v>0</v>
      </c>
      <c r="J401">
        <v>4</v>
      </c>
      <c r="N401" s="4">
        <f>IF(ISERR(SEARCH("TRA* 82",C398)),IF(Q401+R401+S401=0,0,I401*(Q401/(Q401+R401+S401))),I401)</f>
        <v>0</v>
      </c>
      <c r="O401" s="4">
        <f>IF(ISERR(SEARCH("TRA* 82",C398)),IF(Q401+R401+S401=0,0,I401*(R401/(Q401+R401+S401))),0)</f>
        <v>0</v>
      </c>
      <c r="P401" s="4">
        <f>IF(ISERR(SEARCH("TRA* 82",C398)),I401-N401-O401,0)</f>
        <v>0</v>
      </c>
      <c r="Q401" s="4">
        <v>0</v>
      </c>
      <c r="R401" s="4">
        <v>0</v>
      </c>
      <c r="S401" s="4">
        <v>0</v>
      </c>
    </row>
    <row r="402" spans="1:19" x14ac:dyDescent="0.3">
      <c r="A402" s="100" t="s">
        <v>27</v>
      </c>
      <c r="B402" s="101"/>
      <c r="C402" s="101"/>
      <c r="D402" s="101"/>
      <c r="E402" s="101"/>
      <c r="F402" s="101"/>
      <c r="G402" s="101"/>
      <c r="H402" s="33">
        <f>H398+H399+H400+H401</f>
        <v>25.123928571428571</v>
      </c>
      <c r="I402" s="37">
        <f>I398+I399+I400+I401</f>
        <v>2110.41</v>
      </c>
      <c r="J402">
        <v>5</v>
      </c>
    </row>
    <row r="403" spans="1:19" x14ac:dyDescent="0.3">
      <c r="A403" s="99" t="s">
        <v>124</v>
      </c>
      <c r="B403" s="99"/>
      <c r="C403" s="99"/>
      <c r="D403" s="99"/>
      <c r="E403" s="99"/>
      <c r="F403" s="99"/>
      <c r="G403" s="99"/>
      <c r="H403" s="99"/>
      <c r="I403" s="99"/>
    </row>
    <row r="404" spans="1:19" x14ac:dyDescent="0.3">
      <c r="B404" s="2">
        <v>70</v>
      </c>
      <c r="C404" s="3" t="s">
        <v>128</v>
      </c>
      <c r="D404" s="5" t="s">
        <v>29</v>
      </c>
      <c r="G404" s="30">
        <v>9</v>
      </c>
      <c r="H404" s="38">
        <f>11201.92/G404</f>
        <v>1244.6577777777777</v>
      </c>
      <c r="I404" s="29">
        <f>G404*H404</f>
        <v>11201.92</v>
      </c>
      <c r="J404">
        <v>1</v>
      </c>
    </row>
    <row r="405" spans="1:19" x14ac:dyDescent="0.3">
      <c r="D405" s="15" t="str">
        <f>SUBSTITUTE("Sp.mat: 0.00%",".",IF(VALUE("1.2")=1.2,".",","),2)</f>
        <v>Sp.mat: 0.00%</v>
      </c>
      <c r="F405" s="15" t="str">
        <f>SUBSTITUTE("Sp.man: 0.00%",".",IF(VALUE("1.2")=1.2,".",","),2)</f>
        <v>Sp.man: 0.00%</v>
      </c>
      <c r="G405" s="35" t="str">
        <f>SUBSTITUTE("Sp.uti: 0.00%",".",IF(VALUE("1.2")=1.2,".",","),2)</f>
        <v>Sp.uti: 0.00%</v>
      </c>
      <c r="H405" s="38">
        <f>2820.92/G404</f>
        <v>313.43555555555554</v>
      </c>
      <c r="I405" s="29">
        <f>G404*H405</f>
        <v>2820.92</v>
      </c>
      <c r="J405">
        <v>2</v>
      </c>
    </row>
    <row r="406" spans="1:19" x14ac:dyDescent="0.3">
      <c r="A406" s="88" t="s">
        <v>129</v>
      </c>
      <c r="B406" s="98"/>
      <c r="C406" s="98"/>
      <c r="D406" s="98"/>
      <c r="E406" s="98"/>
      <c r="F406" s="98"/>
      <c r="G406" s="98"/>
      <c r="H406" s="38">
        <f>548.38/G404</f>
        <v>60.931111111111107</v>
      </c>
      <c r="I406" s="29">
        <f>G404*H406</f>
        <v>548.38</v>
      </c>
      <c r="J406">
        <v>3</v>
      </c>
      <c r="K406" s="4">
        <v>977.41296</v>
      </c>
      <c r="L406" s="4">
        <v>0</v>
      </c>
      <c r="M406" s="4">
        <f>I406-K406-L406</f>
        <v>-429.03296</v>
      </c>
    </row>
    <row r="407" spans="1:19" x14ac:dyDescent="0.3">
      <c r="A407" s="98"/>
      <c r="B407" s="98"/>
      <c r="C407" s="98"/>
      <c r="D407" s="98"/>
      <c r="E407" s="98"/>
      <c r="F407" s="98"/>
      <c r="G407" s="98"/>
      <c r="H407" s="38">
        <f>0</f>
        <v>0</v>
      </c>
      <c r="I407" s="29">
        <f>G404*H407</f>
        <v>0</v>
      </c>
      <c r="J407">
        <v>4</v>
      </c>
      <c r="N407" s="4">
        <f>IF(ISERR(SEARCH("TRA* 82",C404)),IF(Q407+R407+S407=0,0,I407*(Q407/(Q407+R407+S407))),I407)</f>
        <v>0</v>
      </c>
      <c r="O407" s="4">
        <f>IF(ISERR(SEARCH("TRA* 82",C404)),IF(Q407+R407+S407=0,0,I407*(R407/(Q407+R407+S407))),0)</f>
        <v>0</v>
      </c>
      <c r="P407" s="4">
        <f>IF(ISERR(SEARCH("TRA* 82",C404)),I407-N407-O407,0)</f>
        <v>0</v>
      </c>
      <c r="Q407" s="4">
        <v>0</v>
      </c>
      <c r="R407" s="4">
        <v>0</v>
      </c>
      <c r="S407" s="4">
        <v>0</v>
      </c>
    </row>
    <row r="408" spans="1:19" x14ac:dyDescent="0.3">
      <c r="A408" s="96" t="s">
        <v>27</v>
      </c>
      <c r="B408" s="97"/>
      <c r="C408" s="97"/>
      <c r="D408" s="97"/>
      <c r="E408" s="97"/>
      <c r="F408" s="97"/>
      <c r="G408" s="97"/>
      <c r="H408" s="36">
        <f>H404+H405+H406+H407</f>
        <v>1619.0244444444443</v>
      </c>
      <c r="I408" s="74">
        <f>I404+I405+I406+I407</f>
        <v>14571.22</v>
      </c>
      <c r="J408">
        <v>5</v>
      </c>
    </row>
    <row r="409" spans="1:19" x14ac:dyDescent="0.3">
      <c r="B409" s="2">
        <v>71</v>
      </c>
      <c r="C409" s="3" t="s">
        <v>130</v>
      </c>
      <c r="D409" s="5" t="s">
        <v>29</v>
      </c>
      <c r="G409" s="30">
        <v>2</v>
      </c>
      <c r="H409" s="38">
        <f>695.1/G409</f>
        <v>347.55</v>
      </c>
      <c r="I409" s="29">
        <f>G409*H409</f>
        <v>695.1</v>
      </c>
      <c r="J409">
        <v>1</v>
      </c>
    </row>
    <row r="410" spans="1:19" x14ac:dyDescent="0.3">
      <c r="D410" s="15" t="str">
        <f>SUBSTITUTE("Sp.mat: 0.00%",".",IF(VALUE("1.2")=1.2,".",","),2)</f>
        <v>Sp.mat: 0.00%</v>
      </c>
      <c r="F410" s="15" t="str">
        <f>SUBSTITUTE("Sp.man: 0.00%",".",IF(VALUE("1.2")=1.2,".",","),2)</f>
        <v>Sp.man: 0.00%</v>
      </c>
      <c r="G410" s="35" t="str">
        <f>SUBSTITUTE("Sp.uti: 0.00%",".",IF(VALUE("1.2")=1.2,".",","),2)</f>
        <v>Sp.uti: 0.00%</v>
      </c>
      <c r="H410" s="38">
        <f>73.68/G409</f>
        <v>36.840000000000003</v>
      </c>
      <c r="I410" s="29">
        <f>G409*H410</f>
        <v>73.680000000000007</v>
      </c>
      <c r="J410">
        <v>2</v>
      </c>
    </row>
    <row r="411" spans="1:19" x14ac:dyDescent="0.3">
      <c r="A411" s="88" t="s">
        <v>131</v>
      </c>
      <c r="B411" s="98"/>
      <c r="C411" s="98"/>
      <c r="D411" s="98"/>
      <c r="E411" s="98"/>
      <c r="F411" s="98"/>
      <c r="G411" s="98"/>
      <c r="H411" s="38">
        <f>(1+IF(OR(ISERR(FIND(":",G410)),ISERR(FIND("%",G410))),0,MID(G410,FIND(":",G410)+2,FIND("%",G410)-FIND(":",G410)-2)/100))*0</f>
        <v>0</v>
      </c>
      <c r="I411" s="29">
        <f>G409*H411</f>
        <v>0</v>
      </c>
      <c r="J411">
        <v>3</v>
      </c>
      <c r="K411" s="4">
        <v>0</v>
      </c>
      <c r="L411" s="4">
        <v>0</v>
      </c>
      <c r="M411" s="4">
        <f>I411-K411-L411</f>
        <v>0</v>
      </c>
    </row>
    <row r="412" spans="1:19" x14ac:dyDescent="0.3">
      <c r="A412" s="98"/>
      <c r="B412" s="98"/>
      <c r="C412" s="98"/>
      <c r="D412" s="98"/>
      <c r="E412" s="98"/>
      <c r="F412" s="98"/>
      <c r="G412" s="98"/>
      <c r="H412" s="38">
        <f>0</f>
        <v>0</v>
      </c>
      <c r="I412" s="29">
        <f>G409*H412</f>
        <v>0</v>
      </c>
      <c r="J412">
        <v>4</v>
      </c>
      <c r="N412" s="4">
        <f>IF(ISERR(SEARCH("TRA* 82",C409)),IF(Q412+R412+S412=0,0,I412*(Q412/(Q412+R412+S412))),I412)</f>
        <v>0</v>
      </c>
      <c r="O412" s="4">
        <f>IF(ISERR(SEARCH("TRA* 82",C409)),IF(Q412+R412+S412=0,0,I412*(R412/(Q412+R412+S412))),0)</f>
        <v>0</v>
      </c>
      <c r="P412" s="4">
        <f>IF(ISERR(SEARCH("TRA* 82",C409)),I412-N412-O412,0)</f>
        <v>0</v>
      </c>
      <c r="Q412" s="4">
        <v>0</v>
      </c>
      <c r="R412" s="4">
        <v>0</v>
      </c>
      <c r="S412" s="4">
        <v>0</v>
      </c>
    </row>
    <row r="413" spans="1:19" x14ac:dyDescent="0.3">
      <c r="A413" s="96" t="s">
        <v>27</v>
      </c>
      <c r="B413" s="97"/>
      <c r="C413" s="97"/>
      <c r="D413" s="97"/>
      <c r="E413" s="97"/>
      <c r="F413" s="97"/>
      <c r="G413" s="97"/>
      <c r="H413" s="36">
        <f>H409+H410+H411+H412</f>
        <v>384.39</v>
      </c>
      <c r="I413" s="74">
        <f>I409+I410+I411+I412</f>
        <v>768.78</v>
      </c>
      <c r="J413">
        <v>5</v>
      </c>
    </row>
    <row r="414" spans="1:19" x14ac:dyDescent="0.3">
      <c r="B414" s="2">
        <v>72</v>
      </c>
      <c r="C414" s="3" t="s">
        <v>130</v>
      </c>
      <c r="D414" s="5" t="s">
        <v>29</v>
      </c>
      <c r="G414" s="30">
        <v>7</v>
      </c>
      <c r="H414" s="38">
        <f>2338.24/G414</f>
        <v>334.03428571428566</v>
      </c>
      <c r="I414" s="29">
        <f>G414*H414</f>
        <v>2338.2399999999998</v>
      </c>
      <c r="J414">
        <v>1</v>
      </c>
    </row>
    <row r="415" spans="1:19" x14ac:dyDescent="0.3">
      <c r="D415" s="15" t="str">
        <f>SUBSTITUTE("Sp.mat: 0.00%",".",IF(VALUE("1.2")=1.2,".",","),2)</f>
        <v>Sp.mat: 0.00%</v>
      </c>
      <c r="F415" s="15" t="str">
        <f>SUBSTITUTE("Sp.man: 0.00%",".",IF(VALUE("1.2")=1.2,".",","),2)</f>
        <v>Sp.man: 0.00%</v>
      </c>
      <c r="G415" s="35" t="str">
        <f>SUBSTITUTE("Sp.uti: 0.00%",".",IF(VALUE("1.2")=1.2,".",","),2)</f>
        <v>Sp.uti: 0.00%</v>
      </c>
      <c r="H415" s="38">
        <f>257.87/G414</f>
        <v>36.838571428571427</v>
      </c>
      <c r="I415" s="29">
        <f>G414*H415</f>
        <v>257.87</v>
      </c>
      <c r="J415">
        <v>2</v>
      </c>
    </row>
    <row r="416" spans="1:19" x14ac:dyDescent="0.3">
      <c r="A416" s="88" t="s">
        <v>131</v>
      </c>
      <c r="B416" s="98"/>
      <c r="C416" s="98"/>
      <c r="D416" s="98"/>
      <c r="E416" s="98"/>
      <c r="F416" s="98"/>
      <c r="G416" s="98"/>
      <c r="H416" s="38">
        <f>(1+IF(OR(ISERR(FIND(":",G415)),ISERR(FIND("%",G415))),0,MID(G415,FIND(":",G415)+2,FIND("%",G415)-FIND(":",G415)-2)/100))*0</f>
        <v>0</v>
      </c>
      <c r="I416" s="29">
        <f>G414*H416</f>
        <v>0</v>
      </c>
      <c r="J416">
        <v>3</v>
      </c>
      <c r="K416" s="4">
        <v>0</v>
      </c>
      <c r="L416" s="4">
        <v>0</v>
      </c>
      <c r="M416" s="4">
        <f>I416-K416-L416</f>
        <v>0</v>
      </c>
    </row>
    <row r="417" spans="1:19" x14ac:dyDescent="0.3">
      <c r="A417" s="98"/>
      <c r="B417" s="98"/>
      <c r="C417" s="98"/>
      <c r="D417" s="98"/>
      <c r="E417" s="98"/>
      <c r="F417" s="98"/>
      <c r="G417" s="98"/>
      <c r="H417" s="38">
        <f>0</f>
        <v>0</v>
      </c>
      <c r="I417" s="29">
        <f>G414*H417</f>
        <v>0</v>
      </c>
      <c r="J417">
        <v>4</v>
      </c>
      <c r="N417" s="4">
        <f>IF(ISERR(SEARCH("TRA* 82",C414)),IF(Q417+R417+S417=0,0,I417*(Q417/(Q417+R417+S417))),I417)</f>
        <v>0</v>
      </c>
      <c r="O417" s="4">
        <f>IF(ISERR(SEARCH("TRA* 82",C414)),IF(Q417+R417+S417=0,0,I417*(R417/(Q417+R417+S417))),0)</f>
        <v>0</v>
      </c>
      <c r="P417" s="4">
        <f>IF(ISERR(SEARCH("TRA* 82",C414)),I417-N417-O417,0)</f>
        <v>0</v>
      </c>
      <c r="Q417" s="4">
        <v>0</v>
      </c>
      <c r="R417" s="4">
        <v>0</v>
      </c>
      <c r="S417" s="4">
        <v>0</v>
      </c>
    </row>
    <row r="418" spans="1:19" x14ac:dyDescent="0.3">
      <c r="A418" s="96" t="s">
        <v>27</v>
      </c>
      <c r="B418" s="97"/>
      <c r="C418" s="97"/>
      <c r="D418" s="97"/>
      <c r="E418" s="97"/>
      <c r="F418" s="97"/>
      <c r="G418" s="97"/>
      <c r="H418" s="36">
        <f>H414+H415+H416+H417</f>
        <v>370.87285714285707</v>
      </c>
      <c r="I418" s="74">
        <f>I414+I415+I416+I417</f>
        <v>2596.1099999999997</v>
      </c>
      <c r="J418">
        <v>5</v>
      </c>
    </row>
    <row r="419" spans="1:19" x14ac:dyDescent="0.3">
      <c r="B419" s="2">
        <v>73</v>
      </c>
      <c r="C419" s="3" t="s">
        <v>34</v>
      </c>
      <c r="D419" s="5" t="s">
        <v>35</v>
      </c>
      <c r="G419" s="30">
        <v>17</v>
      </c>
      <c r="H419" s="38">
        <f>699.6/G419</f>
        <v>41.152941176470591</v>
      </c>
      <c r="I419" s="29">
        <f>G419*H419</f>
        <v>699.6</v>
      </c>
      <c r="J419">
        <v>1</v>
      </c>
    </row>
    <row r="420" spans="1:19" x14ac:dyDescent="0.3">
      <c r="D420" s="15" t="str">
        <f>SUBSTITUTE("Sp.mat: 0.00%",".",IF(VALUE("1.2")=1.2,".",","),2)</f>
        <v>Sp.mat: 0.00%</v>
      </c>
      <c r="F420" s="15" t="str">
        <f>SUBSTITUTE("Sp.man: 0.00%",".",IF(VALUE("1.2")=1.2,".",","),2)</f>
        <v>Sp.man: 0.00%</v>
      </c>
      <c r="G420" s="35" t="str">
        <f>SUBSTITUTE("Sp.uti: 0.00%",".",IF(VALUE("1.2")=1.2,".",","),2)</f>
        <v>Sp.uti: 0.00%</v>
      </c>
      <c r="H420" s="38">
        <f>166.1/G419</f>
        <v>9.7705882352941167</v>
      </c>
      <c r="I420" s="29">
        <f>G419*H420</f>
        <v>166.1</v>
      </c>
      <c r="J420">
        <v>2</v>
      </c>
    </row>
    <row r="421" spans="1:19" x14ac:dyDescent="0.3">
      <c r="A421" s="88" t="s">
        <v>36</v>
      </c>
      <c r="B421" s="98"/>
      <c r="C421" s="98"/>
      <c r="D421" s="98"/>
      <c r="E421" s="98"/>
      <c r="F421" s="98"/>
      <c r="G421" s="98"/>
      <c r="H421" s="38">
        <f>(1+IF(OR(ISERR(FIND(":",G420)),ISERR(FIND("%",G420))),0,MID(G420,FIND(":",G420)+2,FIND("%",G420)-FIND(":",G420)-2)/100))*0</f>
        <v>0</v>
      </c>
      <c r="I421" s="29">
        <f>G419*H421</f>
        <v>0</v>
      </c>
      <c r="J421">
        <v>3</v>
      </c>
      <c r="K421" s="4">
        <v>0</v>
      </c>
      <c r="L421" s="4">
        <v>0</v>
      </c>
      <c r="M421" s="4">
        <f>I421-K421-L421</f>
        <v>0</v>
      </c>
    </row>
    <row r="422" spans="1:19" x14ac:dyDescent="0.3">
      <c r="A422" s="98"/>
      <c r="B422" s="98"/>
      <c r="C422" s="98"/>
      <c r="D422" s="98"/>
      <c r="E422" s="98"/>
      <c r="F422" s="98"/>
      <c r="G422" s="98"/>
      <c r="H422" s="38">
        <f>0</f>
        <v>0</v>
      </c>
      <c r="I422" s="29">
        <f>G419*H422</f>
        <v>0</v>
      </c>
      <c r="J422">
        <v>4</v>
      </c>
      <c r="N422" s="4">
        <f>IF(ISERR(SEARCH("TRA* 82",C419)),IF(Q422+R422+S422=0,0,I422*(Q422/(Q422+R422+S422))),I422)</f>
        <v>0</v>
      </c>
      <c r="O422" s="4">
        <f>IF(ISERR(SEARCH("TRA* 82",C419)),IF(Q422+R422+S422=0,0,I422*(R422/(Q422+R422+S422))),0)</f>
        <v>0</v>
      </c>
      <c r="P422" s="4">
        <f>IF(ISERR(SEARCH("TRA* 82",C419)),I422-N422-O422,0)</f>
        <v>0</v>
      </c>
      <c r="Q422" s="4">
        <v>0</v>
      </c>
      <c r="R422" s="4">
        <v>0</v>
      </c>
      <c r="S422" s="4">
        <v>0</v>
      </c>
    </row>
    <row r="423" spans="1:19" x14ac:dyDescent="0.3">
      <c r="A423" s="96" t="s">
        <v>27</v>
      </c>
      <c r="B423" s="97"/>
      <c r="C423" s="97"/>
      <c r="D423" s="97"/>
      <c r="E423" s="97"/>
      <c r="F423" s="97"/>
      <c r="G423" s="97"/>
      <c r="H423" s="36">
        <f>H419+H420+H421+H422</f>
        <v>50.923529411764704</v>
      </c>
      <c r="I423" s="74">
        <f>I419+I420+I421+I422</f>
        <v>865.7</v>
      </c>
      <c r="J423">
        <v>5</v>
      </c>
    </row>
    <row r="424" spans="1:19" x14ac:dyDescent="0.3">
      <c r="B424" s="2">
        <v>74</v>
      </c>
      <c r="C424" s="3" t="s">
        <v>135</v>
      </c>
      <c r="D424" s="5" t="s">
        <v>35</v>
      </c>
      <c r="G424" s="30">
        <v>63</v>
      </c>
      <c r="H424" s="38">
        <f>(1+IF(OR(ISERR(FIND(":",D425)),ISERR(FIND("%",D425))),0,MID(D425,FIND(":",D425)+2,FIND("%",D425)-FIND(":",D425)-2)/100))*0</f>
        <v>0</v>
      </c>
      <c r="I424" s="29">
        <f>G424*H424</f>
        <v>0</v>
      </c>
      <c r="J424">
        <v>1</v>
      </c>
    </row>
    <row r="425" spans="1:19" x14ac:dyDescent="0.3">
      <c r="D425" s="15" t="str">
        <f>SUBSTITUTE("Sp.mat: 0.00%",".",IF(VALUE("1.2")=1.2,".",","),2)</f>
        <v>Sp.mat: 0.00%</v>
      </c>
      <c r="F425" s="15" t="str">
        <f>SUBSTITUTE("Sp.man: 0.00%",".",IF(VALUE("1.2")=1.2,".",","),2)</f>
        <v>Sp.man: 0.00%</v>
      </c>
      <c r="G425" s="35" t="str">
        <f>SUBSTITUTE("Sp.uti: 0.00%",".",IF(VALUE("1.2")=1.2,".",","),2)</f>
        <v>Sp.uti: 0.00%</v>
      </c>
      <c r="H425" s="38">
        <f>1503.52/G424</f>
        <v>23.865396825396825</v>
      </c>
      <c r="I425" s="29">
        <f>G424*H425</f>
        <v>1503.52</v>
      </c>
      <c r="J425">
        <v>2</v>
      </c>
    </row>
    <row r="426" spans="1:19" x14ac:dyDescent="0.3">
      <c r="A426" s="88" t="s">
        <v>136</v>
      </c>
      <c r="B426" s="98"/>
      <c r="C426" s="98"/>
      <c r="D426" s="98"/>
      <c r="E426" s="98"/>
      <c r="F426" s="98"/>
      <c r="G426" s="98"/>
      <c r="H426" s="38">
        <f>(1+IF(OR(ISERR(FIND(":",G425)),ISERR(FIND("%",G425))),0,MID(G425,FIND(":",G425)+2,FIND("%",G425)-FIND(":",G425)-2)/100))*0</f>
        <v>0</v>
      </c>
      <c r="I426" s="29">
        <f>G424*H426</f>
        <v>0</v>
      </c>
      <c r="J426">
        <v>3</v>
      </c>
      <c r="K426" s="4">
        <v>0</v>
      </c>
      <c r="L426" s="4">
        <v>0</v>
      </c>
      <c r="M426" s="4">
        <f>I426-K426-L426</f>
        <v>0</v>
      </c>
    </row>
    <row r="427" spans="1:19" x14ac:dyDescent="0.3">
      <c r="A427" s="98"/>
      <c r="B427" s="98"/>
      <c r="C427" s="98"/>
      <c r="D427" s="98"/>
      <c r="E427" s="98"/>
      <c r="F427" s="98"/>
      <c r="G427" s="98"/>
      <c r="H427" s="38">
        <f>0</f>
        <v>0</v>
      </c>
      <c r="I427" s="29">
        <f>G424*H427</f>
        <v>0</v>
      </c>
      <c r="J427">
        <v>4</v>
      </c>
      <c r="N427" s="4">
        <f>IF(ISERR(SEARCH("TRA* 82",C424)),IF(Q427+R427+S427=0,0,I427*(Q427/(Q427+R427+S427))),I427)</f>
        <v>0</v>
      </c>
      <c r="O427" s="4">
        <f>IF(ISERR(SEARCH("TRA* 82",C424)),IF(Q427+R427+S427=0,0,I427*(R427/(Q427+R427+S427))),0)</f>
        <v>0</v>
      </c>
      <c r="P427" s="4">
        <f>IF(ISERR(SEARCH("TRA* 82",C424)),I427-N427-O427,0)</f>
        <v>0</v>
      </c>
      <c r="Q427" s="4">
        <v>0</v>
      </c>
      <c r="R427" s="4">
        <v>0</v>
      </c>
      <c r="S427" s="4">
        <v>0</v>
      </c>
    </row>
    <row r="428" spans="1:19" x14ac:dyDescent="0.3">
      <c r="A428" s="96" t="s">
        <v>27</v>
      </c>
      <c r="B428" s="97"/>
      <c r="C428" s="97"/>
      <c r="D428" s="97"/>
      <c r="E428" s="97"/>
      <c r="F428" s="97"/>
      <c r="G428" s="97"/>
      <c r="H428" s="36">
        <f>H424+H425+H426+H427</f>
        <v>23.865396825396825</v>
      </c>
      <c r="I428" s="74">
        <f>I424+I425+I426+I427</f>
        <v>1503.52</v>
      </c>
      <c r="J428">
        <v>5</v>
      </c>
    </row>
    <row r="429" spans="1:19" x14ac:dyDescent="0.3">
      <c r="B429" s="2">
        <v>75</v>
      </c>
      <c r="C429" s="3" t="s">
        <v>137</v>
      </c>
      <c r="D429" s="5" t="s">
        <v>40</v>
      </c>
      <c r="G429" s="30">
        <v>11</v>
      </c>
      <c r="H429" s="38">
        <f>68.99/G429</f>
        <v>6.2718181818181815</v>
      </c>
      <c r="I429" s="29">
        <f>G429*H429</f>
        <v>68.989999999999995</v>
      </c>
      <c r="J429">
        <v>1</v>
      </c>
    </row>
    <row r="430" spans="1:19" x14ac:dyDescent="0.3">
      <c r="D430" s="15" t="str">
        <f>SUBSTITUTE("Sp.mat: 0.00%",".",IF(VALUE("1.2")=1.2,".",","),2)</f>
        <v>Sp.mat: 0.00%</v>
      </c>
      <c r="F430" s="15" t="str">
        <f>SUBSTITUTE("Sp.man: 0.00%",".",IF(VALUE("1.2")=1.2,".",","),2)</f>
        <v>Sp.man: 0.00%</v>
      </c>
      <c r="G430" s="35" t="str">
        <f>SUBSTITUTE("Sp.uti: 0.00%",".",IF(VALUE("1.2")=1.2,".",","),2)</f>
        <v>Sp.uti: 0.00%</v>
      </c>
      <c r="H430" s="38">
        <f>89.86/G429</f>
        <v>8.1690909090909098</v>
      </c>
      <c r="I430" s="29">
        <f>G429*H430</f>
        <v>89.860000000000014</v>
      </c>
      <c r="J430">
        <v>2</v>
      </c>
    </row>
    <row r="431" spans="1:19" x14ac:dyDescent="0.3">
      <c r="A431" s="88" t="s">
        <v>138</v>
      </c>
      <c r="B431" s="98"/>
      <c r="C431" s="98"/>
      <c r="D431" s="98"/>
      <c r="E431" s="98"/>
      <c r="F431" s="98"/>
      <c r="G431" s="98"/>
      <c r="H431" s="38">
        <f>(1+IF(OR(ISERR(FIND(":",G430)),ISERR(FIND("%",G430))),0,MID(G430,FIND(":",G430)+2,FIND("%",G430)-FIND(":",G430)-2)/100))*0</f>
        <v>0</v>
      </c>
      <c r="I431" s="29">
        <f>G429*H431</f>
        <v>0</v>
      </c>
      <c r="J431">
        <v>3</v>
      </c>
      <c r="K431" s="4">
        <v>0</v>
      </c>
      <c r="L431" s="4">
        <v>0</v>
      </c>
      <c r="M431" s="4">
        <f>I431-K431-L431</f>
        <v>0</v>
      </c>
    </row>
    <row r="432" spans="1:19" x14ac:dyDescent="0.3">
      <c r="A432" s="98"/>
      <c r="B432" s="98"/>
      <c r="C432" s="98"/>
      <c r="D432" s="98"/>
      <c r="E432" s="98"/>
      <c r="F432" s="98"/>
      <c r="G432" s="98"/>
      <c r="H432" s="38">
        <f>0</f>
        <v>0</v>
      </c>
      <c r="I432" s="29">
        <f>G429*H432</f>
        <v>0</v>
      </c>
      <c r="J432">
        <v>4</v>
      </c>
      <c r="N432" s="4">
        <f>IF(ISERR(SEARCH("TRA* 82",C429)),IF(Q432+R432+S432=0,0,I432*(Q432/(Q432+R432+S432))),I432)</f>
        <v>0</v>
      </c>
      <c r="O432" s="4">
        <f>IF(ISERR(SEARCH("TRA* 82",C429)),IF(Q432+R432+S432=0,0,I432*(R432/(Q432+R432+S432))),0)</f>
        <v>0</v>
      </c>
      <c r="P432" s="4">
        <f>IF(ISERR(SEARCH("TRA* 82",C429)),I432-N432-O432,0)</f>
        <v>0</v>
      </c>
      <c r="Q432" s="4">
        <v>0</v>
      </c>
      <c r="R432" s="4">
        <v>0</v>
      </c>
      <c r="S432" s="4">
        <v>0</v>
      </c>
    </row>
    <row r="433" spans="1:19" x14ac:dyDescent="0.3">
      <c r="A433" s="96" t="s">
        <v>27</v>
      </c>
      <c r="B433" s="97"/>
      <c r="C433" s="97"/>
      <c r="D433" s="97"/>
      <c r="E433" s="97"/>
      <c r="F433" s="97"/>
      <c r="G433" s="97"/>
      <c r="H433" s="36">
        <f>H429+H430+H431+H432</f>
        <v>14.440909090909091</v>
      </c>
      <c r="I433" s="74">
        <f>I429+I430+I431+I432</f>
        <v>158.85000000000002</v>
      </c>
      <c r="J433">
        <v>5</v>
      </c>
    </row>
    <row r="434" spans="1:19" x14ac:dyDescent="0.3">
      <c r="B434" s="2">
        <v>76</v>
      </c>
      <c r="C434" s="3" t="s">
        <v>277</v>
      </c>
      <c r="D434" s="5" t="s">
        <v>29</v>
      </c>
      <c r="G434" s="30">
        <v>15</v>
      </c>
      <c r="H434" s="38">
        <f>2062.91/G434</f>
        <v>137.52733333333333</v>
      </c>
      <c r="I434" s="29">
        <f>G434*H434</f>
        <v>2062.91</v>
      </c>
      <c r="J434">
        <v>1</v>
      </c>
    </row>
    <row r="435" spans="1:19" x14ac:dyDescent="0.3">
      <c r="D435" s="15" t="str">
        <f>SUBSTITUTE("Sp.mat: 0.00%",".",IF(VALUE("1.2")=1.2,".",","),2)</f>
        <v>Sp.mat: 0.00%</v>
      </c>
      <c r="F435" s="15" t="str">
        <f>SUBSTITUTE("Sp.man: 0.00%",".",IF(VALUE("1.2")=1.2,".",","),2)</f>
        <v>Sp.man: 0.00%</v>
      </c>
      <c r="G435" s="35" t="str">
        <f>SUBSTITUTE("Sp.uti: 0.00%",".",IF(VALUE("1.2")=1.2,".",","),2)</f>
        <v>Sp.uti: 0.00%</v>
      </c>
      <c r="H435" s="38">
        <f>264.28/G434</f>
        <v>17.618666666666666</v>
      </c>
      <c r="I435" s="29">
        <f>G434*H435</f>
        <v>264.27999999999997</v>
      </c>
      <c r="J435">
        <v>2</v>
      </c>
    </row>
    <row r="436" spans="1:19" x14ac:dyDescent="0.3">
      <c r="A436" s="88" t="s">
        <v>278</v>
      </c>
      <c r="B436" s="98"/>
      <c r="C436" s="98"/>
      <c r="D436" s="98"/>
      <c r="E436" s="98"/>
      <c r="F436" s="98"/>
      <c r="G436" s="98"/>
      <c r="H436" s="38">
        <f>(1+IF(OR(ISERR(FIND(":",G435)),ISERR(FIND("%",G435))),0,MID(G435,FIND(":",G435)+2,FIND("%",G435)-FIND(":",G435)-2)/100))*0</f>
        <v>0</v>
      </c>
      <c r="I436" s="29">
        <f>G434*H436</f>
        <v>0</v>
      </c>
      <c r="J436">
        <v>3</v>
      </c>
      <c r="K436" s="4">
        <v>0</v>
      </c>
      <c r="L436" s="4">
        <v>0</v>
      </c>
      <c r="M436" s="4">
        <f>I436-K436-L436</f>
        <v>0</v>
      </c>
    </row>
    <row r="437" spans="1:19" x14ac:dyDescent="0.3">
      <c r="A437" s="98"/>
      <c r="B437" s="98"/>
      <c r="C437" s="98"/>
      <c r="D437" s="98"/>
      <c r="E437" s="98"/>
      <c r="F437" s="98"/>
      <c r="G437" s="98"/>
      <c r="H437" s="38">
        <f>0</f>
        <v>0</v>
      </c>
      <c r="I437" s="29">
        <f>G434*H437</f>
        <v>0</v>
      </c>
      <c r="J437">
        <v>4</v>
      </c>
      <c r="N437" s="4">
        <f>IF(ISERR(SEARCH("TRA* 82",C434)),IF(Q437+R437+S437=0,0,I437*(Q437/(Q437+R437+S437))),I437)</f>
        <v>0</v>
      </c>
      <c r="O437" s="4">
        <f>IF(ISERR(SEARCH("TRA* 82",C434)),IF(Q437+R437+S437=0,0,I437*(R437/(Q437+R437+S437))),0)</f>
        <v>0</v>
      </c>
      <c r="P437" s="4">
        <f>IF(ISERR(SEARCH("TRA* 82",C434)),I437-N437-O437,0)</f>
        <v>0</v>
      </c>
      <c r="Q437" s="4">
        <v>0</v>
      </c>
      <c r="R437" s="4">
        <v>0</v>
      </c>
      <c r="S437" s="4">
        <v>0</v>
      </c>
    </row>
    <row r="438" spans="1:19" x14ac:dyDescent="0.3">
      <c r="A438" s="96" t="s">
        <v>27</v>
      </c>
      <c r="B438" s="97"/>
      <c r="C438" s="97"/>
      <c r="D438" s="97"/>
      <c r="E438" s="97"/>
      <c r="F438" s="97"/>
      <c r="G438" s="97"/>
      <c r="H438" s="36">
        <f>H434+H435+H436+H437</f>
        <v>155.14599999999999</v>
      </c>
      <c r="I438" s="74">
        <f>I434+I435+I436+I437</f>
        <v>2327.1899999999996</v>
      </c>
      <c r="J438">
        <v>5</v>
      </c>
    </row>
    <row r="439" spans="1:19" x14ac:dyDescent="0.3">
      <c r="B439" s="2">
        <v>77</v>
      </c>
      <c r="C439" s="3" t="s">
        <v>132</v>
      </c>
      <c r="D439" s="5" t="s">
        <v>133</v>
      </c>
      <c r="G439" s="30">
        <v>25.4</v>
      </c>
      <c r="H439" s="38">
        <f>(1+IF(OR(ISERR(FIND(":",D440)),ISERR(FIND("%",D440))),0,MID(D440,FIND(":",D440)+2,FIND("%",D440)-FIND(":",D440)-2)/100))*0</f>
        <v>0</v>
      </c>
      <c r="I439" s="29">
        <f>G439*H439</f>
        <v>0</v>
      </c>
      <c r="J439">
        <v>1</v>
      </c>
    </row>
    <row r="440" spans="1:19" x14ac:dyDescent="0.3">
      <c r="D440" s="15" t="str">
        <f>SUBSTITUTE("Sp.mat: 0.00%",".",IF(VALUE("1.2")=1.2,".",","),2)</f>
        <v>Sp.mat: 0.00%</v>
      </c>
      <c r="F440" s="15" t="str">
        <f>SUBSTITUTE("Sp.man: 0.00%",".",IF(VALUE("1.2")=1.2,".",","),2)</f>
        <v>Sp.man: 0.00%</v>
      </c>
      <c r="G440" s="35" t="str">
        <f>SUBSTITUTE("Sp.uti: 0.00%",".",IF(VALUE("1.2")=1.2,".",","),2)</f>
        <v>Sp.uti: 0.00%</v>
      </c>
      <c r="H440" s="38">
        <f>40.68/G439</f>
        <v>1.6015748031496064</v>
      </c>
      <c r="I440" s="29">
        <f>G439*H440</f>
        <v>40.68</v>
      </c>
      <c r="J440">
        <v>2</v>
      </c>
    </row>
    <row r="441" spans="1:19" x14ac:dyDescent="0.3">
      <c r="A441" s="88" t="s">
        <v>134</v>
      </c>
      <c r="B441" s="98"/>
      <c r="C441" s="98"/>
      <c r="D441" s="98"/>
      <c r="E441" s="98"/>
      <c r="F441" s="98"/>
      <c r="G441" s="98"/>
      <c r="H441" s="38">
        <f>(1+IF(OR(ISERR(FIND(":",G440)),ISERR(FIND("%",G440))),0,MID(G440,FIND(":",G440)+2,FIND("%",G440)-FIND(":",G440)-2)/100))*0</f>
        <v>0</v>
      </c>
      <c r="I441" s="29">
        <f>G439*H441</f>
        <v>0</v>
      </c>
      <c r="J441">
        <v>3</v>
      </c>
      <c r="K441" s="4">
        <v>0</v>
      </c>
      <c r="L441" s="4">
        <v>0</v>
      </c>
      <c r="M441" s="4">
        <f>I441-K441-L441</f>
        <v>0</v>
      </c>
    </row>
    <row r="442" spans="1:19" x14ac:dyDescent="0.3">
      <c r="A442" s="98"/>
      <c r="B442" s="98"/>
      <c r="C442" s="98"/>
      <c r="D442" s="98"/>
      <c r="E442" s="98"/>
      <c r="F442" s="98"/>
      <c r="G442" s="98"/>
      <c r="H442" s="38">
        <f>0</f>
        <v>0</v>
      </c>
      <c r="I442" s="29">
        <f>G439*H442</f>
        <v>0</v>
      </c>
      <c r="J442">
        <v>4</v>
      </c>
      <c r="N442" s="4">
        <f>IF(ISERR(SEARCH("TRA* 82",C439)),IF(Q442+R442+S442=0,0,I442*(Q442/(Q442+R442+S442))),I442)</f>
        <v>0</v>
      </c>
      <c r="O442" s="4">
        <f>IF(ISERR(SEARCH("TRA* 82",C439)),IF(Q442+R442+S442=0,0,I442*(R442/(Q442+R442+S442))),0)</f>
        <v>0</v>
      </c>
      <c r="P442" s="4">
        <f>IF(ISERR(SEARCH("TRA* 82",C439)),I442-N442-O442,0)</f>
        <v>0</v>
      </c>
      <c r="Q442" s="4">
        <v>0</v>
      </c>
      <c r="R442" s="4">
        <v>0</v>
      </c>
      <c r="S442" s="4">
        <v>0</v>
      </c>
    </row>
    <row r="443" spans="1:19" x14ac:dyDescent="0.3">
      <c r="A443" s="96" t="s">
        <v>27</v>
      </c>
      <c r="B443" s="97"/>
      <c r="C443" s="97"/>
      <c r="D443" s="97"/>
      <c r="E443" s="97"/>
      <c r="F443" s="97"/>
      <c r="G443" s="97"/>
      <c r="H443" s="36">
        <f>H439+H440+H441+H442</f>
        <v>1.6015748031496064</v>
      </c>
      <c r="I443" s="74">
        <f>I439+I440+I441+I442</f>
        <v>40.68</v>
      </c>
      <c r="J443">
        <v>5</v>
      </c>
    </row>
    <row r="444" spans="1:19" x14ac:dyDescent="0.3">
      <c r="B444" s="2">
        <v>78</v>
      </c>
      <c r="C444" s="3" t="s">
        <v>283</v>
      </c>
      <c r="D444" s="5" t="s">
        <v>29</v>
      </c>
      <c r="G444" s="30">
        <v>146</v>
      </c>
      <c r="H444" s="38">
        <f>1392.84/G444</f>
        <v>9.5399999999999991</v>
      </c>
      <c r="I444" s="29">
        <f>G444*H444</f>
        <v>1392.84</v>
      </c>
      <c r="J444">
        <v>1</v>
      </c>
    </row>
    <row r="445" spans="1:19" x14ac:dyDescent="0.3">
      <c r="D445" s="15" t="str">
        <f>SUBSTITUTE("Sp.mat: 0.00%",".",IF(VALUE("1.2")=1.2,".",","),2)</f>
        <v>Sp.mat: 0.00%</v>
      </c>
      <c r="F445" s="15" t="str">
        <f>SUBSTITUTE("Sp.man: 0.00%",".",IF(VALUE("1.2")=1.2,".",","),2)</f>
        <v>Sp.man: 0.00%</v>
      </c>
      <c r="G445" s="35" t="str">
        <f>SUBSTITUTE("Sp.uti: 0.00%",".",IF(VALUE("1.2")=1.2,".",","),2)</f>
        <v>Sp.uti: 0.00%</v>
      </c>
      <c r="H445" s="38">
        <f>420.93/G444</f>
        <v>2.8830821917808218</v>
      </c>
      <c r="I445" s="29">
        <f>G444*H445</f>
        <v>420.93</v>
      </c>
      <c r="J445">
        <v>2</v>
      </c>
    </row>
    <row r="446" spans="1:19" x14ac:dyDescent="0.3">
      <c r="A446" s="88" t="s">
        <v>284</v>
      </c>
      <c r="B446" s="98"/>
      <c r="C446" s="98"/>
      <c r="D446" s="98"/>
      <c r="E446" s="98"/>
      <c r="F446" s="98"/>
      <c r="G446" s="98"/>
      <c r="H446" s="38">
        <f>(1+IF(OR(ISERR(FIND(":",G445)),ISERR(FIND("%",G445))),0,MID(G445,FIND(":",G445)+2,FIND("%",G445)-FIND(":",G445)-2)/100))*0</f>
        <v>0</v>
      </c>
      <c r="I446" s="29">
        <f>G444*H446</f>
        <v>0</v>
      </c>
      <c r="J446">
        <v>3</v>
      </c>
      <c r="K446" s="4">
        <v>0</v>
      </c>
      <c r="L446" s="4">
        <v>0</v>
      </c>
      <c r="M446" s="4">
        <f>I446-K446-L446</f>
        <v>0</v>
      </c>
    </row>
    <row r="447" spans="1:19" x14ac:dyDescent="0.3">
      <c r="A447" s="98"/>
      <c r="B447" s="98"/>
      <c r="C447" s="98"/>
      <c r="D447" s="98"/>
      <c r="E447" s="98"/>
      <c r="F447" s="98"/>
      <c r="G447" s="98"/>
      <c r="H447" s="38">
        <f>0</f>
        <v>0</v>
      </c>
      <c r="I447" s="29">
        <f>G444*H447</f>
        <v>0</v>
      </c>
      <c r="J447">
        <v>4</v>
      </c>
      <c r="N447" s="4">
        <f>IF(ISERR(SEARCH("TRA* 82",C444)),IF(Q447+R447+S447=0,0,I447*(Q447/(Q447+R447+S447))),I447)</f>
        <v>0</v>
      </c>
      <c r="O447" s="4">
        <f>IF(ISERR(SEARCH("TRA* 82",C444)),IF(Q447+R447+S447=0,0,I447*(R447/(Q447+R447+S447))),0)</f>
        <v>0</v>
      </c>
      <c r="P447" s="4">
        <f>IF(ISERR(SEARCH("TRA* 82",C444)),I447-N447-O447,0)</f>
        <v>0</v>
      </c>
      <c r="Q447" s="4">
        <v>0</v>
      </c>
      <c r="R447" s="4">
        <v>0</v>
      </c>
      <c r="S447" s="4">
        <v>0</v>
      </c>
    </row>
    <row r="448" spans="1:19" x14ac:dyDescent="0.3">
      <c r="A448" s="96" t="s">
        <v>27</v>
      </c>
      <c r="B448" s="97"/>
      <c r="C448" s="97"/>
      <c r="D448" s="97"/>
      <c r="E448" s="97"/>
      <c r="F448" s="97"/>
      <c r="G448" s="97"/>
      <c r="H448" s="36">
        <f>H444+H445+H446+H447</f>
        <v>12.423082191780821</v>
      </c>
      <c r="I448" s="74">
        <f>I444+I445+I446+I447</f>
        <v>1813.77</v>
      </c>
      <c r="J448">
        <v>5</v>
      </c>
    </row>
    <row r="449" spans="1:19" x14ac:dyDescent="0.3">
      <c r="B449" s="2">
        <v>79</v>
      </c>
      <c r="C449" s="3" t="s">
        <v>285</v>
      </c>
      <c r="D449" s="5" t="s">
        <v>29</v>
      </c>
      <c r="G449" s="30">
        <v>4</v>
      </c>
      <c r="H449" s="38">
        <f>83.62/G449</f>
        <v>20.905000000000001</v>
      </c>
      <c r="I449" s="29">
        <f>G449*H449</f>
        <v>83.62</v>
      </c>
      <c r="J449">
        <v>1</v>
      </c>
    </row>
    <row r="450" spans="1:19" x14ac:dyDescent="0.3">
      <c r="D450" s="15" t="str">
        <f>SUBSTITUTE("Sp.mat: 0.00%",".",IF(VALUE("1.2")=1.2,".",","),2)</f>
        <v>Sp.mat: 0.00%</v>
      </c>
      <c r="F450" s="15" t="str">
        <f>SUBSTITUTE("Sp.man: 0.00%",".",IF(VALUE("1.2")=1.2,".",","),2)</f>
        <v>Sp.man: 0.00%</v>
      </c>
      <c r="G450" s="35" t="str">
        <f>SUBSTITUTE("Sp.uti: 0.00%",".",IF(VALUE("1.2")=1.2,".",","),2)</f>
        <v>Sp.uti: 0.00%</v>
      </c>
      <c r="H450" s="38">
        <f>105.07/G449</f>
        <v>26.267499999999998</v>
      </c>
      <c r="I450" s="29">
        <f>G449*H450</f>
        <v>105.07</v>
      </c>
      <c r="J450">
        <v>2</v>
      </c>
    </row>
    <row r="451" spans="1:19" x14ac:dyDescent="0.3">
      <c r="A451" s="88" t="s">
        <v>286</v>
      </c>
      <c r="B451" s="98"/>
      <c r="C451" s="98"/>
      <c r="D451" s="98"/>
      <c r="E451" s="98"/>
      <c r="F451" s="98"/>
      <c r="G451" s="98"/>
      <c r="H451" s="38">
        <f>(1+IF(OR(ISERR(FIND(":",G450)),ISERR(FIND("%",G450))),0,MID(G450,FIND(":",G450)+2,FIND("%",G450)-FIND(":",G450)-2)/100))*0</f>
        <v>0</v>
      </c>
      <c r="I451" s="29">
        <f>G449*H451</f>
        <v>0</v>
      </c>
      <c r="J451">
        <v>3</v>
      </c>
      <c r="K451" s="4">
        <v>0</v>
      </c>
      <c r="L451" s="4">
        <v>0</v>
      </c>
      <c r="M451" s="4">
        <f>I451-K451-L451</f>
        <v>0</v>
      </c>
    </row>
    <row r="452" spans="1:19" x14ac:dyDescent="0.3">
      <c r="A452" s="98"/>
      <c r="B452" s="98"/>
      <c r="C452" s="98"/>
      <c r="D452" s="98"/>
      <c r="E452" s="98"/>
      <c r="F452" s="98"/>
      <c r="G452" s="98"/>
      <c r="H452" s="38">
        <f>0</f>
        <v>0</v>
      </c>
      <c r="I452" s="29">
        <f>G449*H452</f>
        <v>0</v>
      </c>
      <c r="J452">
        <v>4</v>
      </c>
      <c r="N452" s="4">
        <f>IF(ISERR(SEARCH("TRA* 82",C449)),IF(Q452+R452+S452=0,0,I452*(Q452/(Q452+R452+S452))),I452)</f>
        <v>0</v>
      </c>
      <c r="O452" s="4">
        <f>IF(ISERR(SEARCH("TRA* 82",C449)),IF(Q452+R452+S452=0,0,I452*(R452/(Q452+R452+S452))),0)</f>
        <v>0</v>
      </c>
      <c r="P452" s="4">
        <f>IF(ISERR(SEARCH("TRA* 82",C449)),I452-N452-O452,0)</f>
        <v>0</v>
      </c>
      <c r="Q452" s="4">
        <v>0</v>
      </c>
      <c r="R452" s="4">
        <v>0</v>
      </c>
      <c r="S452" s="4">
        <v>0</v>
      </c>
    </row>
    <row r="453" spans="1:19" x14ac:dyDescent="0.3">
      <c r="A453" s="96" t="s">
        <v>27</v>
      </c>
      <c r="B453" s="97"/>
      <c r="C453" s="97"/>
      <c r="D453" s="97"/>
      <c r="E453" s="97"/>
      <c r="F453" s="97"/>
      <c r="G453" s="97"/>
      <c r="H453" s="36">
        <f>H449+H450+H451+H452</f>
        <v>47.172499999999999</v>
      </c>
      <c r="I453" s="74">
        <f>I449+I450+I451+I452</f>
        <v>188.69</v>
      </c>
      <c r="J453">
        <v>5</v>
      </c>
    </row>
    <row r="454" spans="1:19" x14ac:dyDescent="0.3">
      <c r="B454" s="2">
        <v>80</v>
      </c>
      <c r="C454" s="3" t="s">
        <v>287</v>
      </c>
      <c r="D454" s="5" t="s">
        <v>29</v>
      </c>
      <c r="G454" s="30">
        <v>16</v>
      </c>
      <c r="H454" s="38">
        <f>23237.58/G454</f>
        <v>1452.3487500000001</v>
      </c>
      <c r="I454" s="29">
        <f>G454*H454</f>
        <v>23237.58</v>
      </c>
      <c r="J454">
        <v>1</v>
      </c>
    </row>
    <row r="455" spans="1:19" x14ac:dyDescent="0.3">
      <c r="D455" s="15" t="str">
        <f>SUBSTITUTE("Sp.mat: 0.00%",".",IF(VALUE("1.2")=1.2,".",","),2)</f>
        <v>Sp.mat: 0.00%</v>
      </c>
      <c r="F455" s="15" t="str">
        <f>SUBSTITUTE("Sp.man: 0.00%",".",IF(VALUE("1.2")=1.2,".",","),2)</f>
        <v>Sp.man: 0.00%</v>
      </c>
      <c r="G455" s="35" t="str">
        <f>SUBSTITUTE("Sp.uti: 0.00%",".",IF(VALUE("1.2")=1.2,".",","),2)</f>
        <v>Sp.uti: 0.00%</v>
      </c>
      <c r="H455" s="38">
        <f>422.85/G454</f>
        <v>26.428125000000001</v>
      </c>
      <c r="I455" s="29">
        <f>G454*H455</f>
        <v>422.85</v>
      </c>
      <c r="J455">
        <v>2</v>
      </c>
    </row>
    <row r="456" spans="1:19" x14ac:dyDescent="0.3">
      <c r="A456" s="88" t="s">
        <v>288</v>
      </c>
      <c r="B456" s="98"/>
      <c r="C456" s="98"/>
      <c r="D456" s="98"/>
      <c r="E456" s="98"/>
      <c r="F456" s="98"/>
      <c r="G456" s="98"/>
      <c r="H456" s="38">
        <f>(1+IF(OR(ISERR(FIND(":",G455)),ISERR(FIND("%",G455))),0,MID(G455,FIND(":",G455)+2,FIND("%",G455)-FIND(":",G455)-2)/100))*0</f>
        <v>0</v>
      </c>
      <c r="I456" s="29">
        <f>G454*H456</f>
        <v>0</v>
      </c>
      <c r="J456">
        <v>3</v>
      </c>
      <c r="K456" s="4">
        <v>0</v>
      </c>
      <c r="L456" s="4">
        <v>0</v>
      </c>
      <c r="M456" s="4">
        <f>I456-K456-L456</f>
        <v>0</v>
      </c>
    </row>
    <row r="457" spans="1:19" x14ac:dyDescent="0.3">
      <c r="A457" s="98"/>
      <c r="B457" s="98"/>
      <c r="C457" s="98"/>
      <c r="D457" s="98"/>
      <c r="E457" s="98"/>
      <c r="F457" s="98"/>
      <c r="G457" s="98"/>
      <c r="H457" s="38">
        <f>0</f>
        <v>0</v>
      </c>
      <c r="I457" s="29">
        <f>G454*H457</f>
        <v>0</v>
      </c>
      <c r="J457">
        <v>4</v>
      </c>
      <c r="N457" s="4">
        <f>IF(ISERR(SEARCH("TRA* 82",C454)),IF(Q457+R457+S457=0,0,I457*(Q457/(Q457+R457+S457))),I457)</f>
        <v>0</v>
      </c>
      <c r="O457" s="4">
        <f>IF(ISERR(SEARCH("TRA* 82",C454)),IF(Q457+R457+S457=0,0,I457*(R457/(Q457+R457+S457))),0)</f>
        <v>0</v>
      </c>
      <c r="P457" s="4">
        <f>IF(ISERR(SEARCH("TRA* 82",C454)),I457-N457-O457,0)</f>
        <v>0</v>
      </c>
      <c r="Q457" s="4">
        <v>0</v>
      </c>
      <c r="R457" s="4">
        <v>0</v>
      </c>
      <c r="S457" s="4">
        <v>0</v>
      </c>
    </row>
    <row r="458" spans="1:19" x14ac:dyDescent="0.3">
      <c r="A458" s="96" t="s">
        <v>27</v>
      </c>
      <c r="B458" s="97"/>
      <c r="C458" s="97"/>
      <c r="D458" s="97"/>
      <c r="E458" s="97"/>
      <c r="F458" s="97"/>
      <c r="G458" s="97"/>
      <c r="H458" s="36">
        <f>H454+H455+H456+H457</f>
        <v>1478.776875</v>
      </c>
      <c r="I458" s="74">
        <f>I454+I455+I456+I457</f>
        <v>23660.43</v>
      </c>
      <c r="J458">
        <v>5</v>
      </c>
    </row>
    <row r="459" spans="1:19" x14ac:dyDescent="0.3">
      <c r="B459" s="2">
        <v>81</v>
      </c>
      <c r="C459" s="3" t="s">
        <v>289</v>
      </c>
      <c r="D459" s="5" t="s">
        <v>29</v>
      </c>
      <c r="G459" s="30">
        <v>22</v>
      </c>
      <c r="H459" s="38">
        <f>674.22/G459</f>
        <v>30.646363636363638</v>
      </c>
      <c r="I459" s="29">
        <f>G459*H459</f>
        <v>674.22</v>
      </c>
      <c r="J459">
        <v>1</v>
      </c>
    </row>
    <row r="460" spans="1:19" x14ac:dyDescent="0.3">
      <c r="D460" s="15" t="str">
        <f>SUBSTITUTE("Sp.mat: 0.00%",".",IF(VALUE("1.2")=1.2,".",","),2)</f>
        <v>Sp.mat: 0.00%</v>
      </c>
      <c r="F460" s="15" t="str">
        <f>SUBSTITUTE("Sp.man: 0.00%",".",IF(VALUE("1.2")=1.2,".",","),2)</f>
        <v>Sp.man: 0.00%</v>
      </c>
      <c r="G460" s="35" t="str">
        <f>SUBSTITUTE("Sp.uti: 0.00%",".",IF(VALUE("1.2")=1.2,".",","),2)</f>
        <v>Sp.uti: 0.00%</v>
      </c>
      <c r="H460" s="38">
        <f>599.04/G459</f>
        <v>27.229090909090907</v>
      </c>
      <c r="I460" s="29">
        <f>G459*H460</f>
        <v>599.04</v>
      </c>
      <c r="J460">
        <v>2</v>
      </c>
    </row>
    <row r="461" spans="1:19" x14ac:dyDescent="0.3">
      <c r="A461" s="88" t="s">
        <v>290</v>
      </c>
      <c r="B461" s="98"/>
      <c r="C461" s="98"/>
      <c r="D461" s="98"/>
      <c r="E461" s="98"/>
      <c r="F461" s="98"/>
      <c r="G461" s="98"/>
      <c r="H461" s="38">
        <f>(1+IF(OR(ISERR(FIND(":",G460)),ISERR(FIND("%",G460))),0,MID(G460,FIND(":",G460)+2,FIND("%",G460)-FIND(":",G460)-2)/100))*0</f>
        <v>0</v>
      </c>
      <c r="I461" s="29">
        <f>G459*H461</f>
        <v>0</v>
      </c>
      <c r="J461">
        <v>3</v>
      </c>
      <c r="K461" s="4">
        <v>0</v>
      </c>
      <c r="L461" s="4">
        <v>0</v>
      </c>
      <c r="M461" s="4">
        <f>I461-K461-L461</f>
        <v>0</v>
      </c>
    </row>
    <row r="462" spans="1:19" x14ac:dyDescent="0.3">
      <c r="A462" s="98"/>
      <c r="B462" s="98"/>
      <c r="C462" s="98"/>
      <c r="D462" s="98"/>
      <c r="E462" s="98"/>
      <c r="F462" s="98"/>
      <c r="G462" s="98"/>
      <c r="H462" s="38">
        <f>0</f>
        <v>0</v>
      </c>
      <c r="I462" s="29">
        <f>G459*H462</f>
        <v>0</v>
      </c>
      <c r="J462">
        <v>4</v>
      </c>
      <c r="N462" s="4">
        <f>IF(ISERR(SEARCH("TRA* 82",C459)),IF(Q462+R462+S462=0,0,I462*(Q462/(Q462+R462+S462))),I462)</f>
        <v>0</v>
      </c>
      <c r="O462" s="4">
        <f>IF(ISERR(SEARCH("TRA* 82",C459)),IF(Q462+R462+S462=0,0,I462*(R462/(Q462+R462+S462))),0)</f>
        <v>0</v>
      </c>
      <c r="P462" s="4">
        <f>IF(ISERR(SEARCH("TRA* 82",C459)),I462-N462-O462,0)</f>
        <v>0</v>
      </c>
      <c r="Q462" s="4">
        <v>0</v>
      </c>
      <c r="R462" s="4">
        <v>0</v>
      </c>
      <c r="S462" s="4">
        <v>0</v>
      </c>
    </row>
    <row r="463" spans="1:19" x14ac:dyDescent="0.3">
      <c r="A463" s="96" t="s">
        <v>27</v>
      </c>
      <c r="B463" s="97"/>
      <c r="C463" s="97"/>
      <c r="D463" s="97"/>
      <c r="E463" s="97"/>
      <c r="F463" s="97"/>
      <c r="G463" s="97"/>
      <c r="H463" s="36">
        <f>H459+H460+H461+H462</f>
        <v>57.875454545454545</v>
      </c>
      <c r="I463" s="74">
        <f>I459+I460+I461+I462</f>
        <v>1273.26</v>
      </c>
      <c r="J463">
        <v>5</v>
      </c>
    </row>
    <row r="464" spans="1:19" x14ac:dyDescent="0.3">
      <c r="B464" s="2">
        <v>82</v>
      </c>
      <c r="C464" s="3" t="s">
        <v>291</v>
      </c>
      <c r="D464" s="5" t="s">
        <v>29</v>
      </c>
      <c r="G464" s="30">
        <v>8</v>
      </c>
      <c r="H464" s="38">
        <f>413.11/G464</f>
        <v>51.638750000000002</v>
      </c>
      <c r="I464" s="29">
        <f>G464*H464</f>
        <v>413.11</v>
      </c>
      <c r="J464">
        <v>1</v>
      </c>
    </row>
    <row r="465" spans="1:19" x14ac:dyDescent="0.3">
      <c r="D465" s="15" t="str">
        <f>SUBSTITUTE("Sp.mat: 0.00%",".",IF(VALUE("1.2")=1.2,".",","),2)</f>
        <v>Sp.mat: 0.00%</v>
      </c>
      <c r="F465" s="15" t="str">
        <f>SUBSTITUTE("Sp.man: 0.00%",".",IF(VALUE("1.2")=1.2,".",","),2)</f>
        <v>Sp.man: 0.00%</v>
      </c>
      <c r="G465" s="35" t="str">
        <f>SUBSTITUTE("Sp.uti: 0.00%",".",IF(VALUE("1.2")=1.2,".",","),2)</f>
        <v>Sp.uti: 0.00%</v>
      </c>
      <c r="H465" s="38">
        <f>219.11/G464</f>
        <v>27.388750000000002</v>
      </c>
      <c r="I465" s="29">
        <f>G464*H465</f>
        <v>219.11</v>
      </c>
      <c r="J465">
        <v>2</v>
      </c>
    </row>
    <row r="466" spans="1:19" x14ac:dyDescent="0.3">
      <c r="A466" s="88" t="s">
        <v>292</v>
      </c>
      <c r="B466" s="98"/>
      <c r="C466" s="98"/>
      <c r="D466" s="98"/>
      <c r="E466" s="98"/>
      <c r="F466" s="98"/>
      <c r="G466" s="98"/>
      <c r="H466" s="38">
        <f>(1+IF(OR(ISERR(FIND(":",G465)),ISERR(FIND("%",G465))),0,MID(G465,FIND(":",G465)+2,FIND("%",G465)-FIND(":",G465)-2)/100))*0</f>
        <v>0</v>
      </c>
      <c r="I466" s="29">
        <f>G464*H466</f>
        <v>0</v>
      </c>
      <c r="J466">
        <v>3</v>
      </c>
      <c r="K466" s="4">
        <v>0</v>
      </c>
      <c r="L466" s="4">
        <v>0</v>
      </c>
      <c r="M466" s="4">
        <f>I466-K466-L466</f>
        <v>0</v>
      </c>
    </row>
    <row r="467" spans="1:19" x14ac:dyDescent="0.3">
      <c r="A467" s="98"/>
      <c r="B467" s="98"/>
      <c r="C467" s="98"/>
      <c r="D467" s="98"/>
      <c r="E467" s="98"/>
      <c r="F467" s="98"/>
      <c r="G467" s="98"/>
      <c r="H467" s="38">
        <f>0</f>
        <v>0</v>
      </c>
      <c r="I467" s="29">
        <f>G464*H467</f>
        <v>0</v>
      </c>
      <c r="J467">
        <v>4</v>
      </c>
      <c r="N467" s="4">
        <f>IF(ISERR(SEARCH("TRA* 82",C464)),IF(Q467+R467+S467=0,0,I467*(Q467/(Q467+R467+S467))),I467)</f>
        <v>0</v>
      </c>
      <c r="O467" s="4">
        <f>IF(ISERR(SEARCH("TRA* 82",C464)),IF(Q467+R467+S467=0,0,I467*(R467/(Q467+R467+S467))),0)</f>
        <v>0</v>
      </c>
      <c r="P467" s="4">
        <f>IF(ISERR(SEARCH("TRA* 82",C464)),I467-N467-O467,0)</f>
        <v>0</v>
      </c>
      <c r="Q467" s="4">
        <v>0</v>
      </c>
      <c r="R467" s="4">
        <v>0</v>
      </c>
      <c r="S467" s="4">
        <v>0</v>
      </c>
    </row>
    <row r="468" spans="1:19" x14ac:dyDescent="0.3">
      <c r="A468" s="96" t="s">
        <v>27</v>
      </c>
      <c r="B468" s="97"/>
      <c r="C468" s="97"/>
      <c r="D468" s="97"/>
      <c r="E468" s="97"/>
      <c r="F468" s="97"/>
      <c r="G468" s="97"/>
      <c r="H468" s="36">
        <f>H464+H465+H466+H467</f>
        <v>79.027500000000003</v>
      </c>
      <c r="I468" s="74">
        <f>I464+I465+I466+I467</f>
        <v>632.22</v>
      </c>
      <c r="J468">
        <v>5</v>
      </c>
    </row>
    <row r="469" spans="1:19" x14ac:dyDescent="0.3">
      <c r="B469" s="2">
        <v>83</v>
      </c>
      <c r="C469" s="3" t="s">
        <v>293</v>
      </c>
      <c r="D469" s="5" t="s">
        <v>29</v>
      </c>
      <c r="G469" s="30">
        <v>2</v>
      </c>
      <c r="H469" s="38">
        <f>134.46/G469</f>
        <v>67.23</v>
      </c>
      <c r="I469" s="29">
        <f>G469*H469</f>
        <v>134.46</v>
      </c>
      <c r="J469">
        <v>1</v>
      </c>
    </row>
    <row r="470" spans="1:19" x14ac:dyDescent="0.3">
      <c r="D470" s="15" t="str">
        <f>SUBSTITUTE("Sp.mat: 0.00%",".",IF(VALUE("1.2")=1.2,".",","),2)</f>
        <v>Sp.mat: 0.00%</v>
      </c>
      <c r="F470" s="15" t="str">
        <f>SUBSTITUTE("Sp.man: 0.00%",".",IF(VALUE("1.2")=1.2,".",","),2)</f>
        <v>Sp.man: 0.00%</v>
      </c>
      <c r="G470" s="35" t="str">
        <f>SUBSTITUTE("Sp.uti: 0.00%",".",IF(VALUE("1.2")=1.2,".",","),2)</f>
        <v>Sp.uti: 0.00%</v>
      </c>
      <c r="H470" s="38">
        <f>54.78/G469</f>
        <v>27.39</v>
      </c>
      <c r="I470" s="29">
        <f>G469*H470</f>
        <v>54.78</v>
      </c>
      <c r="J470">
        <v>2</v>
      </c>
    </row>
    <row r="471" spans="1:19" x14ac:dyDescent="0.3">
      <c r="A471" s="88" t="s">
        <v>294</v>
      </c>
      <c r="B471" s="98"/>
      <c r="C471" s="98"/>
      <c r="D471" s="98"/>
      <c r="E471" s="98"/>
      <c r="F471" s="98"/>
      <c r="G471" s="98"/>
      <c r="H471" s="38">
        <f>(1+IF(OR(ISERR(FIND(":",G470)),ISERR(FIND("%",G470))),0,MID(G470,FIND(":",G470)+2,FIND("%",G470)-FIND(":",G470)-2)/100))*0</f>
        <v>0</v>
      </c>
      <c r="I471" s="29">
        <f>G469*H471</f>
        <v>0</v>
      </c>
      <c r="J471">
        <v>3</v>
      </c>
      <c r="K471" s="4">
        <v>0</v>
      </c>
      <c r="L471" s="4">
        <v>0</v>
      </c>
      <c r="M471" s="4">
        <f>I471-K471-L471</f>
        <v>0</v>
      </c>
    </row>
    <row r="472" spans="1:19" x14ac:dyDescent="0.3">
      <c r="A472" s="98"/>
      <c r="B472" s="98"/>
      <c r="C472" s="98"/>
      <c r="D472" s="98"/>
      <c r="E472" s="98"/>
      <c r="F472" s="98"/>
      <c r="G472" s="98"/>
      <c r="H472" s="38">
        <f>0</f>
        <v>0</v>
      </c>
      <c r="I472" s="29">
        <f>G469*H472</f>
        <v>0</v>
      </c>
      <c r="J472">
        <v>4</v>
      </c>
      <c r="N472" s="4">
        <f>IF(ISERR(SEARCH("TRA* 82",C469)),IF(Q472+R472+S472=0,0,I472*(Q472/(Q472+R472+S472))),I472)</f>
        <v>0</v>
      </c>
      <c r="O472" s="4">
        <f>IF(ISERR(SEARCH("TRA* 82",C469)),IF(Q472+R472+S472=0,0,I472*(R472/(Q472+R472+S472))),0)</f>
        <v>0</v>
      </c>
      <c r="P472" s="4">
        <f>IF(ISERR(SEARCH("TRA* 82",C469)),I472-N472-O472,0)</f>
        <v>0</v>
      </c>
      <c r="Q472" s="4">
        <v>0</v>
      </c>
      <c r="R472" s="4">
        <v>0</v>
      </c>
      <c r="S472" s="4">
        <v>0</v>
      </c>
    </row>
    <row r="473" spans="1:19" x14ac:dyDescent="0.3">
      <c r="A473" s="96" t="s">
        <v>27</v>
      </c>
      <c r="B473" s="97"/>
      <c r="C473" s="97"/>
      <c r="D473" s="97"/>
      <c r="E473" s="97"/>
      <c r="F473" s="97"/>
      <c r="G473" s="97"/>
      <c r="H473" s="36">
        <f>H469+H470+H471+H472</f>
        <v>94.62</v>
      </c>
      <c r="I473" s="74">
        <f>I469+I470+I471+I472</f>
        <v>189.24</v>
      </c>
      <c r="J473">
        <v>5</v>
      </c>
    </row>
    <row r="474" spans="1:19" x14ac:dyDescent="0.3">
      <c r="B474" s="2">
        <v>84</v>
      </c>
      <c r="C474" s="3" t="s">
        <v>295</v>
      </c>
      <c r="D474" s="5" t="s">
        <v>29</v>
      </c>
      <c r="G474" s="30">
        <v>2</v>
      </c>
      <c r="H474" s="38">
        <f>168.05/G474</f>
        <v>84.025000000000006</v>
      </c>
      <c r="I474" s="29">
        <f>G474*H474</f>
        <v>168.05</v>
      </c>
      <c r="J474">
        <v>1</v>
      </c>
    </row>
    <row r="475" spans="1:19" x14ac:dyDescent="0.3">
      <c r="D475" s="15" t="str">
        <f>SUBSTITUTE("Sp.mat: 0.00%",".",IF(VALUE("1.2")=1.2,".",","),2)</f>
        <v>Sp.mat: 0.00%</v>
      </c>
      <c r="F475" s="15" t="str">
        <f>SUBSTITUTE("Sp.man: 0.00%",".",IF(VALUE("1.2")=1.2,".",","),2)</f>
        <v>Sp.man: 0.00%</v>
      </c>
      <c r="G475" s="35" t="str">
        <f>SUBSTITUTE("Sp.uti: 0.00%",".",IF(VALUE("1.2")=1.2,".",","),2)</f>
        <v>Sp.uti: 0.00%</v>
      </c>
      <c r="H475" s="38">
        <f>62.79/G474</f>
        <v>31.395</v>
      </c>
      <c r="I475" s="29">
        <f>G474*H475</f>
        <v>62.79</v>
      </c>
      <c r="J475">
        <v>2</v>
      </c>
    </row>
    <row r="476" spans="1:19" x14ac:dyDescent="0.3">
      <c r="A476" s="88" t="s">
        <v>296</v>
      </c>
      <c r="B476" s="98"/>
      <c r="C476" s="98"/>
      <c r="D476" s="98"/>
      <c r="E476" s="98"/>
      <c r="F476" s="98"/>
      <c r="G476" s="98"/>
      <c r="H476" s="38">
        <f>(1+IF(OR(ISERR(FIND(":",G475)),ISERR(FIND("%",G475))),0,MID(G475,FIND(":",G475)+2,FIND("%",G475)-FIND(":",G475)-2)/100))*0</f>
        <v>0</v>
      </c>
      <c r="I476" s="29">
        <f>G474*H476</f>
        <v>0</v>
      </c>
      <c r="J476">
        <v>3</v>
      </c>
      <c r="K476" s="4">
        <v>0</v>
      </c>
      <c r="L476" s="4">
        <v>0</v>
      </c>
      <c r="M476" s="4">
        <f>I476-K476-L476</f>
        <v>0</v>
      </c>
    </row>
    <row r="477" spans="1:19" x14ac:dyDescent="0.3">
      <c r="A477" s="98"/>
      <c r="B477" s="98"/>
      <c r="C477" s="98"/>
      <c r="D477" s="98"/>
      <c r="E477" s="98"/>
      <c r="F477" s="98"/>
      <c r="G477" s="98"/>
      <c r="H477" s="38">
        <f>0</f>
        <v>0</v>
      </c>
      <c r="I477" s="29">
        <f>G474*H477</f>
        <v>0</v>
      </c>
      <c r="J477">
        <v>4</v>
      </c>
      <c r="N477" s="4">
        <f>IF(ISERR(SEARCH("TRA* 82",C474)),IF(Q477+R477+S477=0,0,I477*(Q477/(Q477+R477+S477))),I477)</f>
        <v>0</v>
      </c>
      <c r="O477" s="4">
        <f>IF(ISERR(SEARCH("TRA* 82",C474)),IF(Q477+R477+S477=0,0,I477*(R477/(Q477+R477+S477))),0)</f>
        <v>0</v>
      </c>
      <c r="P477" s="4">
        <f>IF(ISERR(SEARCH("TRA* 82",C474)),I477-N477-O477,0)</f>
        <v>0</v>
      </c>
      <c r="Q477" s="4">
        <v>0</v>
      </c>
      <c r="R477" s="4">
        <v>0</v>
      </c>
      <c r="S477" s="4">
        <v>0</v>
      </c>
    </row>
    <row r="478" spans="1:19" x14ac:dyDescent="0.3">
      <c r="A478" s="96" t="s">
        <v>27</v>
      </c>
      <c r="B478" s="97"/>
      <c r="C478" s="97"/>
      <c r="D478" s="97"/>
      <c r="E478" s="97"/>
      <c r="F478" s="97"/>
      <c r="G478" s="97"/>
      <c r="H478" s="36">
        <f>H474+H475+H476+H477</f>
        <v>115.42</v>
      </c>
      <c r="I478" s="74">
        <f>I474+I475+I476+I477</f>
        <v>230.84</v>
      </c>
      <c r="J478">
        <v>5</v>
      </c>
    </row>
    <row r="479" spans="1:19" x14ac:dyDescent="0.3">
      <c r="B479" s="2">
        <v>85</v>
      </c>
      <c r="C479" s="3" t="s">
        <v>297</v>
      </c>
      <c r="D479" s="5" t="s">
        <v>29</v>
      </c>
      <c r="G479" s="30">
        <v>6</v>
      </c>
      <c r="H479" s="38">
        <f>2068/G479</f>
        <v>344.66666666666669</v>
      </c>
      <c r="I479" s="29">
        <f>G479*H479</f>
        <v>2068</v>
      </c>
      <c r="J479">
        <v>1</v>
      </c>
    </row>
    <row r="480" spans="1:19" x14ac:dyDescent="0.3">
      <c r="D480" s="15" t="str">
        <f>SUBSTITUTE("Sp.mat: 0.00%",".",IF(VALUE("1.2")=1.2,".",","),2)</f>
        <v>Sp.mat: 0.00%</v>
      </c>
      <c r="F480" s="15" t="str">
        <f>SUBSTITUTE("Sp.man: 0.00%",".",IF(VALUE("1.2")=1.2,".",","),2)</f>
        <v>Sp.man: 0.00%</v>
      </c>
      <c r="G480" s="35" t="str">
        <f>SUBSTITUTE("Sp.uti: 0.00%",".",IF(VALUE("1.2")=1.2,".",","),2)</f>
        <v>Sp.uti: 0.00%</v>
      </c>
      <c r="H480" s="38">
        <f>192.2/G479</f>
        <v>32.033333333333331</v>
      </c>
      <c r="I480" s="29">
        <f>G479*H480</f>
        <v>192.2</v>
      </c>
      <c r="J480">
        <v>2</v>
      </c>
    </row>
    <row r="481" spans="1:19" x14ac:dyDescent="0.3">
      <c r="A481" s="88" t="s">
        <v>298</v>
      </c>
      <c r="B481" s="98"/>
      <c r="C481" s="98"/>
      <c r="D481" s="98"/>
      <c r="E481" s="98"/>
      <c r="F481" s="98"/>
      <c r="G481" s="98"/>
      <c r="H481" s="38">
        <f>(1+IF(OR(ISERR(FIND(":",G480)),ISERR(FIND("%",G480))),0,MID(G480,FIND(":",G480)+2,FIND("%",G480)-FIND(":",G480)-2)/100))*0</f>
        <v>0</v>
      </c>
      <c r="I481" s="29">
        <f>G479*H481</f>
        <v>0</v>
      </c>
      <c r="J481">
        <v>3</v>
      </c>
      <c r="K481" s="4">
        <v>0</v>
      </c>
      <c r="L481" s="4">
        <v>0</v>
      </c>
      <c r="M481" s="4">
        <f>I481-K481-L481</f>
        <v>0</v>
      </c>
    </row>
    <row r="482" spans="1:19" x14ac:dyDescent="0.3">
      <c r="A482" s="98"/>
      <c r="B482" s="98"/>
      <c r="C482" s="98"/>
      <c r="D482" s="98"/>
      <c r="E482" s="98"/>
      <c r="F482" s="98"/>
      <c r="G482" s="98"/>
      <c r="H482" s="38">
        <f>0</f>
        <v>0</v>
      </c>
      <c r="I482" s="29">
        <f>G479*H482</f>
        <v>0</v>
      </c>
      <c r="J482">
        <v>4</v>
      </c>
      <c r="N482" s="4">
        <f>IF(ISERR(SEARCH("TRA* 82",C479)),IF(Q482+R482+S482=0,0,I482*(Q482/(Q482+R482+S482))),I482)</f>
        <v>0</v>
      </c>
      <c r="O482" s="4">
        <f>IF(ISERR(SEARCH("TRA* 82",C479)),IF(Q482+R482+S482=0,0,I482*(R482/(Q482+R482+S482))),0)</f>
        <v>0</v>
      </c>
      <c r="P482" s="4">
        <f>IF(ISERR(SEARCH("TRA* 82",C479)),I482-N482-O482,0)</f>
        <v>0</v>
      </c>
      <c r="Q482" s="4">
        <v>0</v>
      </c>
      <c r="R482" s="4">
        <v>0</v>
      </c>
      <c r="S482" s="4">
        <v>0</v>
      </c>
    </row>
    <row r="483" spans="1:19" x14ac:dyDescent="0.3">
      <c r="A483" s="96" t="s">
        <v>27</v>
      </c>
      <c r="B483" s="97"/>
      <c r="C483" s="97"/>
      <c r="D483" s="97"/>
      <c r="E483" s="97"/>
      <c r="F483" s="97"/>
      <c r="G483" s="97"/>
      <c r="H483" s="36">
        <f>H479+H480+H481+H482</f>
        <v>376.70000000000005</v>
      </c>
      <c r="I483" s="74">
        <f>I479+I480+I481+I482</f>
        <v>2260.1999999999998</v>
      </c>
      <c r="J483">
        <v>5</v>
      </c>
    </row>
    <row r="484" spans="1:19" x14ac:dyDescent="0.3">
      <c r="B484" s="2">
        <v>86</v>
      </c>
      <c r="C484" s="3" t="s">
        <v>301</v>
      </c>
      <c r="D484" s="5" t="s">
        <v>29</v>
      </c>
      <c r="G484" s="30">
        <v>34</v>
      </c>
      <c r="H484" s="38">
        <f>455.72/G484</f>
        <v>13.403529411764707</v>
      </c>
      <c r="I484" s="29">
        <f>G484*H484</f>
        <v>455.72</v>
      </c>
      <c r="J484">
        <v>1</v>
      </c>
    </row>
    <row r="485" spans="1:19" x14ac:dyDescent="0.3">
      <c r="D485" s="15" t="str">
        <f>SUBSTITUTE("Sp.mat: 0.00%",".",IF(VALUE("1.2")=1.2,".",","),2)</f>
        <v>Sp.mat: 0.00%</v>
      </c>
      <c r="F485" s="15" t="str">
        <f>SUBSTITUTE("Sp.man: 0.00%",".",IF(VALUE("1.2")=1.2,".",","),2)</f>
        <v>Sp.man: 0.00%</v>
      </c>
      <c r="G485" s="35" t="str">
        <f>SUBSTITUTE("Sp.uti: 0.00%",".",IF(VALUE("1.2")=1.2,".",","),2)</f>
        <v>Sp.uti: 0.00%</v>
      </c>
      <c r="H485" s="38">
        <f>332.2/G484</f>
        <v>9.7705882352941167</v>
      </c>
      <c r="I485" s="29">
        <f>G484*H485</f>
        <v>332.2</v>
      </c>
      <c r="J485">
        <v>2</v>
      </c>
    </row>
    <row r="486" spans="1:19" x14ac:dyDescent="0.3">
      <c r="A486" s="88" t="s">
        <v>302</v>
      </c>
      <c r="B486" s="98"/>
      <c r="C486" s="98"/>
      <c r="D486" s="98"/>
      <c r="E486" s="98"/>
      <c r="F486" s="98"/>
      <c r="G486" s="98"/>
      <c r="H486" s="38">
        <f>(1+IF(OR(ISERR(FIND(":",G485)),ISERR(FIND("%",G485))),0,MID(G485,FIND(":",G485)+2,FIND("%",G485)-FIND(":",G485)-2)/100))*0</f>
        <v>0</v>
      </c>
      <c r="I486" s="29">
        <f>G484*H486</f>
        <v>0</v>
      </c>
      <c r="J486">
        <v>3</v>
      </c>
      <c r="K486" s="4">
        <v>0</v>
      </c>
      <c r="L486" s="4">
        <v>0</v>
      </c>
      <c r="M486" s="4">
        <f>I486-K486-L486</f>
        <v>0</v>
      </c>
    </row>
    <row r="487" spans="1:19" x14ac:dyDescent="0.3">
      <c r="A487" s="98"/>
      <c r="B487" s="98"/>
      <c r="C487" s="98"/>
      <c r="D487" s="98"/>
      <c r="E487" s="98"/>
      <c r="F487" s="98"/>
      <c r="G487" s="98"/>
      <c r="H487" s="38">
        <f>0</f>
        <v>0</v>
      </c>
      <c r="I487" s="29">
        <f>G484*H487</f>
        <v>0</v>
      </c>
      <c r="J487">
        <v>4</v>
      </c>
      <c r="N487" s="4">
        <f>IF(ISERR(SEARCH("TRA* 82",C484)),IF(Q487+R487+S487=0,0,I487*(Q487/(Q487+R487+S487))),I487)</f>
        <v>0</v>
      </c>
      <c r="O487" s="4">
        <f>IF(ISERR(SEARCH("TRA* 82",C484)),IF(Q487+R487+S487=0,0,I487*(R487/(Q487+R487+S487))),0)</f>
        <v>0</v>
      </c>
      <c r="P487" s="4">
        <f>IF(ISERR(SEARCH("TRA* 82",C484)),I487-N487-O487,0)</f>
        <v>0</v>
      </c>
      <c r="Q487" s="4">
        <v>0</v>
      </c>
      <c r="R487" s="4">
        <v>0</v>
      </c>
      <c r="S487" s="4">
        <v>0</v>
      </c>
    </row>
    <row r="488" spans="1:19" x14ac:dyDescent="0.3">
      <c r="A488" s="96" t="s">
        <v>27</v>
      </c>
      <c r="B488" s="97"/>
      <c r="C488" s="97"/>
      <c r="D488" s="97"/>
      <c r="E488" s="97"/>
      <c r="F488" s="97"/>
      <c r="G488" s="97"/>
      <c r="H488" s="36">
        <f>H484+H485+H486+H487</f>
        <v>23.174117647058821</v>
      </c>
      <c r="I488" s="74">
        <f>I484+I485+I486+I487</f>
        <v>787.92000000000007</v>
      </c>
      <c r="J488">
        <v>5</v>
      </c>
    </row>
    <row r="489" spans="1:19" x14ac:dyDescent="0.3">
      <c r="B489" s="16"/>
      <c r="E489" s="4">
        <f>SUMIF(J12:J488,"1",I12:I488)</f>
        <v>176965.84999999995</v>
      </c>
      <c r="F489" s="4">
        <f>SUMIF(J12:J488,"2",I12:I488)</f>
        <v>44214.99</v>
      </c>
      <c r="G489" s="29">
        <f>SUMIF(J12:J488,"3",I12:I488)</f>
        <v>1593.08</v>
      </c>
      <c r="H489" s="29">
        <f>SUMIF(J12:J488,"4",I12:I488)</f>
        <v>0</v>
      </c>
      <c r="I489" s="29">
        <f>SUMIF(J12:J488,"5",I12:I488)</f>
        <v>222773.92</v>
      </c>
      <c r="K489" s="4">
        <f>SUMIF(J12:J488,"3",K12:K488)</f>
        <v>2608.3037099999997</v>
      </c>
      <c r="L489" s="4">
        <f>SUMIF(J12:J488,"3",L12:L488)</f>
        <v>225.15</v>
      </c>
      <c r="M489" s="4">
        <f>SUMIF(J12:J488,"3",M12:M488)</f>
        <v>-1240.3737100000001</v>
      </c>
      <c r="N489" s="4">
        <f>SUMIF(J12:J488,"4",N12:N488)</f>
        <v>0</v>
      </c>
      <c r="O489" s="4">
        <f>SUMIF(J12:J488,"4",O12:O488)</f>
        <v>0</v>
      </c>
      <c r="P489" s="4">
        <f>SUMIF(J12:J488,"4",P12:P488)</f>
        <v>0</v>
      </c>
      <c r="Q489" s="4">
        <f>SUMIF(J12:J488,"4",Q12:Q488)</f>
        <v>0</v>
      </c>
      <c r="R489" s="4">
        <f>SUMIF(J12:J488,"4",R12:R488)</f>
        <v>0</v>
      </c>
      <c r="S489" s="4">
        <f>SUMIF(J12:J488,"4",S12:S488)</f>
        <v>0</v>
      </c>
    </row>
    <row r="490" spans="1:19" x14ac:dyDescent="0.3">
      <c r="B490" s="18" t="s">
        <v>1556</v>
      </c>
      <c r="C490" s="19"/>
      <c r="D490" s="26"/>
      <c r="E490" s="21"/>
      <c r="F490" s="21"/>
      <c r="G490" s="31"/>
      <c r="H490" s="64"/>
      <c r="I490" s="72">
        <f>I489</f>
        <v>222773.92</v>
      </c>
    </row>
    <row r="491" spans="1:19" x14ac:dyDescent="0.3">
      <c r="B491" s="18"/>
      <c r="C491" s="19"/>
      <c r="D491" s="24"/>
      <c r="E491" s="21"/>
      <c r="F491" s="21"/>
      <c r="G491" s="31"/>
      <c r="H491" s="64"/>
      <c r="I491" s="72"/>
    </row>
  </sheetData>
  <mergeCells count="224">
    <mergeCell ref="A1:D1"/>
    <mergeCell ref="A2:I2"/>
    <mergeCell ref="A3:I3"/>
    <mergeCell ref="A4:I4"/>
    <mergeCell ref="A5:H5"/>
    <mergeCell ref="A14:G15"/>
    <mergeCell ref="A31:G31"/>
    <mergeCell ref="A34:G35"/>
    <mergeCell ref="A36:G36"/>
    <mergeCell ref="A39:G40"/>
    <mergeCell ref="A41:G41"/>
    <mergeCell ref="A44:G45"/>
    <mergeCell ref="A16:G16"/>
    <mergeCell ref="A19:G20"/>
    <mergeCell ref="A21:G21"/>
    <mergeCell ref="A24:G25"/>
    <mergeCell ref="A26:G26"/>
    <mergeCell ref="A29:G30"/>
    <mergeCell ref="A57:G58"/>
    <mergeCell ref="A59:G59"/>
    <mergeCell ref="A60:I60"/>
    <mergeCell ref="A63:G64"/>
    <mergeCell ref="A65:G65"/>
    <mergeCell ref="A66:I66"/>
    <mergeCell ref="A46:G46"/>
    <mergeCell ref="A47:I47"/>
    <mergeCell ref="A48:I48"/>
    <mergeCell ref="A51:G52"/>
    <mergeCell ref="A53:G53"/>
    <mergeCell ref="A54:I54"/>
    <mergeCell ref="A81:G82"/>
    <mergeCell ref="A83:G83"/>
    <mergeCell ref="A86:G87"/>
    <mergeCell ref="A88:G88"/>
    <mergeCell ref="A91:G92"/>
    <mergeCell ref="A93:G93"/>
    <mergeCell ref="A69:G70"/>
    <mergeCell ref="A71:G71"/>
    <mergeCell ref="A72:I72"/>
    <mergeCell ref="A75:G76"/>
    <mergeCell ref="A77:G77"/>
    <mergeCell ref="A78:I78"/>
    <mergeCell ref="A111:G112"/>
    <mergeCell ref="A113:G113"/>
    <mergeCell ref="A116:G117"/>
    <mergeCell ref="A118:G118"/>
    <mergeCell ref="A119:I119"/>
    <mergeCell ref="A120:I120"/>
    <mergeCell ref="A96:G97"/>
    <mergeCell ref="A98:G98"/>
    <mergeCell ref="A101:G102"/>
    <mergeCell ref="A103:G103"/>
    <mergeCell ref="A106:G107"/>
    <mergeCell ref="A108:G108"/>
    <mergeCell ref="A133:I133"/>
    <mergeCell ref="A134:I134"/>
    <mergeCell ref="A137:G138"/>
    <mergeCell ref="A139:G139"/>
    <mergeCell ref="A140:I140"/>
    <mergeCell ref="A141:I141"/>
    <mergeCell ref="A123:G124"/>
    <mergeCell ref="A125:G125"/>
    <mergeCell ref="A126:I126"/>
    <mergeCell ref="A127:I127"/>
    <mergeCell ref="A130:G131"/>
    <mergeCell ref="A132:G132"/>
    <mergeCell ref="A156:G157"/>
    <mergeCell ref="A158:G158"/>
    <mergeCell ref="A159:I159"/>
    <mergeCell ref="A160:I160"/>
    <mergeCell ref="A163:G164"/>
    <mergeCell ref="A165:G165"/>
    <mergeCell ref="A144:G145"/>
    <mergeCell ref="A146:G146"/>
    <mergeCell ref="A147:I147"/>
    <mergeCell ref="A148:I148"/>
    <mergeCell ref="A151:G152"/>
    <mergeCell ref="A153:G153"/>
    <mergeCell ref="A180:G181"/>
    <mergeCell ref="A182:G182"/>
    <mergeCell ref="A185:G186"/>
    <mergeCell ref="A187:G187"/>
    <mergeCell ref="A188:I188"/>
    <mergeCell ref="A191:G192"/>
    <mergeCell ref="A166:I166"/>
    <mergeCell ref="A169:G170"/>
    <mergeCell ref="A171:G171"/>
    <mergeCell ref="A174:G175"/>
    <mergeCell ref="A176:G176"/>
    <mergeCell ref="A177:I177"/>
    <mergeCell ref="A205:G205"/>
    <mergeCell ref="A208:G209"/>
    <mergeCell ref="A210:G210"/>
    <mergeCell ref="A211:I211"/>
    <mergeCell ref="A214:G215"/>
    <mergeCell ref="A216:G216"/>
    <mergeCell ref="A193:G193"/>
    <mergeCell ref="A194:I194"/>
    <mergeCell ref="A197:G198"/>
    <mergeCell ref="A199:G199"/>
    <mergeCell ref="A200:I200"/>
    <mergeCell ref="A203:G204"/>
    <mergeCell ref="A231:G232"/>
    <mergeCell ref="A233:G233"/>
    <mergeCell ref="A234:I234"/>
    <mergeCell ref="A235:I235"/>
    <mergeCell ref="A236:I236"/>
    <mergeCell ref="A237:I237"/>
    <mergeCell ref="A219:G220"/>
    <mergeCell ref="A221:G221"/>
    <mergeCell ref="A222:I222"/>
    <mergeCell ref="A225:G226"/>
    <mergeCell ref="A227:G227"/>
    <mergeCell ref="A228:I228"/>
    <mergeCell ref="A247:I247"/>
    <mergeCell ref="A248:I248"/>
    <mergeCell ref="A249:I249"/>
    <mergeCell ref="A250:I250"/>
    <mergeCell ref="A253:G254"/>
    <mergeCell ref="A255:G255"/>
    <mergeCell ref="A238:I238"/>
    <mergeCell ref="A239:I239"/>
    <mergeCell ref="A242:G243"/>
    <mergeCell ref="A244:G244"/>
    <mergeCell ref="A245:I245"/>
    <mergeCell ref="A246:I246"/>
    <mergeCell ref="A268:I268"/>
    <mergeCell ref="A271:G272"/>
    <mergeCell ref="A273:G273"/>
    <mergeCell ref="A274:I274"/>
    <mergeCell ref="A277:G278"/>
    <mergeCell ref="A279:G279"/>
    <mergeCell ref="A256:I256"/>
    <mergeCell ref="A259:G260"/>
    <mergeCell ref="A261:G261"/>
    <mergeCell ref="A262:I262"/>
    <mergeCell ref="A265:G266"/>
    <mergeCell ref="A267:G267"/>
    <mergeCell ref="A295:G295"/>
    <mergeCell ref="A298:G299"/>
    <mergeCell ref="A300:G300"/>
    <mergeCell ref="A303:G304"/>
    <mergeCell ref="A305:G305"/>
    <mergeCell ref="A308:G309"/>
    <mergeCell ref="A280:I280"/>
    <mergeCell ref="A283:G284"/>
    <mergeCell ref="A285:G285"/>
    <mergeCell ref="A288:G289"/>
    <mergeCell ref="A290:G290"/>
    <mergeCell ref="A293:G294"/>
    <mergeCell ref="A325:G325"/>
    <mergeCell ref="A328:G329"/>
    <mergeCell ref="A330:G330"/>
    <mergeCell ref="A333:G334"/>
    <mergeCell ref="A335:G335"/>
    <mergeCell ref="A338:G339"/>
    <mergeCell ref="A310:G310"/>
    <mergeCell ref="A313:G314"/>
    <mergeCell ref="A315:G315"/>
    <mergeCell ref="A318:G319"/>
    <mergeCell ref="A320:G320"/>
    <mergeCell ref="A323:G324"/>
    <mergeCell ref="A355:G355"/>
    <mergeCell ref="A358:G359"/>
    <mergeCell ref="A360:G360"/>
    <mergeCell ref="A363:G364"/>
    <mergeCell ref="A365:G365"/>
    <mergeCell ref="A368:G369"/>
    <mergeCell ref="A340:G340"/>
    <mergeCell ref="A343:G344"/>
    <mergeCell ref="A345:G345"/>
    <mergeCell ref="A348:G349"/>
    <mergeCell ref="A350:G350"/>
    <mergeCell ref="A353:G354"/>
    <mergeCell ref="A385:G385"/>
    <mergeCell ref="A388:G389"/>
    <mergeCell ref="A390:G390"/>
    <mergeCell ref="A391:I391"/>
    <mergeCell ref="A394:G395"/>
    <mergeCell ref="A396:G396"/>
    <mergeCell ref="A370:G370"/>
    <mergeCell ref="A373:G374"/>
    <mergeCell ref="A375:G375"/>
    <mergeCell ref="A378:G379"/>
    <mergeCell ref="A380:G380"/>
    <mergeCell ref="A383:G384"/>
    <mergeCell ref="A411:G412"/>
    <mergeCell ref="A413:G413"/>
    <mergeCell ref="A416:G417"/>
    <mergeCell ref="A418:G418"/>
    <mergeCell ref="A421:G422"/>
    <mergeCell ref="A423:G423"/>
    <mergeCell ref="A397:I397"/>
    <mergeCell ref="A400:G401"/>
    <mergeCell ref="A402:G402"/>
    <mergeCell ref="A403:I403"/>
    <mergeCell ref="A406:G407"/>
    <mergeCell ref="A408:G408"/>
    <mergeCell ref="A441:G442"/>
    <mergeCell ref="A443:G443"/>
    <mergeCell ref="A446:G447"/>
    <mergeCell ref="A448:G448"/>
    <mergeCell ref="A451:G452"/>
    <mergeCell ref="A453:G453"/>
    <mergeCell ref="A426:G427"/>
    <mergeCell ref="A428:G428"/>
    <mergeCell ref="A431:G432"/>
    <mergeCell ref="A433:G433"/>
    <mergeCell ref="A436:G437"/>
    <mergeCell ref="A438:G438"/>
    <mergeCell ref="A486:G487"/>
    <mergeCell ref="A488:G488"/>
    <mergeCell ref="A471:G472"/>
    <mergeCell ref="A473:G473"/>
    <mergeCell ref="A476:G477"/>
    <mergeCell ref="A478:G478"/>
    <mergeCell ref="A481:G482"/>
    <mergeCell ref="A483:G483"/>
    <mergeCell ref="A456:G457"/>
    <mergeCell ref="A458:G458"/>
    <mergeCell ref="A461:G462"/>
    <mergeCell ref="A463:G463"/>
    <mergeCell ref="A466:G467"/>
    <mergeCell ref="A468:G468"/>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11" manualBreakCount="11">
    <brk id="48" max="16383" man="1"/>
    <brk id="93" max="16383" man="1"/>
    <brk id="134" max="16383" man="1"/>
    <brk id="177" max="16383" man="1"/>
    <brk id="222" max="16383" man="1"/>
    <brk id="262" max="16383" man="1"/>
    <brk id="305" max="16383" man="1"/>
    <brk id="350" max="16383" man="1"/>
    <brk id="391" max="16383" man="1"/>
    <brk id="433" max="16383" man="1"/>
    <brk id="478"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04B0-654E-470D-8DC0-3700671CE8ED}">
  <sheetPr>
    <tabColor rgb="FF92D050"/>
  </sheetPr>
  <dimension ref="A1:S420"/>
  <sheetViews>
    <sheetView topLeftCell="A407" workbookViewId="0">
      <selection activeCell="I421" sqref="I421"/>
    </sheetView>
  </sheetViews>
  <sheetFormatPr defaultRowHeight="14.4" outlineLevelCol="1" x14ac:dyDescent="0.3"/>
  <cols>
    <col min="1" max="1" width="0.33203125" style="1" customWidth="1"/>
    <col min="2" max="2" width="5.77734375" style="2" customWidth="1"/>
    <col min="3" max="3" width="25.33203125" style="3" customWidth="1"/>
    <col min="4" max="4" width="9.77734375" style="5" customWidth="1"/>
    <col min="5" max="6" width="9.77734375" customWidth="1"/>
    <col min="7" max="7" width="9.77734375" style="30" customWidth="1"/>
    <col min="8" max="8" width="9.77734375" style="38" customWidth="1"/>
    <col min="9" max="9" width="9.77734375" style="29" customWidth="1"/>
    <col min="10" max="10" width="0" hidden="1" customWidth="1" outlineLevel="1"/>
    <col min="11" max="18" width="0" style="4" hidden="1" customWidth="1" outlineLevel="1"/>
    <col min="19" max="19" width="1" style="4" customWidth="1" outlineLevel="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891</v>
      </c>
      <c r="B4" s="98"/>
      <c r="C4" s="98"/>
      <c r="D4" s="98"/>
      <c r="E4" s="98"/>
      <c r="F4" s="98"/>
      <c r="G4" s="98"/>
      <c r="H4" s="98"/>
      <c r="I4" s="98"/>
    </row>
    <row r="5" spans="1:19" ht="15" thickBot="1" x14ac:dyDescent="0.35">
      <c r="A5" s="82" t="s">
        <v>899</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900</v>
      </c>
      <c r="D12" s="13" t="s">
        <v>29</v>
      </c>
      <c r="E12" s="14"/>
      <c r="F12" s="14"/>
      <c r="G12" s="41">
        <v>1</v>
      </c>
      <c r="H12" s="71">
        <v>537.92999999999995</v>
      </c>
      <c r="I12" s="32">
        <f>G12*H12</f>
        <v>537.92999999999995</v>
      </c>
      <c r="J12">
        <v>1</v>
      </c>
    </row>
    <row r="13" spans="1:19" x14ac:dyDescent="0.3">
      <c r="D13" s="15" t="str">
        <f>SUBSTITUTE("Sp.mat: 0.00%",".",IF(VALUE("1.2")=1.2,".",","),2)</f>
        <v>Sp.mat: 0.00%</v>
      </c>
      <c r="F13" s="15" t="str">
        <f>SUBSTITUTE("Sp.man: 0.00%",".",IF(VALUE("1.2")=1.2,".",","),2)</f>
        <v>Sp.man: 0.00%</v>
      </c>
      <c r="G13" s="35" t="str">
        <f>SUBSTITUTE("Sp.uti: 0.00%",".",IF(VALUE("1.2")=1.2,".",","),2)</f>
        <v>Sp.uti: 0.00%</v>
      </c>
      <c r="H13" s="38">
        <v>74.959999999999994</v>
      </c>
      <c r="I13" s="29">
        <f>G12*H13</f>
        <v>74.959999999999994</v>
      </c>
      <c r="J13">
        <v>2</v>
      </c>
    </row>
    <row r="14" spans="1:19" x14ac:dyDescent="0.3">
      <c r="A14" s="88" t="s">
        <v>901</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96" t="s">
        <v>27</v>
      </c>
      <c r="B16" s="97"/>
      <c r="C16" s="97"/>
      <c r="D16" s="97"/>
      <c r="E16" s="97"/>
      <c r="F16" s="97"/>
      <c r="G16" s="97"/>
      <c r="H16" s="36">
        <f>H12+H13+H14+H15</f>
        <v>612.89</v>
      </c>
      <c r="I16" s="74">
        <f>I12+I13+I14+I15</f>
        <v>612.89</v>
      </c>
      <c r="J16">
        <v>5</v>
      </c>
    </row>
    <row r="17" spans="1:19" x14ac:dyDescent="0.3">
      <c r="B17" s="2">
        <v>2</v>
      </c>
      <c r="C17" s="3" t="s">
        <v>900</v>
      </c>
      <c r="D17" s="5" t="s">
        <v>29</v>
      </c>
      <c r="G17" s="30">
        <v>1</v>
      </c>
      <c r="H17" s="38">
        <v>404.85</v>
      </c>
      <c r="I17" s="29">
        <f>G17*H17</f>
        <v>404.85</v>
      </c>
      <c r="J17">
        <v>1</v>
      </c>
    </row>
    <row r="18" spans="1:19" x14ac:dyDescent="0.3">
      <c r="D18" s="15" t="str">
        <f>SUBSTITUTE("Sp.mat: 0.00%",".",IF(VALUE("1.2")=1.2,".",","),2)</f>
        <v>Sp.mat: 0.00%</v>
      </c>
      <c r="F18" s="15" t="str">
        <f>SUBSTITUTE("Sp.man: 0.00%",".",IF(VALUE("1.2")=1.2,".",","),2)</f>
        <v>Sp.man: 0.00%</v>
      </c>
      <c r="G18" s="35" t="str">
        <f>SUBSTITUTE("Sp.uti: 0.00%",".",IF(VALUE("1.2")=1.2,".",","),2)</f>
        <v>Sp.uti: 0.00%</v>
      </c>
      <c r="H18" s="38">
        <v>57.66</v>
      </c>
      <c r="I18" s="29">
        <f>G17*H18</f>
        <v>57.66</v>
      </c>
      <c r="J18">
        <v>2</v>
      </c>
    </row>
    <row r="19" spans="1:19" x14ac:dyDescent="0.3">
      <c r="A19" s="88" t="s">
        <v>901</v>
      </c>
      <c r="B19" s="98"/>
      <c r="C19" s="98"/>
      <c r="D19" s="98"/>
      <c r="E19" s="98"/>
      <c r="F19" s="98"/>
      <c r="G19" s="98"/>
      <c r="H19" s="38">
        <f>(1+IF(OR(ISERR(FIND(":",G18)),ISERR(FIND("%",G18))),0,MID(G18,FIND(":",G18)+2,FIND("%",G18)-FIND(":",G18)-2)/100))*0</f>
        <v>0</v>
      </c>
      <c r="I19" s="29">
        <f>G17*H19</f>
        <v>0</v>
      </c>
      <c r="J19">
        <v>3</v>
      </c>
      <c r="K19" s="4">
        <v>0</v>
      </c>
      <c r="L19" s="4">
        <v>0</v>
      </c>
      <c r="M19" s="4">
        <f>I19-K19-L19</f>
        <v>0</v>
      </c>
    </row>
    <row r="20" spans="1:19" x14ac:dyDescent="0.3">
      <c r="A20" s="98"/>
      <c r="B20" s="98"/>
      <c r="C20" s="98"/>
      <c r="D20" s="98"/>
      <c r="E20" s="98"/>
      <c r="F20" s="98"/>
      <c r="G20" s="98"/>
      <c r="H20" s="38">
        <f>0</f>
        <v>0</v>
      </c>
      <c r="I20" s="29">
        <f>G17*H20</f>
        <v>0</v>
      </c>
      <c r="J20">
        <v>4</v>
      </c>
      <c r="N20" s="4">
        <f>IF(ISERR(SEARCH("TRA* 82",C17)),IF(Q20+R20+S20=0,0,I20*(Q20/(Q20+R20+S20))),I20)</f>
        <v>0</v>
      </c>
      <c r="O20" s="4">
        <f>IF(ISERR(SEARCH("TRA* 82",C17)),IF(Q20+R20+S20=0,0,I20*(R20/(Q20+R20+S20))),0)</f>
        <v>0</v>
      </c>
      <c r="P20" s="4">
        <f>IF(ISERR(SEARCH("TRA* 82",C17)),I20-N20-O20,0)</f>
        <v>0</v>
      </c>
      <c r="Q20" s="4">
        <v>0</v>
      </c>
      <c r="R20" s="4">
        <v>0</v>
      </c>
      <c r="S20" s="4">
        <v>0</v>
      </c>
    </row>
    <row r="21" spans="1:19" x14ac:dyDescent="0.3">
      <c r="A21" s="96" t="s">
        <v>27</v>
      </c>
      <c r="B21" s="97"/>
      <c r="C21" s="97"/>
      <c r="D21" s="97"/>
      <c r="E21" s="97"/>
      <c r="F21" s="97"/>
      <c r="G21" s="97"/>
      <c r="H21" s="36">
        <f>H17+H18+H19+H20</f>
        <v>462.51</v>
      </c>
      <c r="I21" s="74">
        <f>I17+I18+I19+I20</f>
        <v>462.51</v>
      </c>
      <c r="J21">
        <v>5</v>
      </c>
    </row>
    <row r="22" spans="1:19" x14ac:dyDescent="0.3">
      <c r="B22" s="2">
        <v>3</v>
      </c>
      <c r="C22" s="3" t="s">
        <v>304</v>
      </c>
      <c r="D22" s="5" t="s">
        <v>29</v>
      </c>
      <c r="G22" s="30">
        <v>1</v>
      </c>
      <c r="H22" s="38">
        <v>714.59</v>
      </c>
      <c r="I22" s="29">
        <f>G22*H22</f>
        <v>714.59</v>
      </c>
      <c r="J22">
        <v>1</v>
      </c>
    </row>
    <row r="23" spans="1:19" x14ac:dyDescent="0.3">
      <c r="D23" s="15" t="str">
        <f>SUBSTITUTE("Sp.mat: 0.00%",".",IF(VALUE("1.2")=1.2,".",","),2)</f>
        <v>Sp.mat: 0.00%</v>
      </c>
      <c r="F23" s="15" t="str">
        <f>SUBSTITUTE("Sp.man: 0.00%",".",IF(VALUE("1.2")=1.2,".",","),2)</f>
        <v>Sp.man: 0.00%</v>
      </c>
      <c r="G23" s="35" t="str">
        <f>SUBSTITUTE("Sp.uti: 0.00%",".",IF(VALUE("1.2")=1.2,".",","),2)</f>
        <v>Sp.uti: 0.00%</v>
      </c>
      <c r="H23" s="38">
        <v>144.15</v>
      </c>
      <c r="I23" s="29">
        <f>G22*H23</f>
        <v>144.15</v>
      </c>
      <c r="J23">
        <v>2</v>
      </c>
    </row>
    <row r="24" spans="1:19" x14ac:dyDescent="0.3">
      <c r="A24" s="88" t="s">
        <v>305</v>
      </c>
      <c r="B24" s="98"/>
      <c r="C24" s="98"/>
      <c r="D24" s="98"/>
      <c r="E24" s="98"/>
      <c r="F24" s="98"/>
      <c r="G24" s="98"/>
      <c r="H24" s="38">
        <f>(1+IF(OR(ISERR(FIND(":",G23)),ISERR(FIND("%",G23))),0,MID(G23,FIND(":",G23)+2,FIND("%",G23)-FIND(":",G23)-2)/100))*0</f>
        <v>0</v>
      </c>
      <c r="I24" s="29">
        <f>G22*H24</f>
        <v>0</v>
      </c>
      <c r="J24">
        <v>3</v>
      </c>
      <c r="K24" s="4">
        <v>0</v>
      </c>
      <c r="L24" s="4">
        <v>0</v>
      </c>
      <c r="M24" s="4">
        <f>I24-K24-L24</f>
        <v>0</v>
      </c>
    </row>
    <row r="25" spans="1:19" x14ac:dyDescent="0.3">
      <c r="A25" s="98"/>
      <c r="B25" s="98"/>
      <c r="C25" s="98"/>
      <c r="D25" s="98"/>
      <c r="E25" s="98"/>
      <c r="F25" s="98"/>
      <c r="G25" s="98"/>
      <c r="H25" s="38">
        <f>0</f>
        <v>0</v>
      </c>
      <c r="I25" s="29">
        <f>G22*H25</f>
        <v>0</v>
      </c>
      <c r="J25">
        <v>4</v>
      </c>
      <c r="N25" s="4">
        <f>IF(ISERR(SEARCH("TRA* 82",C22)),IF(Q25+R25+S25=0,0,I25*(Q25/(Q25+R25+S25))),I25)</f>
        <v>0</v>
      </c>
      <c r="O25" s="4">
        <f>IF(ISERR(SEARCH("TRA* 82",C22)),IF(Q25+R25+S25=0,0,I25*(R25/(Q25+R25+S25))),0)</f>
        <v>0</v>
      </c>
      <c r="P25" s="4">
        <f>IF(ISERR(SEARCH("TRA* 82",C22)),I25-N25-O25,0)</f>
        <v>0</v>
      </c>
      <c r="Q25" s="4">
        <v>0</v>
      </c>
      <c r="R25" s="4">
        <v>0</v>
      </c>
      <c r="S25" s="4">
        <v>0</v>
      </c>
    </row>
    <row r="26" spans="1:19" x14ac:dyDescent="0.3">
      <c r="A26" s="96" t="s">
        <v>27</v>
      </c>
      <c r="B26" s="97"/>
      <c r="C26" s="97"/>
      <c r="D26" s="97"/>
      <c r="E26" s="97"/>
      <c r="F26" s="97"/>
      <c r="G26" s="97"/>
      <c r="H26" s="36">
        <f>H22+H23+H24+H25</f>
        <v>858.74</v>
      </c>
      <c r="I26" s="74">
        <f>I22+I23+I24+I25</f>
        <v>858.74</v>
      </c>
      <c r="J26">
        <v>5</v>
      </c>
    </row>
    <row r="27" spans="1:19" x14ac:dyDescent="0.3">
      <c r="B27" s="2">
        <v>4</v>
      </c>
      <c r="C27" s="3" t="s">
        <v>304</v>
      </c>
      <c r="D27" s="5" t="s">
        <v>29</v>
      </c>
      <c r="G27" s="30">
        <v>1</v>
      </c>
      <c r="H27" s="38">
        <v>436.7</v>
      </c>
      <c r="I27" s="29">
        <f>G27*H27</f>
        <v>436.7</v>
      </c>
      <c r="J27">
        <v>1</v>
      </c>
    </row>
    <row r="28" spans="1:19" x14ac:dyDescent="0.3">
      <c r="D28" s="15" t="str">
        <f>SUBSTITUTE("Sp.mat: 0.00%",".",IF(VALUE("1.2")=1.2,".",","),2)</f>
        <v>Sp.mat: 0.00%</v>
      </c>
      <c r="F28" s="15" t="str">
        <f>SUBSTITUTE("Sp.man: 0.00%",".",IF(VALUE("1.2")=1.2,".",","),2)</f>
        <v>Sp.man: 0.00%</v>
      </c>
      <c r="G28" s="35" t="str">
        <f>SUBSTITUTE("Sp.uti: 0.00%",".",IF(VALUE("1.2")=1.2,".",","),2)</f>
        <v>Sp.uti: 0.00%</v>
      </c>
      <c r="H28" s="38">
        <v>144.15</v>
      </c>
      <c r="I28" s="29">
        <f>G27*H28</f>
        <v>144.15</v>
      </c>
      <c r="J28">
        <v>2</v>
      </c>
    </row>
    <row r="29" spans="1:19" x14ac:dyDescent="0.3">
      <c r="A29" s="88" t="s">
        <v>305</v>
      </c>
      <c r="B29" s="98"/>
      <c r="C29" s="98"/>
      <c r="D29" s="98"/>
      <c r="E29" s="98"/>
      <c r="F29" s="98"/>
      <c r="G29" s="98"/>
      <c r="H29" s="38">
        <f>(1+IF(OR(ISERR(FIND(":",G28)),ISERR(FIND("%",G28))),0,MID(G28,FIND(":",G28)+2,FIND("%",G28)-FIND(":",G28)-2)/100))*0</f>
        <v>0</v>
      </c>
      <c r="I29" s="29">
        <f>G27*H29</f>
        <v>0</v>
      </c>
      <c r="J29">
        <v>3</v>
      </c>
      <c r="K29" s="4">
        <v>0</v>
      </c>
      <c r="L29" s="4">
        <v>0</v>
      </c>
      <c r="M29" s="4">
        <f>I29-K29-L29</f>
        <v>0</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96" t="s">
        <v>27</v>
      </c>
      <c r="B31" s="97"/>
      <c r="C31" s="97"/>
      <c r="D31" s="97"/>
      <c r="E31" s="97"/>
      <c r="F31" s="97"/>
      <c r="G31" s="97"/>
      <c r="H31" s="36">
        <f>H27+H28+H29+H30</f>
        <v>580.85</v>
      </c>
      <c r="I31" s="74">
        <f>I27+I28+I29+I30</f>
        <v>580.85</v>
      </c>
      <c r="J31">
        <v>5</v>
      </c>
    </row>
    <row r="32" spans="1:19" x14ac:dyDescent="0.3">
      <c r="B32" s="2">
        <v>5</v>
      </c>
      <c r="C32" s="3" t="s">
        <v>308</v>
      </c>
      <c r="D32" s="5" t="s">
        <v>29</v>
      </c>
      <c r="G32" s="30">
        <v>1</v>
      </c>
      <c r="H32" s="38">
        <v>5709.93</v>
      </c>
      <c r="I32" s="29">
        <f>G32*H32</f>
        <v>5709.93</v>
      </c>
      <c r="J32">
        <v>1</v>
      </c>
    </row>
    <row r="33" spans="1:19" x14ac:dyDescent="0.3">
      <c r="D33" s="15" t="str">
        <f>SUBSTITUTE("Sp.mat: 0.00%",".",IF(VALUE("1.2")=1.2,".",","),2)</f>
        <v>Sp.mat: 0.00%</v>
      </c>
      <c r="F33" s="15" t="str">
        <f>SUBSTITUTE("Sp.man: 0.00%",".",IF(VALUE("1.2")=1.2,".",","),2)</f>
        <v>Sp.man: 0.00%</v>
      </c>
      <c r="G33" s="35" t="str">
        <f>SUBSTITUTE("Sp.uti: 0.00%",".",IF(VALUE("1.2")=1.2,".",","),2)</f>
        <v>Sp.uti: 0.00%</v>
      </c>
      <c r="H33" s="38">
        <v>140.31</v>
      </c>
      <c r="I33" s="29">
        <f>G32*H33</f>
        <v>140.31</v>
      </c>
      <c r="J33">
        <v>2</v>
      </c>
    </row>
    <row r="34" spans="1:19" x14ac:dyDescent="0.3">
      <c r="A34" s="88" t="s">
        <v>309</v>
      </c>
      <c r="B34" s="98"/>
      <c r="C34" s="98"/>
      <c r="D34" s="98"/>
      <c r="E34" s="98"/>
      <c r="F34" s="98"/>
      <c r="G34" s="98"/>
      <c r="H34" s="38">
        <f>(1+IF(OR(ISERR(FIND(":",G33)),ISERR(FIND("%",G33))),0,MID(G33,FIND(":",G33)+2,FIND("%",G33)-FIND(":",G33)-2)/100))*0</f>
        <v>0</v>
      </c>
      <c r="I34" s="29">
        <f>G32*H34</f>
        <v>0</v>
      </c>
      <c r="J34">
        <v>3</v>
      </c>
      <c r="K34" s="4">
        <v>0</v>
      </c>
      <c r="L34" s="4">
        <v>0</v>
      </c>
      <c r="M34" s="4">
        <f>I34-K34-L34</f>
        <v>0</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96" t="s">
        <v>27</v>
      </c>
      <c r="B36" s="97"/>
      <c r="C36" s="97"/>
      <c r="D36" s="97"/>
      <c r="E36" s="97"/>
      <c r="F36" s="97"/>
      <c r="G36" s="97"/>
      <c r="H36" s="36">
        <f>H32+H33+H34+H35</f>
        <v>5850.2400000000007</v>
      </c>
      <c r="I36" s="74">
        <f>I32+I33+I34+I35</f>
        <v>5850.2400000000007</v>
      </c>
      <c r="J36">
        <v>5</v>
      </c>
    </row>
    <row r="37" spans="1:19" x14ac:dyDescent="0.3">
      <c r="B37" s="2">
        <v>6</v>
      </c>
      <c r="C37" s="3" t="s">
        <v>310</v>
      </c>
      <c r="D37" s="5" t="s">
        <v>29</v>
      </c>
      <c r="G37" s="30">
        <v>2</v>
      </c>
      <c r="H37" s="38">
        <v>309.05</v>
      </c>
      <c r="I37" s="29">
        <f>G37*H37</f>
        <v>618.1</v>
      </c>
      <c r="J37">
        <v>1</v>
      </c>
    </row>
    <row r="38" spans="1:19" x14ac:dyDescent="0.3">
      <c r="D38" s="15" t="str">
        <f>SUBSTITUTE("Sp.mat: 0.00%",".",IF(VALUE("1.2")=1.2,".",","),2)</f>
        <v>Sp.mat: 0.00%</v>
      </c>
      <c r="F38" s="15" t="str">
        <f>SUBSTITUTE("Sp.man: 0.00%",".",IF(VALUE("1.2")=1.2,".",","),2)</f>
        <v>Sp.man: 0.00%</v>
      </c>
      <c r="G38" s="35" t="str">
        <f>SUBSTITUTE("Sp.uti: 0.00%",".",IF(VALUE("1.2")=1.2,".",","),2)</f>
        <v>Sp.uti: 0.00%</v>
      </c>
      <c r="H38" s="38">
        <v>20.02</v>
      </c>
      <c r="I38" s="29">
        <f>G37*H38</f>
        <v>40.04</v>
      </c>
      <c r="J38">
        <v>2</v>
      </c>
    </row>
    <row r="39" spans="1:19" x14ac:dyDescent="0.3">
      <c r="A39" s="88" t="s">
        <v>902</v>
      </c>
      <c r="B39" s="98"/>
      <c r="C39" s="98"/>
      <c r="D39" s="98"/>
      <c r="E39" s="98"/>
      <c r="F39" s="98"/>
      <c r="G39" s="98"/>
      <c r="H39" s="38">
        <f>(1+IF(OR(ISERR(FIND(":",G38)),ISERR(FIND("%",G38))),0,MID(G38,FIND(":",G38)+2,FIND("%",G38)-FIND(":",G38)-2)/100))*0</f>
        <v>0</v>
      </c>
      <c r="I39" s="29">
        <f>G37*H39</f>
        <v>0</v>
      </c>
      <c r="J39">
        <v>3</v>
      </c>
      <c r="K39" s="4">
        <v>0</v>
      </c>
      <c r="L39" s="4">
        <v>0</v>
      </c>
      <c r="M39" s="4">
        <f>I39-K39-L39</f>
        <v>0</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96" t="s">
        <v>87</v>
      </c>
      <c r="B41" s="97"/>
      <c r="C41" s="97"/>
      <c r="D41" s="97"/>
      <c r="E41" s="97"/>
      <c r="F41" s="97"/>
      <c r="G41" s="97"/>
      <c r="H41" s="36">
        <f>H37+H38+H39+H40</f>
        <v>329.07</v>
      </c>
      <c r="I41" s="74">
        <f>I37+I38+I39+I40</f>
        <v>658.14</v>
      </c>
      <c r="J41">
        <v>5</v>
      </c>
    </row>
    <row r="42" spans="1:19" x14ac:dyDescent="0.3">
      <c r="B42" s="2">
        <v>7</v>
      </c>
      <c r="C42" s="3" t="s">
        <v>312</v>
      </c>
      <c r="D42" s="5" t="s">
        <v>29</v>
      </c>
      <c r="G42" s="30">
        <v>1</v>
      </c>
      <c r="H42" s="38">
        <v>452.12</v>
      </c>
      <c r="I42" s="29">
        <f>G42*H42</f>
        <v>452.12</v>
      </c>
      <c r="J42">
        <v>1</v>
      </c>
    </row>
    <row r="43" spans="1:19" x14ac:dyDescent="0.3">
      <c r="D43" s="15" t="str">
        <f>SUBSTITUTE("Sp.mat: 0.00%",".",IF(VALUE("1.2")=1.2,".",","),2)</f>
        <v>Sp.mat: 0.00%</v>
      </c>
      <c r="F43" s="15" t="str">
        <f>SUBSTITUTE("Sp.man: 0.00%",".",IF(VALUE("1.2")=1.2,".",","),2)</f>
        <v>Sp.man: 0.00%</v>
      </c>
      <c r="G43" s="35" t="str">
        <f>SUBSTITUTE("Sp.uti: 0.00%",".",IF(VALUE("1.2")=1.2,".",","),2)</f>
        <v>Sp.uti: 0.00%</v>
      </c>
      <c r="H43" s="38">
        <v>21.62</v>
      </c>
      <c r="I43" s="29">
        <f>G42*H43</f>
        <v>21.62</v>
      </c>
      <c r="J43">
        <v>2</v>
      </c>
    </row>
    <row r="44" spans="1:19" x14ac:dyDescent="0.3">
      <c r="A44" s="88" t="s">
        <v>903</v>
      </c>
      <c r="B44" s="98"/>
      <c r="C44" s="98"/>
      <c r="D44" s="98"/>
      <c r="E44" s="98"/>
      <c r="F44" s="98"/>
      <c r="G44" s="98"/>
      <c r="H44" s="38">
        <f>(1+IF(OR(ISERR(FIND(":",G43)),ISERR(FIND("%",G43))),0,MID(G43,FIND(":",G43)+2,FIND("%",G43)-FIND(":",G43)-2)/100))*0</f>
        <v>0</v>
      </c>
      <c r="I44" s="29">
        <f>G42*H44</f>
        <v>0</v>
      </c>
      <c r="J44">
        <v>3</v>
      </c>
      <c r="K44" s="4">
        <v>0</v>
      </c>
      <c r="L44" s="4">
        <v>0</v>
      </c>
      <c r="M44" s="4">
        <f>I44-K44-L44</f>
        <v>0</v>
      </c>
    </row>
    <row r="45" spans="1:19" x14ac:dyDescent="0.3">
      <c r="A45" s="98"/>
      <c r="B45" s="98"/>
      <c r="C45" s="98"/>
      <c r="D45" s="98"/>
      <c r="E45" s="98"/>
      <c r="F45" s="98"/>
      <c r="G45" s="98"/>
      <c r="H45" s="38">
        <f>0</f>
        <v>0</v>
      </c>
      <c r="I45" s="29">
        <f>G42*H45</f>
        <v>0</v>
      </c>
      <c r="J45">
        <v>4</v>
      </c>
      <c r="N45" s="4">
        <f>IF(ISERR(SEARCH("TRA* 82",C42)),IF(Q45+R45+S45=0,0,I45*(Q45/(Q45+R45+S45))),I45)</f>
        <v>0</v>
      </c>
      <c r="O45" s="4">
        <f>IF(ISERR(SEARCH("TRA* 82",C42)),IF(Q45+R45+S45=0,0,I45*(R45/(Q45+R45+S45))),0)</f>
        <v>0</v>
      </c>
      <c r="P45" s="4">
        <f>IF(ISERR(SEARCH("TRA* 82",C42)),I45-N45-O45,0)</f>
        <v>0</v>
      </c>
      <c r="Q45" s="4">
        <v>0</v>
      </c>
      <c r="R45" s="4">
        <v>0</v>
      </c>
      <c r="S45" s="4">
        <v>0</v>
      </c>
    </row>
    <row r="46" spans="1:19" x14ac:dyDescent="0.3">
      <c r="A46" s="96" t="s">
        <v>87</v>
      </c>
      <c r="B46" s="97"/>
      <c r="C46" s="97"/>
      <c r="D46" s="97"/>
      <c r="E46" s="97"/>
      <c r="F46" s="97"/>
      <c r="G46" s="97"/>
      <c r="H46" s="36">
        <f>H42+H43+H44+H45</f>
        <v>473.74</v>
      </c>
      <c r="I46" s="74">
        <f>I42+I43+I44+I45</f>
        <v>473.74</v>
      </c>
      <c r="J46">
        <v>5</v>
      </c>
    </row>
    <row r="47" spans="1:19" x14ac:dyDescent="0.3">
      <c r="B47" s="2">
        <v>8</v>
      </c>
      <c r="C47" s="3" t="s">
        <v>312</v>
      </c>
      <c r="D47" s="5" t="s">
        <v>29</v>
      </c>
      <c r="G47" s="30">
        <v>1</v>
      </c>
      <c r="H47" s="38">
        <v>469.55</v>
      </c>
      <c r="I47" s="29">
        <f>G47*H47</f>
        <v>469.55</v>
      </c>
      <c r="J47">
        <v>1</v>
      </c>
    </row>
    <row r="48" spans="1:19" x14ac:dyDescent="0.3">
      <c r="D48" s="15" t="str">
        <f>SUBSTITUTE("Sp.mat: 0.00%",".",IF(VALUE("1.2")=1.2,".",","),2)</f>
        <v>Sp.mat: 0.00%</v>
      </c>
      <c r="F48" s="15" t="str">
        <f>SUBSTITUTE("Sp.man: 0.00%",".",IF(VALUE("1.2")=1.2,".",","),2)</f>
        <v>Sp.man: 0.00%</v>
      </c>
      <c r="G48" s="35" t="str">
        <f>SUBSTITUTE("Sp.uti: 0.00%",".",IF(VALUE("1.2")=1.2,".",","),2)</f>
        <v>Sp.uti: 0.00%</v>
      </c>
      <c r="H48" s="38">
        <v>21.62</v>
      </c>
      <c r="I48" s="29">
        <f>G47*H48</f>
        <v>21.62</v>
      </c>
      <c r="J48">
        <v>2</v>
      </c>
    </row>
    <row r="49" spans="1:19" x14ac:dyDescent="0.3">
      <c r="A49" s="88" t="s">
        <v>903</v>
      </c>
      <c r="B49" s="98"/>
      <c r="C49" s="98"/>
      <c r="D49" s="98"/>
      <c r="E49" s="98"/>
      <c r="F49" s="98"/>
      <c r="G49" s="98"/>
      <c r="H49" s="38">
        <f>(1+IF(OR(ISERR(FIND(":",G48)),ISERR(FIND("%",G48))),0,MID(G48,FIND(":",G48)+2,FIND("%",G48)-FIND(":",G48)-2)/100))*0</f>
        <v>0</v>
      </c>
      <c r="I49" s="29">
        <f>G47*H49</f>
        <v>0</v>
      </c>
      <c r="J49">
        <v>3</v>
      </c>
      <c r="K49" s="4">
        <v>0</v>
      </c>
      <c r="L49" s="4">
        <v>0</v>
      </c>
      <c r="M49" s="4">
        <f>I49-K49-L49</f>
        <v>0</v>
      </c>
    </row>
    <row r="50" spans="1:19" x14ac:dyDescent="0.3">
      <c r="A50" s="98"/>
      <c r="B50" s="98"/>
      <c r="C50" s="98"/>
      <c r="D50" s="98"/>
      <c r="E50" s="98"/>
      <c r="F50" s="98"/>
      <c r="G50" s="98"/>
      <c r="H50" s="38">
        <f>0</f>
        <v>0</v>
      </c>
      <c r="I50" s="29">
        <f>G47*H50</f>
        <v>0</v>
      </c>
      <c r="J50">
        <v>4</v>
      </c>
      <c r="N50" s="4">
        <f>IF(ISERR(SEARCH("TRA* 82",C47)),IF(Q50+R50+S50=0,0,I50*(Q50/(Q50+R50+S50))),I50)</f>
        <v>0</v>
      </c>
      <c r="O50" s="4">
        <f>IF(ISERR(SEARCH("TRA* 82",C47)),IF(Q50+R50+S50=0,0,I50*(R50/(Q50+R50+S50))),0)</f>
        <v>0</v>
      </c>
      <c r="P50" s="4">
        <f>IF(ISERR(SEARCH("TRA* 82",C47)),I50-N50-O50,0)</f>
        <v>0</v>
      </c>
      <c r="Q50" s="4">
        <v>0</v>
      </c>
      <c r="R50" s="4">
        <v>0</v>
      </c>
      <c r="S50" s="4">
        <v>0</v>
      </c>
    </row>
    <row r="51" spans="1:19" x14ac:dyDescent="0.3">
      <c r="A51" s="96" t="s">
        <v>87</v>
      </c>
      <c r="B51" s="97"/>
      <c r="C51" s="97"/>
      <c r="D51" s="97"/>
      <c r="E51" s="97"/>
      <c r="F51" s="97"/>
      <c r="G51" s="97"/>
      <c r="H51" s="36">
        <f>H47+H48+H49+H50</f>
        <v>491.17</v>
      </c>
      <c r="I51" s="74">
        <f>I47+I48+I49+I50</f>
        <v>491.17</v>
      </c>
      <c r="J51">
        <v>5</v>
      </c>
    </row>
    <row r="52" spans="1:19" x14ac:dyDescent="0.3">
      <c r="B52" s="2">
        <v>9</v>
      </c>
      <c r="C52" s="3" t="s">
        <v>312</v>
      </c>
      <c r="D52" s="5" t="s">
        <v>29</v>
      </c>
      <c r="G52" s="30">
        <v>1</v>
      </c>
      <c r="H52" s="38">
        <v>640.32000000000005</v>
      </c>
      <c r="I52" s="29">
        <f>G52*H52</f>
        <v>640.32000000000005</v>
      </c>
      <c r="J52">
        <v>1</v>
      </c>
    </row>
    <row r="53" spans="1:19" x14ac:dyDescent="0.3">
      <c r="D53" s="15" t="str">
        <f>SUBSTITUTE("Sp.mat: 0.00%",".",IF(VALUE("1.2")=1.2,".",","),2)</f>
        <v>Sp.mat: 0.00%</v>
      </c>
      <c r="F53" s="15" t="str">
        <f>SUBSTITUTE("Sp.man: 0.00%",".",IF(VALUE("1.2")=1.2,".",","),2)</f>
        <v>Sp.man: 0.00%</v>
      </c>
      <c r="G53" s="35" t="str">
        <f>SUBSTITUTE("Sp.uti: 0.00%",".",IF(VALUE("1.2")=1.2,".",","),2)</f>
        <v>Sp.uti: 0.00%</v>
      </c>
      <c r="H53" s="38">
        <v>21.62</v>
      </c>
      <c r="I53" s="29">
        <f>G52*H53</f>
        <v>21.62</v>
      </c>
      <c r="J53">
        <v>2</v>
      </c>
    </row>
    <row r="54" spans="1:19" x14ac:dyDescent="0.3">
      <c r="A54" s="88" t="s">
        <v>903</v>
      </c>
      <c r="B54" s="98"/>
      <c r="C54" s="98"/>
      <c r="D54" s="98"/>
      <c r="E54" s="98"/>
      <c r="F54" s="98"/>
      <c r="G54" s="98"/>
      <c r="H54" s="38">
        <f>(1+IF(OR(ISERR(FIND(":",G53)),ISERR(FIND("%",G53))),0,MID(G53,FIND(":",G53)+2,FIND("%",G53)-FIND(":",G53)-2)/100))*0</f>
        <v>0</v>
      </c>
      <c r="I54" s="29">
        <f>G52*H54</f>
        <v>0</v>
      </c>
      <c r="J54">
        <v>3</v>
      </c>
      <c r="K54" s="4">
        <v>0</v>
      </c>
      <c r="L54" s="4">
        <v>0</v>
      </c>
      <c r="M54" s="4">
        <f>I54-K54-L54</f>
        <v>0</v>
      </c>
    </row>
    <row r="55" spans="1:19" x14ac:dyDescent="0.3">
      <c r="A55" s="98"/>
      <c r="B55" s="98"/>
      <c r="C55" s="98"/>
      <c r="D55" s="98"/>
      <c r="E55" s="98"/>
      <c r="F55" s="98"/>
      <c r="G55" s="98"/>
      <c r="H55" s="38">
        <f>0</f>
        <v>0</v>
      </c>
      <c r="I55" s="29">
        <f>G52*H55</f>
        <v>0</v>
      </c>
      <c r="J55">
        <v>4</v>
      </c>
      <c r="N55" s="4">
        <f>IF(ISERR(SEARCH("TRA* 82",C52)),IF(Q55+R55+S55=0,0,I55*(Q55/(Q55+R55+S55))),I55)</f>
        <v>0</v>
      </c>
      <c r="O55" s="4">
        <f>IF(ISERR(SEARCH("TRA* 82",C52)),IF(Q55+R55+S55=0,0,I55*(R55/(Q55+R55+S55))),0)</f>
        <v>0</v>
      </c>
      <c r="P55" s="4">
        <f>IF(ISERR(SEARCH("TRA* 82",C52)),I55-N55-O55,0)</f>
        <v>0</v>
      </c>
      <c r="Q55" s="4">
        <v>0</v>
      </c>
      <c r="R55" s="4">
        <v>0</v>
      </c>
      <c r="S55" s="4">
        <v>0</v>
      </c>
    </row>
    <row r="56" spans="1:19" x14ac:dyDescent="0.3">
      <c r="A56" s="96" t="s">
        <v>87</v>
      </c>
      <c r="B56" s="97"/>
      <c r="C56" s="97"/>
      <c r="D56" s="97"/>
      <c r="E56" s="97"/>
      <c r="F56" s="97"/>
      <c r="G56" s="97"/>
      <c r="H56" s="36">
        <f>H52+H53+H54+H55</f>
        <v>661.94</v>
      </c>
      <c r="I56" s="74">
        <f>I52+I53+I54+I55</f>
        <v>661.94</v>
      </c>
      <c r="J56">
        <v>5</v>
      </c>
    </row>
    <row r="57" spans="1:19" x14ac:dyDescent="0.3">
      <c r="B57" s="2">
        <v>10</v>
      </c>
      <c r="C57" s="3" t="s">
        <v>317</v>
      </c>
      <c r="D57" s="5" t="s">
        <v>29</v>
      </c>
      <c r="G57" s="30">
        <v>2</v>
      </c>
      <c r="H57" s="38">
        <v>98.5</v>
      </c>
      <c r="I57" s="29">
        <f>G57*H57</f>
        <v>197</v>
      </c>
      <c r="J57">
        <v>1</v>
      </c>
    </row>
    <row r="58" spans="1:19" x14ac:dyDescent="0.3">
      <c r="D58" s="15" t="str">
        <f>SUBSTITUTE("Sp.mat: 0.00%",".",IF(VALUE("1.2")=1.2,".",","),2)</f>
        <v>Sp.mat: 0.00%</v>
      </c>
      <c r="F58" s="15" t="str">
        <f>SUBSTITUTE("Sp.man: 0.00%",".",IF(VALUE("1.2")=1.2,".",","),2)</f>
        <v>Sp.man: 0.00%</v>
      </c>
      <c r="G58" s="35" t="str">
        <f>SUBSTITUTE("Sp.uti: 0.00%",".",IF(VALUE("1.2")=1.2,".",","),2)</f>
        <v>Sp.uti: 0.00%</v>
      </c>
      <c r="H58" s="38">
        <v>3.68</v>
      </c>
      <c r="I58" s="29">
        <f>G57*H58</f>
        <v>7.36</v>
      </c>
      <c r="J58">
        <v>2</v>
      </c>
    </row>
    <row r="59" spans="1:19" x14ac:dyDescent="0.3">
      <c r="A59" s="88" t="s">
        <v>318</v>
      </c>
      <c r="B59" s="98"/>
      <c r="C59" s="98"/>
      <c r="D59" s="98"/>
      <c r="E59" s="98"/>
      <c r="F59" s="98"/>
      <c r="G59" s="98"/>
      <c r="H59" s="38">
        <f>(1+IF(OR(ISERR(FIND(":",G58)),ISERR(FIND("%",G58))),0,MID(G58,FIND(":",G58)+2,FIND("%",G58)-FIND(":",G58)-2)/100))*0</f>
        <v>0</v>
      </c>
      <c r="I59" s="29">
        <f>G57*H59</f>
        <v>0</v>
      </c>
      <c r="J59">
        <v>3</v>
      </c>
      <c r="K59" s="4">
        <v>0</v>
      </c>
      <c r="L59" s="4">
        <v>0</v>
      </c>
      <c r="M59" s="4">
        <f>I59-K59-L59</f>
        <v>0</v>
      </c>
    </row>
    <row r="60" spans="1:19" x14ac:dyDescent="0.3">
      <c r="A60" s="98"/>
      <c r="B60" s="98"/>
      <c r="C60" s="98"/>
      <c r="D60" s="98"/>
      <c r="E60" s="98"/>
      <c r="F60" s="98"/>
      <c r="G60" s="98"/>
      <c r="H60" s="38">
        <f>0</f>
        <v>0</v>
      </c>
      <c r="I60" s="29">
        <f>G57*H60</f>
        <v>0</v>
      </c>
      <c r="J60">
        <v>4</v>
      </c>
      <c r="N60" s="4">
        <f>IF(ISERR(SEARCH("TRA* 82",C57)),IF(Q60+R60+S60=0,0,I60*(Q60/(Q60+R60+S60))),I60)</f>
        <v>0</v>
      </c>
      <c r="O60" s="4">
        <f>IF(ISERR(SEARCH("TRA* 82",C57)),IF(Q60+R60+S60=0,0,I60*(R60/(Q60+R60+S60))),0)</f>
        <v>0</v>
      </c>
      <c r="P60" s="4">
        <f>IF(ISERR(SEARCH("TRA* 82",C57)),I60-N60-O60,0)</f>
        <v>0</v>
      </c>
      <c r="Q60" s="4">
        <v>0</v>
      </c>
      <c r="R60" s="4">
        <v>0</v>
      </c>
      <c r="S60" s="4">
        <v>0</v>
      </c>
    </row>
    <row r="61" spans="1:19" x14ac:dyDescent="0.3">
      <c r="A61" s="100" t="s">
        <v>27</v>
      </c>
      <c r="B61" s="101"/>
      <c r="C61" s="101"/>
      <c r="D61" s="101"/>
      <c r="E61" s="101"/>
      <c r="F61" s="101"/>
      <c r="G61" s="101"/>
      <c r="H61" s="33">
        <f>H57+H58+H59+H60</f>
        <v>102.18</v>
      </c>
      <c r="I61" s="37">
        <f>I57+I58+I59+I60</f>
        <v>204.36</v>
      </c>
      <c r="J61">
        <v>5</v>
      </c>
    </row>
    <row r="62" spans="1:19" x14ac:dyDescent="0.3">
      <c r="A62" s="102" t="s">
        <v>904</v>
      </c>
      <c r="B62" s="102"/>
      <c r="C62" s="102"/>
      <c r="D62" s="102"/>
      <c r="E62" s="102"/>
      <c r="F62" s="102"/>
      <c r="G62" s="102"/>
      <c r="H62" s="102"/>
      <c r="I62" s="102"/>
    </row>
    <row r="63" spans="1:19" x14ac:dyDescent="0.3">
      <c r="A63" s="98" t="s">
        <v>905</v>
      </c>
      <c r="B63" s="98"/>
      <c r="C63" s="98"/>
      <c r="D63" s="98"/>
      <c r="E63" s="98"/>
      <c r="F63" s="98"/>
      <c r="G63" s="98"/>
      <c r="H63" s="98"/>
      <c r="I63" s="98"/>
    </row>
    <row r="64" spans="1:19" x14ac:dyDescent="0.3">
      <c r="A64" s="97" t="s">
        <v>906</v>
      </c>
      <c r="B64" s="97"/>
      <c r="C64" s="97"/>
      <c r="D64" s="97"/>
      <c r="E64" s="97"/>
      <c r="F64" s="97"/>
      <c r="G64" s="97"/>
      <c r="H64" s="97"/>
      <c r="I64" s="97"/>
    </row>
    <row r="65" spans="1:19" x14ac:dyDescent="0.3">
      <c r="B65" s="2">
        <v>11</v>
      </c>
      <c r="C65" s="3" t="s">
        <v>907</v>
      </c>
      <c r="D65" s="5" t="s">
        <v>29</v>
      </c>
      <c r="G65" s="30">
        <v>2</v>
      </c>
      <c r="H65" s="38">
        <v>851.2</v>
      </c>
      <c r="I65" s="29">
        <f>G65*H65</f>
        <v>1702.4</v>
      </c>
      <c r="J65">
        <v>1</v>
      </c>
    </row>
    <row r="66" spans="1:19" x14ac:dyDescent="0.3">
      <c r="D66" s="15" t="str">
        <f>SUBSTITUTE("Sp.mat: 0.00%",".",IF(VALUE("1.2")=1.2,".",","),2)</f>
        <v>Sp.mat: 0.00%</v>
      </c>
      <c r="F66" s="15" t="str">
        <f>SUBSTITUTE("Sp.man: 0.00%",".",IF(VALUE("1.2")=1.2,".",","),2)</f>
        <v>Sp.man: 0.00%</v>
      </c>
      <c r="G66" s="35" t="str">
        <f>SUBSTITUTE("Sp.uti: 0.00%",".",IF(VALUE("1.2")=1.2,".",","),2)</f>
        <v>Sp.uti: 0.00%</v>
      </c>
      <c r="H66" s="38">
        <v>163.85</v>
      </c>
      <c r="I66" s="29">
        <f>G65*H66</f>
        <v>327.7</v>
      </c>
      <c r="J66">
        <v>2</v>
      </c>
    </row>
    <row r="67" spans="1:19" x14ac:dyDescent="0.3">
      <c r="A67" s="88" t="s">
        <v>908</v>
      </c>
      <c r="B67" s="98"/>
      <c r="C67" s="98"/>
      <c r="D67" s="98"/>
      <c r="E67" s="98"/>
      <c r="F67" s="98"/>
      <c r="G67" s="98"/>
      <c r="H67" s="38">
        <f>(1+IF(OR(ISERR(FIND(":",G66)),ISERR(FIND("%",G66))),0,MID(G66,FIND(":",G66)+2,FIND("%",G66)-FIND(":",G66)-2)/100))*0</f>
        <v>0</v>
      </c>
      <c r="I67" s="29">
        <f>G65*H67</f>
        <v>0</v>
      </c>
      <c r="J67">
        <v>3</v>
      </c>
      <c r="K67" s="4">
        <v>0</v>
      </c>
      <c r="L67" s="4">
        <v>0</v>
      </c>
      <c r="M67" s="4">
        <f>I67-K67-L67</f>
        <v>0</v>
      </c>
    </row>
    <row r="68" spans="1:19" x14ac:dyDescent="0.3">
      <c r="A68" s="98"/>
      <c r="B68" s="98"/>
      <c r="C68" s="98"/>
      <c r="D68" s="98"/>
      <c r="E68" s="98"/>
      <c r="F68" s="98"/>
      <c r="G68" s="98"/>
      <c r="H68" s="38">
        <f>0</f>
        <v>0</v>
      </c>
      <c r="I68" s="29">
        <f>G65*H68</f>
        <v>0</v>
      </c>
      <c r="J68">
        <v>4</v>
      </c>
      <c r="N68" s="4">
        <f>IF(ISERR(SEARCH("TRA* 82",C65)),IF(Q68+R68+S68=0,0,I68*(Q68/(Q68+R68+S68))),I68)</f>
        <v>0</v>
      </c>
      <c r="O68" s="4">
        <f>IF(ISERR(SEARCH("TRA* 82",C65)),IF(Q68+R68+S68=0,0,I68*(R68/(Q68+R68+S68))),0)</f>
        <v>0</v>
      </c>
      <c r="P68" s="4">
        <f>IF(ISERR(SEARCH("TRA* 82",C65)),I68-N68-O68,0)</f>
        <v>0</v>
      </c>
      <c r="Q68" s="4">
        <v>0</v>
      </c>
      <c r="R68" s="4">
        <v>0</v>
      </c>
      <c r="S68" s="4">
        <v>0</v>
      </c>
    </row>
    <row r="69" spans="1:19" x14ac:dyDescent="0.3">
      <c r="A69" s="96" t="s">
        <v>909</v>
      </c>
      <c r="B69" s="97"/>
      <c r="C69" s="97"/>
      <c r="D69" s="97"/>
      <c r="E69" s="97"/>
      <c r="F69" s="97"/>
      <c r="G69" s="97"/>
      <c r="H69" s="36">
        <f>H65+H66+H67+H68</f>
        <v>1015.0500000000001</v>
      </c>
      <c r="I69" s="74">
        <f>I65+I66+I67+I68</f>
        <v>2030.1000000000001</v>
      </c>
      <c r="J69">
        <v>5</v>
      </c>
    </row>
    <row r="70" spans="1:19" x14ac:dyDescent="0.3">
      <c r="B70" s="2">
        <v>12</v>
      </c>
      <c r="C70" s="3" t="s">
        <v>325</v>
      </c>
      <c r="D70" s="5" t="s">
        <v>29</v>
      </c>
      <c r="G70" s="30">
        <v>21</v>
      </c>
      <c r="H70" s="38">
        <v>389.42</v>
      </c>
      <c r="I70" s="29">
        <f>G70*H70</f>
        <v>8177.8200000000006</v>
      </c>
      <c r="J70">
        <v>1</v>
      </c>
    </row>
    <row r="71" spans="1:19" x14ac:dyDescent="0.3">
      <c r="D71" s="15" t="str">
        <f>SUBSTITUTE("Sp.mat: 0.00%",".",IF(VALUE("1.2")=1.2,".",","),2)</f>
        <v>Sp.mat: 0.00%</v>
      </c>
      <c r="F71" s="15" t="str">
        <f>SUBSTITUTE("Sp.man: 0.00%",".",IF(VALUE("1.2")=1.2,".",","),2)</f>
        <v>Sp.man: 0.00%</v>
      </c>
      <c r="G71" s="35" t="str">
        <f>SUBSTITUTE("Sp.uti: 0.00%",".",IF(VALUE("1.2")=1.2,".",","),2)</f>
        <v>Sp.uti: 0.00%</v>
      </c>
      <c r="H71" s="38">
        <v>15.06</v>
      </c>
      <c r="I71" s="29">
        <f>G70*H71</f>
        <v>316.26</v>
      </c>
      <c r="J71">
        <v>2</v>
      </c>
    </row>
    <row r="72" spans="1:19" x14ac:dyDescent="0.3">
      <c r="A72" s="88" t="s">
        <v>326</v>
      </c>
      <c r="B72" s="98"/>
      <c r="C72" s="98"/>
      <c r="D72" s="98"/>
      <c r="E72" s="98"/>
      <c r="F72" s="98"/>
      <c r="G72" s="98"/>
      <c r="H72" s="38">
        <f>(1+IF(OR(ISERR(FIND(":",G71)),ISERR(FIND("%",G71))),0,MID(G71,FIND(":",G71)+2,FIND("%",G71)-FIND(":",G71)-2)/100))*0</f>
        <v>0</v>
      </c>
      <c r="I72" s="29">
        <f>G70*H72</f>
        <v>0</v>
      </c>
      <c r="J72">
        <v>3</v>
      </c>
      <c r="K72" s="4">
        <v>0</v>
      </c>
      <c r="L72" s="4">
        <v>0</v>
      </c>
      <c r="M72" s="4">
        <f>I72-K72-L72</f>
        <v>0</v>
      </c>
    </row>
    <row r="73" spans="1:19" x14ac:dyDescent="0.3">
      <c r="A73" s="98"/>
      <c r="B73" s="98"/>
      <c r="C73" s="98"/>
      <c r="D73" s="98"/>
      <c r="E73" s="98"/>
      <c r="F73" s="98"/>
      <c r="G73" s="98"/>
      <c r="H73" s="38">
        <f>0</f>
        <v>0</v>
      </c>
      <c r="I73" s="29">
        <f>G70*H73</f>
        <v>0</v>
      </c>
      <c r="J73">
        <v>4</v>
      </c>
      <c r="N73" s="4">
        <f>IF(ISERR(SEARCH("TRA* 82",C70)),IF(Q73+R73+S73=0,0,I73*(Q73/(Q73+R73+S73))),I73)</f>
        <v>0</v>
      </c>
      <c r="O73" s="4">
        <f>IF(ISERR(SEARCH("TRA* 82",C70)),IF(Q73+R73+S73=0,0,I73*(R73/(Q73+R73+S73))),0)</f>
        <v>0</v>
      </c>
      <c r="P73" s="4">
        <f>IF(ISERR(SEARCH("TRA* 82",C70)),I73-N73-O73,0)</f>
        <v>0</v>
      </c>
      <c r="Q73" s="4">
        <v>0</v>
      </c>
      <c r="R73" s="4">
        <v>0</v>
      </c>
      <c r="S73" s="4">
        <v>0</v>
      </c>
    </row>
    <row r="74" spans="1:19" x14ac:dyDescent="0.3">
      <c r="A74" s="96" t="s">
        <v>27</v>
      </c>
      <c r="B74" s="97"/>
      <c r="C74" s="97"/>
      <c r="D74" s="97"/>
      <c r="E74" s="97"/>
      <c r="F74" s="97"/>
      <c r="G74" s="97"/>
      <c r="H74" s="36">
        <f>H70+H71+H72+H73</f>
        <v>404.48</v>
      </c>
      <c r="I74" s="74">
        <f>I70+I71+I72+I73</f>
        <v>8494.08</v>
      </c>
      <c r="J74">
        <v>5</v>
      </c>
    </row>
    <row r="75" spans="1:19" x14ac:dyDescent="0.3">
      <c r="B75" s="2">
        <v>13</v>
      </c>
      <c r="C75" s="3" t="s">
        <v>329</v>
      </c>
      <c r="D75" s="5" t="s">
        <v>29</v>
      </c>
      <c r="G75" s="30">
        <v>11</v>
      </c>
      <c r="H75" s="38">
        <v>664.2</v>
      </c>
      <c r="I75" s="29">
        <f>G75*H75</f>
        <v>7306.2000000000007</v>
      </c>
      <c r="J75">
        <v>1</v>
      </c>
    </row>
    <row r="76" spans="1:19" x14ac:dyDescent="0.3">
      <c r="D76" s="15" t="str">
        <f>SUBSTITUTE("Sp.mat: 0.00%",".",IF(VALUE("1.2")=1.2,".",","),2)</f>
        <v>Sp.mat: 0.00%</v>
      </c>
      <c r="F76" s="15" t="str">
        <f>SUBSTITUTE("Sp.man: 0.00%",".",IF(VALUE("1.2")=1.2,".",","),2)</f>
        <v>Sp.man: 0.00%</v>
      </c>
      <c r="G76" s="35" t="str">
        <f>SUBSTITUTE("Sp.uti: 0.00%",".",IF(VALUE("1.2")=1.2,".",","),2)</f>
        <v>Sp.uti: 0.00%</v>
      </c>
      <c r="H76" s="38">
        <v>20.02</v>
      </c>
      <c r="I76" s="29">
        <f>G75*H76</f>
        <v>220.22</v>
      </c>
      <c r="J76">
        <v>2</v>
      </c>
    </row>
    <row r="77" spans="1:19" x14ac:dyDescent="0.3">
      <c r="A77" s="88" t="s">
        <v>330</v>
      </c>
      <c r="B77" s="98"/>
      <c r="C77" s="98"/>
      <c r="D77" s="98"/>
      <c r="E77" s="98"/>
      <c r="F77" s="98"/>
      <c r="G77" s="98"/>
      <c r="H77" s="38">
        <f>(1+IF(OR(ISERR(FIND(":",G76)),ISERR(FIND("%",G76))),0,MID(G76,FIND(":",G76)+2,FIND("%",G76)-FIND(":",G76)-2)/100))*0</f>
        <v>0</v>
      </c>
      <c r="I77" s="29">
        <f>G75*H77</f>
        <v>0</v>
      </c>
      <c r="J77">
        <v>3</v>
      </c>
      <c r="K77" s="4">
        <v>0</v>
      </c>
      <c r="L77" s="4">
        <v>0</v>
      </c>
      <c r="M77" s="4">
        <f>I77-K77-L77</f>
        <v>0</v>
      </c>
    </row>
    <row r="78" spans="1:19" x14ac:dyDescent="0.3">
      <c r="A78" s="98"/>
      <c r="B78" s="98"/>
      <c r="C78" s="98"/>
      <c r="D78" s="98"/>
      <c r="E78" s="98"/>
      <c r="F78" s="98"/>
      <c r="G78" s="98"/>
      <c r="H78" s="38">
        <f>0</f>
        <v>0</v>
      </c>
      <c r="I78" s="29">
        <f>G75*H78</f>
        <v>0</v>
      </c>
      <c r="J78">
        <v>4</v>
      </c>
      <c r="N78" s="4">
        <f>IF(ISERR(SEARCH("TRA* 82",C75)),IF(Q78+R78+S78=0,0,I78*(Q78/(Q78+R78+S78))),I78)</f>
        <v>0</v>
      </c>
      <c r="O78" s="4">
        <f>IF(ISERR(SEARCH("TRA* 82",C75)),IF(Q78+R78+S78=0,0,I78*(R78/(Q78+R78+S78))),0)</f>
        <v>0</v>
      </c>
      <c r="P78" s="4">
        <f>IF(ISERR(SEARCH("TRA* 82",C75)),I78-N78-O78,0)</f>
        <v>0</v>
      </c>
      <c r="Q78" s="4">
        <v>0</v>
      </c>
      <c r="R78" s="4">
        <v>0</v>
      </c>
      <c r="S78" s="4">
        <v>0</v>
      </c>
    </row>
    <row r="79" spans="1:19" x14ac:dyDescent="0.3">
      <c r="A79" s="96" t="s">
        <v>27</v>
      </c>
      <c r="B79" s="97"/>
      <c r="C79" s="97"/>
      <c r="D79" s="97"/>
      <c r="E79" s="97"/>
      <c r="F79" s="97"/>
      <c r="G79" s="97"/>
      <c r="H79" s="36">
        <f>H75+H76+H77+H78</f>
        <v>684.22</v>
      </c>
      <c r="I79" s="74">
        <f>I75+I76+I77+I78</f>
        <v>7526.420000000001</v>
      </c>
      <c r="J79">
        <v>5</v>
      </c>
    </row>
    <row r="80" spans="1:19" x14ac:dyDescent="0.3">
      <c r="B80" s="2">
        <v>14</v>
      </c>
      <c r="C80" s="3" t="s">
        <v>331</v>
      </c>
      <c r="D80" s="5" t="s">
        <v>29</v>
      </c>
      <c r="G80" s="30">
        <v>2</v>
      </c>
      <c r="H80" s="38">
        <v>8.41</v>
      </c>
      <c r="I80" s="29">
        <f>G80*H80</f>
        <v>16.82</v>
      </c>
      <c r="J80">
        <v>1</v>
      </c>
    </row>
    <row r="81" spans="1:19" x14ac:dyDescent="0.3">
      <c r="D81" s="15" t="str">
        <f>SUBSTITUTE("Sp.mat: 0.00%",".",IF(VALUE("1.2")=1.2,".",","),2)</f>
        <v>Sp.mat: 0.00%</v>
      </c>
      <c r="F81" s="15" t="str">
        <f>SUBSTITUTE("Sp.man: 0.00%",".",IF(VALUE("1.2")=1.2,".",","),2)</f>
        <v>Sp.man: 0.00%</v>
      </c>
      <c r="G81" s="35" t="str">
        <f>SUBSTITUTE("Sp.uti: 0.00%",".",IF(VALUE("1.2")=1.2,".",","),2)</f>
        <v>Sp.uti: 0.00%</v>
      </c>
      <c r="H81" s="38">
        <v>4</v>
      </c>
      <c r="I81" s="29">
        <f>G80*H81</f>
        <v>8</v>
      </c>
      <c r="J81">
        <v>2</v>
      </c>
    </row>
    <row r="82" spans="1:19" x14ac:dyDescent="0.3">
      <c r="A82" s="88" t="s">
        <v>332</v>
      </c>
      <c r="B82" s="98"/>
      <c r="C82" s="98"/>
      <c r="D82" s="98"/>
      <c r="E82" s="98"/>
      <c r="F82" s="98"/>
      <c r="G82" s="98"/>
      <c r="H82" s="38">
        <f>(1+IF(OR(ISERR(FIND(":",G81)),ISERR(FIND("%",G81))),0,MID(G81,FIND(":",G81)+2,FIND("%",G81)-FIND(":",G81)-2)/100))*0</f>
        <v>0</v>
      </c>
      <c r="I82" s="29">
        <f>G80*H82</f>
        <v>0</v>
      </c>
      <c r="J82">
        <v>3</v>
      </c>
      <c r="K82" s="4">
        <v>0</v>
      </c>
      <c r="L82" s="4">
        <v>0</v>
      </c>
      <c r="M82" s="4">
        <f>I82-K82-L82</f>
        <v>0</v>
      </c>
    </row>
    <row r="83" spans="1:19" x14ac:dyDescent="0.3">
      <c r="A83" s="98"/>
      <c r="B83" s="98"/>
      <c r="C83" s="98"/>
      <c r="D83" s="98"/>
      <c r="E83" s="98"/>
      <c r="F83" s="98"/>
      <c r="G83" s="98"/>
      <c r="H83" s="38">
        <f>0</f>
        <v>0</v>
      </c>
      <c r="I83" s="29">
        <f>G80*H83</f>
        <v>0</v>
      </c>
      <c r="J83">
        <v>4</v>
      </c>
      <c r="N83" s="4">
        <f>IF(ISERR(SEARCH("TRA* 82",C80)),IF(Q83+R83+S83=0,0,I83*(Q83/(Q83+R83+S83))),I83)</f>
        <v>0</v>
      </c>
      <c r="O83" s="4">
        <f>IF(ISERR(SEARCH("TRA* 82",C80)),IF(Q83+R83+S83=0,0,I83*(R83/(Q83+R83+S83))),0)</f>
        <v>0</v>
      </c>
      <c r="P83" s="4">
        <f>IF(ISERR(SEARCH("TRA* 82",C80)),I83-N83-O83,0)</f>
        <v>0</v>
      </c>
      <c r="Q83" s="4">
        <v>0</v>
      </c>
      <c r="R83" s="4">
        <v>0</v>
      </c>
      <c r="S83" s="4">
        <v>0</v>
      </c>
    </row>
    <row r="84" spans="1:19" x14ac:dyDescent="0.3">
      <c r="A84" s="100" t="s">
        <v>27</v>
      </c>
      <c r="B84" s="101"/>
      <c r="C84" s="101"/>
      <c r="D84" s="101"/>
      <c r="E84" s="101"/>
      <c r="F84" s="101"/>
      <c r="G84" s="101"/>
      <c r="H84" s="33">
        <f>H80+H81+H82+H83</f>
        <v>12.41</v>
      </c>
      <c r="I84" s="37">
        <f>I80+I81+I82+I83</f>
        <v>24.82</v>
      </c>
      <c r="J84">
        <v>5</v>
      </c>
    </row>
    <row r="85" spans="1:19" x14ac:dyDescent="0.3">
      <c r="A85" s="99" t="s">
        <v>333</v>
      </c>
      <c r="B85" s="99"/>
      <c r="C85" s="99"/>
      <c r="D85" s="99"/>
      <c r="E85" s="99"/>
      <c r="F85" s="99"/>
      <c r="G85" s="99"/>
      <c r="H85" s="99"/>
      <c r="I85" s="99"/>
    </row>
    <row r="86" spans="1:19" x14ac:dyDescent="0.3">
      <c r="B86" s="2">
        <v>15</v>
      </c>
      <c r="C86" s="3" t="s">
        <v>335</v>
      </c>
      <c r="D86" s="5" t="s">
        <v>29</v>
      </c>
      <c r="G86" s="30">
        <v>2</v>
      </c>
      <c r="H86" s="38">
        <v>11.93</v>
      </c>
      <c r="I86" s="29">
        <f>G86*H86</f>
        <v>23.86</v>
      </c>
      <c r="J86">
        <v>1</v>
      </c>
    </row>
    <row r="87" spans="1:19" x14ac:dyDescent="0.3">
      <c r="D87" s="15" t="str">
        <f>SUBSTITUTE("Sp.mat: 0.00%",".",IF(VALUE("1.2")=1.2,".",","),2)</f>
        <v>Sp.mat: 0.00%</v>
      </c>
      <c r="F87" s="15" t="str">
        <f>SUBSTITUTE("Sp.man: 0.00%",".",IF(VALUE("1.2")=1.2,".",","),2)</f>
        <v>Sp.man: 0.00%</v>
      </c>
      <c r="G87" s="35" t="str">
        <f>SUBSTITUTE("Sp.uti: 0.00%",".",IF(VALUE("1.2")=1.2,".",","),2)</f>
        <v>Sp.uti: 0.00%</v>
      </c>
      <c r="H87" s="38">
        <v>5.61</v>
      </c>
      <c r="I87" s="29">
        <f>G86*H87</f>
        <v>11.22</v>
      </c>
      <c r="J87">
        <v>2</v>
      </c>
    </row>
    <row r="88" spans="1:19" x14ac:dyDescent="0.3">
      <c r="A88" s="88" t="s">
        <v>336</v>
      </c>
      <c r="B88" s="98"/>
      <c r="C88" s="98"/>
      <c r="D88" s="98"/>
      <c r="E88" s="98"/>
      <c r="F88" s="98"/>
      <c r="G88" s="98"/>
      <c r="H88" s="38">
        <f>(1+IF(OR(ISERR(FIND(":",G87)),ISERR(FIND("%",G87))),0,MID(G87,FIND(":",G87)+2,FIND("%",G87)-FIND(":",G87)-2)/100))*0</f>
        <v>0</v>
      </c>
      <c r="I88" s="29">
        <f>G86*H88</f>
        <v>0</v>
      </c>
      <c r="J88">
        <v>3</v>
      </c>
      <c r="K88" s="4">
        <v>0</v>
      </c>
      <c r="L88" s="4">
        <v>0</v>
      </c>
      <c r="M88" s="4">
        <f>I88-K88-L88</f>
        <v>0</v>
      </c>
    </row>
    <row r="89" spans="1:19" x14ac:dyDescent="0.3">
      <c r="A89" s="98"/>
      <c r="B89" s="98"/>
      <c r="C89" s="98"/>
      <c r="D89" s="98"/>
      <c r="E89" s="98"/>
      <c r="F89" s="98"/>
      <c r="G89" s="98"/>
      <c r="H89" s="38">
        <f>0</f>
        <v>0</v>
      </c>
      <c r="I89" s="29">
        <f>G86*H89</f>
        <v>0</v>
      </c>
      <c r="J89">
        <v>4</v>
      </c>
      <c r="N89" s="4">
        <f>IF(ISERR(SEARCH("TRA* 82",C86)),IF(Q89+R89+S89=0,0,I89*(Q89/(Q89+R89+S89))),I89)</f>
        <v>0</v>
      </c>
      <c r="O89" s="4">
        <f>IF(ISERR(SEARCH("TRA* 82",C86)),IF(Q89+R89+S89=0,0,I89*(R89/(Q89+R89+S89))),0)</f>
        <v>0</v>
      </c>
      <c r="P89" s="4">
        <f>IF(ISERR(SEARCH("TRA* 82",C86)),I89-N89-O89,0)</f>
        <v>0</v>
      </c>
      <c r="Q89" s="4">
        <v>0</v>
      </c>
      <c r="R89" s="4">
        <v>0</v>
      </c>
      <c r="S89" s="4">
        <v>0</v>
      </c>
    </row>
    <row r="90" spans="1:19" x14ac:dyDescent="0.3">
      <c r="A90" s="100" t="s">
        <v>27</v>
      </c>
      <c r="B90" s="101"/>
      <c r="C90" s="101"/>
      <c r="D90" s="101"/>
      <c r="E90" s="101"/>
      <c r="F90" s="101"/>
      <c r="G90" s="101"/>
      <c r="H90" s="33">
        <f>H86+H87+H88+H89</f>
        <v>17.54</v>
      </c>
      <c r="I90" s="37">
        <f>I86+I87+I88+I89</f>
        <v>35.08</v>
      </c>
      <c r="J90">
        <v>5</v>
      </c>
    </row>
    <row r="91" spans="1:19" x14ac:dyDescent="0.3">
      <c r="A91" s="99" t="s">
        <v>334</v>
      </c>
      <c r="B91" s="99"/>
      <c r="C91" s="99"/>
      <c r="D91" s="99"/>
      <c r="E91" s="99"/>
      <c r="F91" s="99"/>
      <c r="G91" s="99"/>
      <c r="H91" s="99"/>
      <c r="I91" s="99"/>
    </row>
    <row r="92" spans="1:19" x14ac:dyDescent="0.3">
      <c r="B92" s="2">
        <v>16</v>
      </c>
      <c r="C92" s="3" t="s">
        <v>335</v>
      </c>
      <c r="D92" s="5" t="s">
        <v>29</v>
      </c>
      <c r="G92" s="30">
        <v>6</v>
      </c>
      <c r="H92" s="38">
        <v>17.579999999999998</v>
      </c>
      <c r="I92" s="29">
        <f>G92*H92</f>
        <v>105.47999999999999</v>
      </c>
      <c r="J92">
        <v>1</v>
      </c>
    </row>
    <row r="93" spans="1:19" x14ac:dyDescent="0.3">
      <c r="D93" s="15" t="str">
        <f>SUBSTITUTE("Sp.mat: 0.00%",".",IF(VALUE("1.2")=1.2,".",","),2)</f>
        <v>Sp.mat: 0.00%</v>
      </c>
      <c r="F93" s="15" t="str">
        <f>SUBSTITUTE("Sp.man: 0.00%",".",IF(VALUE("1.2")=1.2,".",","),2)</f>
        <v>Sp.man: 0.00%</v>
      </c>
      <c r="G93" s="35" t="str">
        <f>SUBSTITUTE("Sp.uti: 0.00%",".",IF(VALUE("1.2")=1.2,".",","),2)</f>
        <v>Sp.uti: 0.00%</v>
      </c>
      <c r="H93" s="38">
        <v>5.61</v>
      </c>
      <c r="I93" s="29">
        <f>G92*H93</f>
        <v>33.660000000000004</v>
      </c>
      <c r="J93">
        <v>2</v>
      </c>
    </row>
    <row r="94" spans="1:19" x14ac:dyDescent="0.3">
      <c r="A94" s="88" t="s">
        <v>336</v>
      </c>
      <c r="B94" s="98"/>
      <c r="C94" s="98"/>
      <c r="D94" s="98"/>
      <c r="E94" s="98"/>
      <c r="F94" s="98"/>
      <c r="G94" s="98"/>
      <c r="H94" s="38">
        <f>(1+IF(OR(ISERR(FIND(":",G93)),ISERR(FIND("%",G93))),0,MID(G93,FIND(":",G93)+2,FIND("%",G93)-FIND(":",G93)-2)/100))*0</f>
        <v>0</v>
      </c>
      <c r="I94" s="29">
        <f>G92*H94</f>
        <v>0</v>
      </c>
      <c r="J94">
        <v>3</v>
      </c>
      <c r="K94" s="4">
        <v>0</v>
      </c>
      <c r="L94" s="4">
        <v>0</v>
      </c>
      <c r="M94" s="4">
        <f>I94-K94-L94</f>
        <v>0</v>
      </c>
    </row>
    <row r="95" spans="1:19" x14ac:dyDescent="0.3">
      <c r="A95" s="98"/>
      <c r="B95" s="98"/>
      <c r="C95" s="98"/>
      <c r="D95" s="98"/>
      <c r="E95" s="98"/>
      <c r="F95" s="98"/>
      <c r="G95" s="98"/>
      <c r="H95" s="38">
        <f>0</f>
        <v>0</v>
      </c>
      <c r="I95" s="29">
        <f>G92*H95</f>
        <v>0</v>
      </c>
      <c r="J95">
        <v>4</v>
      </c>
      <c r="N95" s="4">
        <f>IF(ISERR(SEARCH("TRA* 82",C92)),IF(Q95+R95+S95=0,0,I95*(Q95/(Q95+R95+S95))),I95)</f>
        <v>0</v>
      </c>
      <c r="O95" s="4">
        <f>IF(ISERR(SEARCH("TRA* 82",C92)),IF(Q95+R95+S95=0,0,I95*(R95/(Q95+R95+S95))),0)</f>
        <v>0</v>
      </c>
      <c r="P95" s="4">
        <f>IF(ISERR(SEARCH("TRA* 82",C92)),I95-N95-O95,0)</f>
        <v>0</v>
      </c>
      <c r="Q95" s="4">
        <v>0</v>
      </c>
      <c r="R95" s="4">
        <v>0</v>
      </c>
      <c r="S95" s="4">
        <v>0</v>
      </c>
    </row>
    <row r="96" spans="1:19" x14ac:dyDescent="0.3">
      <c r="A96" s="100" t="s">
        <v>27</v>
      </c>
      <c r="B96" s="101"/>
      <c r="C96" s="101"/>
      <c r="D96" s="101"/>
      <c r="E96" s="101"/>
      <c r="F96" s="101"/>
      <c r="G96" s="101"/>
      <c r="H96" s="33">
        <f>H92+H93+H94+H95</f>
        <v>23.189999999999998</v>
      </c>
      <c r="I96" s="37">
        <f>I92+I93+I94+I95</f>
        <v>139.13999999999999</v>
      </c>
      <c r="J96">
        <v>5</v>
      </c>
    </row>
    <row r="97" spans="1:19" x14ac:dyDescent="0.3">
      <c r="A97" s="99" t="s">
        <v>337</v>
      </c>
      <c r="B97" s="99"/>
      <c r="C97" s="99"/>
      <c r="D97" s="99"/>
      <c r="E97" s="99"/>
      <c r="F97" s="99"/>
      <c r="G97" s="99"/>
      <c r="H97" s="99"/>
      <c r="I97" s="99"/>
    </row>
    <row r="98" spans="1:19" x14ac:dyDescent="0.3">
      <c r="B98" s="2">
        <v>17</v>
      </c>
      <c r="C98" s="3" t="s">
        <v>338</v>
      </c>
      <c r="D98" s="5" t="s">
        <v>29</v>
      </c>
      <c r="G98" s="30">
        <v>11</v>
      </c>
      <c r="H98" s="38">
        <v>34.1</v>
      </c>
      <c r="I98" s="29">
        <f>G98*H98</f>
        <v>375.1</v>
      </c>
      <c r="J98">
        <v>1</v>
      </c>
    </row>
    <row r="99" spans="1:19" x14ac:dyDescent="0.3">
      <c r="D99" s="15" t="str">
        <f>SUBSTITUTE("Sp.mat: 0.00%",".",IF(VALUE("1.2")=1.2,".",","),2)</f>
        <v>Sp.mat: 0.00%</v>
      </c>
      <c r="F99" s="15" t="str">
        <f>SUBSTITUTE("Sp.man: 0.00%",".",IF(VALUE("1.2")=1.2,".",","),2)</f>
        <v>Sp.man: 0.00%</v>
      </c>
      <c r="G99" s="35" t="str">
        <f>SUBSTITUTE("Sp.uti: 0.00%",".",IF(VALUE("1.2")=1.2,".",","),2)</f>
        <v>Sp.uti: 0.00%</v>
      </c>
      <c r="H99" s="38">
        <v>8.81</v>
      </c>
      <c r="I99" s="29">
        <f>G98*H99</f>
        <v>96.910000000000011</v>
      </c>
      <c r="J99">
        <v>2</v>
      </c>
    </row>
    <row r="100" spans="1:19" x14ac:dyDescent="0.3">
      <c r="A100" s="88" t="s">
        <v>339</v>
      </c>
      <c r="B100" s="98"/>
      <c r="C100" s="98"/>
      <c r="D100" s="98"/>
      <c r="E100" s="98"/>
      <c r="F100" s="98"/>
      <c r="G100" s="98"/>
      <c r="H100" s="38">
        <f>(1+IF(OR(ISERR(FIND(":",G99)),ISERR(FIND("%",G99))),0,MID(G99,FIND(":",G99)+2,FIND("%",G99)-FIND(":",G99)-2)/100))*0</f>
        <v>0</v>
      </c>
      <c r="I100" s="29">
        <f>G98*H100</f>
        <v>0</v>
      </c>
      <c r="J100">
        <v>3</v>
      </c>
      <c r="K100" s="4">
        <v>0</v>
      </c>
      <c r="L100" s="4">
        <v>0</v>
      </c>
      <c r="M100" s="4">
        <f>I100-K100-L100</f>
        <v>0</v>
      </c>
    </row>
    <row r="101" spans="1:19" x14ac:dyDescent="0.3">
      <c r="A101" s="98"/>
      <c r="B101" s="98"/>
      <c r="C101" s="98"/>
      <c r="D101" s="98"/>
      <c r="E101" s="98"/>
      <c r="F101" s="98"/>
      <c r="G101" s="98"/>
      <c r="H101" s="38">
        <f>0</f>
        <v>0</v>
      </c>
      <c r="I101" s="29">
        <f>G98*H101</f>
        <v>0</v>
      </c>
      <c r="J101">
        <v>4</v>
      </c>
      <c r="N101" s="4">
        <f>IF(ISERR(SEARCH("TRA* 82",C98)),IF(Q101+R101+S101=0,0,I101*(Q101/(Q101+R101+S101))),I101)</f>
        <v>0</v>
      </c>
      <c r="O101" s="4">
        <f>IF(ISERR(SEARCH("TRA* 82",C98)),IF(Q101+R101+S101=0,0,I101*(R101/(Q101+R101+S101))),0)</f>
        <v>0</v>
      </c>
      <c r="P101" s="4">
        <f>IF(ISERR(SEARCH("TRA* 82",C98)),I101-N101-O101,0)</f>
        <v>0</v>
      </c>
      <c r="Q101" s="4">
        <v>0</v>
      </c>
      <c r="R101" s="4">
        <v>0</v>
      </c>
      <c r="S101" s="4">
        <v>0</v>
      </c>
    </row>
    <row r="102" spans="1:19" x14ac:dyDescent="0.3">
      <c r="A102" s="100" t="s">
        <v>27</v>
      </c>
      <c r="B102" s="101"/>
      <c r="C102" s="101"/>
      <c r="D102" s="101"/>
      <c r="E102" s="101"/>
      <c r="F102" s="101"/>
      <c r="G102" s="101"/>
      <c r="H102" s="33">
        <f>H98+H99+H100+H101</f>
        <v>42.910000000000004</v>
      </c>
      <c r="I102" s="37">
        <f>I98+I99+I100+I101</f>
        <v>472.01000000000005</v>
      </c>
      <c r="J102">
        <v>5</v>
      </c>
    </row>
    <row r="103" spans="1:19" x14ac:dyDescent="0.3">
      <c r="A103" s="99" t="s">
        <v>340</v>
      </c>
      <c r="B103" s="99"/>
      <c r="C103" s="99"/>
      <c r="D103" s="99"/>
      <c r="E103" s="99"/>
      <c r="F103" s="99"/>
      <c r="G103" s="99"/>
      <c r="H103" s="99"/>
      <c r="I103" s="99"/>
    </row>
    <row r="104" spans="1:19" x14ac:dyDescent="0.3">
      <c r="B104" s="2">
        <v>18</v>
      </c>
      <c r="C104" s="3" t="s">
        <v>338</v>
      </c>
      <c r="D104" s="5" t="s">
        <v>29</v>
      </c>
      <c r="G104" s="30">
        <v>7</v>
      </c>
      <c r="H104" s="38">
        <v>49.55</v>
      </c>
      <c r="I104" s="29">
        <f>G104*H104</f>
        <v>346.84999999999997</v>
      </c>
      <c r="J104">
        <v>1</v>
      </c>
    </row>
    <row r="105" spans="1:19" x14ac:dyDescent="0.3">
      <c r="D105" s="15" t="str">
        <f>SUBSTITUTE("Sp.mat: 0.00%",".",IF(VALUE("1.2")=1.2,".",","),2)</f>
        <v>Sp.mat: 0.00%</v>
      </c>
      <c r="F105" s="15" t="str">
        <f>SUBSTITUTE("Sp.man: 0.00%",".",IF(VALUE("1.2")=1.2,".",","),2)</f>
        <v>Sp.man: 0.00%</v>
      </c>
      <c r="G105" s="35" t="str">
        <f>SUBSTITUTE("Sp.uti: 0.00%",".",IF(VALUE("1.2")=1.2,".",","),2)</f>
        <v>Sp.uti: 0.00%</v>
      </c>
      <c r="H105" s="38">
        <v>8.81</v>
      </c>
      <c r="I105" s="29">
        <f>G104*H105</f>
        <v>61.67</v>
      </c>
      <c r="J105">
        <v>2</v>
      </c>
    </row>
    <row r="106" spans="1:19" x14ac:dyDescent="0.3">
      <c r="A106" s="88" t="s">
        <v>339</v>
      </c>
      <c r="B106" s="98"/>
      <c r="C106" s="98"/>
      <c r="D106" s="98"/>
      <c r="E106" s="98"/>
      <c r="F106" s="98"/>
      <c r="G106" s="98"/>
      <c r="H106" s="38">
        <f>(1+IF(OR(ISERR(FIND(":",G105)),ISERR(FIND("%",G105))),0,MID(G105,FIND(":",G105)+2,FIND("%",G105)-FIND(":",G105)-2)/100))*0</f>
        <v>0</v>
      </c>
      <c r="I106" s="29">
        <f>G104*H106</f>
        <v>0</v>
      </c>
      <c r="J106">
        <v>3</v>
      </c>
      <c r="K106" s="4">
        <v>0</v>
      </c>
      <c r="L106" s="4">
        <v>0</v>
      </c>
      <c r="M106" s="4">
        <f>I106-K106-L106</f>
        <v>0</v>
      </c>
    </row>
    <row r="107" spans="1:19" x14ac:dyDescent="0.3">
      <c r="A107" s="98"/>
      <c r="B107" s="98"/>
      <c r="C107" s="98"/>
      <c r="D107" s="98"/>
      <c r="E107" s="98"/>
      <c r="F107" s="98"/>
      <c r="G107" s="98"/>
      <c r="H107" s="38">
        <f>0</f>
        <v>0</v>
      </c>
      <c r="I107" s="29">
        <f>G104*H107</f>
        <v>0</v>
      </c>
      <c r="J107">
        <v>4</v>
      </c>
      <c r="N107" s="4">
        <f>IF(ISERR(SEARCH("TRA* 82",C104)),IF(Q107+R107+S107=0,0,I107*(Q107/(Q107+R107+S107))),I107)</f>
        <v>0</v>
      </c>
      <c r="O107" s="4">
        <f>IF(ISERR(SEARCH("TRA* 82",C104)),IF(Q107+R107+S107=0,0,I107*(R107/(Q107+R107+S107))),0)</f>
        <v>0</v>
      </c>
      <c r="P107" s="4">
        <f>IF(ISERR(SEARCH("TRA* 82",C104)),I107-N107-O107,0)</f>
        <v>0</v>
      </c>
      <c r="Q107" s="4">
        <v>0</v>
      </c>
      <c r="R107" s="4">
        <v>0</v>
      </c>
      <c r="S107" s="4">
        <v>0</v>
      </c>
    </row>
    <row r="108" spans="1:19" x14ac:dyDescent="0.3">
      <c r="A108" s="100" t="s">
        <v>27</v>
      </c>
      <c r="B108" s="101"/>
      <c r="C108" s="101"/>
      <c r="D108" s="101"/>
      <c r="E108" s="101"/>
      <c r="F108" s="101"/>
      <c r="G108" s="101"/>
      <c r="H108" s="33">
        <f>H104+H105+H106+H107</f>
        <v>58.36</v>
      </c>
      <c r="I108" s="37">
        <f>I104+I105+I106+I107</f>
        <v>408.52</v>
      </c>
      <c r="J108">
        <v>5</v>
      </c>
    </row>
    <row r="109" spans="1:19" x14ac:dyDescent="0.3">
      <c r="A109" s="99" t="s">
        <v>341</v>
      </c>
      <c r="B109" s="99"/>
      <c r="C109" s="99"/>
      <c r="D109" s="99"/>
      <c r="E109" s="99"/>
      <c r="F109" s="99"/>
      <c r="G109" s="99"/>
      <c r="H109" s="99"/>
      <c r="I109" s="99"/>
    </row>
    <row r="110" spans="1:19" x14ac:dyDescent="0.3">
      <c r="B110" s="2">
        <v>19</v>
      </c>
      <c r="C110" s="3" t="s">
        <v>342</v>
      </c>
      <c r="D110" s="5" t="s">
        <v>29</v>
      </c>
      <c r="G110" s="30">
        <v>5</v>
      </c>
      <c r="H110" s="38">
        <v>77.08</v>
      </c>
      <c r="I110" s="29">
        <f>G110*H110</f>
        <v>385.4</v>
      </c>
      <c r="J110">
        <v>1</v>
      </c>
    </row>
    <row r="111" spans="1:19" x14ac:dyDescent="0.3">
      <c r="D111" s="15" t="str">
        <f>SUBSTITUTE("Sp.mat: 0.00%",".",IF(VALUE("1.2")=1.2,".",","),2)</f>
        <v>Sp.mat: 0.00%</v>
      </c>
      <c r="F111" s="15" t="str">
        <f>SUBSTITUTE("Sp.man: 0.00%",".",IF(VALUE("1.2")=1.2,".",","),2)</f>
        <v>Sp.man: 0.00%</v>
      </c>
      <c r="G111" s="35" t="str">
        <f>SUBSTITUTE("Sp.uti: 0.00%",".",IF(VALUE("1.2")=1.2,".",","),2)</f>
        <v>Sp.uti: 0.00%</v>
      </c>
      <c r="H111" s="38">
        <v>12.01</v>
      </c>
      <c r="I111" s="29">
        <f>G110*H111</f>
        <v>60.05</v>
      </c>
      <c r="J111">
        <v>2</v>
      </c>
    </row>
    <row r="112" spans="1:19" x14ac:dyDescent="0.3">
      <c r="A112" s="88" t="s">
        <v>343</v>
      </c>
      <c r="B112" s="98"/>
      <c r="C112" s="98"/>
      <c r="D112" s="98"/>
      <c r="E112" s="98"/>
      <c r="F112" s="98"/>
      <c r="G112" s="98"/>
      <c r="H112" s="38">
        <f>(1+IF(OR(ISERR(FIND(":",G111)),ISERR(FIND("%",G111))),0,MID(G111,FIND(":",G111)+2,FIND("%",G111)-FIND(":",G111)-2)/100))*0</f>
        <v>0</v>
      </c>
      <c r="I112" s="29">
        <f>G110*H112</f>
        <v>0</v>
      </c>
      <c r="J112">
        <v>3</v>
      </c>
      <c r="K112" s="4">
        <v>0</v>
      </c>
      <c r="L112" s="4">
        <v>0</v>
      </c>
      <c r="M112" s="4">
        <f>I112-K112-L112</f>
        <v>0</v>
      </c>
    </row>
    <row r="113" spans="1:19" x14ac:dyDescent="0.3">
      <c r="A113" s="98"/>
      <c r="B113" s="98"/>
      <c r="C113" s="98"/>
      <c r="D113" s="98"/>
      <c r="E113" s="98"/>
      <c r="F113" s="98"/>
      <c r="G113" s="98"/>
      <c r="H113" s="38">
        <f>0</f>
        <v>0</v>
      </c>
      <c r="I113" s="29">
        <f>G110*H113</f>
        <v>0</v>
      </c>
      <c r="J113">
        <v>4</v>
      </c>
      <c r="N113" s="4">
        <f>IF(ISERR(SEARCH("TRA* 82",C110)),IF(Q113+R113+S113=0,0,I113*(Q113/(Q113+R113+S113))),I113)</f>
        <v>0</v>
      </c>
      <c r="O113" s="4">
        <f>IF(ISERR(SEARCH("TRA* 82",C110)),IF(Q113+R113+S113=0,0,I113*(R113/(Q113+R113+S113))),0)</f>
        <v>0</v>
      </c>
      <c r="P113" s="4">
        <f>IF(ISERR(SEARCH("TRA* 82",C110)),I113-N113-O113,0)</f>
        <v>0</v>
      </c>
      <c r="Q113" s="4">
        <v>0</v>
      </c>
      <c r="R113" s="4">
        <v>0</v>
      </c>
      <c r="S113" s="4">
        <v>0</v>
      </c>
    </row>
    <row r="114" spans="1:19" x14ac:dyDescent="0.3">
      <c r="A114" s="100" t="s">
        <v>27</v>
      </c>
      <c r="B114" s="101"/>
      <c r="C114" s="101"/>
      <c r="D114" s="101"/>
      <c r="E114" s="101"/>
      <c r="F114" s="101"/>
      <c r="G114" s="101"/>
      <c r="H114" s="33">
        <f>H110+H111+H112+H113</f>
        <v>89.09</v>
      </c>
      <c r="I114" s="37">
        <f>I110+I111+I112+I113</f>
        <v>445.45</v>
      </c>
      <c r="J114">
        <v>5</v>
      </c>
    </row>
    <row r="115" spans="1:19" x14ac:dyDescent="0.3">
      <c r="A115" s="99" t="s">
        <v>344</v>
      </c>
      <c r="B115" s="99"/>
      <c r="C115" s="99"/>
      <c r="D115" s="99"/>
      <c r="E115" s="99"/>
      <c r="F115" s="99"/>
      <c r="G115" s="99"/>
      <c r="H115" s="99"/>
      <c r="I115" s="99"/>
    </row>
    <row r="116" spans="1:19" x14ac:dyDescent="0.3">
      <c r="B116" s="2">
        <v>20</v>
      </c>
      <c r="C116" s="3" t="s">
        <v>910</v>
      </c>
      <c r="D116" s="5" t="s">
        <v>29</v>
      </c>
      <c r="G116" s="30">
        <v>6</v>
      </c>
      <c r="H116" s="38">
        <v>187.19</v>
      </c>
      <c r="I116" s="29">
        <f>G116*H116</f>
        <v>1123.1399999999999</v>
      </c>
      <c r="J116">
        <v>1</v>
      </c>
    </row>
    <row r="117" spans="1:19" x14ac:dyDescent="0.3">
      <c r="D117" s="15" t="str">
        <f>SUBSTITUTE("Sp.mat: 0.00%",".",IF(VALUE("1.2")=1.2,".",","),2)</f>
        <v>Sp.mat: 0.00%</v>
      </c>
      <c r="F117" s="15" t="str">
        <f>SUBSTITUTE("Sp.man: 0.00%",".",IF(VALUE("1.2")=1.2,".",","),2)</f>
        <v>Sp.man: 0.00%</v>
      </c>
      <c r="G117" s="35" t="str">
        <f>SUBSTITUTE("Sp.uti: 0.00%",".",IF(VALUE("1.2")=1.2,".",","),2)</f>
        <v>Sp.uti: 0.00%</v>
      </c>
      <c r="H117" s="38">
        <v>17.62</v>
      </c>
      <c r="I117" s="29">
        <f>G116*H117</f>
        <v>105.72</v>
      </c>
      <c r="J117">
        <v>2</v>
      </c>
    </row>
    <row r="118" spans="1:19" x14ac:dyDescent="0.3">
      <c r="A118" s="88" t="s">
        <v>911</v>
      </c>
      <c r="B118" s="98"/>
      <c r="C118" s="98"/>
      <c r="D118" s="98"/>
      <c r="E118" s="98"/>
      <c r="F118" s="98"/>
      <c r="G118" s="98"/>
      <c r="H118" s="38">
        <f>(1+IF(OR(ISERR(FIND(":",G117)),ISERR(FIND("%",G117))),0,MID(G117,FIND(":",G117)+2,FIND("%",G117)-FIND(":",G117)-2)/100))*0</f>
        <v>0</v>
      </c>
      <c r="I118" s="29">
        <f>G116*H118</f>
        <v>0</v>
      </c>
      <c r="J118">
        <v>3</v>
      </c>
      <c r="K118" s="4">
        <v>0</v>
      </c>
      <c r="L118" s="4">
        <v>0</v>
      </c>
      <c r="M118" s="4">
        <f>I118-K118-L118</f>
        <v>0</v>
      </c>
    </row>
    <row r="119" spans="1:19" x14ac:dyDescent="0.3">
      <c r="A119" s="98"/>
      <c r="B119" s="98"/>
      <c r="C119" s="98"/>
      <c r="D119" s="98"/>
      <c r="E119" s="98"/>
      <c r="F119" s="98"/>
      <c r="G119" s="98"/>
      <c r="H119" s="38">
        <f>0</f>
        <v>0</v>
      </c>
      <c r="I119" s="29">
        <f>G116*H119</f>
        <v>0</v>
      </c>
      <c r="J119">
        <v>4</v>
      </c>
      <c r="N119" s="4">
        <f>IF(ISERR(SEARCH("TRA* 82",C116)),IF(Q119+R119+S119=0,0,I119*(Q119/(Q119+R119+S119))),I119)</f>
        <v>0</v>
      </c>
      <c r="O119" s="4">
        <f>IF(ISERR(SEARCH("TRA* 82",C116)),IF(Q119+R119+S119=0,0,I119*(R119/(Q119+R119+S119))),0)</f>
        <v>0</v>
      </c>
      <c r="P119" s="4">
        <f>IF(ISERR(SEARCH("TRA* 82",C116)),I119-N119-O119,0)</f>
        <v>0</v>
      </c>
      <c r="Q119" s="4">
        <v>0</v>
      </c>
      <c r="R119" s="4">
        <v>0</v>
      </c>
      <c r="S119" s="4">
        <v>0</v>
      </c>
    </row>
    <row r="120" spans="1:19" x14ac:dyDescent="0.3">
      <c r="A120" s="100" t="s">
        <v>27</v>
      </c>
      <c r="B120" s="101"/>
      <c r="C120" s="101"/>
      <c r="D120" s="101"/>
      <c r="E120" s="101"/>
      <c r="F120" s="101"/>
      <c r="G120" s="101"/>
      <c r="H120" s="33">
        <f>H116+H117+H118+H119</f>
        <v>204.81</v>
      </c>
      <c r="I120" s="37">
        <f>I116+I117+I118+I119</f>
        <v>1228.8599999999999</v>
      </c>
      <c r="J120">
        <v>5</v>
      </c>
    </row>
    <row r="121" spans="1:19" x14ac:dyDescent="0.3">
      <c r="A121" s="99" t="s">
        <v>912</v>
      </c>
      <c r="B121" s="99"/>
      <c r="C121" s="99"/>
      <c r="D121" s="99"/>
      <c r="E121" s="99"/>
      <c r="F121" s="99"/>
      <c r="G121" s="99"/>
      <c r="H121" s="99"/>
      <c r="I121" s="99"/>
    </row>
    <row r="122" spans="1:19" x14ac:dyDescent="0.3">
      <c r="B122" s="2">
        <v>21</v>
      </c>
      <c r="C122" s="3" t="s">
        <v>345</v>
      </c>
      <c r="D122" s="5" t="s">
        <v>29</v>
      </c>
      <c r="G122" s="30">
        <v>1</v>
      </c>
      <c r="H122" s="38">
        <v>20.03</v>
      </c>
      <c r="I122" s="29">
        <f>G122*H122</f>
        <v>20.03</v>
      </c>
      <c r="J122">
        <v>1</v>
      </c>
    </row>
    <row r="123" spans="1:19" x14ac:dyDescent="0.3">
      <c r="D123" s="15" t="str">
        <f>SUBSTITUTE("Sp.mat: 0.00%",".",IF(VALUE("1.2")=1.2,".",","),2)</f>
        <v>Sp.mat: 0.00%</v>
      </c>
      <c r="F123" s="15" t="str">
        <f>SUBSTITUTE("Sp.man: 0.00%",".",IF(VALUE("1.2")=1.2,".",","),2)</f>
        <v>Sp.man: 0.00%</v>
      </c>
      <c r="G123" s="35" t="str">
        <f>SUBSTITUTE("Sp.uti: 0.00%",".",IF(VALUE("1.2")=1.2,".",","),2)</f>
        <v>Sp.uti: 0.00%</v>
      </c>
      <c r="H123" s="38">
        <v>3.52</v>
      </c>
      <c r="I123" s="29">
        <f>G122*H123</f>
        <v>3.52</v>
      </c>
      <c r="J123">
        <v>2</v>
      </c>
    </row>
    <row r="124" spans="1:19" x14ac:dyDescent="0.3">
      <c r="A124" s="88" t="s">
        <v>346</v>
      </c>
      <c r="B124" s="98"/>
      <c r="C124" s="98"/>
      <c r="D124" s="98"/>
      <c r="E124" s="98"/>
      <c r="F124" s="98"/>
      <c r="G124" s="98"/>
      <c r="H124" s="38">
        <f>(1+IF(OR(ISERR(FIND(":",G123)),ISERR(FIND("%",G123))),0,MID(G123,FIND(":",G123)+2,FIND("%",G123)-FIND(":",G123)-2)/100))*0</f>
        <v>0</v>
      </c>
      <c r="I124" s="29">
        <f>G122*H124</f>
        <v>0</v>
      </c>
      <c r="J124">
        <v>3</v>
      </c>
      <c r="K124" s="4">
        <v>0</v>
      </c>
      <c r="L124" s="4">
        <v>0</v>
      </c>
      <c r="M124" s="4">
        <f>I124-K124-L124</f>
        <v>0</v>
      </c>
    </row>
    <row r="125" spans="1:19" x14ac:dyDescent="0.3">
      <c r="A125" s="98"/>
      <c r="B125" s="98"/>
      <c r="C125" s="98"/>
      <c r="D125" s="98"/>
      <c r="E125" s="98"/>
      <c r="F125" s="98"/>
      <c r="G125" s="98"/>
      <c r="H125" s="38">
        <f>0</f>
        <v>0</v>
      </c>
      <c r="I125" s="29">
        <f>G122*H125</f>
        <v>0</v>
      </c>
      <c r="J125">
        <v>4</v>
      </c>
      <c r="N125" s="4">
        <f>IF(ISERR(SEARCH("TRA* 82",C122)),IF(Q125+R125+S125=0,0,I125*(Q125/(Q125+R125+S125))),I125)</f>
        <v>0</v>
      </c>
      <c r="O125" s="4">
        <f>IF(ISERR(SEARCH("TRA* 82",C122)),IF(Q125+R125+S125=0,0,I125*(R125/(Q125+R125+S125))),0)</f>
        <v>0</v>
      </c>
      <c r="P125" s="4">
        <f>IF(ISERR(SEARCH("TRA* 82",C122)),I125-N125-O125,0)</f>
        <v>0</v>
      </c>
      <c r="Q125" s="4">
        <v>0</v>
      </c>
      <c r="R125" s="4">
        <v>0</v>
      </c>
      <c r="S125" s="4">
        <v>0</v>
      </c>
    </row>
    <row r="126" spans="1:19" x14ac:dyDescent="0.3">
      <c r="A126" s="100" t="s">
        <v>87</v>
      </c>
      <c r="B126" s="101"/>
      <c r="C126" s="101"/>
      <c r="D126" s="101"/>
      <c r="E126" s="101"/>
      <c r="F126" s="101"/>
      <c r="G126" s="101"/>
      <c r="H126" s="33">
        <f>H122+H123+H124+H125</f>
        <v>23.55</v>
      </c>
      <c r="I126" s="37">
        <f>I122+I123+I124+I125</f>
        <v>23.55</v>
      </c>
      <c r="J126">
        <v>5</v>
      </c>
    </row>
    <row r="127" spans="1:19" x14ac:dyDescent="0.3">
      <c r="A127" s="99" t="s">
        <v>347</v>
      </c>
      <c r="B127" s="99"/>
      <c r="C127" s="99"/>
      <c r="D127" s="99"/>
      <c r="E127" s="99"/>
      <c r="F127" s="99"/>
      <c r="G127" s="99"/>
      <c r="H127" s="99"/>
      <c r="I127" s="99"/>
    </row>
    <row r="128" spans="1:19" x14ac:dyDescent="0.3">
      <c r="B128" s="2">
        <v>22</v>
      </c>
      <c r="C128" s="3" t="s">
        <v>913</v>
      </c>
      <c r="D128" s="5" t="s">
        <v>29</v>
      </c>
      <c r="G128" s="30">
        <v>2</v>
      </c>
      <c r="H128" s="38">
        <v>172.45</v>
      </c>
      <c r="I128" s="29">
        <f>G128*H128</f>
        <v>344.9</v>
      </c>
      <c r="J128">
        <v>1</v>
      </c>
    </row>
    <row r="129" spans="1:19" x14ac:dyDescent="0.3">
      <c r="D129" s="15" t="str">
        <f>SUBSTITUTE("Sp.mat: 0.00%",".",IF(VALUE("1.2")=1.2,".",","),2)</f>
        <v>Sp.mat: 0.00%</v>
      </c>
      <c r="F129" s="15" t="str">
        <f>SUBSTITUTE("Sp.man: 0.00%",".",IF(VALUE("1.2")=1.2,".",","),2)</f>
        <v>Sp.man: 0.00%</v>
      </c>
      <c r="G129" s="35" t="str">
        <f>SUBSTITUTE("Sp.uti: 0.00%",".",IF(VALUE("1.2")=1.2,".",","),2)</f>
        <v>Sp.uti: 0.00%</v>
      </c>
      <c r="H129" s="38">
        <v>14.26</v>
      </c>
      <c r="I129" s="29">
        <f>G128*H129</f>
        <v>28.52</v>
      </c>
      <c r="J129">
        <v>2</v>
      </c>
    </row>
    <row r="130" spans="1:19" x14ac:dyDescent="0.3">
      <c r="A130" s="88" t="s">
        <v>914</v>
      </c>
      <c r="B130" s="98"/>
      <c r="C130" s="98"/>
      <c r="D130" s="98"/>
      <c r="E130" s="98"/>
      <c r="F130" s="98"/>
      <c r="G130" s="98"/>
      <c r="H130" s="38">
        <f>(1+IF(OR(ISERR(FIND(":",G129)),ISERR(FIND("%",G129))),0,MID(G129,FIND(":",G129)+2,FIND("%",G129)-FIND(":",G129)-2)/100))*0</f>
        <v>0</v>
      </c>
      <c r="I130" s="29">
        <f>G128*H130</f>
        <v>0</v>
      </c>
      <c r="J130">
        <v>3</v>
      </c>
      <c r="K130" s="4">
        <v>0</v>
      </c>
      <c r="L130" s="4">
        <v>0</v>
      </c>
      <c r="M130" s="4">
        <f>I130-K130-L130</f>
        <v>0</v>
      </c>
    </row>
    <row r="131" spans="1:19" x14ac:dyDescent="0.3">
      <c r="A131" s="98"/>
      <c r="B131" s="98"/>
      <c r="C131" s="98"/>
      <c r="D131" s="98"/>
      <c r="E131" s="98"/>
      <c r="F131" s="98"/>
      <c r="G131" s="98"/>
      <c r="H131" s="38">
        <f>0</f>
        <v>0</v>
      </c>
      <c r="I131" s="29">
        <f>G128*H131</f>
        <v>0</v>
      </c>
      <c r="J131">
        <v>4</v>
      </c>
      <c r="N131" s="4">
        <f>IF(ISERR(SEARCH("TRA* 82",C128)),IF(Q131+R131+S131=0,0,I131*(Q131/(Q131+R131+S131))),I131)</f>
        <v>0</v>
      </c>
      <c r="O131" s="4">
        <f>IF(ISERR(SEARCH("TRA* 82",C128)),IF(Q131+R131+S131=0,0,I131*(R131/(Q131+R131+S131))),0)</f>
        <v>0</v>
      </c>
      <c r="P131" s="4">
        <f>IF(ISERR(SEARCH("TRA* 82",C128)),I131-N131-O131,0)</f>
        <v>0</v>
      </c>
      <c r="Q131" s="4">
        <v>0</v>
      </c>
      <c r="R131" s="4">
        <v>0</v>
      </c>
      <c r="S131" s="4">
        <v>0</v>
      </c>
    </row>
    <row r="132" spans="1:19" x14ac:dyDescent="0.3">
      <c r="A132" s="100" t="s">
        <v>87</v>
      </c>
      <c r="B132" s="101"/>
      <c r="C132" s="101"/>
      <c r="D132" s="101"/>
      <c r="E132" s="101"/>
      <c r="F132" s="101"/>
      <c r="G132" s="101"/>
      <c r="H132" s="33">
        <f>H128+H129+H130+H131</f>
        <v>186.70999999999998</v>
      </c>
      <c r="I132" s="37">
        <f>I128+I129+I130+I131</f>
        <v>373.41999999999996</v>
      </c>
      <c r="J132">
        <v>5</v>
      </c>
    </row>
    <row r="133" spans="1:19" x14ac:dyDescent="0.3">
      <c r="A133" s="99" t="s">
        <v>915</v>
      </c>
      <c r="B133" s="99"/>
      <c r="C133" s="99"/>
      <c r="D133" s="99"/>
      <c r="E133" s="99"/>
      <c r="F133" s="99"/>
      <c r="G133" s="99"/>
      <c r="H133" s="99"/>
      <c r="I133" s="99"/>
    </row>
    <row r="134" spans="1:19" x14ac:dyDescent="0.3">
      <c r="B134" s="2">
        <v>23</v>
      </c>
      <c r="C134" s="3" t="s">
        <v>916</v>
      </c>
      <c r="D134" s="5" t="s">
        <v>29</v>
      </c>
      <c r="G134" s="30">
        <v>1</v>
      </c>
      <c r="H134" s="38">
        <v>890.47</v>
      </c>
      <c r="I134" s="29">
        <f>G134*H134</f>
        <v>890.47</v>
      </c>
      <c r="J134">
        <v>1</v>
      </c>
    </row>
    <row r="135" spans="1:19" x14ac:dyDescent="0.3">
      <c r="D135" s="15" t="str">
        <f>SUBSTITUTE("Sp.mat: 0.00%",".",IF(VALUE("1.2")=1.2,".",","),2)</f>
        <v>Sp.mat: 0.00%</v>
      </c>
      <c r="F135" s="15" t="str">
        <f>SUBSTITUTE("Sp.man: 0.00%",".",IF(VALUE("1.2")=1.2,".",","),2)</f>
        <v>Sp.man: 0.00%</v>
      </c>
      <c r="G135" s="35" t="str">
        <f>SUBSTITUTE("Sp.uti: 0.00%",".",IF(VALUE("1.2")=1.2,".",","),2)</f>
        <v>Sp.uti: 0.00%</v>
      </c>
      <c r="H135" s="38">
        <v>20.02</v>
      </c>
      <c r="I135" s="29">
        <f>G134*H135</f>
        <v>20.02</v>
      </c>
      <c r="J135">
        <v>2</v>
      </c>
    </row>
    <row r="136" spans="1:19" x14ac:dyDescent="0.3">
      <c r="A136" s="88" t="s">
        <v>917</v>
      </c>
      <c r="B136" s="98"/>
      <c r="C136" s="98"/>
      <c r="D136" s="98"/>
      <c r="E136" s="98"/>
      <c r="F136" s="98"/>
      <c r="G136" s="98"/>
      <c r="H136" s="38">
        <f>(1+IF(OR(ISERR(FIND(":",G135)),ISERR(FIND("%",G135))),0,MID(G135,FIND(":",G135)+2,FIND("%",G135)-FIND(":",G135)-2)/100))*0</f>
        <v>0</v>
      </c>
      <c r="I136" s="29">
        <f>G134*H136</f>
        <v>0</v>
      </c>
      <c r="J136">
        <v>3</v>
      </c>
      <c r="K136" s="4">
        <v>0</v>
      </c>
      <c r="L136" s="4">
        <v>0</v>
      </c>
      <c r="M136" s="4">
        <f>I136-K136-L136</f>
        <v>0</v>
      </c>
    </row>
    <row r="137" spans="1:19" x14ac:dyDescent="0.3">
      <c r="A137" s="98"/>
      <c r="B137" s="98"/>
      <c r="C137" s="98"/>
      <c r="D137" s="98"/>
      <c r="E137" s="98"/>
      <c r="F137" s="98"/>
      <c r="G137" s="98"/>
      <c r="H137" s="38">
        <f>0</f>
        <v>0</v>
      </c>
      <c r="I137" s="29">
        <f>G134*H137</f>
        <v>0</v>
      </c>
      <c r="J137">
        <v>4</v>
      </c>
      <c r="N137" s="4">
        <f>IF(ISERR(SEARCH("TRA* 82",C134)),IF(Q137+R137+S137=0,0,I137*(Q137/(Q137+R137+S137))),I137)</f>
        <v>0</v>
      </c>
      <c r="O137" s="4">
        <f>IF(ISERR(SEARCH("TRA* 82",C134)),IF(Q137+R137+S137=0,0,I137*(R137/(Q137+R137+S137))),0)</f>
        <v>0</v>
      </c>
      <c r="P137" s="4">
        <f>IF(ISERR(SEARCH("TRA* 82",C134)),I137-N137-O137,0)</f>
        <v>0</v>
      </c>
      <c r="Q137" s="4">
        <v>0</v>
      </c>
      <c r="R137" s="4">
        <v>0</v>
      </c>
      <c r="S137" s="4">
        <v>0</v>
      </c>
    </row>
    <row r="138" spans="1:19" x14ac:dyDescent="0.3">
      <c r="A138" s="100" t="s">
        <v>87</v>
      </c>
      <c r="B138" s="101"/>
      <c r="C138" s="101"/>
      <c r="D138" s="101"/>
      <c r="E138" s="101"/>
      <c r="F138" s="101"/>
      <c r="G138" s="101"/>
      <c r="H138" s="33">
        <f>H134+H135+H136+H137</f>
        <v>910.49</v>
      </c>
      <c r="I138" s="37">
        <f>I134+I135+I136+I137</f>
        <v>910.49</v>
      </c>
      <c r="J138">
        <v>5</v>
      </c>
    </row>
    <row r="139" spans="1:19" x14ac:dyDescent="0.3">
      <c r="A139" s="99" t="s">
        <v>918</v>
      </c>
      <c r="B139" s="99"/>
      <c r="C139" s="99"/>
      <c r="D139" s="99"/>
      <c r="E139" s="99"/>
      <c r="F139" s="99"/>
      <c r="G139" s="99"/>
      <c r="H139" s="99"/>
      <c r="I139" s="99"/>
    </row>
    <row r="140" spans="1:19" x14ac:dyDescent="0.3">
      <c r="B140" s="2">
        <v>24</v>
      </c>
      <c r="C140" s="3" t="s">
        <v>366</v>
      </c>
      <c r="D140" s="5" t="s">
        <v>29</v>
      </c>
      <c r="G140" s="30">
        <v>1</v>
      </c>
      <c r="H140" s="38">
        <v>189.63</v>
      </c>
      <c r="I140" s="29">
        <f>G140*H140</f>
        <v>189.63</v>
      </c>
      <c r="J140">
        <v>1</v>
      </c>
    </row>
    <row r="141" spans="1:19" x14ac:dyDescent="0.3">
      <c r="D141" s="15" t="str">
        <f>SUBSTITUTE("Sp.mat: 0.00%",".",IF(VALUE("1.2")=1.2,".",","),2)</f>
        <v>Sp.mat: 0.00%</v>
      </c>
      <c r="F141" s="15" t="str">
        <f>SUBSTITUTE("Sp.man: 0.00%",".",IF(VALUE("1.2")=1.2,".",","),2)</f>
        <v>Sp.man: 0.00%</v>
      </c>
      <c r="G141" s="35" t="str">
        <f>SUBSTITUTE("Sp.uti: 0.00%",".",IF(VALUE("1.2")=1.2,".",","),2)</f>
        <v>Sp.uti: 0.00%</v>
      </c>
      <c r="H141" s="38">
        <v>9.61</v>
      </c>
      <c r="I141" s="29">
        <f>G140*H141</f>
        <v>9.61</v>
      </c>
      <c r="J141">
        <v>2</v>
      </c>
    </row>
    <row r="142" spans="1:19" x14ac:dyDescent="0.3">
      <c r="A142" s="88" t="s">
        <v>367</v>
      </c>
      <c r="B142" s="98"/>
      <c r="C142" s="98"/>
      <c r="D142" s="98"/>
      <c r="E142" s="98"/>
      <c r="F142" s="98"/>
      <c r="G142" s="98"/>
      <c r="H142" s="38">
        <f>(1+IF(OR(ISERR(FIND(":",G141)),ISERR(FIND("%",G141))),0,MID(G141,FIND(":",G141)+2,FIND("%",G141)-FIND(":",G141)-2)/100))*0</f>
        <v>0</v>
      </c>
      <c r="I142" s="29">
        <f>G140*H142</f>
        <v>0</v>
      </c>
      <c r="J142">
        <v>3</v>
      </c>
      <c r="K142" s="4">
        <v>0</v>
      </c>
      <c r="L142" s="4">
        <v>0</v>
      </c>
      <c r="M142" s="4">
        <f>I142-K142-L142</f>
        <v>0</v>
      </c>
    </row>
    <row r="143" spans="1:19" x14ac:dyDescent="0.3">
      <c r="A143" s="98"/>
      <c r="B143" s="98"/>
      <c r="C143" s="98"/>
      <c r="D143" s="98"/>
      <c r="E143" s="98"/>
      <c r="F143" s="98"/>
      <c r="G143" s="98"/>
      <c r="H143" s="38">
        <f>0</f>
        <v>0</v>
      </c>
      <c r="I143" s="29">
        <f>G140*H143</f>
        <v>0</v>
      </c>
      <c r="J143">
        <v>4</v>
      </c>
      <c r="N143" s="4">
        <f>IF(ISERR(SEARCH("TRA* 82",C140)),IF(Q143+R143+S143=0,0,I143*(Q143/(Q143+R143+S143))),I143)</f>
        <v>0</v>
      </c>
      <c r="O143" s="4">
        <f>IF(ISERR(SEARCH("TRA* 82",C140)),IF(Q143+R143+S143=0,0,I143*(R143/(Q143+R143+S143))),0)</f>
        <v>0</v>
      </c>
      <c r="P143" s="4">
        <f>IF(ISERR(SEARCH("TRA* 82",C140)),I143-N143-O143,0)</f>
        <v>0</v>
      </c>
      <c r="Q143" s="4">
        <v>0</v>
      </c>
      <c r="R143" s="4">
        <v>0</v>
      </c>
      <c r="S143" s="4">
        <v>0</v>
      </c>
    </row>
    <row r="144" spans="1:19" x14ac:dyDescent="0.3">
      <c r="A144" s="96" t="s">
        <v>27</v>
      </c>
      <c r="B144" s="97"/>
      <c r="C144" s="97"/>
      <c r="D144" s="97"/>
      <c r="E144" s="97"/>
      <c r="F144" s="97"/>
      <c r="G144" s="97"/>
      <c r="H144" s="36">
        <f>H140+H141+H142+H143</f>
        <v>199.24</v>
      </c>
      <c r="I144" s="74">
        <f>I140+I141+I142+I143</f>
        <v>199.24</v>
      </c>
      <c r="J144">
        <v>5</v>
      </c>
    </row>
    <row r="145" spans="1:19" x14ac:dyDescent="0.3">
      <c r="B145" s="2">
        <v>25</v>
      </c>
      <c r="C145" s="3" t="s">
        <v>325</v>
      </c>
      <c r="D145" s="5" t="s">
        <v>29</v>
      </c>
      <c r="G145" s="30">
        <v>1</v>
      </c>
      <c r="H145" s="38">
        <v>942.9</v>
      </c>
      <c r="I145" s="29">
        <f>G145*H145</f>
        <v>942.9</v>
      </c>
      <c r="J145">
        <v>1</v>
      </c>
    </row>
    <row r="146" spans="1:19" x14ac:dyDescent="0.3">
      <c r="D146" s="15" t="str">
        <f>SUBSTITUTE("Sp.mat: 0.00%",".",IF(VALUE("1.2")=1.2,".",","),2)</f>
        <v>Sp.mat: 0.00%</v>
      </c>
      <c r="F146" s="15" t="str">
        <f>SUBSTITUTE("Sp.man: 0.00%",".",IF(VALUE("1.2")=1.2,".",","),2)</f>
        <v>Sp.man: 0.00%</v>
      </c>
      <c r="G146" s="35" t="str">
        <f>SUBSTITUTE("Sp.uti: 0.00%",".",IF(VALUE("1.2")=1.2,".",","),2)</f>
        <v>Sp.uti: 0.00%</v>
      </c>
      <c r="H146" s="38">
        <v>15.06</v>
      </c>
      <c r="I146" s="29">
        <f>G145*H146</f>
        <v>15.06</v>
      </c>
      <c r="J146">
        <v>2</v>
      </c>
    </row>
    <row r="147" spans="1:19" x14ac:dyDescent="0.3">
      <c r="A147" s="88" t="s">
        <v>326</v>
      </c>
      <c r="B147" s="98"/>
      <c r="C147" s="98"/>
      <c r="D147" s="98"/>
      <c r="E147" s="98"/>
      <c r="F147" s="98"/>
      <c r="G147" s="98"/>
      <c r="H147" s="38">
        <f>(1+IF(OR(ISERR(FIND(":",G146)),ISERR(FIND("%",G146))),0,MID(G146,FIND(":",G146)+2,FIND("%",G146)-FIND(":",G146)-2)/100))*0</f>
        <v>0</v>
      </c>
      <c r="I147" s="29">
        <f>G145*H147</f>
        <v>0</v>
      </c>
      <c r="J147">
        <v>3</v>
      </c>
      <c r="K147" s="4">
        <v>0</v>
      </c>
      <c r="L147" s="4">
        <v>0</v>
      </c>
      <c r="M147" s="4">
        <f>I147-K147-L147</f>
        <v>0</v>
      </c>
    </row>
    <row r="148" spans="1:19" x14ac:dyDescent="0.3">
      <c r="A148" s="98"/>
      <c r="B148" s="98"/>
      <c r="C148" s="98"/>
      <c r="D148" s="98"/>
      <c r="E148" s="98"/>
      <c r="F148" s="98"/>
      <c r="G148" s="98"/>
      <c r="H148" s="38">
        <f>0</f>
        <v>0</v>
      </c>
      <c r="I148" s="29">
        <f>G145*H148</f>
        <v>0</v>
      </c>
      <c r="J148">
        <v>4</v>
      </c>
      <c r="N148" s="4">
        <f>IF(ISERR(SEARCH("TRA* 82",C145)),IF(Q148+R148+S148=0,0,I148*(Q148/(Q148+R148+S148))),I148)</f>
        <v>0</v>
      </c>
      <c r="O148" s="4">
        <f>IF(ISERR(SEARCH("TRA* 82",C145)),IF(Q148+R148+S148=0,0,I148*(R148/(Q148+R148+S148))),0)</f>
        <v>0</v>
      </c>
      <c r="P148" s="4">
        <f>IF(ISERR(SEARCH("TRA* 82",C145)),I148-N148-O148,0)</f>
        <v>0</v>
      </c>
      <c r="Q148" s="4">
        <v>0</v>
      </c>
      <c r="R148" s="4">
        <v>0</v>
      </c>
      <c r="S148" s="4">
        <v>0</v>
      </c>
    </row>
    <row r="149" spans="1:19" x14ac:dyDescent="0.3">
      <c r="A149" s="96" t="s">
        <v>27</v>
      </c>
      <c r="B149" s="97"/>
      <c r="C149" s="97"/>
      <c r="D149" s="97"/>
      <c r="E149" s="97"/>
      <c r="F149" s="97"/>
      <c r="G149" s="97"/>
      <c r="H149" s="36">
        <f>H145+H146+H147+H148</f>
        <v>957.95999999999992</v>
      </c>
      <c r="I149" s="74">
        <f>I145+I146+I147+I148</f>
        <v>957.95999999999992</v>
      </c>
      <c r="J149">
        <v>5</v>
      </c>
    </row>
    <row r="150" spans="1:19" x14ac:dyDescent="0.3">
      <c r="B150" s="2">
        <v>26</v>
      </c>
      <c r="C150" s="3" t="s">
        <v>329</v>
      </c>
      <c r="D150" s="5" t="s">
        <v>29</v>
      </c>
      <c r="G150" s="30">
        <v>1</v>
      </c>
      <c r="H150" s="38">
        <v>2397.38</v>
      </c>
      <c r="I150" s="29">
        <f>G150*H150</f>
        <v>2397.38</v>
      </c>
      <c r="J150">
        <v>1</v>
      </c>
    </row>
    <row r="151" spans="1:19" x14ac:dyDescent="0.3">
      <c r="D151" s="15" t="str">
        <f>SUBSTITUTE("Sp.mat: 0.00%",".",IF(VALUE("1.2")=1.2,".",","),2)</f>
        <v>Sp.mat: 0.00%</v>
      </c>
      <c r="F151" s="15" t="str">
        <f>SUBSTITUTE("Sp.man: 0.00%",".",IF(VALUE("1.2")=1.2,".",","),2)</f>
        <v>Sp.man: 0.00%</v>
      </c>
      <c r="G151" s="35" t="str">
        <f>SUBSTITUTE("Sp.uti: 0.00%",".",IF(VALUE("1.2")=1.2,".",","),2)</f>
        <v>Sp.uti: 0.00%</v>
      </c>
      <c r="H151" s="38">
        <v>20.02</v>
      </c>
      <c r="I151" s="29">
        <f>G150*H151</f>
        <v>20.02</v>
      </c>
      <c r="J151">
        <v>2</v>
      </c>
    </row>
    <row r="152" spans="1:19" x14ac:dyDescent="0.3">
      <c r="A152" s="88" t="s">
        <v>330</v>
      </c>
      <c r="B152" s="98"/>
      <c r="C152" s="98"/>
      <c r="D152" s="98"/>
      <c r="E152" s="98"/>
      <c r="F152" s="98"/>
      <c r="G152" s="98"/>
      <c r="H152" s="38">
        <f>(1+IF(OR(ISERR(FIND(":",G151)),ISERR(FIND("%",G151))),0,MID(G151,FIND(":",G151)+2,FIND("%",G151)-FIND(":",G151)-2)/100))*0</f>
        <v>0</v>
      </c>
      <c r="I152" s="29">
        <f>G150*H152</f>
        <v>0</v>
      </c>
      <c r="J152">
        <v>3</v>
      </c>
      <c r="K152" s="4">
        <v>0</v>
      </c>
      <c r="L152" s="4">
        <v>0</v>
      </c>
      <c r="M152" s="4">
        <f>I152-K152-L152</f>
        <v>0</v>
      </c>
    </row>
    <row r="153" spans="1:19" x14ac:dyDescent="0.3">
      <c r="A153" s="98"/>
      <c r="B153" s="98"/>
      <c r="C153" s="98"/>
      <c r="D153" s="98"/>
      <c r="E153" s="98"/>
      <c r="F153" s="98"/>
      <c r="G153" s="98"/>
      <c r="H153" s="38">
        <f>0</f>
        <v>0</v>
      </c>
      <c r="I153" s="29">
        <f>G150*H153</f>
        <v>0</v>
      </c>
      <c r="J153">
        <v>4</v>
      </c>
      <c r="N153" s="4">
        <f>IF(ISERR(SEARCH("TRA* 82",C150)),IF(Q153+R153+S153=0,0,I153*(Q153/(Q153+R153+S153))),I153)</f>
        <v>0</v>
      </c>
      <c r="O153" s="4">
        <f>IF(ISERR(SEARCH("TRA* 82",C150)),IF(Q153+R153+S153=0,0,I153*(R153/(Q153+R153+S153))),0)</f>
        <v>0</v>
      </c>
      <c r="P153" s="4">
        <f>IF(ISERR(SEARCH("TRA* 82",C150)),I153-N153-O153,0)</f>
        <v>0</v>
      </c>
      <c r="Q153" s="4">
        <v>0</v>
      </c>
      <c r="R153" s="4">
        <v>0</v>
      </c>
      <c r="S153" s="4">
        <v>0</v>
      </c>
    </row>
    <row r="154" spans="1:19" x14ac:dyDescent="0.3">
      <c r="A154" s="96" t="s">
        <v>27</v>
      </c>
      <c r="B154" s="97"/>
      <c r="C154" s="97"/>
      <c r="D154" s="97"/>
      <c r="E154" s="97"/>
      <c r="F154" s="97"/>
      <c r="G154" s="97"/>
      <c r="H154" s="36">
        <f>H150+H151+H152+H153</f>
        <v>2417.4</v>
      </c>
      <c r="I154" s="74">
        <f>I150+I151+I152+I153</f>
        <v>2417.4</v>
      </c>
      <c r="J154">
        <v>5</v>
      </c>
    </row>
    <row r="155" spans="1:19" x14ac:dyDescent="0.3">
      <c r="B155" s="2">
        <v>27</v>
      </c>
      <c r="C155" s="3" t="s">
        <v>919</v>
      </c>
      <c r="D155" s="5" t="s">
        <v>29</v>
      </c>
      <c r="G155" s="30">
        <v>4</v>
      </c>
      <c r="H155" s="38">
        <f>29.33</f>
        <v>29.33</v>
      </c>
      <c r="I155" s="29">
        <f>G155*H155</f>
        <v>117.32</v>
      </c>
      <c r="J155">
        <v>1</v>
      </c>
    </row>
    <row r="156" spans="1:19" x14ac:dyDescent="0.3">
      <c r="D156" s="15" t="str">
        <f>SUBSTITUTE("Sp.mat: 0.00%",".",IF(VALUE("1.2")=1.2,".",","),2)</f>
        <v>Sp.mat: 0.00%</v>
      </c>
      <c r="F156" s="15" t="str">
        <f>SUBSTITUTE("Sp.man: 0.00%",".",IF(VALUE("1.2")=1.2,".",","),2)</f>
        <v>Sp.man: 0.00%</v>
      </c>
      <c r="G156" s="35" t="str">
        <f>SUBSTITUTE("Sp.uti: 0.00%",".",IF(VALUE("1.2")=1.2,".",","),2)</f>
        <v>Sp.uti: 0.00%</v>
      </c>
      <c r="H156" s="38">
        <v>6.41</v>
      </c>
      <c r="I156" s="29">
        <f>G155*H156</f>
        <v>25.64</v>
      </c>
      <c r="J156">
        <v>2</v>
      </c>
    </row>
    <row r="157" spans="1:19" x14ac:dyDescent="0.3">
      <c r="A157" s="88" t="s">
        <v>920</v>
      </c>
      <c r="B157" s="98"/>
      <c r="C157" s="98"/>
      <c r="D157" s="98"/>
      <c r="E157" s="98"/>
      <c r="F157" s="98"/>
      <c r="G157" s="98"/>
      <c r="H157" s="38">
        <f>(1+IF(OR(ISERR(FIND(":",G156)),ISERR(FIND("%",G156))),0,MID(G156,FIND(":",G156)+2,FIND("%",G156)-FIND(":",G156)-2)/100))*0</f>
        <v>0</v>
      </c>
      <c r="I157" s="29">
        <f>G155*H157</f>
        <v>0</v>
      </c>
      <c r="J157">
        <v>3</v>
      </c>
      <c r="K157" s="4">
        <v>0</v>
      </c>
      <c r="L157" s="4">
        <v>0</v>
      </c>
      <c r="M157" s="4">
        <f>I157-K157-L157</f>
        <v>0</v>
      </c>
    </row>
    <row r="158" spans="1:19" x14ac:dyDescent="0.3">
      <c r="A158" s="98"/>
      <c r="B158" s="98"/>
      <c r="C158" s="98"/>
      <c r="D158" s="98"/>
      <c r="E158" s="98"/>
      <c r="F158" s="98"/>
      <c r="G158" s="98"/>
      <c r="H158" s="38">
        <f>0</f>
        <v>0</v>
      </c>
      <c r="I158" s="29">
        <f>G155*H158</f>
        <v>0</v>
      </c>
      <c r="J158">
        <v>4</v>
      </c>
      <c r="N158" s="4">
        <f>IF(ISERR(SEARCH("TRA* 82",C155)),IF(Q158+R158+S158=0,0,I158*(Q158/(Q158+R158+S158))),I158)</f>
        <v>0</v>
      </c>
      <c r="O158" s="4">
        <f>IF(ISERR(SEARCH("TRA* 82",C155)),IF(Q158+R158+S158=0,0,I158*(R158/(Q158+R158+S158))),0)</f>
        <v>0</v>
      </c>
      <c r="P158" s="4">
        <f>IF(ISERR(SEARCH("TRA* 82",C155)),I158-N158-O158,0)</f>
        <v>0</v>
      </c>
      <c r="Q158" s="4">
        <v>0</v>
      </c>
      <c r="R158" s="4">
        <v>0</v>
      </c>
      <c r="S158" s="4">
        <v>0</v>
      </c>
    </row>
    <row r="159" spans="1:19" x14ac:dyDescent="0.3">
      <c r="A159" s="96" t="s">
        <v>87</v>
      </c>
      <c r="B159" s="97"/>
      <c r="C159" s="97"/>
      <c r="D159" s="97"/>
      <c r="E159" s="97"/>
      <c r="F159" s="97"/>
      <c r="G159" s="97"/>
      <c r="H159" s="36">
        <f>H155+H156+H157+H158</f>
        <v>35.739999999999995</v>
      </c>
      <c r="I159" s="74">
        <f>I155+I156+I157+I158</f>
        <v>142.95999999999998</v>
      </c>
      <c r="J159">
        <v>5</v>
      </c>
    </row>
    <row r="160" spans="1:19" x14ac:dyDescent="0.3">
      <c r="B160" s="2">
        <v>28</v>
      </c>
      <c r="C160" s="3" t="s">
        <v>355</v>
      </c>
      <c r="D160" s="5" t="s">
        <v>29</v>
      </c>
      <c r="G160" s="30">
        <v>2</v>
      </c>
      <c r="H160" s="38">
        <v>44.92</v>
      </c>
      <c r="I160" s="29">
        <f>G160*H160</f>
        <v>89.84</v>
      </c>
      <c r="J160">
        <v>1</v>
      </c>
    </row>
    <row r="161" spans="1:19" x14ac:dyDescent="0.3">
      <c r="D161" s="15" t="str">
        <f>SUBSTITUTE("Sp.mat: 0.00%",".",IF(VALUE("1.2")=1.2,".",","),2)</f>
        <v>Sp.mat: 0.00%</v>
      </c>
      <c r="F161" s="15" t="str">
        <f>SUBSTITUTE("Sp.man: 0.00%",".",IF(VALUE("1.2")=1.2,".",","),2)</f>
        <v>Sp.man: 0.00%</v>
      </c>
      <c r="G161" s="35" t="str">
        <f>SUBSTITUTE("Sp.uti: 0.00%",".",IF(VALUE("1.2")=1.2,".",","),2)</f>
        <v>Sp.uti: 0.00%</v>
      </c>
      <c r="H161" s="38">
        <v>6.41</v>
      </c>
      <c r="I161" s="29">
        <f>G160*H161</f>
        <v>12.82</v>
      </c>
      <c r="J161">
        <v>2</v>
      </c>
    </row>
    <row r="162" spans="1:19" x14ac:dyDescent="0.3">
      <c r="A162" s="88" t="s">
        <v>356</v>
      </c>
      <c r="B162" s="98"/>
      <c r="C162" s="98"/>
      <c r="D162" s="98"/>
      <c r="E162" s="98"/>
      <c r="F162" s="98"/>
      <c r="G162" s="98"/>
      <c r="H162" s="38">
        <f>(1+IF(OR(ISERR(FIND(":",G161)),ISERR(FIND("%",G161))),0,MID(G161,FIND(":",G161)+2,FIND("%",G161)-FIND(":",G161)-2)/100))*0</f>
        <v>0</v>
      </c>
      <c r="I162" s="29">
        <f>G160*H162</f>
        <v>0</v>
      </c>
      <c r="J162">
        <v>3</v>
      </c>
      <c r="K162" s="4">
        <v>0</v>
      </c>
      <c r="L162" s="4">
        <v>0</v>
      </c>
      <c r="M162" s="4">
        <f>I162-K162-L162</f>
        <v>0</v>
      </c>
    </row>
    <row r="163" spans="1:19" x14ac:dyDescent="0.3">
      <c r="A163" s="98"/>
      <c r="B163" s="98"/>
      <c r="C163" s="98"/>
      <c r="D163" s="98"/>
      <c r="E163" s="98"/>
      <c r="F163" s="98"/>
      <c r="G163" s="98"/>
      <c r="H163" s="38">
        <f>0</f>
        <v>0</v>
      </c>
      <c r="I163" s="29">
        <f>G160*H163</f>
        <v>0</v>
      </c>
      <c r="J163">
        <v>4</v>
      </c>
      <c r="N163" s="4">
        <f>IF(ISERR(SEARCH("TRA* 82",C160)),IF(Q163+R163+S163=0,0,I163*(Q163/(Q163+R163+S163))),I163)</f>
        <v>0</v>
      </c>
      <c r="O163" s="4">
        <f>IF(ISERR(SEARCH("TRA* 82",C160)),IF(Q163+R163+S163=0,0,I163*(R163/(Q163+R163+S163))),0)</f>
        <v>0</v>
      </c>
      <c r="P163" s="4">
        <f>IF(ISERR(SEARCH("TRA* 82",C160)),I163-N163-O163,0)</f>
        <v>0</v>
      </c>
      <c r="Q163" s="4">
        <v>0</v>
      </c>
      <c r="R163" s="4">
        <v>0</v>
      </c>
      <c r="S163" s="4">
        <v>0</v>
      </c>
    </row>
    <row r="164" spans="1:19" x14ac:dyDescent="0.3">
      <c r="A164" s="96" t="s">
        <v>87</v>
      </c>
      <c r="B164" s="97"/>
      <c r="C164" s="97"/>
      <c r="D164" s="97"/>
      <c r="E164" s="97"/>
      <c r="F164" s="97"/>
      <c r="G164" s="97"/>
      <c r="H164" s="36">
        <f>H160+H161+H162+H163</f>
        <v>51.33</v>
      </c>
      <c r="I164" s="74">
        <f>I160+I161+I162+I163</f>
        <v>102.66</v>
      </c>
      <c r="J164">
        <v>5</v>
      </c>
    </row>
    <row r="165" spans="1:19" x14ac:dyDescent="0.3">
      <c r="B165" s="2">
        <v>29</v>
      </c>
      <c r="C165" s="3" t="s">
        <v>357</v>
      </c>
      <c r="D165" s="5" t="s">
        <v>29</v>
      </c>
      <c r="G165" s="30">
        <v>2</v>
      </c>
      <c r="H165" s="38">
        <v>167.72</v>
      </c>
      <c r="I165" s="29">
        <f>G165*H165</f>
        <v>335.44</v>
      </c>
      <c r="J165">
        <v>1</v>
      </c>
    </row>
    <row r="166" spans="1:19" x14ac:dyDescent="0.3">
      <c r="D166" s="15" t="str">
        <f>SUBSTITUTE("Sp.mat: 0.00%",".",IF(VALUE("1.2")=1.2,".",","),2)</f>
        <v>Sp.mat: 0.00%</v>
      </c>
      <c r="F166" s="15" t="str">
        <f>SUBSTITUTE("Sp.man: 0.00%",".",IF(VALUE("1.2")=1.2,".",","),2)</f>
        <v>Sp.man: 0.00%</v>
      </c>
      <c r="G166" s="35" t="str">
        <f>SUBSTITUTE("Sp.uti: 0.00%",".",IF(VALUE("1.2")=1.2,".",","),2)</f>
        <v>Sp.uti: 0.00%</v>
      </c>
      <c r="H166" s="38">
        <v>11.53</v>
      </c>
      <c r="I166" s="29">
        <f>G165*H166</f>
        <v>23.06</v>
      </c>
      <c r="J166">
        <v>2</v>
      </c>
    </row>
    <row r="167" spans="1:19" x14ac:dyDescent="0.3">
      <c r="A167" s="88" t="s">
        <v>358</v>
      </c>
      <c r="B167" s="98"/>
      <c r="C167" s="98"/>
      <c r="D167" s="98"/>
      <c r="E167" s="98"/>
      <c r="F167" s="98"/>
      <c r="G167" s="98"/>
      <c r="H167" s="38">
        <f>(1+IF(OR(ISERR(FIND(":",G166)),ISERR(FIND("%",G166))),0,MID(G166,FIND(":",G166)+2,FIND("%",G166)-FIND(":",G166)-2)/100))*0</f>
        <v>0</v>
      </c>
      <c r="I167" s="29">
        <f>G165*H167</f>
        <v>0</v>
      </c>
      <c r="J167">
        <v>3</v>
      </c>
      <c r="K167" s="4">
        <v>0</v>
      </c>
      <c r="L167" s="4">
        <v>0</v>
      </c>
      <c r="M167" s="4">
        <f>I167-K167-L167</f>
        <v>0</v>
      </c>
    </row>
    <row r="168" spans="1:19" x14ac:dyDescent="0.3">
      <c r="A168" s="98"/>
      <c r="B168" s="98"/>
      <c r="C168" s="98"/>
      <c r="D168" s="98"/>
      <c r="E168" s="98"/>
      <c r="F168" s="98"/>
      <c r="G168" s="98"/>
      <c r="H168" s="38">
        <f>0</f>
        <v>0</v>
      </c>
      <c r="I168" s="29">
        <f>G165*H168</f>
        <v>0</v>
      </c>
      <c r="J168">
        <v>4</v>
      </c>
      <c r="N168" s="4">
        <f>IF(ISERR(SEARCH("TRA* 82",C165)),IF(Q168+R168+S168=0,0,I168*(Q168/(Q168+R168+S168))),I168)</f>
        <v>0</v>
      </c>
      <c r="O168" s="4">
        <f>IF(ISERR(SEARCH("TRA* 82",C165)),IF(Q168+R168+S168=0,0,I168*(R168/(Q168+R168+S168))),0)</f>
        <v>0</v>
      </c>
      <c r="P168" s="4">
        <f>IF(ISERR(SEARCH("TRA* 82",C165)),I168-N168-O168,0)</f>
        <v>0</v>
      </c>
      <c r="Q168" s="4">
        <v>0</v>
      </c>
      <c r="R168" s="4">
        <v>0</v>
      </c>
      <c r="S168" s="4">
        <v>0</v>
      </c>
    </row>
    <row r="169" spans="1:19" x14ac:dyDescent="0.3">
      <c r="A169" s="96" t="s">
        <v>87</v>
      </c>
      <c r="B169" s="97"/>
      <c r="C169" s="97"/>
      <c r="D169" s="97"/>
      <c r="E169" s="97"/>
      <c r="F169" s="97"/>
      <c r="G169" s="97"/>
      <c r="H169" s="36">
        <f>H165+H166+H167+H168</f>
        <v>179.25</v>
      </c>
      <c r="I169" s="74">
        <f>I165+I166+I167+I168</f>
        <v>358.5</v>
      </c>
      <c r="J169">
        <v>5</v>
      </c>
    </row>
    <row r="170" spans="1:19" x14ac:dyDescent="0.3">
      <c r="B170" s="2">
        <v>30</v>
      </c>
      <c r="C170" s="3" t="s">
        <v>359</v>
      </c>
      <c r="D170" s="5" t="s">
        <v>29</v>
      </c>
      <c r="G170" s="30">
        <v>6</v>
      </c>
      <c r="H170" s="38">
        <v>396.4</v>
      </c>
      <c r="I170" s="29">
        <f>G170*H170</f>
        <v>2378.3999999999996</v>
      </c>
      <c r="J170">
        <v>1</v>
      </c>
    </row>
    <row r="171" spans="1:19" x14ac:dyDescent="0.3">
      <c r="D171" s="15" t="str">
        <f>SUBSTITUTE("Sp.mat: 0.00%",".",IF(VALUE("1.2")=1.2,".",","),2)</f>
        <v>Sp.mat: 0.00%</v>
      </c>
      <c r="F171" s="15" t="str">
        <f>SUBSTITUTE("Sp.man: 0.00%",".",IF(VALUE("1.2")=1.2,".",","),2)</f>
        <v>Sp.man: 0.00%</v>
      </c>
      <c r="G171" s="35" t="str">
        <f>SUBSTITUTE("Sp.uti: 0.00%",".",IF(VALUE("1.2")=1.2,".",","),2)</f>
        <v>Sp.uti: 0.00%</v>
      </c>
      <c r="H171" s="38">
        <v>14.26</v>
      </c>
      <c r="I171" s="29">
        <f>G170*H171</f>
        <v>85.56</v>
      </c>
      <c r="J171">
        <v>2</v>
      </c>
    </row>
    <row r="172" spans="1:19" x14ac:dyDescent="0.3">
      <c r="A172" s="88" t="s">
        <v>360</v>
      </c>
      <c r="B172" s="98"/>
      <c r="C172" s="98"/>
      <c r="D172" s="98"/>
      <c r="E172" s="98"/>
      <c r="F172" s="98"/>
      <c r="G172" s="98"/>
      <c r="H172" s="38">
        <f>(1+IF(OR(ISERR(FIND(":",G171)),ISERR(FIND("%",G171))),0,MID(G171,FIND(":",G171)+2,FIND("%",G171)-FIND(":",G171)-2)/100))*0</f>
        <v>0</v>
      </c>
      <c r="I172" s="29">
        <f>G170*H172</f>
        <v>0</v>
      </c>
      <c r="J172">
        <v>3</v>
      </c>
      <c r="K172" s="4">
        <v>0</v>
      </c>
      <c r="L172" s="4">
        <v>0</v>
      </c>
      <c r="M172" s="4">
        <f>I172-K172-L172</f>
        <v>0</v>
      </c>
    </row>
    <row r="173" spans="1:19" x14ac:dyDescent="0.3">
      <c r="A173" s="98"/>
      <c r="B173" s="98"/>
      <c r="C173" s="98"/>
      <c r="D173" s="98"/>
      <c r="E173" s="98"/>
      <c r="F173" s="98"/>
      <c r="G173" s="98"/>
      <c r="H173" s="38">
        <f>0</f>
        <v>0</v>
      </c>
      <c r="I173" s="29">
        <f>G170*H173</f>
        <v>0</v>
      </c>
      <c r="J173">
        <v>4</v>
      </c>
      <c r="N173" s="4">
        <f>IF(ISERR(SEARCH("TRA* 82",C170)),IF(Q173+R173+S173=0,0,I173*(Q173/(Q173+R173+S173))),I173)</f>
        <v>0</v>
      </c>
      <c r="O173" s="4">
        <f>IF(ISERR(SEARCH("TRA* 82",C170)),IF(Q173+R173+S173=0,0,I173*(R173/(Q173+R173+S173))),0)</f>
        <v>0</v>
      </c>
      <c r="P173" s="4">
        <f>IF(ISERR(SEARCH("TRA* 82",C170)),I173-N173-O173,0)</f>
        <v>0</v>
      </c>
      <c r="Q173" s="4">
        <v>0</v>
      </c>
      <c r="R173" s="4">
        <v>0</v>
      </c>
      <c r="S173" s="4">
        <v>0</v>
      </c>
    </row>
    <row r="174" spans="1:19" x14ac:dyDescent="0.3">
      <c r="A174" s="96" t="s">
        <v>361</v>
      </c>
      <c r="B174" s="97"/>
      <c r="C174" s="97"/>
      <c r="D174" s="97"/>
      <c r="E174" s="97"/>
      <c r="F174" s="97"/>
      <c r="G174" s="97"/>
      <c r="H174" s="36">
        <f>H170+H171+H172+H173</f>
        <v>410.65999999999997</v>
      </c>
      <c r="I174" s="74">
        <f>I170+I171+I172+I173</f>
        <v>2463.9599999999996</v>
      </c>
      <c r="J174">
        <v>5</v>
      </c>
    </row>
    <row r="175" spans="1:19" x14ac:dyDescent="0.3">
      <c r="B175" s="2">
        <v>31</v>
      </c>
      <c r="C175" s="3" t="s">
        <v>362</v>
      </c>
      <c r="D175" s="5" t="s">
        <v>29</v>
      </c>
      <c r="G175" s="30">
        <v>1</v>
      </c>
      <c r="H175" s="38">
        <v>631.24</v>
      </c>
      <c r="I175" s="29">
        <f>G175*H175</f>
        <v>631.24</v>
      </c>
      <c r="J175">
        <v>1</v>
      </c>
    </row>
    <row r="176" spans="1:19" x14ac:dyDescent="0.3">
      <c r="D176" s="15" t="str">
        <f>SUBSTITUTE("Sp.mat: 0.00%",".",IF(VALUE("1.2")=1.2,".",","),2)</f>
        <v>Sp.mat: 0.00%</v>
      </c>
      <c r="F176" s="15" t="str">
        <f>SUBSTITUTE("Sp.man: 0.00%",".",IF(VALUE("1.2")=1.2,".",","),2)</f>
        <v>Sp.man: 0.00%</v>
      </c>
      <c r="G176" s="35" t="str">
        <f>SUBSTITUTE("Sp.uti: 0.00%",".",IF(VALUE("1.2")=1.2,".",","),2)</f>
        <v>Sp.uti: 0.00%</v>
      </c>
      <c r="H176" s="38">
        <v>20.02</v>
      </c>
      <c r="I176" s="29">
        <f>G175*H176</f>
        <v>20.02</v>
      </c>
      <c r="J176">
        <v>2</v>
      </c>
    </row>
    <row r="177" spans="1:19" x14ac:dyDescent="0.3">
      <c r="A177" s="88" t="s">
        <v>921</v>
      </c>
      <c r="B177" s="98"/>
      <c r="C177" s="98"/>
      <c r="D177" s="98"/>
      <c r="E177" s="98"/>
      <c r="F177" s="98"/>
      <c r="G177" s="98"/>
      <c r="H177" s="38">
        <f>(1+IF(OR(ISERR(FIND(":",G176)),ISERR(FIND("%",G176))),0,MID(G176,FIND(":",G176)+2,FIND("%",G176)-FIND(":",G176)-2)/100))*0</f>
        <v>0</v>
      </c>
      <c r="I177" s="29">
        <f>G175*H177</f>
        <v>0</v>
      </c>
      <c r="J177">
        <v>3</v>
      </c>
      <c r="K177" s="4">
        <v>0</v>
      </c>
      <c r="L177" s="4">
        <v>0</v>
      </c>
      <c r="M177" s="4">
        <f>I177-K177-L177</f>
        <v>0</v>
      </c>
    </row>
    <row r="178" spans="1:19" x14ac:dyDescent="0.3">
      <c r="A178" s="98"/>
      <c r="B178" s="98"/>
      <c r="C178" s="98"/>
      <c r="D178" s="98"/>
      <c r="E178" s="98"/>
      <c r="F178" s="98"/>
      <c r="G178" s="98"/>
      <c r="H178" s="38">
        <f>0</f>
        <v>0</v>
      </c>
      <c r="I178" s="29">
        <f>G175*H178</f>
        <v>0</v>
      </c>
      <c r="J178">
        <v>4</v>
      </c>
      <c r="N178" s="4">
        <f>IF(ISERR(SEARCH("TRA* 82",C175)),IF(Q178+R178+S178=0,0,I178*(Q178/(Q178+R178+S178))),I178)</f>
        <v>0</v>
      </c>
      <c r="O178" s="4">
        <f>IF(ISERR(SEARCH("TRA* 82",C175)),IF(Q178+R178+S178=0,0,I178*(R178/(Q178+R178+S178))),0)</f>
        <v>0</v>
      </c>
      <c r="P178" s="4">
        <f>IF(ISERR(SEARCH("TRA* 82",C175)),I178-N178-O178,0)</f>
        <v>0</v>
      </c>
      <c r="Q178" s="4">
        <v>0</v>
      </c>
      <c r="R178" s="4">
        <v>0</v>
      </c>
      <c r="S178" s="4">
        <v>0</v>
      </c>
    </row>
    <row r="179" spans="1:19" x14ac:dyDescent="0.3">
      <c r="A179" s="96" t="s">
        <v>361</v>
      </c>
      <c r="B179" s="97"/>
      <c r="C179" s="97"/>
      <c r="D179" s="97"/>
      <c r="E179" s="97"/>
      <c r="F179" s="97"/>
      <c r="G179" s="97"/>
      <c r="H179" s="36">
        <f>H175+H176+H177+H178</f>
        <v>651.26</v>
      </c>
      <c r="I179" s="74">
        <f>I175+I176+I177+I178</f>
        <v>651.26</v>
      </c>
      <c r="J179">
        <v>5</v>
      </c>
    </row>
    <row r="180" spans="1:19" x14ac:dyDescent="0.3">
      <c r="B180" s="2">
        <v>32</v>
      </c>
      <c r="C180" s="3" t="s">
        <v>331</v>
      </c>
      <c r="D180" s="5" t="s">
        <v>29</v>
      </c>
      <c r="G180" s="30">
        <v>20</v>
      </c>
      <c r="H180" s="38">
        <v>17.41</v>
      </c>
      <c r="I180" s="29">
        <f>G180*H180</f>
        <v>348.2</v>
      </c>
      <c r="J180">
        <v>1</v>
      </c>
    </row>
    <row r="181" spans="1:19" x14ac:dyDescent="0.3">
      <c r="D181" s="15" t="str">
        <f>SUBSTITUTE("Sp.mat: 0.00%",".",IF(VALUE("1.2")=1.2,".",","),2)</f>
        <v>Sp.mat: 0.00%</v>
      </c>
      <c r="F181" s="15" t="str">
        <f>SUBSTITUTE("Sp.man: 0.00%",".",IF(VALUE("1.2")=1.2,".",","),2)</f>
        <v>Sp.man: 0.00%</v>
      </c>
      <c r="G181" s="35" t="str">
        <f>SUBSTITUTE("Sp.uti: 0.00%",".",IF(VALUE("1.2")=1.2,".",","),2)</f>
        <v>Sp.uti: 0.00%</v>
      </c>
      <c r="H181" s="38">
        <v>4</v>
      </c>
      <c r="I181" s="29">
        <f>G180*H181</f>
        <v>80</v>
      </c>
      <c r="J181">
        <v>2</v>
      </c>
    </row>
    <row r="182" spans="1:19" x14ac:dyDescent="0.3">
      <c r="A182" s="88" t="s">
        <v>332</v>
      </c>
      <c r="B182" s="98"/>
      <c r="C182" s="98"/>
      <c r="D182" s="98"/>
      <c r="E182" s="98"/>
      <c r="F182" s="98"/>
      <c r="G182" s="98"/>
      <c r="H182" s="38">
        <f>(1+IF(OR(ISERR(FIND(":",G181)),ISERR(FIND("%",G181))),0,MID(G181,FIND(":",G181)+2,FIND("%",G181)-FIND(":",G181)-2)/100))*0</f>
        <v>0</v>
      </c>
      <c r="I182" s="29">
        <f>G180*H182</f>
        <v>0</v>
      </c>
      <c r="J182">
        <v>3</v>
      </c>
      <c r="K182" s="4">
        <v>0</v>
      </c>
      <c r="L182" s="4">
        <v>0</v>
      </c>
      <c r="M182" s="4">
        <f>I182-K182-L182</f>
        <v>0</v>
      </c>
    </row>
    <row r="183" spans="1:19" x14ac:dyDescent="0.3">
      <c r="A183" s="98"/>
      <c r="B183" s="98"/>
      <c r="C183" s="98"/>
      <c r="D183" s="98"/>
      <c r="E183" s="98"/>
      <c r="F183" s="98"/>
      <c r="G183" s="98"/>
      <c r="H183" s="38">
        <f>0</f>
        <v>0</v>
      </c>
      <c r="I183" s="29">
        <f>G180*H183</f>
        <v>0</v>
      </c>
      <c r="J183">
        <v>4</v>
      </c>
      <c r="N183" s="4">
        <f>IF(ISERR(SEARCH("TRA* 82",C180)),IF(Q183+R183+S183=0,0,I183*(Q183/(Q183+R183+S183))),I183)</f>
        <v>0</v>
      </c>
      <c r="O183" s="4">
        <f>IF(ISERR(SEARCH("TRA* 82",C180)),IF(Q183+R183+S183=0,0,I183*(R183/(Q183+R183+S183))),0)</f>
        <v>0</v>
      </c>
      <c r="P183" s="4">
        <f>IF(ISERR(SEARCH("TRA* 82",C180)),I183-N183-O183,0)</f>
        <v>0</v>
      </c>
      <c r="Q183" s="4">
        <v>0</v>
      </c>
      <c r="R183" s="4">
        <v>0</v>
      </c>
      <c r="S183" s="4">
        <v>0</v>
      </c>
    </row>
    <row r="184" spans="1:19" x14ac:dyDescent="0.3">
      <c r="A184" s="100" t="s">
        <v>87</v>
      </c>
      <c r="B184" s="101"/>
      <c r="C184" s="101"/>
      <c r="D184" s="101"/>
      <c r="E184" s="101"/>
      <c r="F184" s="101"/>
      <c r="G184" s="101"/>
      <c r="H184" s="33">
        <f>H180+H181+H182+H183</f>
        <v>21.41</v>
      </c>
      <c r="I184" s="37">
        <f>I180+I181+I182+I183</f>
        <v>428.2</v>
      </c>
      <c r="J184">
        <v>5</v>
      </c>
    </row>
    <row r="185" spans="1:19" x14ac:dyDescent="0.3">
      <c r="A185" s="99" t="s">
        <v>370</v>
      </c>
      <c r="B185" s="99"/>
      <c r="C185" s="99"/>
      <c r="D185" s="99"/>
      <c r="E185" s="99"/>
      <c r="F185" s="99"/>
      <c r="G185" s="99"/>
      <c r="H185" s="99"/>
      <c r="I185" s="99"/>
    </row>
    <row r="186" spans="1:19" x14ac:dyDescent="0.3">
      <c r="B186" s="2">
        <v>33</v>
      </c>
      <c r="C186" s="3" t="s">
        <v>331</v>
      </c>
      <c r="D186" s="5" t="s">
        <v>29</v>
      </c>
      <c r="G186" s="30">
        <v>3</v>
      </c>
      <c r="H186" s="38">
        <v>23.34</v>
      </c>
      <c r="I186" s="29">
        <f>G186*H186</f>
        <v>70.02</v>
      </c>
      <c r="J186">
        <v>1</v>
      </c>
    </row>
    <row r="187" spans="1:19" x14ac:dyDescent="0.3">
      <c r="D187" s="15" t="str">
        <f>SUBSTITUTE("Sp.mat: 0.00%",".",IF(VALUE("1.2")=1.2,".",","),2)</f>
        <v>Sp.mat: 0.00%</v>
      </c>
      <c r="F187" s="15" t="str">
        <f>SUBSTITUTE("Sp.man: 0.00%",".",IF(VALUE("1.2")=1.2,".",","),2)</f>
        <v>Sp.man: 0.00%</v>
      </c>
      <c r="G187" s="35" t="str">
        <f>SUBSTITUTE("Sp.uti: 0.00%",".",IF(VALUE("1.2")=1.2,".",","),2)</f>
        <v>Sp.uti: 0.00%</v>
      </c>
      <c r="H187" s="38">
        <v>4</v>
      </c>
      <c r="I187" s="29">
        <f>G186*H187</f>
        <v>12</v>
      </c>
      <c r="J187">
        <v>2</v>
      </c>
    </row>
    <row r="188" spans="1:19" x14ac:dyDescent="0.3">
      <c r="A188" s="88" t="s">
        <v>332</v>
      </c>
      <c r="B188" s="98"/>
      <c r="C188" s="98"/>
      <c r="D188" s="98"/>
      <c r="E188" s="98"/>
      <c r="F188" s="98"/>
      <c r="G188" s="98"/>
      <c r="H188" s="38">
        <f>(1+IF(OR(ISERR(FIND(":",G187)),ISERR(FIND("%",G187))),0,MID(G187,FIND(":",G187)+2,FIND("%",G187)-FIND(":",G187)-2)/100))*0</f>
        <v>0</v>
      </c>
      <c r="I188" s="29">
        <f>G186*H188</f>
        <v>0</v>
      </c>
      <c r="J188">
        <v>3</v>
      </c>
      <c r="K188" s="4">
        <v>0</v>
      </c>
      <c r="L188" s="4">
        <v>0</v>
      </c>
      <c r="M188" s="4">
        <f>I188-K188-L188</f>
        <v>0</v>
      </c>
    </row>
    <row r="189" spans="1:19" x14ac:dyDescent="0.3">
      <c r="A189" s="98"/>
      <c r="B189" s="98"/>
      <c r="C189" s="98"/>
      <c r="D189" s="98"/>
      <c r="E189" s="98"/>
      <c r="F189" s="98"/>
      <c r="G189" s="98"/>
      <c r="H189" s="38">
        <f>0</f>
        <v>0</v>
      </c>
      <c r="I189" s="29">
        <f>G186*H189</f>
        <v>0</v>
      </c>
      <c r="J189">
        <v>4</v>
      </c>
      <c r="N189" s="4">
        <f>IF(ISERR(SEARCH("TRA* 82",C186)),IF(Q189+R189+S189=0,0,I189*(Q189/(Q189+R189+S189))),I189)</f>
        <v>0</v>
      </c>
      <c r="O189" s="4">
        <f>IF(ISERR(SEARCH("TRA* 82",C186)),IF(Q189+R189+S189=0,0,I189*(R189/(Q189+R189+S189))),0)</f>
        <v>0</v>
      </c>
      <c r="P189" s="4">
        <f>IF(ISERR(SEARCH("TRA* 82",C186)),I189-N189-O189,0)</f>
        <v>0</v>
      </c>
      <c r="Q189" s="4">
        <v>0</v>
      </c>
      <c r="R189" s="4">
        <v>0</v>
      </c>
      <c r="S189" s="4">
        <v>0</v>
      </c>
    </row>
    <row r="190" spans="1:19" x14ac:dyDescent="0.3">
      <c r="A190" s="100" t="s">
        <v>27</v>
      </c>
      <c r="B190" s="101"/>
      <c r="C190" s="101"/>
      <c r="D190" s="101"/>
      <c r="E190" s="101"/>
      <c r="F190" s="101"/>
      <c r="G190" s="101"/>
      <c r="H190" s="33">
        <f>H186+H187+H188+H189</f>
        <v>27.34</v>
      </c>
      <c r="I190" s="37">
        <f>I186+I187+I188+I189</f>
        <v>82.02</v>
      </c>
      <c r="J190">
        <v>5</v>
      </c>
    </row>
    <row r="191" spans="1:19" x14ac:dyDescent="0.3">
      <c r="A191" s="99" t="s">
        <v>371</v>
      </c>
      <c r="B191" s="99"/>
      <c r="C191" s="99"/>
      <c r="D191" s="99"/>
      <c r="E191" s="99"/>
      <c r="F191" s="99"/>
      <c r="G191" s="99"/>
      <c r="H191" s="99"/>
      <c r="I191" s="99"/>
    </row>
    <row r="192" spans="1:19" x14ac:dyDescent="0.3">
      <c r="B192" s="2">
        <v>34</v>
      </c>
      <c r="C192" s="3" t="s">
        <v>372</v>
      </c>
      <c r="D192" s="5" t="s">
        <v>29</v>
      </c>
      <c r="G192" s="30">
        <v>17</v>
      </c>
      <c r="H192" s="38">
        <v>20.010000000000002</v>
      </c>
      <c r="I192" s="29">
        <f>G192*H192</f>
        <v>340.17</v>
      </c>
      <c r="J192">
        <v>1</v>
      </c>
    </row>
    <row r="193" spans="1:19" x14ac:dyDescent="0.3">
      <c r="D193" s="15" t="str">
        <f>SUBSTITUTE("Sp.mat: 0.00%",".",IF(VALUE("1.2")=1.2,".",","),2)</f>
        <v>Sp.mat: 0.00%</v>
      </c>
      <c r="F193" s="15" t="str">
        <f>SUBSTITUTE("Sp.man: 0.00%",".",IF(VALUE("1.2")=1.2,".",","),2)</f>
        <v>Sp.man: 0.00%</v>
      </c>
      <c r="G193" s="35" t="str">
        <f>SUBSTITUTE("Sp.uti: 0.00%",".",IF(VALUE("1.2")=1.2,".",","),2)</f>
        <v>Sp.uti: 0.00%</v>
      </c>
      <c r="H193" s="38">
        <v>4</v>
      </c>
      <c r="I193" s="29">
        <f>G192*H193</f>
        <v>68</v>
      </c>
      <c r="J193">
        <v>2</v>
      </c>
    </row>
    <row r="194" spans="1:19" x14ac:dyDescent="0.3">
      <c r="A194" s="88" t="s">
        <v>373</v>
      </c>
      <c r="B194" s="98"/>
      <c r="C194" s="98"/>
      <c r="D194" s="98"/>
      <c r="E194" s="98"/>
      <c r="F194" s="98"/>
      <c r="G194" s="98"/>
      <c r="H194" s="38">
        <f>(1+IF(OR(ISERR(FIND(":",G193)),ISERR(FIND("%",G193))),0,MID(G193,FIND(":",G193)+2,FIND("%",G193)-FIND(":",G193)-2)/100))*0</f>
        <v>0</v>
      </c>
      <c r="I194" s="29">
        <f>G192*H194</f>
        <v>0</v>
      </c>
      <c r="J194">
        <v>3</v>
      </c>
      <c r="K194" s="4">
        <v>0</v>
      </c>
      <c r="L194" s="4">
        <v>0</v>
      </c>
      <c r="M194" s="4">
        <f>I194-K194-L194</f>
        <v>0</v>
      </c>
    </row>
    <row r="195" spans="1:19" x14ac:dyDescent="0.3">
      <c r="A195" s="98"/>
      <c r="B195" s="98"/>
      <c r="C195" s="98"/>
      <c r="D195" s="98"/>
      <c r="E195" s="98"/>
      <c r="F195" s="98"/>
      <c r="G195" s="98"/>
      <c r="H195" s="38">
        <f>0</f>
        <v>0</v>
      </c>
      <c r="I195" s="29">
        <f>G192*H195</f>
        <v>0</v>
      </c>
      <c r="J195">
        <v>4</v>
      </c>
      <c r="N195" s="4">
        <f>IF(ISERR(SEARCH("TRA* 82",C192)),IF(Q195+R195+S195=0,0,I195*(Q195/(Q195+R195+S195))),I195)</f>
        <v>0</v>
      </c>
      <c r="O195" s="4">
        <f>IF(ISERR(SEARCH("TRA* 82",C192)),IF(Q195+R195+S195=0,0,I195*(R195/(Q195+R195+S195))),0)</f>
        <v>0</v>
      </c>
      <c r="P195" s="4">
        <f>IF(ISERR(SEARCH("TRA* 82",C192)),I195-N195-O195,0)</f>
        <v>0</v>
      </c>
      <c r="Q195" s="4">
        <v>0</v>
      </c>
      <c r="R195" s="4">
        <v>0</v>
      </c>
      <c r="S195" s="4">
        <v>0</v>
      </c>
    </row>
    <row r="196" spans="1:19" x14ac:dyDescent="0.3">
      <c r="A196" s="100" t="s">
        <v>87</v>
      </c>
      <c r="B196" s="101"/>
      <c r="C196" s="101"/>
      <c r="D196" s="101"/>
      <c r="E196" s="101"/>
      <c r="F196" s="101"/>
      <c r="G196" s="101"/>
      <c r="H196" s="33">
        <f>H192+H193+H194+H195</f>
        <v>24.01</v>
      </c>
      <c r="I196" s="37">
        <f>I192+I193+I194+I195</f>
        <v>408.17</v>
      </c>
      <c r="J196">
        <v>5</v>
      </c>
    </row>
    <row r="197" spans="1:19" x14ac:dyDescent="0.3">
      <c r="A197" s="99" t="s">
        <v>374</v>
      </c>
      <c r="B197" s="99"/>
      <c r="C197" s="99"/>
      <c r="D197" s="99"/>
      <c r="E197" s="99"/>
      <c r="F197" s="99"/>
      <c r="G197" s="99"/>
      <c r="H197" s="99"/>
      <c r="I197" s="99"/>
    </row>
    <row r="198" spans="1:19" x14ac:dyDescent="0.3">
      <c r="B198" s="2">
        <v>35</v>
      </c>
      <c r="C198" s="3" t="s">
        <v>375</v>
      </c>
      <c r="D198" s="5" t="s">
        <v>29</v>
      </c>
      <c r="G198" s="30">
        <v>3</v>
      </c>
      <c r="H198" s="38">
        <v>40.369999999999997</v>
      </c>
      <c r="I198" s="29">
        <f>G198*H198</f>
        <v>121.10999999999999</v>
      </c>
      <c r="J198">
        <v>1</v>
      </c>
    </row>
    <row r="199" spans="1:19" x14ac:dyDescent="0.3">
      <c r="D199" s="15" t="str">
        <f>SUBSTITUTE("Sp.mat: 0.00%",".",IF(VALUE("1.2")=1.2,".",","),2)</f>
        <v>Sp.mat: 0.00%</v>
      </c>
      <c r="F199" s="15" t="str">
        <f>SUBSTITUTE("Sp.man: 0.00%",".",IF(VALUE("1.2")=1.2,".",","),2)</f>
        <v>Sp.man: 0.00%</v>
      </c>
      <c r="G199" s="35" t="str">
        <f>SUBSTITUTE("Sp.uti: 0.00%",".",IF(VALUE("1.2")=1.2,".",","),2)</f>
        <v>Sp.uti: 0.00%</v>
      </c>
      <c r="H199" s="38">
        <v>6.41</v>
      </c>
      <c r="I199" s="29">
        <f>G198*H199</f>
        <v>19.23</v>
      </c>
      <c r="J199">
        <v>2</v>
      </c>
    </row>
    <row r="200" spans="1:19" x14ac:dyDescent="0.3">
      <c r="A200" s="88" t="s">
        <v>376</v>
      </c>
      <c r="B200" s="98"/>
      <c r="C200" s="98"/>
      <c r="D200" s="98"/>
      <c r="E200" s="98"/>
      <c r="F200" s="98"/>
      <c r="G200" s="98"/>
      <c r="H200" s="38">
        <f>(1+IF(OR(ISERR(FIND(":",G199)),ISERR(FIND("%",G199))),0,MID(G199,FIND(":",G199)+2,FIND("%",G199)-FIND(":",G199)-2)/100))*0</f>
        <v>0</v>
      </c>
      <c r="I200" s="29">
        <f>G198*H200</f>
        <v>0</v>
      </c>
      <c r="J200">
        <v>3</v>
      </c>
      <c r="K200" s="4">
        <v>0</v>
      </c>
      <c r="L200" s="4">
        <v>0</v>
      </c>
      <c r="M200" s="4">
        <f>I200-K200-L200</f>
        <v>0</v>
      </c>
    </row>
    <row r="201" spans="1:19" x14ac:dyDescent="0.3">
      <c r="A201" s="98"/>
      <c r="B201" s="98"/>
      <c r="C201" s="98"/>
      <c r="D201" s="98"/>
      <c r="E201" s="98"/>
      <c r="F201" s="98"/>
      <c r="G201" s="98"/>
      <c r="H201" s="38">
        <f>0</f>
        <v>0</v>
      </c>
      <c r="I201" s="29">
        <f>G198*H201</f>
        <v>0</v>
      </c>
      <c r="J201">
        <v>4</v>
      </c>
      <c r="N201" s="4">
        <f>IF(ISERR(SEARCH("TRA* 82",C198)),IF(Q201+R201+S201=0,0,I201*(Q201/(Q201+R201+S201))),I201)</f>
        <v>0</v>
      </c>
      <c r="O201" s="4">
        <f>IF(ISERR(SEARCH("TRA* 82",C198)),IF(Q201+R201+S201=0,0,I201*(R201/(Q201+R201+S201))),0)</f>
        <v>0</v>
      </c>
      <c r="P201" s="4">
        <f>IF(ISERR(SEARCH("TRA* 82",C198)),I201-N201-O201,0)</f>
        <v>0</v>
      </c>
      <c r="Q201" s="4">
        <v>0</v>
      </c>
      <c r="R201" s="4">
        <v>0</v>
      </c>
      <c r="S201" s="4">
        <v>0</v>
      </c>
    </row>
    <row r="202" spans="1:19" x14ac:dyDescent="0.3">
      <c r="A202" s="100" t="s">
        <v>27</v>
      </c>
      <c r="B202" s="101"/>
      <c r="C202" s="101"/>
      <c r="D202" s="101"/>
      <c r="E202" s="101"/>
      <c r="F202" s="101"/>
      <c r="G202" s="101"/>
      <c r="H202" s="33">
        <f>H198+H199+H200+H201</f>
        <v>46.78</v>
      </c>
      <c r="I202" s="37">
        <f>I198+I199+I200+I201</f>
        <v>140.33999999999997</v>
      </c>
      <c r="J202">
        <v>5</v>
      </c>
    </row>
    <row r="203" spans="1:19" x14ac:dyDescent="0.3">
      <c r="A203" s="99" t="s">
        <v>377</v>
      </c>
      <c r="B203" s="99"/>
      <c r="C203" s="99"/>
      <c r="D203" s="99"/>
      <c r="E203" s="99"/>
      <c r="F203" s="99"/>
      <c r="G203" s="99"/>
      <c r="H203" s="99"/>
      <c r="I203" s="99"/>
    </row>
    <row r="204" spans="1:19" x14ac:dyDescent="0.3">
      <c r="B204" s="2">
        <v>36</v>
      </c>
      <c r="C204" s="3" t="s">
        <v>378</v>
      </c>
      <c r="D204" s="5" t="s">
        <v>29</v>
      </c>
      <c r="G204" s="30">
        <v>16</v>
      </c>
      <c r="H204" s="38">
        <v>70.78</v>
      </c>
      <c r="I204" s="29">
        <f>G204*H204</f>
        <v>1132.48</v>
      </c>
      <c r="J204">
        <v>1</v>
      </c>
    </row>
    <row r="205" spans="1:19" x14ac:dyDescent="0.3">
      <c r="D205" s="15" t="str">
        <f>SUBSTITUTE("Sp.mat: 0.00%",".",IF(VALUE("1.2")=1.2,".",","),2)</f>
        <v>Sp.mat: 0.00%</v>
      </c>
      <c r="F205" s="15" t="str">
        <f>SUBSTITUTE("Sp.man: 0.00%",".",IF(VALUE("1.2")=1.2,".",","),2)</f>
        <v>Sp.man: 0.00%</v>
      </c>
      <c r="G205" s="35" t="str">
        <f>SUBSTITUTE("Sp.uti: 0.00%",".",IF(VALUE("1.2")=1.2,".",","),2)</f>
        <v>Sp.uti: 0.00%</v>
      </c>
      <c r="H205" s="38">
        <v>144.15</v>
      </c>
      <c r="I205" s="29">
        <f>G204*H205</f>
        <v>2306.4</v>
      </c>
      <c r="J205">
        <v>2</v>
      </c>
    </row>
    <row r="206" spans="1:19" x14ac:dyDescent="0.3">
      <c r="A206" s="88" t="s">
        <v>379</v>
      </c>
      <c r="B206" s="98"/>
      <c r="C206" s="98"/>
      <c r="D206" s="98"/>
      <c r="E206" s="98"/>
      <c r="F206" s="98"/>
      <c r="G206" s="98"/>
      <c r="H206" s="38">
        <v>300.32</v>
      </c>
      <c r="I206" s="29">
        <f>G204*H206</f>
        <v>4805.12</v>
      </c>
      <c r="J206">
        <v>3</v>
      </c>
      <c r="K206" s="4">
        <v>9000</v>
      </c>
      <c r="L206" s="4">
        <v>0</v>
      </c>
      <c r="M206" s="4">
        <f>I206-K206-L206</f>
        <v>-4194.88</v>
      </c>
    </row>
    <row r="207" spans="1:19" x14ac:dyDescent="0.3">
      <c r="A207" s="98"/>
      <c r="B207" s="98"/>
      <c r="C207" s="98"/>
      <c r="D207" s="98"/>
      <c r="E207" s="98"/>
      <c r="F207" s="98"/>
      <c r="G207" s="98"/>
      <c r="H207" s="38">
        <f>0</f>
        <v>0</v>
      </c>
      <c r="I207" s="29">
        <f>G204*H207</f>
        <v>0</v>
      </c>
      <c r="J207">
        <v>4</v>
      </c>
      <c r="N207" s="4">
        <f>IF(ISERR(SEARCH("TRA* 82",C204)),IF(Q207+R207+S207=0,0,I207*(Q207/(Q207+R207+S207))),I207)</f>
        <v>0</v>
      </c>
      <c r="O207" s="4">
        <f>IF(ISERR(SEARCH("TRA* 82",C204)),IF(Q207+R207+S207=0,0,I207*(R207/(Q207+R207+S207))),0)</f>
        <v>0</v>
      </c>
      <c r="P207" s="4">
        <f>IF(ISERR(SEARCH("TRA* 82",C204)),I207-N207-O207,0)</f>
        <v>0</v>
      </c>
      <c r="Q207" s="4">
        <v>0</v>
      </c>
      <c r="R207" s="4">
        <v>0</v>
      </c>
      <c r="S207" s="4">
        <v>0</v>
      </c>
    </row>
    <row r="208" spans="1:19" x14ac:dyDescent="0.3">
      <c r="A208" s="96" t="s">
        <v>27</v>
      </c>
      <c r="B208" s="97"/>
      <c r="C208" s="97"/>
      <c r="D208" s="97"/>
      <c r="E208" s="97"/>
      <c r="F208" s="97"/>
      <c r="G208" s="97"/>
      <c r="H208" s="36">
        <f>H204+H205+H206+H207</f>
        <v>515.25</v>
      </c>
      <c r="I208" s="74">
        <f>I204+I205+I206+I207</f>
        <v>8244</v>
      </c>
      <c r="J208">
        <v>5</v>
      </c>
    </row>
    <row r="209" spans="1:19" x14ac:dyDescent="0.3">
      <c r="B209" s="2">
        <v>37</v>
      </c>
      <c r="C209" s="3" t="s">
        <v>378</v>
      </c>
      <c r="D209" s="5" t="s">
        <v>29</v>
      </c>
      <c r="G209" s="30">
        <v>1</v>
      </c>
      <c r="H209" s="38">
        <v>318.51</v>
      </c>
      <c r="I209" s="29">
        <f>G209*H209</f>
        <v>318.51</v>
      </c>
      <c r="J209">
        <v>1</v>
      </c>
    </row>
    <row r="210" spans="1:19" x14ac:dyDescent="0.3">
      <c r="D210" s="15" t="str">
        <f>SUBSTITUTE("Sp.mat: 0.00%",".",IF(VALUE("1.2")=1.2,".",","),2)</f>
        <v>Sp.mat: 0.00%</v>
      </c>
      <c r="F210" s="15" t="str">
        <f>SUBSTITUTE("Sp.man: 0.00%",".",IF(VALUE("1.2")=1.2,".",","),2)</f>
        <v>Sp.man: 0.00%</v>
      </c>
      <c r="G210" s="35" t="str">
        <f>SUBSTITUTE("Sp.uti: 0.00%",".",IF(VALUE("1.2")=1.2,".",","),2)</f>
        <v>Sp.uti: 0.00%</v>
      </c>
      <c r="H210" s="38">
        <v>144.15</v>
      </c>
      <c r="I210" s="29">
        <f>G209*H210</f>
        <v>144.15</v>
      </c>
      <c r="J210">
        <v>2</v>
      </c>
    </row>
    <row r="211" spans="1:19" x14ac:dyDescent="0.3">
      <c r="A211" s="88" t="s">
        <v>379</v>
      </c>
      <c r="B211" s="98"/>
      <c r="C211" s="98"/>
      <c r="D211" s="98"/>
      <c r="E211" s="98"/>
      <c r="F211" s="98"/>
      <c r="G211" s="98"/>
      <c r="H211" s="38">
        <v>300.32</v>
      </c>
      <c r="I211" s="29">
        <f>G209*H211</f>
        <v>300.32</v>
      </c>
      <c r="J211">
        <v>3</v>
      </c>
      <c r="K211" s="4">
        <v>562.5</v>
      </c>
      <c r="L211" s="4">
        <v>0</v>
      </c>
      <c r="M211" s="4">
        <f>I211-K211-L211</f>
        <v>-262.18</v>
      </c>
    </row>
    <row r="212" spans="1:19" x14ac:dyDescent="0.3">
      <c r="A212" s="98"/>
      <c r="B212" s="98"/>
      <c r="C212" s="98"/>
      <c r="D212" s="98"/>
      <c r="E212" s="98"/>
      <c r="F212" s="98"/>
      <c r="G212" s="98"/>
      <c r="H212" s="38">
        <f>0</f>
        <v>0</v>
      </c>
      <c r="I212" s="29">
        <f>G209*H212</f>
        <v>0</v>
      </c>
      <c r="J212">
        <v>4</v>
      </c>
      <c r="N212" s="4">
        <f>IF(ISERR(SEARCH("TRA* 82",C209)),IF(Q212+R212+S212=0,0,I212*(Q212/(Q212+R212+S212))),I212)</f>
        <v>0</v>
      </c>
      <c r="O212" s="4">
        <f>IF(ISERR(SEARCH("TRA* 82",C209)),IF(Q212+R212+S212=0,0,I212*(R212/(Q212+R212+S212))),0)</f>
        <v>0</v>
      </c>
      <c r="P212" s="4">
        <f>IF(ISERR(SEARCH("TRA* 82",C209)),I212-N212-O212,0)</f>
        <v>0</v>
      </c>
      <c r="Q212" s="4">
        <v>0</v>
      </c>
      <c r="R212" s="4">
        <v>0</v>
      </c>
      <c r="S212" s="4">
        <v>0</v>
      </c>
    </row>
    <row r="213" spans="1:19" x14ac:dyDescent="0.3">
      <c r="A213" s="96" t="s">
        <v>27</v>
      </c>
      <c r="B213" s="97"/>
      <c r="C213" s="97"/>
      <c r="D213" s="97"/>
      <c r="E213" s="97"/>
      <c r="F213" s="97"/>
      <c r="G213" s="97"/>
      <c r="H213" s="36">
        <f>H209+H210+H211+H212</f>
        <v>762.98</v>
      </c>
      <c r="I213" s="74">
        <f>I209+I210+I211+I212</f>
        <v>762.98</v>
      </c>
      <c r="J213">
        <v>5</v>
      </c>
    </row>
    <row r="214" spans="1:19" x14ac:dyDescent="0.3">
      <c r="B214" s="2">
        <v>38</v>
      </c>
      <c r="C214" s="3" t="s">
        <v>380</v>
      </c>
      <c r="D214" s="5" t="s">
        <v>29</v>
      </c>
      <c r="G214" s="30">
        <v>27</v>
      </c>
      <c r="H214" s="38">
        <v>39.42</v>
      </c>
      <c r="I214" s="29">
        <f>G214*H214</f>
        <v>1064.3400000000001</v>
      </c>
      <c r="J214">
        <v>1</v>
      </c>
    </row>
    <row r="215" spans="1:19" x14ac:dyDescent="0.3">
      <c r="D215" s="15" t="str">
        <f>SUBSTITUTE("Sp.mat: 0.00%",".",IF(VALUE("1.2")=1.2,".",","),2)</f>
        <v>Sp.mat: 0.00%</v>
      </c>
      <c r="F215" s="15" t="str">
        <f>SUBSTITUTE("Sp.man: 0.00%",".",IF(VALUE("1.2")=1.2,".",","),2)</f>
        <v>Sp.man: 0.00%</v>
      </c>
      <c r="G215" s="35" t="str">
        <f>SUBSTITUTE("Sp.uti: 0.00%",".",IF(VALUE("1.2")=1.2,".",","),2)</f>
        <v>Sp.uti: 0.00%</v>
      </c>
      <c r="H215" s="38">
        <v>6.09</v>
      </c>
      <c r="I215" s="29">
        <f>G214*H215</f>
        <v>164.43</v>
      </c>
      <c r="J215">
        <v>2</v>
      </c>
    </row>
    <row r="216" spans="1:19" x14ac:dyDescent="0.3">
      <c r="A216" s="88" t="s">
        <v>922</v>
      </c>
      <c r="B216" s="98"/>
      <c r="C216" s="98"/>
      <c r="D216" s="98"/>
      <c r="E216" s="98"/>
      <c r="F216" s="98"/>
      <c r="G216" s="98"/>
      <c r="H216" s="38">
        <f>(1+IF(OR(ISERR(FIND(":",G215)),ISERR(FIND("%",G215))),0,MID(G215,FIND(":",G215)+2,FIND("%",G215)-FIND(":",G215)-2)/100))*0</f>
        <v>0</v>
      </c>
      <c r="I216" s="29">
        <f>G214*H216</f>
        <v>0</v>
      </c>
      <c r="J216">
        <v>3</v>
      </c>
      <c r="K216" s="4">
        <v>0</v>
      </c>
      <c r="L216" s="4">
        <v>0</v>
      </c>
      <c r="M216" s="4">
        <f>I216-K216-L216</f>
        <v>0</v>
      </c>
    </row>
    <row r="217" spans="1:19" x14ac:dyDescent="0.3">
      <c r="A217" s="98"/>
      <c r="B217" s="98"/>
      <c r="C217" s="98"/>
      <c r="D217" s="98"/>
      <c r="E217" s="98"/>
      <c r="F217" s="98"/>
      <c r="G217" s="98"/>
      <c r="H217" s="38">
        <f>0</f>
        <v>0</v>
      </c>
      <c r="I217" s="29">
        <f>G214*H217</f>
        <v>0</v>
      </c>
      <c r="J217">
        <v>4</v>
      </c>
      <c r="N217" s="4">
        <f>IF(ISERR(SEARCH("TRA* 82",C214)),IF(Q217+R217+S217=0,0,I217*(Q217/(Q217+R217+S217))),I217)</f>
        <v>0</v>
      </c>
      <c r="O217" s="4">
        <f>IF(ISERR(SEARCH("TRA* 82",C214)),IF(Q217+R217+S217=0,0,I217*(R217/(Q217+R217+S217))),0)</f>
        <v>0</v>
      </c>
      <c r="P217" s="4">
        <f>IF(ISERR(SEARCH("TRA* 82",C214)),I217-N217-O217,0)</f>
        <v>0</v>
      </c>
      <c r="Q217" s="4">
        <v>0</v>
      </c>
      <c r="R217" s="4">
        <v>0</v>
      </c>
      <c r="S217" s="4">
        <v>0</v>
      </c>
    </row>
    <row r="218" spans="1:19" x14ac:dyDescent="0.3">
      <c r="A218" s="96" t="s">
        <v>27</v>
      </c>
      <c r="B218" s="97"/>
      <c r="C218" s="97"/>
      <c r="D218" s="97"/>
      <c r="E218" s="97"/>
      <c r="F218" s="97"/>
      <c r="G218" s="97"/>
      <c r="H218" s="36">
        <f>H214+H215+H216+H217</f>
        <v>45.510000000000005</v>
      </c>
      <c r="I218" s="74">
        <f>I214+I215+I216+I217</f>
        <v>1228.7700000000002</v>
      </c>
      <c r="J218">
        <v>5</v>
      </c>
    </row>
    <row r="219" spans="1:19" x14ac:dyDescent="0.3">
      <c r="B219" s="2">
        <v>39</v>
      </c>
      <c r="C219" s="3" t="s">
        <v>382</v>
      </c>
      <c r="D219" s="5" t="s">
        <v>29</v>
      </c>
      <c r="G219" s="30">
        <v>24</v>
      </c>
      <c r="H219" s="38">
        <v>17.09</v>
      </c>
      <c r="I219" s="29">
        <f>G219*H219</f>
        <v>410.15999999999997</v>
      </c>
      <c r="J219">
        <v>1</v>
      </c>
    </row>
    <row r="220" spans="1:19" x14ac:dyDescent="0.3">
      <c r="D220" s="15" t="str">
        <f>SUBSTITUTE("Sp.mat: 0.00%",".",IF(VALUE("1.2")=1.2,".",","),2)</f>
        <v>Sp.mat: 0.00%</v>
      </c>
      <c r="F220" s="15" t="str">
        <f>SUBSTITUTE("Sp.man: 0.00%",".",IF(VALUE("1.2")=1.2,".",","),2)</f>
        <v>Sp.man: 0.00%</v>
      </c>
      <c r="G220" s="35" t="str">
        <f>SUBSTITUTE("Sp.uti: 0.00%",".",IF(VALUE("1.2")=1.2,".",","),2)</f>
        <v>Sp.uti: 0.00%</v>
      </c>
      <c r="H220" s="38">
        <v>2.08</v>
      </c>
      <c r="I220" s="29">
        <f>G219*H220</f>
        <v>49.92</v>
      </c>
      <c r="J220">
        <v>2</v>
      </c>
    </row>
    <row r="221" spans="1:19" x14ac:dyDescent="0.3">
      <c r="A221" s="88" t="s">
        <v>923</v>
      </c>
      <c r="B221" s="98"/>
      <c r="C221" s="98"/>
      <c r="D221" s="98"/>
      <c r="E221" s="98"/>
      <c r="F221" s="98"/>
      <c r="G221" s="98"/>
      <c r="H221" s="38">
        <f>(1+IF(OR(ISERR(FIND(":",G220)),ISERR(FIND("%",G220))),0,MID(G220,FIND(":",G220)+2,FIND("%",G220)-FIND(":",G220)-2)/100))*0</f>
        <v>0</v>
      </c>
      <c r="I221" s="29">
        <f>G219*H221</f>
        <v>0</v>
      </c>
      <c r="J221">
        <v>3</v>
      </c>
      <c r="K221" s="4">
        <v>0</v>
      </c>
      <c r="L221" s="4">
        <v>0</v>
      </c>
      <c r="M221" s="4">
        <f>I221-K221-L221</f>
        <v>0</v>
      </c>
    </row>
    <row r="222" spans="1:19" x14ac:dyDescent="0.3">
      <c r="A222" s="98"/>
      <c r="B222" s="98"/>
      <c r="C222" s="98"/>
      <c r="D222" s="98"/>
      <c r="E222" s="98"/>
      <c r="F222" s="98"/>
      <c r="G222" s="98"/>
      <c r="H222" s="38">
        <f>0</f>
        <v>0</v>
      </c>
      <c r="I222" s="29">
        <f>G219*H222</f>
        <v>0</v>
      </c>
      <c r="J222">
        <v>4</v>
      </c>
      <c r="N222" s="4">
        <f>IF(ISERR(SEARCH("TRA* 82",C219)),IF(Q222+R222+S222=0,0,I222*(Q222/(Q222+R222+S222))),I222)</f>
        <v>0</v>
      </c>
      <c r="O222" s="4">
        <f>IF(ISERR(SEARCH("TRA* 82",C219)),IF(Q222+R222+S222=0,0,I222*(R222/(Q222+R222+S222))),0)</f>
        <v>0</v>
      </c>
      <c r="P222" s="4">
        <f>IF(ISERR(SEARCH("TRA* 82",C219)),I222-N222-O222,0)</f>
        <v>0</v>
      </c>
      <c r="Q222" s="4">
        <v>0</v>
      </c>
      <c r="R222" s="4">
        <v>0</v>
      </c>
      <c r="S222" s="4">
        <v>0</v>
      </c>
    </row>
    <row r="223" spans="1:19" x14ac:dyDescent="0.3">
      <c r="A223" s="96" t="s">
        <v>27</v>
      </c>
      <c r="B223" s="97"/>
      <c r="C223" s="97"/>
      <c r="D223" s="97"/>
      <c r="E223" s="97"/>
      <c r="F223" s="97"/>
      <c r="G223" s="97"/>
      <c r="H223" s="36">
        <f>H219+H220+H221+H222</f>
        <v>19.170000000000002</v>
      </c>
      <c r="I223" s="74">
        <f>I219+I220+I221+I222</f>
        <v>460.08</v>
      </c>
      <c r="J223">
        <v>5</v>
      </c>
    </row>
    <row r="224" spans="1:19" x14ac:dyDescent="0.3">
      <c r="B224" s="2">
        <v>40</v>
      </c>
      <c r="C224" s="3" t="s">
        <v>384</v>
      </c>
      <c r="D224" s="5" t="s">
        <v>29</v>
      </c>
      <c r="G224" s="30">
        <v>3</v>
      </c>
      <c r="H224" s="38">
        <v>28.6</v>
      </c>
      <c r="I224" s="29">
        <f>G224*H224</f>
        <v>85.800000000000011</v>
      </c>
      <c r="J224">
        <v>1</v>
      </c>
    </row>
    <row r="225" spans="1:19" x14ac:dyDescent="0.3">
      <c r="D225" s="15" t="str">
        <f>SUBSTITUTE("Sp.mat: 0.00%",".",IF(VALUE("1.2")=1.2,".",","),2)</f>
        <v>Sp.mat: 0.00%</v>
      </c>
      <c r="F225" s="15" t="str">
        <f>SUBSTITUTE("Sp.man: 0.00%",".",IF(VALUE("1.2")=1.2,".",","),2)</f>
        <v>Sp.man: 0.00%</v>
      </c>
      <c r="G225" s="35" t="str">
        <f>SUBSTITUTE("Sp.uti: 0.00%",".",IF(VALUE("1.2")=1.2,".",","),2)</f>
        <v>Sp.uti: 0.00%</v>
      </c>
      <c r="H225" s="38">
        <v>2.08</v>
      </c>
      <c r="I225" s="29">
        <f>G224*H225</f>
        <v>6.24</v>
      </c>
      <c r="J225">
        <v>2</v>
      </c>
    </row>
    <row r="226" spans="1:19" x14ac:dyDescent="0.3">
      <c r="A226" s="88" t="s">
        <v>385</v>
      </c>
      <c r="B226" s="98"/>
      <c r="C226" s="98"/>
      <c r="D226" s="98"/>
      <c r="E226" s="98"/>
      <c r="F226" s="98"/>
      <c r="G226" s="98"/>
      <c r="H226" s="38">
        <f>(1+IF(OR(ISERR(FIND(":",G225)),ISERR(FIND("%",G225))),0,MID(G225,FIND(":",G225)+2,FIND("%",G225)-FIND(":",G225)-2)/100))*0</f>
        <v>0</v>
      </c>
      <c r="I226" s="29">
        <f>G224*H226</f>
        <v>0</v>
      </c>
      <c r="J226">
        <v>3</v>
      </c>
      <c r="K226" s="4">
        <v>0</v>
      </c>
      <c r="L226" s="4">
        <v>0</v>
      </c>
      <c r="M226" s="4">
        <f>I226-K226-L226</f>
        <v>0</v>
      </c>
    </row>
    <row r="227" spans="1:19" x14ac:dyDescent="0.3">
      <c r="A227" s="98"/>
      <c r="B227" s="98"/>
      <c r="C227" s="98"/>
      <c r="D227" s="98"/>
      <c r="E227" s="98"/>
      <c r="F227" s="98"/>
      <c r="G227" s="98"/>
      <c r="H227" s="38">
        <f>0</f>
        <v>0</v>
      </c>
      <c r="I227" s="29">
        <f>G224*H227</f>
        <v>0</v>
      </c>
      <c r="J227">
        <v>4</v>
      </c>
      <c r="N227" s="4">
        <f>IF(ISERR(SEARCH("TRA* 82",C224)),IF(Q227+R227+S227=0,0,I227*(Q227/(Q227+R227+S227))),I227)</f>
        <v>0</v>
      </c>
      <c r="O227" s="4">
        <f>IF(ISERR(SEARCH("TRA* 82",C224)),IF(Q227+R227+S227=0,0,I227*(R227/(Q227+R227+S227))),0)</f>
        <v>0</v>
      </c>
      <c r="P227" s="4">
        <f>IF(ISERR(SEARCH("TRA* 82",C224)),I227-N227-O227,0)</f>
        <v>0</v>
      </c>
      <c r="Q227" s="4">
        <v>0</v>
      </c>
      <c r="R227" s="4">
        <v>0</v>
      </c>
      <c r="S227" s="4">
        <v>0</v>
      </c>
    </row>
    <row r="228" spans="1:19" x14ac:dyDescent="0.3">
      <c r="A228" s="96" t="s">
        <v>27</v>
      </c>
      <c r="B228" s="97"/>
      <c r="C228" s="97"/>
      <c r="D228" s="97"/>
      <c r="E228" s="97"/>
      <c r="F228" s="97"/>
      <c r="G228" s="97"/>
      <c r="H228" s="36">
        <f>H224+H225+H226+H227</f>
        <v>30.68</v>
      </c>
      <c r="I228" s="74">
        <f>I224+I225+I226+I227</f>
        <v>92.04</v>
      </c>
      <c r="J228">
        <v>5</v>
      </c>
    </row>
    <row r="229" spans="1:19" x14ac:dyDescent="0.3">
      <c r="B229" s="2">
        <v>41</v>
      </c>
      <c r="C229" s="3" t="s">
        <v>924</v>
      </c>
      <c r="D229" s="5" t="s">
        <v>29</v>
      </c>
      <c r="G229" s="30">
        <v>1</v>
      </c>
      <c r="H229" s="38">
        <v>78.61</v>
      </c>
      <c r="I229" s="29">
        <f>G229*H229</f>
        <v>78.61</v>
      </c>
      <c r="J229">
        <v>1</v>
      </c>
    </row>
    <row r="230" spans="1:19" x14ac:dyDescent="0.3">
      <c r="D230" s="15" t="str">
        <f>SUBSTITUTE("Sp.mat: 0.00%",".",IF(VALUE("1.2")=1.2,".",","),2)</f>
        <v>Sp.mat: 0.00%</v>
      </c>
      <c r="F230" s="15" t="str">
        <f>SUBSTITUTE("Sp.man: 0.00%",".",IF(VALUE("1.2")=1.2,".",","),2)</f>
        <v>Sp.man: 0.00%</v>
      </c>
      <c r="G230" s="35" t="str">
        <f>SUBSTITUTE("Sp.uti: 0.00%",".",IF(VALUE("1.2")=1.2,".",","),2)</f>
        <v>Sp.uti: 0.00%</v>
      </c>
      <c r="H230" s="38">
        <v>2.08</v>
      </c>
      <c r="I230" s="29">
        <f>G229*H230</f>
        <v>2.08</v>
      </c>
      <c r="J230">
        <v>2</v>
      </c>
    </row>
    <row r="231" spans="1:19" x14ac:dyDescent="0.3">
      <c r="A231" s="88" t="s">
        <v>925</v>
      </c>
      <c r="B231" s="98"/>
      <c r="C231" s="98"/>
      <c r="D231" s="98"/>
      <c r="E231" s="98"/>
      <c r="F231" s="98"/>
      <c r="G231" s="98"/>
      <c r="H231" s="38">
        <f>(1+IF(OR(ISERR(FIND(":",G230)),ISERR(FIND("%",G230))),0,MID(G230,FIND(":",G230)+2,FIND("%",G230)-FIND(":",G230)-2)/100))*0</f>
        <v>0</v>
      </c>
      <c r="I231" s="29">
        <f>G229*H231</f>
        <v>0</v>
      </c>
      <c r="J231">
        <v>3</v>
      </c>
      <c r="K231" s="4">
        <v>0</v>
      </c>
      <c r="L231" s="4">
        <v>0</v>
      </c>
      <c r="M231" s="4">
        <f>I231-K231-L231</f>
        <v>0</v>
      </c>
    </row>
    <row r="232" spans="1:19" x14ac:dyDescent="0.3">
      <c r="A232" s="98"/>
      <c r="B232" s="98"/>
      <c r="C232" s="98"/>
      <c r="D232" s="98"/>
      <c r="E232" s="98"/>
      <c r="F232" s="98"/>
      <c r="G232" s="98"/>
      <c r="H232" s="38">
        <f>0</f>
        <v>0</v>
      </c>
      <c r="I232" s="29">
        <f>G229*H232</f>
        <v>0</v>
      </c>
      <c r="J232">
        <v>4</v>
      </c>
      <c r="N232" s="4">
        <f>IF(ISERR(SEARCH("TRA* 82",C229)),IF(Q232+R232+S232=0,0,I232*(Q232/(Q232+R232+S232))),I232)</f>
        <v>0</v>
      </c>
      <c r="O232" s="4">
        <f>IF(ISERR(SEARCH("TRA* 82",C229)),IF(Q232+R232+S232=0,0,I232*(R232/(Q232+R232+S232))),0)</f>
        <v>0</v>
      </c>
      <c r="P232" s="4">
        <f>IF(ISERR(SEARCH("TRA* 82",C229)),I232-N232-O232,0)</f>
        <v>0</v>
      </c>
      <c r="Q232" s="4">
        <v>0</v>
      </c>
      <c r="R232" s="4">
        <v>0</v>
      </c>
      <c r="S232" s="4">
        <v>0</v>
      </c>
    </row>
    <row r="233" spans="1:19" x14ac:dyDescent="0.3">
      <c r="A233" s="96" t="s">
        <v>27</v>
      </c>
      <c r="B233" s="97"/>
      <c r="C233" s="97"/>
      <c r="D233" s="97"/>
      <c r="E233" s="97"/>
      <c r="F233" s="97"/>
      <c r="G233" s="97"/>
      <c r="H233" s="36">
        <f>H229+H230+H231+H232</f>
        <v>80.69</v>
      </c>
      <c r="I233" s="74">
        <f>I229+I230+I231+I232</f>
        <v>80.69</v>
      </c>
      <c r="J233">
        <v>5</v>
      </c>
    </row>
    <row r="234" spans="1:19" x14ac:dyDescent="0.3">
      <c r="B234" s="2">
        <v>42</v>
      </c>
      <c r="C234" s="3" t="s">
        <v>393</v>
      </c>
      <c r="D234" s="5" t="s">
        <v>25</v>
      </c>
      <c r="G234" s="30">
        <v>20</v>
      </c>
      <c r="H234" s="38">
        <v>3.82</v>
      </c>
      <c r="I234" s="29">
        <f>G234*H234</f>
        <v>76.399999999999991</v>
      </c>
      <c r="J234">
        <v>1</v>
      </c>
    </row>
    <row r="235" spans="1:19" x14ac:dyDescent="0.3">
      <c r="D235" s="15" t="str">
        <f>SUBSTITUTE("Sp.mat: 0.00%",".",IF(VALUE("1.2")=1.2,".",","),2)</f>
        <v>Sp.mat: 0.00%</v>
      </c>
      <c r="F235" s="15" t="str">
        <f>SUBSTITUTE("Sp.man: 0.00%",".",IF(VALUE("1.2")=1.2,".",","),2)</f>
        <v>Sp.man: 0.00%</v>
      </c>
      <c r="G235" s="35" t="str">
        <f>SUBSTITUTE("Sp.uti: 0.00%",".",IF(VALUE("1.2")=1.2,".",","),2)</f>
        <v>Sp.uti: 0.00%</v>
      </c>
      <c r="H235" s="38">
        <v>17.62</v>
      </c>
      <c r="I235" s="29">
        <f>G234*H235</f>
        <v>352.40000000000003</v>
      </c>
      <c r="J235">
        <v>2</v>
      </c>
    </row>
    <row r="236" spans="1:19" x14ac:dyDescent="0.3">
      <c r="A236" s="88" t="s">
        <v>394</v>
      </c>
      <c r="B236" s="98"/>
      <c r="C236" s="98"/>
      <c r="D236" s="98"/>
      <c r="E236" s="98"/>
      <c r="F236" s="98"/>
      <c r="G236" s="98"/>
      <c r="H236" s="38">
        <f>(1+IF(OR(ISERR(FIND(":",G235)),ISERR(FIND("%",G235))),0,MID(G235,FIND(":",G235)+2,FIND("%",G235)-FIND(":",G235)-2)/100))*0</f>
        <v>0</v>
      </c>
      <c r="I236" s="29">
        <f>G234*H236</f>
        <v>0</v>
      </c>
      <c r="J236">
        <v>3</v>
      </c>
      <c r="K236" s="4">
        <v>0</v>
      </c>
      <c r="L236" s="4">
        <v>0</v>
      </c>
      <c r="M236" s="4">
        <f>I236-K236-L236</f>
        <v>0</v>
      </c>
    </row>
    <row r="237" spans="1:19" x14ac:dyDescent="0.3">
      <c r="A237" s="98"/>
      <c r="B237" s="98"/>
      <c r="C237" s="98"/>
      <c r="D237" s="98"/>
      <c r="E237" s="98"/>
      <c r="F237" s="98"/>
      <c r="G237" s="98"/>
      <c r="H237" s="38">
        <f>0</f>
        <v>0</v>
      </c>
      <c r="I237" s="29">
        <f>G234*H237</f>
        <v>0</v>
      </c>
      <c r="J237">
        <v>4</v>
      </c>
      <c r="N237" s="4">
        <f>IF(ISERR(SEARCH("TRA* 82",C234)),IF(Q237+R237+S237=0,0,I237*(Q237/(Q237+R237+S237))),I237)</f>
        <v>0</v>
      </c>
      <c r="O237" s="4">
        <f>IF(ISERR(SEARCH("TRA* 82",C234)),IF(Q237+R237+S237=0,0,I237*(R237/(Q237+R237+S237))),0)</f>
        <v>0</v>
      </c>
      <c r="P237" s="4">
        <f>IF(ISERR(SEARCH("TRA* 82",C234)),I237-N237-O237,0)</f>
        <v>0</v>
      </c>
      <c r="Q237" s="4">
        <v>0</v>
      </c>
      <c r="R237" s="4">
        <v>0</v>
      </c>
      <c r="S237" s="4">
        <v>0</v>
      </c>
    </row>
    <row r="238" spans="1:19" x14ac:dyDescent="0.3">
      <c r="A238" s="100" t="s">
        <v>27</v>
      </c>
      <c r="B238" s="101"/>
      <c r="C238" s="101"/>
      <c r="D238" s="101"/>
      <c r="E238" s="101"/>
      <c r="F238" s="101"/>
      <c r="G238" s="101"/>
      <c r="H238" s="33">
        <f>H234+H235+H236+H237</f>
        <v>21.44</v>
      </c>
      <c r="I238" s="37">
        <f>I234+I235+I236+I237</f>
        <v>428.8</v>
      </c>
      <c r="J238">
        <v>5</v>
      </c>
    </row>
    <row r="239" spans="1:19" x14ac:dyDescent="0.3">
      <c r="A239" s="102" t="s">
        <v>926</v>
      </c>
      <c r="B239" s="102"/>
      <c r="C239" s="102"/>
      <c r="D239" s="102"/>
      <c r="E239" s="102"/>
      <c r="F239" s="102"/>
      <c r="G239" s="102"/>
      <c r="H239" s="102"/>
      <c r="I239" s="102"/>
    </row>
    <row r="240" spans="1:19" x14ac:dyDescent="0.3">
      <c r="A240" s="97" t="s">
        <v>927</v>
      </c>
      <c r="B240" s="97"/>
      <c r="C240" s="97"/>
      <c r="D240" s="97"/>
      <c r="E240" s="97"/>
      <c r="F240" s="97"/>
      <c r="G240" s="97"/>
      <c r="H240" s="97"/>
      <c r="I240" s="97"/>
    </row>
    <row r="241" spans="1:19" x14ac:dyDescent="0.3">
      <c r="B241" s="2">
        <v>43</v>
      </c>
      <c r="C241" s="3" t="s">
        <v>393</v>
      </c>
      <c r="D241" s="5" t="s">
        <v>25</v>
      </c>
      <c r="G241" s="30">
        <v>10</v>
      </c>
      <c r="H241" s="38">
        <v>4.5999999999999996</v>
      </c>
      <c r="I241" s="29">
        <f>G241*H241</f>
        <v>46</v>
      </c>
      <c r="J241">
        <v>1</v>
      </c>
    </row>
    <row r="242" spans="1:19" x14ac:dyDescent="0.3">
      <c r="D242" s="15" t="str">
        <f>SUBSTITUTE("Sp.mat: 0.00%",".",IF(VALUE("1.2")=1.2,".",","),2)</f>
        <v>Sp.mat: 0.00%</v>
      </c>
      <c r="F242" s="15" t="str">
        <f>SUBSTITUTE("Sp.man: 0.00%",".",IF(VALUE("1.2")=1.2,".",","),2)</f>
        <v>Sp.man: 0.00%</v>
      </c>
      <c r="G242" s="35" t="str">
        <f>SUBSTITUTE("Sp.uti: 0.00%",".",IF(VALUE("1.2")=1.2,".",","),2)</f>
        <v>Sp.uti: 0.00%</v>
      </c>
      <c r="H242" s="38">
        <v>17.62</v>
      </c>
      <c r="I242" s="29">
        <f>G241*H242</f>
        <v>176.20000000000002</v>
      </c>
      <c r="J242">
        <v>2</v>
      </c>
    </row>
    <row r="243" spans="1:19" x14ac:dyDescent="0.3">
      <c r="A243" s="88" t="s">
        <v>394</v>
      </c>
      <c r="B243" s="98"/>
      <c r="C243" s="98"/>
      <c r="D243" s="98"/>
      <c r="E243" s="98"/>
      <c r="F243" s="98"/>
      <c r="G243" s="98"/>
      <c r="H243" s="38">
        <f>(1+IF(OR(ISERR(FIND(":",G242)),ISERR(FIND("%",G242))),0,MID(G242,FIND(":",G242)+2,FIND("%",G242)-FIND(":",G242)-2)/100))*0</f>
        <v>0</v>
      </c>
      <c r="I243" s="29">
        <f>G241*H243</f>
        <v>0</v>
      </c>
      <c r="J243">
        <v>3</v>
      </c>
      <c r="K243" s="4">
        <v>0</v>
      </c>
      <c r="L243" s="4">
        <v>0</v>
      </c>
      <c r="M243" s="4">
        <f>I243-K243-L243</f>
        <v>0</v>
      </c>
    </row>
    <row r="244" spans="1:19" x14ac:dyDescent="0.3">
      <c r="A244" s="98"/>
      <c r="B244" s="98"/>
      <c r="C244" s="98"/>
      <c r="D244" s="98"/>
      <c r="E244" s="98"/>
      <c r="F244" s="98"/>
      <c r="G244" s="98"/>
      <c r="H244" s="38">
        <f>0</f>
        <v>0</v>
      </c>
      <c r="I244" s="29">
        <f>G241*H244</f>
        <v>0</v>
      </c>
      <c r="J244">
        <v>4</v>
      </c>
      <c r="N244" s="4">
        <f>IF(ISERR(SEARCH("TRA* 82",C241)),IF(Q244+R244+S244=0,0,I244*(Q244/(Q244+R244+S244))),I244)</f>
        <v>0</v>
      </c>
      <c r="O244" s="4">
        <f>IF(ISERR(SEARCH("TRA* 82",C241)),IF(Q244+R244+S244=0,0,I244*(R244/(Q244+R244+S244))),0)</f>
        <v>0</v>
      </c>
      <c r="P244" s="4">
        <f>IF(ISERR(SEARCH("TRA* 82",C241)),I244-N244-O244,0)</f>
        <v>0</v>
      </c>
      <c r="Q244" s="4">
        <v>0</v>
      </c>
      <c r="R244" s="4">
        <v>0</v>
      </c>
      <c r="S244" s="4">
        <v>0</v>
      </c>
    </row>
    <row r="245" spans="1:19" x14ac:dyDescent="0.3">
      <c r="A245" s="100" t="s">
        <v>27</v>
      </c>
      <c r="B245" s="101"/>
      <c r="C245" s="101"/>
      <c r="D245" s="101"/>
      <c r="E245" s="101"/>
      <c r="F245" s="101"/>
      <c r="G245" s="101"/>
      <c r="H245" s="33">
        <f>H241+H242+H243+H244</f>
        <v>22.22</v>
      </c>
      <c r="I245" s="37">
        <f>I241+I242+I243+I244</f>
        <v>222.20000000000002</v>
      </c>
      <c r="J245">
        <v>5</v>
      </c>
    </row>
    <row r="246" spans="1:19" x14ac:dyDescent="0.3">
      <c r="A246" s="102" t="s">
        <v>396</v>
      </c>
      <c r="B246" s="102"/>
      <c r="C246" s="102"/>
      <c r="D246" s="102"/>
      <c r="E246" s="102"/>
      <c r="F246" s="102"/>
      <c r="G246" s="102"/>
      <c r="H246" s="102"/>
      <c r="I246" s="102"/>
    </row>
    <row r="247" spans="1:19" x14ac:dyDescent="0.3">
      <c r="A247" s="97" t="s">
        <v>927</v>
      </c>
      <c r="B247" s="97"/>
      <c r="C247" s="97"/>
      <c r="D247" s="97"/>
      <c r="E247" s="97"/>
      <c r="F247" s="97"/>
      <c r="G247" s="97"/>
      <c r="H247" s="97"/>
      <c r="I247" s="97"/>
    </row>
    <row r="248" spans="1:19" x14ac:dyDescent="0.3">
      <c r="B248" s="2">
        <v>44</v>
      </c>
      <c r="C248" s="3" t="s">
        <v>398</v>
      </c>
      <c r="D248" s="5" t="s">
        <v>25</v>
      </c>
      <c r="G248" s="30">
        <v>20</v>
      </c>
      <c r="H248" s="38">
        <v>6.88</v>
      </c>
      <c r="I248" s="29">
        <f>G248*H248</f>
        <v>137.6</v>
      </c>
      <c r="J248">
        <v>1</v>
      </c>
    </row>
    <row r="249" spans="1:19" x14ac:dyDescent="0.3">
      <c r="D249" s="15" t="str">
        <f>SUBSTITUTE("Sp.mat: 0.00%",".",IF(VALUE("1.2")=1.2,".",","),2)</f>
        <v>Sp.mat: 0.00%</v>
      </c>
      <c r="F249" s="15" t="str">
        <f>SUBSTITUTE("Sp.man: 0.00%",".",IF(VALUE("1.2")=1.2,".",","),2)</f>
        <v>Sp.man: 0.00%</v>
      </c>
      <c r="G249" s="35" t="str">
        <f>SUBSTITUTE("Sp.uti: 0.00%",".",IF(VALUE("1.2")=1.2,".",","),2)</f>
        <v>Sp.uti: 0.00%</v>
      </c>
      <c r="H249" s="38">
        <v>15.22</v>
      </c>
      <c r="I249" s="29">
        <f>G248*H249</f>
        <v>304.40000000000003</v>
      </c>
      <c r="J249">
        <v>2</v>
      </c>
    </row>
    <row r="250" spans="1:19" x14ac:dyDescent="0.3">
      <c r="A250" s="88" t="s">
        <v>399</v>
      </c>
      <c r="B250" s="98"/>
      <c r="C250" s="98"/>
      <c r="D250" s="98"/>
      <c r="E250" s="98"/>
      <c r="F250" s="98"/>
      <c r="G250" s="98"/>
      <c r="H250" s="38">
        <f>(1+IF(OR(ISERR(FIND(":",G249)),ISERR(FIND("%",G249))),0,MID(G249,FIND(":",G249)+2,FIND("%",G249)-FIND(":",G249)-2)/100))*0</f>
        <v>0</v>
      </c>
      <c r="I250" s="29">
        <f>G248*H250</f>
        <v>0</v>
      </c>
      <c r="J250">
        <v>3</v>
      </c>
      <c r="K250" s="4">
        <v>0</v>
      </c>
      <c r="L250" s="4">
        <v>0</v>
      </c>
      <c r="M250" s="4">
        <f>I250-K250-L250</f>
        <v>0</v>
      </c>
    </row>
    <row r="251" spans="1:19" x14ac:dyDescent="0.3">
      <c r="A251" s="98"/>
      <c r="B251" s="98"/>
      <c r="C251" s="98"/>
      <c r="D251" s="98"/>
      <c r="E251" s="98"/>
      <c r="F251" s="98"/>
      <c r="G251" s="98"/>
      <c r="H251" s="38">
        <f>0</f>
        <v>0</v>
      </c>
      <c r="I251" s="29">
        <f>G248*H251</f>
        <v>0</v>
      </c>
      <c r="J251">
        <v>4</v>
      </c>
      <c r="N251" s="4">
        <f>IF(ISERR(SEARCH("TRA* 82",C248)),IF(Q251+R251+S251=0,0,I251*(Q251/(Q251+R251+S251))),I251)</f>
        <v>0</v>
      </c>
      <c r="O251" s="4">
        <f>IF(ISERR(SEARCH("TRA* 82",C248)),IF(Q251+R251+S251=0,0,I251*(R251/(Q251+R251+S251))),0)</f>
        <v>0</v>
      </c>
      <c r="P251" s="4">
        <f>IF(ISERR(SEARCH("TRA* 82",C248)),I251-N251-O251,0)</f>
        <v>0</v>
      </c>
      <c r="Q251" s="4">
        <v>0</v>
      </c>
      <c r="R251" s="4">
        <v>0</v>
      </c>
      <c r="S251" s="4">
        <v>0</v>
      </c>
    </row>
    <row r="252" spans="1:19" x14ac:dyDescent="0.3">
      <c r="A252" s="100" t="s">
        <v>27</v>
      </c>
      <c r="B252" s="101"/>
      <c r="C252" s="101"/>
      <c r="D252" s="101"/>
      <c r="E252" s="101"/>
      <c r="F252" s="101"/>
      <c r="G252" s="101"/>
      <c r="H252" s="33">
        <f>H248+H249+H250+H251</f>
        <v>22.1</v>
      </c>
      <c r="I252" s="37">
        <f>I248+I249+I250+I251</f>
        <v>442</v>
      </c>
      <c r="J252">
        <v>5</v>
      </c>
    </row>
    <row r="253" spans="1:19" x14ac:dyDescent="0.3">
      <c r="A253" s="102" t="s">
        <v>400</v>
      </c>
      <c r="B253" s="102"/>
      <c r="C253" s="102"/>
      <c r="D253" s="102"/>
      <c r="E253" s="102"/>
      <c r="F253" s="102"/>
      <c r="G253" s="102"/>
      <c r="H253" s="102"/>
      <c r="I253" s="102"/>
    </row>
    <row r="254" spans="1:19" x14ac:dyDescent="0.3">
      <c r="A254" s="97" t="s">
        <v>410</v>
      </c>
      <c r="B254" s="97"/>
      <c r="C254" s="97"/>
      <c r="D254" s="97"/>
      <c r="E254" s="97"/>
      <c r="F254" s="97"/>
      <c r="G254" s="97"/>
      <c r="H254" s="97"/>
      <c r="I254" s="97"/>
    </row>
    <row r="255" spans="1:19" x14ac:dyDescent="0.3">
      <c r="B255" s="2">
        <v>45</v>
      </c>
      <c r="C255" s="3" t="s">
        <v>398</v>
      </c>
      <c r="D255" s="5" t="s">
        <v>25</v>
      </c>
      <c r="G255" s="30">
        <v>55</v>
      </c>
      <c r="H255" s="38">
        <v>9.32</v>
      </c>
      <c r="I255" s="29">
        <f>G255*H255</f>
        <v>512.6</v>
      </c>
      <c r="J255">
        <v>1</v>
      </c>
    </row>
    <row r="256" spans="1:19" x14ac:dyDescent="0.3">
      <c r="D256" s="15" t="str">
        <f>SUBSTITUTE("Sp.mat: 0.00%",".",IF(VALUE("1.2")=1.2,".",","),2)</f>
        <v>Sp.mat: 0.00%</v>
      </c>
      <c r="F256" s="15" t="str">
        <f>SUBSTITUTE("Sp.man: 0.00%",".",IF(VALUE("1.2")=1.2,".",","),2)</f>
        <v>Sp.man: 0.00%</v>
      </c>
      <c r="G256" s="35" t="str">
        <f>SUBSTITUTE("Sp.uti: 0.00%",".",IF(VALUE("1.2")=1.2,".",","),2)</f>
        <v>Sp.uti: 0.00%</v>
      </c>
      <c r="H256" s="38">
        <v>15.22</v>
      </c>
      <c r="I256" s="29">
        <f>G255*H256</f>
        <v>837.1</v>
      </c>
      <c r="J256">
        <v>2</v>
      </c>
    </row>
    <row r="257" spans="1:19" x14ac:dyDescent="0.3">
      <c r="A257" s="88" t="s">
        <v>399</v>
      </c>
      <c r="B257" s="98"/>
      <c r="C257" s="98"/>
      <c r="D257" s="98"/>
      <c r="E257" s="98"/>
      <c r="F257" s="98"/>
      <c r="G257" s="98"/>
      <c r="H257" s="38">
        <f>(1+IF(OR(ISERR(FIND(":",G256)),ISERR(FIND("%",G256))),0,MID(G256,FIND(":",G256)+2,FIND("%",G256)-FIND(":",G256)-2)/100))*0</f>
        <v>0</v>
      </c>
      <c r="I257" s="29">
        <f>G255*H257</f>
        <v>0</v>
      </c>
      <c r="J257">
        <v>3</v>
      </c>
      <c r="K257" s="4">
        <v>0</v>
      </c>
      <c r="L257" s="4">
        <v>0</v>
      </c>
      <c r="M257" s="4">
        <f>I257-K257-L257</f>
        <v>0</v>
      </c>
    </row>
    <row r="258" spans="1:19" x14ac:dyDescent="0.3">
      <c r="A258" s="98"/>
      <c r="B258" s="98"/>
      <c r="C258" s="98"/>
      <c r="D258" s="98"/>
      <c r="E258" s="98"/>
      <c r="F258" s="98"/>
      <c r="G258" s="98"/>
      <c r="H258" s="38">
        <f>0</f>
        <v>0</v>
      </c>
      <c r="I258" s="29">
        <f>G255*H258</f>
        <v>0</v>
      </c>
      <c r="J258">
        <v>4</v>
      </c>
      <c r="N258" s="4">
        <f>IF(ISERR(SEARCH("TRA* 82",C255)),IF(Q258+R258+S258=0,0,I258*(Q258/(Q258+R258+S258))),I258)</f>
        <v>0</v>
      </c>
      <c r="O258" s="4">
        <f>IF(ISERR(SEARCH("TRA* 82",C255)),IF(Q258+R258+S258=0,0,I258*(R258/(Q258+R258+S258))),0)</f>
        <v>0</v>
      </c>
      <c r="P258" s="4">
        <f>IF(ISERR(SEARCH("TRA* 82",C255)),I258-N258-O258,0)</f>
        <v>0</v>
      </c>
      <c r="Q258" s="4">
        <v>0</v>
      </c>
      <c r="R258" s="4">
        <v>0</v>
      </c>
      <c r="S258" s="4">
        <v>0</v>
      </c>
    </row>
    <row r="259" spans="1:19" x14ac:dyDescent="0.3">
      <c r="A259" s="100" t="s">
        <v>27</v>
      </c>
      <c r="B259" s="101"/>
      <c r="C259" s="101"/>
      <c r="D259" s="101"/>
      <c r="E259" s="101"/>
      <c r="F259" s="101"/>
      <c r="G259" s="101"/>
      <c r="H259" s="33">
        <f>H255+H256+H257+H258</f>
        <v>24.54</v>
      </c>
      <c r="I259" s="37">
        <f>I255+I256+I257+I258</f>
        <v>1349.7</v>
      </c>
      <c r="J259">
        <v>5</v>
      </c>
    </row>
    <row r="260" spans="1:19" x14ac:dyDescent="0.3">
      <c r="A260" s="102" t="s">
        <v>401</v>
      </c>
      <c r="B260" s="102"/>
      <c r="C260" s="102"/>
      <c r="D260" s="102"/>
      <c r="E260" s="102"/>
      <c r="F260" s="102"/>
      <c r="G260" s="102"/>
      <c r="H260" s="102"/>
      <c r="I260" s="102"/>
    </row>
    <row r="261" spans="1:19" x14ac:dyDescent="0.3">
      <c r="A261" s="97" t="s">
        <v>397</v>
      </c>
      <c r="B261" s="97"/>
      <c r="C261" s="97"/>
      <c r="D261" s="97"/>
      <c r="E261" s="97"/>
      <c r="F261" s="97"/>
      <c r="G261" s="97"/>
      <c r="H261" s="97"/>
      <c r="I261" s="97"/>
    </row>
    <row r="262" spans="1:19" x14ac:dyDescent="0.3">
      <c r="B262" s="2">
        <v>46</v>
      </c>
      <c r="C262" s="3" t="s">
        <v>404</v>
      </c>
      <c r="D262" s="5" t="s">
        <v>25</v>
      </c>
      <c r="G262" s="30">
        <v>10</v>
      </c>
      <c r="H262" s="38">
        <v>9.6999999999999993</v>
      </c>
      <c r="I262" s="29">
        <f>G262*H262</f>
        <v>97</v>
      </c>
      <c r="J262">
        <v>1</v>
      </c>
    </row>
    <row r="263" spans="1:19" x14ac:dyDescent="0.3">
      <c r="D263" s="15" t="str">
        <f>SUBSTITUTE("Sp.mat: 0.00%",".",IF(VALUE("1.2")=1.2,".",","),2)</f>
        <v>Sp.mat: 0.00%</v>
      </c>
      <c r="F263" s="15" t="str">
        <f>SUBSTITUTE("Sp.man: 0.00%",".",IF(VALUE("1.2")=1.2,".",","),2)</f>
        <v>Sp.man: 0.00%</v>
      </c>
      <c r="G263" s="35" t="str">
        <f>SUBSTITUTE("Sp.uti: 0.00%",".",IF(VALUE("1.2")=1.2,".",","),2)</f>
        <v>Sp.uti: 0.00%</v>
      </c>
      <c r="H263" s="38">
        <v>16.82</v>
      </c>
      <c r="I263" s="29">
        <f>G262*H263</f>
        <v>168.2</v>
      </c>
      <c r="J263">
        <v>2</v>
      </c>
    </row>
    <row r="264" spans="1:19" x14ac:dyDescent="0.3">
      <c r="A264" s="88" t="s">
        <v>405</v>
      </c>
      <c r="B264" s="98"/>
      <c r="C264" s="98"/>
      <c r="D264" s="98"/>
      <c r="E264" s="98"/>
      <c r="F264" s="98"/>
      <c r="G264" s="98"/>
      <c r="H264" s="38">
        <f>(1+IF(OR(ISERR(FIND(":",G263)),ISERR(FIND("%",G263))),0,MID(G263,FIND(":",G263)+2,FIND("%",G263)-FIND(":",G263)-2)/100))*0</f>
        <v>0</v>
      </c>
      <c r="I264" s="29">
        <f>G262*H264</f>
        <v>0</v>
      </c>
      <c r="J264">
        <v>3</v>
      </c>
      <c r="K264" s="4">
        <v>0</v>
      </c>
      <c r="L264" s="4">
        <v>0</v>
      </c>
      <c r="M264" s="4">
        <f>I264-K264-L264</f>
        <v>0</v>
      </c>
    </row>
    <row r="265" spans="1:19" x14ac:dyDescent="0.3">
      <c r="A265" s="98"/>
      <c r="B265" s="98"/>
      <c r="C265" s="98"/>
      <c r="D265" s="98"/>
      <c r="E265" s="98"/>
      <c r="F265" s="98"/>
      <c r="G265" s="98"/>
      <c r="H265" s="38">
        <f>0</f>
        <v>0</v>
      </c>
      <c r="I265" s="29">
        <f>G262*H265</f>
        <v>0</v>
      </c>
      <c r="J265">
        <v>4</v>
      </c>
      <c r="N265" s="4">
        <f>IF(ISERR(SEARCH("TRA* 82",C262)),IF(Q265+R265+S265=0,0,I265*(Q265/(Q265+R265+S265))),I265)</f>
        <v>0</v>
      </c>
      <c r="O265" s="4">
        <f>IF(ISERR(SEARCH("TRA* 82",C262)),IF(Q265+R265+S265=0,0,I265*(R265/(Q265+R265+S265))),0)</f>
        <v>0</v>
      </c>
      <c r="P265" s="4">
        <f>IF(ISERR(SEARCH("TRA* 82",C262)),I265-N265-O265,0)</f>
        <v>0</v>
      </c>
      <c r="Q265" s="4">
        <v>0</v>
      </c>
      <c r="R265" s="4">
        <v>0</v>
      </c>
      <c r="S265" s="4">
        <v>0</v>
      </c>
    </row>
    <row r="266" spans="1:19" x14ac:dyDescent="0.3">
      <c r="A266" s="100" t="s">
        <v>27</v>
      </c>
      <c r="B266" s="101"/>
      <c r="C266" s="101"/>
      <c r="D266" s="101"/>
      <c r="E266" s="101"/>
      <c r="F266" s="101"/>
      <c r="G266" s="101"/>
      <c r="H266" s="33">
        <f>H262+H263+H264+H265</f>
        <v>26.52</v>
      </c>
      <c r="I266" s="37">
        <f>I262+I263+I264+I265</f>
        <v>265.2</v>
      </c>
      <c r="J266">
        <v>5</v>
      </c>
    </row>
    <row r="267" spans="1:19" x14ac:dyDescent="0.3">
      <c r="A267" s="102" t="s">
        <v>403</v>
      </c>
      <c r="B267" s="102"/>
      <c r="C267" s="102"/>
      <c r="D267" s="102"/>
      <c r="E267" s="102"/>
      <c r="F267" s="102"/>
      <c r="G267" s="102"/>
      <c r="H267" s="102"/>
      <c r="I267" s="102"/>
    </row>
    <row r="268" spans="1:19" x14ac:dyDescent="0.3">
      <c r="A268" s="97" t="s">
        <v>402</v>
      </c>
      <c r="B268" s="97"/>
      <c r="C268" s="97"/>
      <c r="D268" s="97"/>
      <c r="E268" s="97"/>
      <c r="F268" s="97"/>
      <c r="G268" s="97"/>
      <c r="H268" s="97"/>
      <c r="I268" s="97"/>
    </row>
    <row r="269" spans="1:19" x14ac:dyDescent="0.3">
      <c r="B269" s="2">
        <v>47</v>
      </c>
      <c r="C269" s="3" t="s">
        <v>404</v>
      </c>
      <c r="D269" s="5" t="s">
        <v>25</v>
      </c>
      <c r="G269" s="30">
        <v>25</v>
      </c>
      <c r="H269" s="38">
        <v>17.2</v>
      </c>
      <c r="I269" s="29">
        <f>G269*H269</f>
        <v>430</v>
      </c>
      <c r="J269">
        <v>1</v>
      </c>
    </row>
    <row r="270" spans="1:19" x14ac:dyDescent="0.3">
      <c r="D270" s="15" t="str">
        <f>SUBSTITUTE("Sp.mat: 0.00%",".",IF(VALUE("1.2")=1.2,".",","),2)</f>
        <v>Sp.mat: 0.00%</v>
      </c>
      <c r="F270" s="15" t="str">
        <f>SUBSTITUTE("Sp.man: 0.00%",".",IF(VALUE("1.2")=1.2,".",","),2)</f>
        <v>Sp.man: 0.00%</v>
      </c>
      <c r="G270" s="35" t="str">
        <f>SUBSTITUTE("Sp.uti: 0.00%",".",IF(VALUE("1.2")=1.2,".",","),2)</f>
        <v>Sp.uti: 0.00%</v>
      </c>
      <c r="H270" s="38">
        <v>16.82</v>
      </c>
      <c r="I270" s="29">
        <f>G269*H270</f>
        <v>420.5</v>
      </c>
      <c r="J270">
        <v>2</v>
      </c>
    </row>
    <row r="271" spans="1:19" x14ac:dyDescent="0.3">
      <c r="A271" s="88" t="s">
        <v>405</v>
      </c>
      <c r="B271" s="98"/>
      <c r="C271" s="98"/>
      <c r="D271" s="98"/>
      <c r="E271" s="98"/>
      <c r="F271" s="98"/>
      <c r="G271" s="98"/>
      <c r="H271" s="38">
        <f>(1+IF(OR(ISERR(FIND(":",G270)),ISERR(FIND("%",G270))),0,MID(G270,FIND(":",G270)+2,FIND("%",G270)-FIND(":",G270)-2)/100))*0</f>
        <v>0</v>
      </c>
      <c r="I271" s="29">
        <f>G269*H271</f>
        <v>0</v>
      </c>
      <c r="J271">
        <v>3</v>
      </c>
      <c r="K271" s="4">
        <v>0</v>
      </c>
      <c r="L271" s="4">
        <v>0</v>
      </c>
      <c r="M271" s="4">
        <f>I271-K271-L271</f>
        <v>0</v>
      </c>
    </row>
    <row r="272" spans="1:19" x14ac:dyDescent="0.3">
      <c r="A272" s="98"/>
      <c r="B272" s="98"/>
      <c r="C272" s="98"/>
      <c r="D272" s="98"/>
      <c r="E272" s="98"/>
      <c r="F272" s="98"/>
      <c r="G272" s="98"/>
      <c r="H272" s="38">
        <f>0</f>
        <v>0</v>
      </c>
      <c r="I272" s="29">
        <f>G269*H272</f>
        <v>0</v>
      </c>
      <c r="J272">
        <v>4</v>
      </c>
      <c r="N272" s="4">
        <f>IF(ISERR(SEARCH("TRA* 82",C269)),IF(Q272+R272+S272=0,0,I272*(Q272/(Q272+R272+S272))),I272)</f>
        <v>0</v>
      </c>
      <c r="O272" s="4">
        <f>IF(ISERR(SEARCH("TRA* 82",C269)),IF(Q272+R272+S272=0,0,I272*(R272/(Q272+R272+S272))),0)</f>
        <v>0</v>
      </c>
      <c r="P272" s="4">
        <f>IF(ISERR(SEARCH("TRA* 82",C269)),I272-N272-O272,0)</f>
        <v>0</v>
      </c>
      <c r="Q272" s="4">
        <v>0</v>
      </c>
      <c r="R272" s="4">
        <v>0</v>
      </c>
      <c r="S272" s="4">
        <v>0</v>
      </c>
    </row>
    <row r="273" spans="1:19" x14ac:dyDescent="0.3">
      <c r="A273" s="100" t="s">
        <v>27</v>
      </c>
      <c r="B273" s="101"/>
      <c r="C273" s="101"/>
      <c r="D273" s="101"/>
      <c r="E273" s="101"/>
      <c r="F273" s="101"/>
      <c r="G273" s="101"/>
      <c r="H273" s="33">
        <f>H269+H270+H271+H272</f>
        <v>34.019999999999996</v>
      </c>
      <c r="I273" s="37">
        <f>I269+I270+I271+I272</f>
        <v>850.5</v>
      </c>
      <c r="J273">
        <v>5</v>
      </c>
    </row>
    <row r="274" spans="1:19" x14ac:dyDescent="0.3">
      <c r="A274" s="102" t="s">
        <v>406</v>
      </c>
      <c r="B274" s="102"/>
      <c r="C274" s="102"/>
      <c r="D274" s="102"/>
      <c r="E274" s="102"/>
      <c r="F274" s="102"/>
      <c r="G274" s="102"/>
      <c r="H274" s="102"/>
      <c r="I274" s="102"/>
    </row>
    <row r="275" spans="1:19" x14ac:dyDescent="0.3">
      <c r="A275" s="97" t="s">
        <v>397</v>
      </c>
      <c r="B275" s="97"/>
      <c r="C275" s="97"/>
      <c r="D275" s="97"/>
      <c r="E275" s="97"/>
      <c r="F275" s="97"/>
      <c r="G275" s="97"/>
      <c r="H275" s="97"/>
      <c r="I275" s="97"/>
    </row>
    <row r="276" spans="1:19" x14ac:dyDescent="0.3">
      <c r="B276" s="2">
        <v>48</v>
      </c>
      <c r="C276" s="3" t="s">
        <v>407</v>
      </c>
      <c r="D276" s="5" t="s">
        <v>25</v>
      </c>
      <c r="G276" s="30">
        <v>30</v>
      </c>
      <c r="H276" s="38">
        <v>25.35</v>
      </c>
      <c r="I276" s="29">
        <f>G276*H276</f>
        <v>760.5</v>
      </c>
      <c r="J276">
        <v>1</v>
      </c>
    </row>
    <row r="277" spans="1:19" x14ac:dyDescent="0.3">
      <c r="D277" s="15" t="str">
        <f>SUBSTITUTE("Sp.mat: 0.00%",".",IF(VALUE("1.2")=1.2,".",","),2)</f>
        <v>Sp.mat: 0.00%</v>
      </c>
      <c r="F277" s="15" t="str">
        <f>SUBSTITUTE("Sp.man: 0.00%",".",IF(VALUE("1.2")=1.2,".",","),2)</f>
        <v>Sp.man: 0.00%</v>
      </c>
      <c r="G277" s="35" t="str">
        <f>SUBSTITUTE("Sp.uti: 0.00%",".",IF(VALUE("1.2")=1.2,".",","),2)</f>
        <v>Sp.uti: 0.00%</v>
      </c>
      <c r="H277" s="38">
        <v>18.420000000000002</v>
      </c>
      <c r="I277" s="29">
        <f>G276*H277</f>
        <v>552.6</v>
      </c>
      <c r="J277">
        <v>2</v>
      </c>
    </row>
    <row r="278" spans="1:19" x14ac:dyDescent="0.3">
      <c r="A278" s="88" t="s">
        <v>408</v>
      </c>
      <c r="B278" s="98"/>
      <c r="C278" s="98"/>
      <c r="D278" s="98"/>
      <c r="E278" s="98"/>
      <c r="F278" s="98"/>
      <c r="G278" s="98"/>
      <c r="H278" s="38">
        <f>(1+IF(OR(ISERR(FIND(":",G277)),ISERR(FIND("%",G277))),0,MID(G277,FIND(":",G277)+2,FIND("%",G277)-FIND(":",G277)-2)/100))*0</f>
        <v>0</v>
      </c>
      <c r="I278" s="29">
        <f>G276*H278</f>
        <v>0</v>
      </c>
      <c r="J278">
        <v>3</v>
      </c>
      <c r="K278" s="4">
        <v>0</v>
      </c>
      <c r="L278" s="4">
        <v>0</v>
      </c>
      <c r="M278" s="4">
        <f>I278-K278-L278</f>
        <v>0</v>
      </c>
    </row>
    <row r="279" spans="1:19" x14ac:dyDescent="0.3">
      <c r="A279" s="98"/>
      <c r="B279" s="98"/>
      <c r="C279" s="98"/>
      <c r="D279" s="98"/>
      <c r="E279" s="98"/>
      <c r="F279" s="98"/>
      <c r="G279" s="98"/>
      <c r="H279" s="38">
        <f>0</f>
        <v>0</v>
      </c>
      <c r="I279" s="29">
        <f>G276*H279</f>
        <v>0</v>
      </c>
      <c r="J279">
        <v>4</v>
      </c>
      <c r="N279" s="4">
        <f>IF(ISERR(SEARCH("TRA* 82",C276)),IF(Q279+R279+S279=0,0,I279*(Q279/(Q279+R279+S279))),I279)</f>
        <v>0</v>
      </c>
      <c r="O279" s="4">
        <f>IF(ISERR(SEARCH("TRA* 82",C276)),IF(Q279+R279+S279=0,0,I279*(R279/(Q279+R279+S279))),0)</f>
        <v>0</v>
      </c>
      <c r="P279" s="4">
        <f>IF(ISERR(SEARCH("TRA* 82",C276)),I279-N279-O279,0)</f>
        <v>0</v>
      </c>
      <c r="Q279" s="4">
        <v>0</v>
      </c>
      <c r="R279" s="4">
        <v>0</v>
      </c>
      <c r="S279" s="4">
        <v>0</v>
      </c>
    </row>
    <row r="280" spans="1:19" x14ac:dyDescent="0.3">
      <c r="A280" s="100" t="s">
        <v>27</v>
      </c>
      <c r="B280" s="101"/>
      <c r="C280" s="101"/>
      <c r="D280" s="101"/>
      <c r="E280" s="101"/>
      <c r="F280" s="101"/>
      <c r="G280" s="101"/>
      <c r="H280" s="33">
        <f>H276+H277+H278+H279</f>
        <v>43.77</v>
      </c>
      <c r="I280" s="37">
        <f>I276+I277+I278+I279</f>
        <v>1313.1</v>
      </c>
      <c r="J280">
        <v>5</v>
      </c>
    </row>
    <row r="281" spans="1:19" x14ac:dyDescent="0.3">
      <c r="A281" s="102" t="s">
        <v>409</v>
      </c>
      <c r="B281" s="102"/>
      <c r="C281" s="102"/>
      <c r="D281" s="102"/>
      <c r="E281" s="102"/>
      <c r="F281" s="102"/>
      <c r="G281" s="102"/>
      <c r="H281" s="102"/>
      <c r="I281" s="102"/>
    </row>
    <row r="282" spans="1:19" x14ac:dyDescent="0.3">
      <c r="A282" s="97" t="s">
        <v>410</v>
      </c>
      <c r="B282" s="97"/>
      <c r="C282" s="97"/>
      <c r="D282" s="97"/>
      <c r="E282" s="97"/>
      <c r="F282" s="97"/>
      <c r="G282" s="97"/>
      <c r="H282" s="97"/>
      <c r="I282" s="97"/>
    </row>
    <row r="283" spans="1:19" x14ac:dyDescent="0.3">
      <c r="B283" s="2">
        <v>49</v>
      </c>
      <c r="C283" s="3" t="s">
        <v>411</v>
      </c>
      <c r="D283" s="5" t="s">
        <v>25</v>
      </c>
      <c r="G283" s="30">
        <v>40</v>
      </c>
      <c r="H283" s="38">
        <v>34.26</v>
      </c>
      <c r="I283" s="29">
        <f>G283*H283</f>
        <v>1370.3999999999999</v>
      </c>
      <c r="J283">
        <v>1</v>
      </c>
    </row>
    <row r="284" spans="1:19" x14ac:dyDescent="0.3">
      <c r="D284" s="15" t="str">
        <f>SUBSTITUTE("Sp.mat: 0.00%",".",IF(VALUE("1.2")=1.2,".",","),2)</f>
        <v>Sp.mat: 0.00%</v>
      </c>
      <c r="F284" s="15" t="str">
        <f>SUBSTITUTE("Sp.man: 0.00%",".",IF(VALUE("1.2")=1.2,".",","),2)</f>
        <v>Sp.man: 0.00%</v>
      </c>
      <c r="G284" s="35" t="str">
        <f>SUBSTITUTE("Sp.uti: 0.00%",".",IF(VALUE("1.2")=1.2,".",","),2)</f>
        <v>Sp.uti: 0.00%</v>
      </c>
      <c r="H284" s="38">
        <v>21.62</v>
      </c>
      <c r="I284" s="29">
        <f>G283*H284</f>
        <v>864.80000000000007</v>
      </c>
      <c r="J284">
        <v>2</v>
      </c>
    </row>
    <row r="285" spans="1:19" x14ac:dyDescent="0.3">
      <c r="A285" s="88" t="s">
        <v>412</v>
      </c>
      <c r="B285" s="98"/>
      <c r="C285" s="98"/>
      <c r="D285" s="98"/>
      <c r="E285" s="98"/>
      <c r="F285" s="98"/>
      <c r="G285" s="98"/>
      <c r="H285" s="38">
        <f>(1+IF(OR(ISERR(FIND(":",G284)),ISERR(FIND("%",G284))),0,MID(G284,FIND(":",G284)+2,FIND("%",G284)-FIND(":",G284)-2)/100))*0</f>
        <v>0</v>
      </c>
      <c r="I285" s="29">
        <f>G283*H285</f>
        <v>0</v>
      </c>
      <c r="J285">
        <v>3</v>
      </c>
      <c r="K285" s="4">
        <v>0</v>
      </c>
      <c r="L285" s="4">
        <v>0</v>
      </c>
      <c r="M285" s="4">
        <f>I285-K285-L285</f>
        <v>0</v>
      </c>
    </row>
    <row r="286" spans="1:19" x14ac:dyDescent="0.3">
      <c r="A286" s="98"/>
      <c r="B286" s="98"/>
      <c r="C286" s="98"/>
      <c r="D286" s="98"/>
      <c r="E286" s="98"/>
      <c r="F286" s="98"/>
      <c r="G286" s="98"/>
      <c r="H286" s="38">
        <f>0</f>
        <v>0</v>
      </c>
      <c r="I286" s="29">
        <f>G283*H286</f>
        <v>0</v>
      </c>
      <c r="J286">
        <v>4</v>
      </c>
      <c r="N286" s="4">
        <f>IF(ISERR(SEARCH("TRA* 82",C283)),IF(Q286+R286+S286=0,0,I286*(Q286/(Q286+R286+S286))),I286)</f>
        <v>0</v>
      </c>
      <c r="O286" s="4">
        <f>IF(ISERR(SEARCH("TRA* 82",C283)),IF(Q286+R286+S286=0,0,I286*(R286/(Q286+R286+S286))),0)</f>
        <v>0</v>
      </c>
      <c r="P286" s="4">
        <f>IF(ISERR(SEARCH("TRA* 82",C283)),I286-N286-O286,0)</f>
        <v>0</v>
      </c>
      <c r="Q286" s="4">
        <v>0</v>
      </c>
      <c r="R286" s="4">
        <v>0</v>
      </c>
      <c r="S286" s="4">
        <v>0</v>
      </c>
    </row>
    <row r="287" spans="1:19" x14ac:dyDescent="0.3">
      <c r="A287" s="100" t="s">
        <v>27</v>
      </c>
      <c r="B287" s="101"/>
      <c r="C287" s="101"/>
      <c r="D287" s="101"/>
      <c r="E287" s="101"/>
      <c r="F287" s="101"/>
      <c r="G287" s="101"/>
      <c r="H287" s="33">
        <f>H283+H284+H285+H286</f>
        <v>55.879999999999995</v>
      </c>
      <c r="I287" s="37">
        <f>I283+I284+I285+I286</f>
        <v>2235.1999999999998</v>
      </c>
      <c r="J287">
        <v>5</v>
      </c>
    </row>
    <row r="288" spans="1:19" x14ac:dyDescent="0.3">
      <c r="A288" s="102" t="s">
        <v>413</v>
      </c>
      <c r="B288" s="102"/>
      <c r="C288" s="102"/>
      <c r="D288" s="102"/>
      <c r="E288" s="102"/>
      <c r="F288" s="102"/>
      <c r="G288" s="102"/>
      <c r="H288" s="102"/>
      <c r="I288" s="102"/>
    </row>
    <row r="289" spans="1:19" x14ac:dyDescent="0.3">
      <c r="A289" s="97" t="s">
        <v>410</v>
      </c>
      <c r="B289" s="97"/>
      <c r="C289" s="97"/>
      <c r="D289" s="97"/>
      <c r="E289" s="97"/>
      <c r="F289" s="97"/>
      <c r="G289" s="97"/>
      <c r="H289" s="97"/>
      <c r="I289" s="97"/>
    </row>
    <row r="290" spans="1:19" x14ac:dyDescent="0.3">
      <c r="B290" s="2">
        <v>50</v>
      </c>
      <c r="C290" s="3" t="s">
        <v>928</v>
      </c>
      <c r="D290" s="5" t="s">
        <v>25</v>
      </c>
      <c r="G290" s="30">
        <v>50</v>
      </c>
      <c r="H290" s="38">
        <v>113.81</v>
      </c>
      <c r="I290" s="29">
        <f>G290*H290</f>
        <v>5690.5</v>
      </c>
      <c r="J290">
        <v>1</v>
      </c>
    </row>
    <row r="291" spans="1:19" x14ac:dyDescent="0.3">
      <c r="D291" s="15" t="str">
        <f>SUBSTITUTE("Sp.mat: 0.00%",".",IF(VALUE("1.2")=1.2,".",","),2)</f>
        <v>Sp.mat: 0.00%</v>
      </c>
      <c r="F291" s="15" t="str">
        <f>SUBSTITUTE("Sp.man: 0.00%",".",IF(VALUE("1.2")=1.2,".",","),2)</f>
        <v>Sp.man: 0.00%</v>
      </c>
      <c r="G291" s="35" t="str">
        <f>SUBSTITUTE("Sp.uti: 0.00%",".",IF(VALUE("1.2")=1.2,".",","),2)</f>
        <v>Sp.uti: 0.00%</v>
      </c>
      <c r="H291" s="38">
        <v>30.43</v>
      </c>
      <c r="I291" s="29">
        <f>G290*H291</f>
        <v>1521.5</v>
      </c>
      <c r="J291">
        <v>2</v>
      </c>
    </row>
    <row r="292" spans="1:19" x14ac:dyDescent="0.3">
      <c r="A292" s="88" t="s">
        <v>929</v>
      </c>
      <c r="B292" s="98"/>
      <c r="C292" s="98"/>
      <c r="D292" s="98"/>
      <c r="E292" s="98"/>
      <c r="F292" s="98"/>
      <c r="G292" s="98"/>
      <c r="H292" s="38">
        <f>(1+IF(OR(ISERR(FIND(":",G291)),ISERR(FIND("%",G291))),0,MID(G291,FIND(":",G291)+2,FIND("%",G291)-FIND(":",G291)-2)/100))*0</f>
        <v>0</v>
      </c>
      <c r="I292" s="29">
        <f>G290*H292</f>
        <v>0</v>
      </c>
      <c r="J292">
        <v>3</v>
      </c>
      <c r="K292" s="4">
        <v>0</v>
      </c>
      <c r="L292" s="4">
        <v>0</v>
      </c>
      <c r="M292" s="4">
        <f>I292-K292-L292</f>
        <v>0</v>
      </c>
    </row>
    <row r="293" spans="1:19" x14ac:dyDescent="0.3">
      <c r="A293" s="98"/>
      <c r="B293" s="98"/>
      <c r="C293" s="98"/>
      <c r="D293" s="98"/>
      <c r="E293" s="98"/>
      <c r="F293" s="98"/>
      <c r="G293" s="98"/>
      <c r="H293" s="38">
        <f>0</f>
        <v>0</v>
      </c>
      <c r="I293" s="29">
        <f>G290*H293</f>
        <v>0</v>
      </c>
      <c r="J293">
        <v>4</v>
      </c>
      <c r="N293" s="4">
        <f>IF(ISERR(SEARCH("TRA* 82",C290)),IF(Q293+R293+S293=0,0,I293*(Q293/(Q293+R293+S293))),I293)</f>
        <v>0</v>
      </c>
      <c r="O293" s="4">
        <f>IF(ISERR(SEARCH("TRA* 82",C290)),IF(Q293+R293+S293=0,0,I293*(R293/(Q293+R293+S293))),0)</f>
        <v>0</v>
      </c>
      <c r="P293" s="4">
        <f>IF(ISERR(SEARCH("TRA* 82",C290)),I293-N293-O293,0)</f>
        <v>0</v>
      </c>
      <c r="Q293" s="4">
        <v>0</v>
      </c>
      <c r="R293" s="4">
        <v>0</v>
      </c>
      <c r="S293" s="4">
        <v>0</v>
      </c>
    </row>
    <row r="294" spans="1:19" x14ac:dyDescent="0.3">
      <c r="A294" s="100" t="s">
        <v>27</v>
      </c>
      <c r="B294" s="101"/>
      <c r="C294" s="101"/>
      <c r="D294" s="101"/>
      <c r="E294" s="101"/>
      <c r="F294" s="101"/>
      <c r="G294" s="101"/>
      <c r="H294" s="33">
        <f>H290+H291+H292+H293</f>
        <v>144.24</v>
      </c>
      <c r="I294" s="37">
        <f>I290+I291+I292+I293</f>
        <v>7212</v>
      </c>
      <c r="J294">
        <v>5</v>
      </c>
    </row>
    <row r="295" spans="1:19" x14ac:dyDescent="0.3">
      <c r="A295" s="102" t="s">
        <v>930</v>
      </c>
      <c r="B295" s="102"/>
      <c r="C295" s="102"/>
      <c r="D295" s="102"/>
      <c r="E295" s="102"/>
      <c r="F295" s="102"/>
      <c r="G295" s="102"/>
      <c r="H295" s="102"/>
      <c r="I295" s="102"/>
    </row>
    <row r="296" spans="1:19" x14ac:dyDescent="0.3">
      <c r="A296" s="97" t="s">
        <v>410</v>
      </c>
      <c r="B296" s="97"/>
      <c r="C296" s="97"/>
      <c r="D296" s="97"/>
      <c r="E296" s="97"/>
      <c r="F296" s="97"/>
      <c r="G296" s="97"/>
      <c r="H296" s="97"/>
      <c r="I296" s="97"/>
    </row>
    <row r="297" spans="1:19" x14ac:dyDescent="0.3">
      <c r="B297" s="2">
        <v>51</v>
      </c>
      <c r="C297" s="3" t="s">
        <v>417</v>
      </c>
      <c r="D297" s="5" t="s">
        <v>25</v>
      </c>
      <c r="G297" s="30">
        <v>260</v>
      </c>
      <c r="H297" s="38">
        <f>(1+IF(OR(ISERR(FIND(":",D298)),ISERR(FIND("%",D298))),0,MID(D298,FIND(":",D298)+2,FIND("%",D298)-FIND(":",D298)-2)/100))*0</f>
        <v>0</v>
      </c>
      <c r="I297" s="29">
        <f>G297*H297</f>
        <v>0</v>
      </c>
      <c r="J297">
        <v>1</v>
      </c>
    </row>
    <row r="298" spans="1:19" x14ac:dyDescent="0.3">
      <c r="D298" s="15" t="str">
        <f>SUBSTITUTE("Sp.mat: 0.00%",".",IF(VALUE("1.2")=1.2,".",","),2)</f>
        <v>Sp.mat: 0.00%</v>
      </c>
      <c r="F298" s="15" t="str">
        <f>SUBSTITUTE("Sp.man: 0.00%",".",IF(VALUE("1.2")=1.2,".",","),2)</f>
        <v>Sp.man: 0.00%</v>
      </c>
      <c r="G298" s="35" t="str">
        <f>SUBSTITUTE("Sp.uti: 0.00%",".",IF(VALUE("1.2")=1.2,".",","),2)</f>
        <v>Sp.uti: 0.00%</v>
      </c>
      <c r="H298" s="38">
        <v>5.54</v>
      </c>
      <c r="I298" s="29">
        <f>G297*H298</f>
        <v>1440.4</v>
      </c>
      <c r="J298">
        <v>2</v>
      </c>
    </row>
    <row r="299" spans="1:19" x14ac:dyDescent="0.3">
      <c r="A299" s="88" t="s">
        <v>418</v>
      </c>
      <c r="B299" s="98"/>
      <c r="C299" s="98"/>
      <c r="D299" s="98"/>
      <c r="E299" s="98"/>
      <c r="F299" s="98"/>
      <c r="G299" s="98"/>
      <c r="H299" s="38">
        <f>(1+IF(OR(ISERR(FIND(":",G298)),ISERR(FIND("%",G298))),0,MID(G298,FIND(":",G298)+2,FIND("%",G298)-FIND(":",G298)-2)/100))*0</f>
        <v>0</v>
      </c>
      <c r="I299" s="29">
        <f>G297*H299</f>
        <v>0</v>
      </c>
      <c r="J299">
        <v>3</v>
      </c>
      <c r="K299" s="4">
        <v>0</v>
      </c>
      <c r="L299" s="4">
        <v>0</v>
      </c>
      <c r="M299" s="4">
        <f>I299-K299-L299</f>
        <v>0</v>
      </c>
    </row>
    <row r="300" spans="1:19" x14ac:dyDescent="0.3">
      <c r="A300" s="98"/>
      <c r="B300" s="98"/>
      <c r="C300" s="98"/>
      <c r="D300" s="98"/>
      <c r="E300" s="98"/>
      <c r="F300" s="98"/>
      <c r="G300" s="98"/>
      <c r="H300" s="38">
        <f>0</f>
        <v>0</v>
      </c>
      <c r="I300" s="29">
        <f>G297*H300</f>
        <v>0</v>
      </c>
      <c r="J300">
        <v>4</v>
      </c>
      <c r="N300" s="4">
        <f>IF(ISERR(SEARCH("TRA* 82",C297)),IF(Q300+R300+S300=0,0,I300*(Q300/(Q300+R300+S300))),I300)</f>
        <v>0</v>
      </c>
      <c r="O300" s="4">
        <f>IF(ISERR(SEARCH("TRA* 82",C297)),IF(Q300+R300+S300=0,0,I300*(R300/(Q300+R300+S300))),0)</f>
        <v>0</v>
      </c>
      <c r="P300" s="4">
        <f>IF(ISERR(SEARCH("TRA* 82",C297)),I300-N300-O300,0)</f>
        <v>0</v>
      </c>
      <c r="Q300" s="4">
        <v>0</v>
      </c>
      <c r="R300" s="4">
        <v>0</v>
      </c>
      <c r="S300" s="4">
        <v>0</v>
      </c>
    </row>
    <row r="301" spans="1:19" x14ac:dyDescent="0.3">
      <c r="A301" s="100" t="s">
        <v>110</v>
      </c>
      <c r="B301" s="101"/>
      <c r="C301" s="101"/>
      <c r="D301" s="101"/>
      <c r="E301" s="101"/>
      <c r="F301" s="101"/>
      <c r="G301" s="101"/>
      <c r="H301" s="33">
        <f>H297+H298+H299+H300</f>
        <v>5.54</v>
      </c>
      <c r="I301" s="37">
        <f>I297+I298+I299+I300</f>
        <v>1440.4</v>
      </c>
      <c r="J301">
        <v>5</v>
      </c>
    </row>
    <row r="302" spans="1:19" x14ac:dyDescent="0.3">
      <c r="A302" s="99" t="s">
        <v>420</v>
      </c>
      <c r="B302" s="99"/>
      <c r="C302" s="99"/>
      <c r="D302" s="99"/>
      <c r="E302" s="99"/>
      <c r="F302" s="99"/>
      <c r="G302" s="99"/>
      <c r="H302" s="99"/>
      <c r="I302" s="99"/>
    </row>
    <row r="303" spans="1:19" x14ac:dyDescent="0.3">
      <c r="B303" s="2">
        <v>52</v>
      </c>
      <c r="C303" s="3" t="s">
        <v>421</v>
      </c>
      <c r="D303" s="5" t="s">
        <v>25</v>
      </c>
      <c r="G303" s="30">
        <v>20</v>
      </c>
      <c r="H303" s="38">
        <v>6.44</v>
      </c>
      <c r="I303" s="29">
        <f>G303*H303</f>
        <v>128.80000000000001</v>
      </c>
      <c r="J303">
        <v>1</v>
      </c>
    </row>
    <row r="304" spans="1:19" x14ac:dyDescent="0.3">
      <c r="D304" s="15" t="str">
        <f>SUBSTITUTE("Sp.mat: 0.00%",".",IF(VALUE("1.2")=1.2,".",","),2)</f>
        <v>Sp.mat: 0.00%</v>
      </c>
      <c r="F304" s="15" t="str">
        <f>SUBSTITUTE("Sp.man: 0.00%",".",IF(VALUE("1.2")=1.2,".",","),2)</f>
        <v>Sp.man: 0.00%</v>
      </c>
      <c r="G304" s="35" t="str">
        <f>SUBSTITUTE("Sp.uti: 0.00%",".",IF(VALUE("1.2")=1.2,".",","),2)</f>
        <v>Sp.uti: 0.00%</v>
      </c>
      <c r="H304" s="38">
        <f>(1+IF(OR(ISERR(FIND(":",F304)),ISERR(FIND("%",F304))),0,MID(F304,FIND(":",F304)+2,FIND("%",F304)-FIND(":",F304)-2)/100))*0</f>
        <v>0</v>
      </c>
      <c r="I304" s="29">
        <f>G303*H304</f>
        <v>0</v>
      </c>
      <c r="J304">
        <v>2</v>
      </c>
    </row>
    <row r="305" spans="1:19" x14ac:dyDescent="0.3">
      <c r="A305" s="88" t="s">
        <v>422</v>
      </c>
      <c r="B305" s="98"/>
      <c r="C305" s="98"/>
      <c r="D305" s="98"/>
      <c r="E305" s="98"/>
      <c r="F305" s="98"/>
      <c r="G305" s="98"/>
      <c r="H305" s="38">
        <f>(1+IF(OR(ISERR(FIND(":",G304)),ISERR(FIND("%",G304))),0,MID(G304,FIND(":",G304)+2,FIND("%",G304)-FIND(":",G304)-2)/100))*0</f>
        <v>0</v>
      </c>
      <c r="I305" s="29">
        <f>G303*H305</f>
        <v>0</v>
      </c>
      <c r="J305">
        <v>3</v>
      </c>
      <c r="K305" s="4">
        <v>0</v>
      </c>
      <c r="L305" s="4">
        <v>0</v>
      </c>
      <c r="M305" s="4">
        <f>I305-K305-L305</f>
        <v>0</v>
      </c>
    </row>
    <row r="306" spans="1:19" x14ac:dyDescent="0.3">
      <c r="A306" s="98"/>
      <c r="B306" s="98"/>
      <c r="C306" s="98"/>
      <c r="D306" s="98"/>
      <c r="E306" s="98"/>
      <c r="F306" s="98"/>
      <c r="G306" s="98"/>
      <c r="H306" s="38">
        <f>0</f>
        <v>0</v>
      </c>
      <c r="I306" s="29">
        <f>G303*H306</f>
        <v>0</v>
      </c>
      <c r="J306">
        <v>4</v>
      </c>
      <c r="N306" s="4">
        <f>IF(ISERR(SEARCH("TRA* 82",C303)),IF(Q306+R306+S306=0,0,I306*(Q306/(Q306+R306+S306))),I306)</f>
        <v>0</v>
      </c>
      <c r="O306" s="4">
        <f>IF(ISERR(SEARCH("TRA* 82",C303)),IF(Q306+R306+S306=0,0,I306*(R306/(Q306+R306+S306))),0)</f>
        <v>0</v>
      </c>
      <c r="P306" s="4">
        <f>IF(ISERR(SEARCH("TRA* 82",C303)),I306-N306-O306,0)</f>
        <v>0</v>
      </c>
      <c r="Q306" s="4">
        <v>0</v>
      </c>
      <c r="R306" s="4">
        <v>0</v>
      </c>
      <c r="S306" s="4">
        <v>0</v>
      </c>
    </row>
    <row r="307" spans="1:19" x14ac:dyDescent="0.3">
      <c r="A307" s="96" t="s">
        <v>27</v>
      </c>
      <c r="B307" s="97"/>
      <c r="C307" s="97"/>
      <c r="D307" s="97"/>
      <c r="E307" s="97"/>
      <c r="F307" s="97"/>
      <c r="G307" s="97"/>
      <c r="H307" s="36">
        <f>H303+H304+H305+H306</f>
        <v>6.44</v>
      </c>
      <c r="I307" s="74">
        <f>I303+I304+I305+I306</f>
        <v>128.80000000000001</v>
      </c>
      <c r="J307">
        <v>5</v>
      </c>
    </row>
    <row r="308" spans="1:19" x14ac:dyDescent="0.3">
      <c r="B308" s="2">
        <v>53</v>
      </c>
      <c r="C308" s="3" t="s">
        <v>423</v>
      </c>
      <c r="D308" s="5" t="s">
        <v>25</v>
      </c>
      <c r="G308" s="30">
        <v>10</v>
      </c>
      <c r="H308" s="38">
        <v>7.05</v>
      </c>
      <c r="I308" s="29">
        <f>G308*H308</f>
        <v>70.5</v>
      </c>
      <c r="J308">
        <v>1</v>
      </c>
    </row>
    <row r="309" spans="1:19" x14ac:dyDescent="0.3">
      <c r="D309" s="15" t="str">
        <f>SUBSTITUTE("Sp.mat: 0.00%",".",IF(VALUE("1.2")=1.2,".",","),2)</f>
        <v>Sp.mat: 0.00%</v>
      </c>
      <c r="F309" s="15" t="str">
        <f>SUBSTITUTE("Sp.man: 0.00%",".",IF(VALUE("1.2")=1.2,".",","),2)</f>
        <v>Sp.man: 0.00%</v>
      </c>
      <c r="G309" s="35" t="str">
        <f>SUBSTITUTE("Sp.uti: 0.00%",".",IF(VALUE("1.2")=1.2,".",","),2)</f>
        <v>Sp.uti: 0.00%</v>
      </c>
      <c r="H309" s="38">
        <f>(1+IF(OR(ISERR(FIND(":",F309)),ISERR(FIND("%",F309))),0,MID(F309,FIND(":",F309)+2,FIND("%",F309)-FIND(":",F309)-2)/100))*0</f>
        <v>0</v>
      </c>
      <c r="I309" s="29">
        <f>G308*H309</f>
        <v>0</v>
      </c>
      <c r="J309">
        <v>2</v>
      </c>
    </row>
    <row r="310" spans="1:19" x14ac:dyDescent="0.3">
      <c r="A310" s="88" t="s">
        <v>424</v>
      </c>
      <c r="B310" s="98"/>
      <c r="C310" s="98"/>
      <c r="D310" s="98"/>
      <c r="E310" s="98"/>
      <c r="F310" s="98"/>
      <c r="G310" s="98"/>
      <c r="H310" s="38">
        <f>(1+IF(OR(ISERR(FIND(":",G309)),ISERR(FIND("%",G309))),0,MID(G309,FIND(":",G309)+2,FIND("%",G309)-FIND(":",G309)-2)/100))*0</f>
        <v>0</v>
      </c>
      <c r="I310" s="29">
        <f>G308*H310</f>
        <v>0</v>
      </c>
      <c r="J310">
        <v>3</v>
      </c>
      <c r="K310" s="4">
        <v>0</v>
      </c>
      <c r="L310" s="4">
        <v>0</v>
      </c>
      <c r="M310" s="4">
        <f>I310-K310-L310</f>
        <v>0</v>
      </c>
    </row>
    <row r="311" spans="1:19" x14ac:dyDescent="0.3">
      <c r="A311" s="98"/>
      <c r="B311" s="98"/>
      <c r="C311" s="98"/>
      <c r="D311" s="98"/>
      <c r="E311" s="98"/>
      <c r="F311" s="98"/>
      <c r="G311" s="98"/>
      <c r="H311" s="38">
        <f>0</f>
        <v>0</v>
      </c>
      <c r="I311" s="29">
        <f>G308*H311</f>
        <v>0</v>
      </c>
      <c r="J311">
        <v>4</v>
      </c>
      <c r="N311" s="4">
        <f>IF(ISERR(SEARCH("TRA* 82",C308)),IF(Q311+R311+S311=0,0,I311*(Q311/(Q311+R311+S311))),I311)</f>
        <v>0</v>
      </c>
      <c r="O311" s="4">
        <f>IF(ISERR(SEARCH("TRA* 82",C308)),IF(Q311+R311+S311=0,0,I311*(R311/(Q311+R311+S311))),0)</f>
        <v>0</v>
      </c>
      <c r="P311" s="4">
        <f>IF(ISERR(SEARCH("TRA* 82",C308)),I311-N311-O311,0)</f>
        <v>0</v>
      </c>
      <c r="Q311" s="4">
        <v>0</v>
      </c>
      <c r="R311" s="4">
        <v>0</v>
      </c>
      <c r="S311" s="4">
        <v>0</v>
      </c>
    </row>
    <row r="312" spans="1:19" x14ac:dyDescent="0.3">
      <c r="A312" s="96" t="s">
        <v>27</v>
      </c>
      <c r="B312" s="97"/>
      <c r="C312" s="97"/>
      <c r="D312" s="97"/>
      <c r="E312" s="97"/>
      <c r="F312" s="97"/>
      <c r="G312" s="97"/>
      <c r="H312" s="36">
        <f>H308+H309+H310+H311</f>
        <v>7.05</v>
      </c>
      <c r="I312" s="74">
        <f>I308+I309+I310+I311</f>
        <v>70.5</v>
      </c>
      <c r="J312">
        <v>5</v>
      </c>
    </row>
    <row r="313" spans="1:19" x14ac:dyDescent="0.3">
      <c r="B313" s="2">
        <v>54</v>
      </c>
      <c r="C313" s="3" t="s">
        <v>425</v>
      </c>
      <c r="D313" s="5" t="s">
        <v>25</v>
      </c>
      <c r="G313" s="30">
        <v>20</v>
      </c>
      <c r="H313" s="38">
        <v>8.02</v>
      </c>
      <c r="I313" s="29">
        <f>G313*H313</f>
        <v>160.39999999999998</v>
      </c>
      <c r="J313">
        <v>1</v>
      </c>
    </row>
    <row r="314" spans="1:19" x14ac:dyDescent="0.3">
      <c r="D314" s="15" t="str">
        <f>SUBSTITUTE("Sp.mat: 0.00%",".",IF(VALUE("1.2")=1.2,".",","),2)</f>
        <v>Sp.mat: 0.00%</v>
      </c>
      <c r="F314" s="15" t="str">
        <f>SUBSTITUTE("Sp.man: 0.00%",".",IF(VALUE("1.2")=1.2,".",","),2)</f>
        <v>Sp.man: 0.00%</v>
      </c>
      <c r="G314" s="35" t="str">
        <f>SUBSTITUTE("Sp.uti: 0.00%",".",IF(VALUE("1.2")=1.2,".",","),2)</f>
        <v>Sp.uti: 0.00%</v>
      </c>
      <c r="H314" s="38">
        <f>(1+IF(OR(ISERR(FIND(":",F314)),ISERR(FIND("%",F314))),0,MID(F314,FIND(":",F314)+2,FIND("%",F314)-FIND(":",F314)-2)/100))*0</f>
        <v>0</v>
      </c>
      <c r="I314" s="29">
        <f>G313*H314</f>
        <v>0</v>
      </c>
      <c r="J314">
        <v>2</v>
      </c>
    </row>
    <row r="315" spans="1:19" x14ac:dyDescent="0.3">
      <c r="A315" s="88" t="s">
        <v>426</v>
      </c>
      <c r="B315" s="98"/>
      <c r="C315" s="98"/>
      <c r="D315" s="98"/>
      <c r="E315" s="98"/>
      <c r="F315" s="98"/>
      <c r="G315" s="98"/>
      <c r="H315" s="38">
        <f>(1+IF(OR(ISERR(FIND(":",G314)),ISERR(FIND("%",G314))),0,MID(G314,FIND(":",G314)+2,FIND("%",G314)-FIND(":",G314)-2)/100))*0</f>
        <v>0</v>
      </c>
      <c r="I315" s="29">
        <f>G313*H315</f>
        <v>0</v>
      </c>
      <c r="J315">
        <v>3</v>
      </c>
      <c r="K315" s="4">
        <v>0</v>
      </c>
      <c r="L315" s="4">
        <v>0</v>
      </c>
      <c r="M315" s="4">
        <f>I315-K315-L315</f>
        <v>0</v>
      </c>
    </row>
    <row r="316" spans="1:19" x14ac:dyDescent="0.3">
      <c r="A316" s="98"/>
      <c r="B316" s="98"/>
      <c r="C316" s="98"/>
      <c r="D316" s="98"/>
      <c r="E316" s="98"/>
      <c r="F316" s="98"/>
      <c r="G316" s="98"/>
      <c r="H316" s="38">
        <f>0</f>
        <v>0</v>
      </c>
      <c r="I316" s="29">
        <f>G313*H316</f>
        <v>0</v>
      </c>
      <c r="J316">
        <v>4</v>
      </c>
      <c r="N316" s="4">
        <f>IF(ISERR(SEARCH("TRA* 82",C313)),IF(Q316+R316+S316=0,0,I316*(Q316/(Q316+R316+S316))),I316)</f>
        <v>0</v>
      </c>
      <c r="O316" s="4">
        <f>IF(ISERR(SEARCH("TRA* 82",C313)),IF(Q316+R316+S316=0,0,I316*(R316/(Q316+R316+S316))),0)</f>
        <v>0</v>
      </c>
      <c r="P316" s="4">
        <f>IF(ISERR(SEARCH("TRA* 82",C313)),I316-N316-O316,0)</f>
        <v>0</v>
      </c>
      <c r="Q316" s="4">
        <v>0</v>
      </c>
      <c r="R316" s="4">
        <v>0</v>
      </c>
      <c r="S316" s="4">
        <v>0</v>
      </c>
    </row>
    <row r="317" spans="1:19" x14ac:dyDescent="0.3">
      <c r="A317" s="96" t="s">
        <v>27</v>
      </c>
      <c r="B317" s="97"/>
      <c r="C317" s="97"/>
      <c r="D317" s="97"/>
      <c r="E317" s="97"/>
      <c r="F317" s="97"/>
      <c r="G317" s="97"/>
      <c r="H317" s="36">
        <f>H313+H314+H315+H316</f>
        <v>8.02</v>
      </c>
      <c r="I317" s="74">
        <f>I313+I314+I315+I316</f>
        <v>160.39999999999998</v>
      </c>
      <c r="J317">
        <v>5</v>
      </c>
    </row>
    <row r="318" spans="1:19" x14ac:dyDescent="0.3">
      <c r="B318" s="2">
        <v>55</v>
      </c>
      <c r="C318" s="3" t="s">
        <v>427</v>
      </c>
      <c r="D318" s="5" t="s">
        <v>25</v>
      </c>
      <c r="G318" s="30">
        <v>55</v>
      </c>
      <c r="H318" s="38">
        <v>8.58</v>
      </c>
      <c r="I318" s="29">
        <f>G318*H318</f>
        <v>471.9</v>
      </c>
      <c r="J318">
        <v>1</v>
      </c>
    </row>
    <row r="319" spans="1:19" x14ac:dyDescent="0.3">
      <c r="D319" s="15" t="str">
        <f>SUBSTITUTE("Sp.mat: 0.00%",".",IF(VALUE("1.2")=1.2,".",","),2)</f>
        <v>Sp.mat: 0.00%</v>
      </c>
      <c r="F319" s="15" t="str">
        <f>SUBSTITUTE("Sp.man: 0.00%",".",IF(VALUE("1.2")=1.2,".",","),2)</f>
        <v>Sp.man: 0.00%</v>
      </c>
      <c r="G319" s="35" t="str">
        <f>SUBSTITUTE("Sp.uti: 0.00%",".",IF(VALUE("1.2")=1.2,".",","),2)</f>
        <v>Sp.uti: 0.00%</v>
      </c>
      <c r="H319" s="38">
        <f>(1+IF(OR(ISERR(FIND(":",F319)),ISERR(FIND("%",F319))),0,MID(F319,FIND(":",F319)+2,FIND("%",F319)-FIND(":",F319)-2)/100))*0</f>
        <v>0</v>
      </c>
      <c r="I319" s="29">
        <f>G318*H319</f>
        <v>0</v>
      </c>
      <c r="J319">
        <v>2</v>
      </c>
    </row>
    <row r="320" spans="1:19" x14ac:dyDescent="0.3">
      <c r="A320" s="88" t="s">
        <v>428</v>
      </c>
      <c r="B320" s="98"/>
      <c r="C320" s="98"/>
      <c r="D320" s="98"/>
      <c r="E320" s="98"/>
      <c r="F320" s="98"/>
      <c r="G320" s="98"/>
      <c r="H320" s="38">
        <f>(1+IF(OR(ISERR(FIND(":",G319)),ISERR(FIND("%",G319))),0,MID(G319,FIND(":",G319)+2,FIND("%",G319)-FIND(":",G319)-2)/100))*0</f>
        <v>0</v>
      </c>
      <c r="I320" s="29">
        <f>G318*H320</f>
        <v>0</v>
      </c>
      <c r="J320">
        <v>3</v>
      </c>
      <c r="K320" s="4">
        <v>0</v>
      </c>
      <c r="L320" s="4">
        <v>0</v>
      </c>
      <c r="M320" s="4">
        <f>I320-K320-L320</f>
        <v>0</v>
      </c>
    </row>
    <row r="321" spans="1:19" x14ac:dyDescent="0.3">
      <c r="A321" s="98"/>
      <c r="B321" s="98"/>
      <c r="C321" s="98"/>
      <c r="D321" s="98"/>
      <c r="E321" s="98"/>
      <c r="F321" s="98"/>
      <c r="G321" s="98"/>
      <c r="H321" s="38">
        <f>0</f>
        <v>0</v>
      </c>
      <c r="I321" s="29">
        <f>G318*H321</f>
        <v>0</v>
      </c>
      <c r="J321">
        <v>4</v>
      </c>
      <c r="N321" s="4">
        <f>IF(ISERR(SEARCH("TRA* 82",C318)),IF(Q321+R321+S321=0,0,I321*(Q321/(Q321+R321+S321))),I321)</f>
        <v>0</v>
      </c>
      <c r="O321" s="4">
        <f>IF(ISERR(SEARCH("TRA* 82",C318)),IF(Q321+R321+S321=0,0,I321*(R321/(Q321+R321+S321))),0)</f>
        <v>0</v>
      </c>
      <c r="P321" s="4">
        <f>IF(ISERR(SEARCH("TRA* 82",C318)),I321-N321-O321,0)</f>
        <v>0</v>
      </c>
      <c r="Q321" s="4">
        <v>0</v>
      </c>
      <c r="R321" s="4">
        <v>0</v>
      </c>
      <c r="S321" s="4">
        <v>0</v>
      </c>
    </row>
    <row r="322" spans="1:19" x14ac:dyDescent="0.3">
      <c r="A322" s="96" t="s">
        <v>27</v>
      </c>
      <c r="B322" s="97"/>
      <c r="C322" s="97"/>
      <c r="D322" s="97"/>
      <c r="E322" s="97"/>
      <c r="F322" s="97"/>
      <c r="G322" s="97"/>
      <c r="H322" s="36">
        <f>H318+H319+H320+H321</f>
        <v>8.58</v>
      </c>
      <c r="I322" s="74">
        <f>I318+I319+I320+I321</f>
        <v>471.9</v>
      </c>
      <c r="J322">
        <v>5</v>
      </c>
    </row>
    <row r="323" spans="1:19" x14ac:dyDescent="0.3">
      <c r="B323" s="2">
        <v>56</v>
      </c>
      <c r="C323" s="3" t="s">
        <v>931</v>
      </c>
      <c r="D323" s="5" t="s">
        <v>25</v>
      </c>
      <c r="G323" s="30">
        <v>10</v>
      </c>
      <c r="H323" s="38">
        <v>9.2899999999999991</v>
      </c>
      <c r="I323" s="29">
        <f>G323*H323</f>
        <v>92.899999999999991</v>
      </c>
      <c r="J323">
        <v>1</v>
      </c>
    </row>
    <row r="324" spans="1:19" x14ac:dyDescent="0.3">
      <c r="D324" s="15" t="str">
        <f>SUBSTITUTE("Sp.mat: 0.00%",".",IF(VALUE("1.2")=1.2,".",","),2)</f>
        <v>Sp.mat: 0.00%</v>
      </c>
      <c r="F324" s="15" t="str">
        <f>SUBSTITUTE("Sp.man: 0.00%",".",IF(VALUE("1.2")=1.2,".",","),2)</f>
        <v>Sp.man: 0.00%</v>
      </c>
      <c r="G324" s="35" t="str">
        <f>SUBSTITUTE("Sp.uti: 0.00%",".",IF(VALUE("1.2")=1.2,".",","),2)</f>
        <v>Sp.uti: 0.00%</v>
      </c>
      <c r="H324" s="38">
        <f>(1+IF(OR(ISERR(FIND(":",F324)),ISERR(FIND("%",F324))),0,MID(F324,FIND(":",F324)+2,FIND("%",F324)-FIND(":",F324)-2)/100))*0</f>
        <v>0</v>
      </c>
      <c r="I324" s="29">
        <f>G323*H324</f>
        <v>0</v>
      </c>
      <c r="J324">
        <v>2</v>
      </c>
    </row>
    <row r="325" spans="1:19" x14ac:dyDescent="0.3">
      <c r="A325" s="88" t="s">
        <v>932</v>
      </c>
      <c r="B325" s="98"/>
      <c r="C325" s="98"/>
      <c r="D325" s="98"/>
      <c r="E325" s="98"/>
      <c r="F325" s="98"/>
      <c r="G325" s="98"/>
      <c r="H325" s="38">
        <f>(1+IF(OR(ISERR(FIND(":",G324)),ISERR(FIND("%",G324))),0,MID(G324,FIND(":",G324)+2,FIND("%",G324)-FIND(":",G324)-2)/100))*0</f>
        <v>0</v>
      </c>
      <c r="I325" s="29">
        <f>G323*H325</f>
        <v>0</v>
      </c>
      <c r="J325">
        <v>3</v>
      </c>
      <c r="K325" s="4">
        <v>0</v>
      </c>
      <c r="L325" s="4">
        <v>0</v>
      </c>
      <c r="M325" s="4">
        <f>I325-K325-L325</f>
        <v>0</v>
      </c>
    </row>
    <row r="326" spans="1:19" x14ac:dyDescent="0.3">
      <c r="A326" s="98"/>
      <c r="B326" s="98"/>
      <c r="C326" s="98"/>
      <c r="D326" s="98"/>
      <c r="E326" s="98"/>
      <c r="F326" s="98"/>
      <c r="G326" s="98"/>
      <c r="H326" s="38">
        <f>0</f>
        <v>0</v>
      </c>
      <c r="I326" s="29">
        <f>G323*H326</f>
        <v>0</v>
      </c>
      <c r="J326">
        <v>4</v>
      </c>
      <c r="N326" s="4">
        <f>IF(ISERR(SEARCH("TRA* 82",C323)),IF(Q326+R326+S326=0,0,I326*(Q326/(Q326+R326+S326))),I326)</f>
        <v>0</v>
      </c>
      <c r="O326" s="4">
        <f>IF(ISERR(SEARCH("TRA* 82",C323)),IF(Q326+R326+S326=0,0,I326*(R326/(Q326+R326+S326))),0)</f>
        <v>0</v>
      </c>
      <c r="P326" s="4">
        <f>IF(ISERR(SEARCH("TRA* 82",C323)),I326-N326-O326,0)</f>
        <v>0</v>
      </c>
      <c r="Q326" s="4">
        <v>0</v>
      </c>
      <c r="R326" s="4">
        <v>0</v>
      </c>
      <c r="S326" s="4">
        <v>0</v>
      </c>
    </row>
    <row r="327" spans="1:19" x14ac:dyDescent="0.3">
      <c r="A327" s="96" t="s">
        <v>27</v>
      </c>
      <c r="B327" s="97"/>
      <c r="C327" s="97"/>
      <c r="D327" s="97"/>
      <c r="E327" s="97"/>
      <c r="F327" s="97"/>
      <c r="G327" s="97"/>
      <c r="H327" s="36">
        <f>H323+H324+H325+H326</f>
        <v>9.2899999999999991</v>
      </c>
      <c r="I327" s="74">
        <f>I323+I324+I325+I326</f>
        <v>92.899999999999991</v>
      </c>
      <c r="J327">
        <v>5</v>
      </c>
    </row>
    <row r="328" spans="1:19" x14ac:dyDescent="0.3">
      <c r="B328" s="2">
        <v>57</v>
      </c>
      <c r="C328" s="3" t="s">
        <v>429</v>
      </c>
      <c r="D328" s="5" t="s">
        <v>25</v>
      </c>
      <c r="G328" s="30">
        <v>25</v>
      </c>
      <c r="H328" s="38">
        <v>10.78</v>
      </c>
      <c r="I328" s="29">
        <f>G328*H328</f>
        <v>269.5</v>
      </c>
      <c r="J328">
        <v>1</v>
      </c>
    </row>
    <row r="329" spans="1:19" x14ac:dyDescent="0.3">
      <c r="D329" s="15" t="str">
        <f>SUBSTITUTE("Sp.mat: 0.00%",".",IF(VALUE("1.2")=1.2,".",","),2)</f>
        <v>Sp.mat: 0.00%</v>
      </c>
      <c r="F329" s="15" t="str">
        <f>SUBSTITUTE("Sp.man: 0.00%",".",IF(VALUE("1.2")=1.2,".",","),2)</f>
        <v>Sp.man: 0.00%</v>
      </c>
      <c r="G329" s="35" t="str">
        <f>SUBSTITUTE("Sp.uti: 0.00%",".",IF(VALUE("1.2")=1.2,".",","),2)</f>
        <v>Sp.uti: 0.00%</v>
      </c>
      <c r="H329" s="38">
        <f>(1+IF(OR(ISERR(FIND(":",F329)),ISERR(FIND("%",F329))),0,MID(F329,FIND(":",F329)+2,FIND("%",F329)-FIND(":",F329)-2)/100))*0</f>
        <v>0</v>
      </c>
      <c r="I329" s="29">
        <f>G328*H329</f>
        <v>0</v>
      </c>
      <c r="J329">
        <v>2</v>
      </c>
    </row>
    <row r="330" spans="1:19" x14ac:dyDescent="0.3">
      <c r="A330" s="88" t="s">
        <v>430</v>
      </c>
      <c r="B330" s="98"/>
      <c r="C330" s="98"/>
      <c r="D330" s="98"/>
      <c r="E330" s="98"/>
      <c r="F330" s="98"/>
      <c r="G330" s="98"/>
      <c r="H330" s="38">
        <f>(1+IF(OR(ISERR(FIND(":",G329)),ISERR(FIND("%",G329))),0,MID(G329,FIND(":",G329)+2,FIND("%",G329)-FIND(":",G329)-2)/100))*0</f>
        <v>0</v>
      </c>
      <c r="I330" s="29">
        <f>G328*H330</f>
        <v>0</v>
      </c>
      <c r="J330">
        <v>3</v>
      </c>
      <c r="K330" s="4">
        <v>0</v>
      </c>
      <c r="L330" s="4">
        <v>0</v>
      </c>
      <c r="M330" s="4">
        <f>I330-K330-L330</f>
        <v>0</v>
      </c>
    </row>
    <row r="331" spans="1:19" x14ac:dyDescent="0.3">
      <c r="A331" s="98"/>
      <c r="B331" s="98"/>
      <c r="C331" s="98"/>
      <c r="D331" s="98"/>
      <c r="E331" s="98"/>
      <c r="F331" s="98"/>
      <c r="G331" s="98"/>
      <c r="H331" s="38">
        <f>0</f>
        <v>0</v>
      </c>
      <c r="I331" s="29">
        <f>G328*H331</f>
        <v>0</v>
      </c>
      <c r="J331">
        <v>4</v>
      </c>
      <c r="N331" s="4">
        <f>IF(ISERR(SEARCH("TRA* 82",C328)),IF(Q331+R331+S331=0,0,I331*(Q331/(Q331+R331+S331))),I331)</f>
        <v>0</v>
      </c>
      <c r="O331" s="4">
        <f>IF(ISERR(SEARCH("TRA* 82",C328)),IF(Q331+R331+S331=0,0,I331*(R331/(Q331+R331+S331))),0)</f>
        <v>0</v>
      </c>
      <c r="P331" s="4">
        <f>IF(ISERR(SEARCH("TRA* 82",C328)),I331-N331-O331,0)</f>
        <v>0</v>
      </c>
      <c r="Q331" s="4">
        <v>0</v>
      </c>
      <c r="R331" s="4">
        <v>0</v>
      </c>
      <c r="S331" s="4">
        <v>0</v>
      </c>
    </row>
    <row r="332" spans="1:19" x14ac:dyDescent="0.3">
      <c r="A332" s="96" t="s">
        <v>27</v>
      </c>
      <c r="B332" s="97"/>
      <c r="C332" s="97"/>
      <c r="D332" s="97"/>
      <c r="E332" s="97"/>
      <c r="F332" s="97"/>
      <c r="G332" s="97"/>
      <c r="H332" s="36">
        <f>H328+H329+H330+H331</f>
        <v>10.78</v>
      </c>
      <c r="I332" s="74">
        <f>I328+I329+I330+I331</f>
        <v>269.5</v>
      </c>
      <c r="J332">
        <v>5</v>
      </c>
    </row>
    <row r="333" spans="1:19" x14ac:dyDescent="0.3">
      <c r="B333" s="2">
        <v>58</v>
      </c>
      <c r="C333" s="3" t="s">
        <v>433</v>
      </c>
      <c r="D333" s="5" t="s">
        <v>25</v>
      </c>
      <c r="G333" s="30">
        <v>30</v>
      </c>
      <c r="H333" s="38">
        <v>14.95</v>
      </c>
      <c r="I333" s="29">
        <f>G333*H333</f>
        <v>448.5</v>
      </c>
      <c r="J333">
        <v>1</v>
      </c>
    </row>
    <row r="334" spans="1:19" x14ac:dyDescent="0.3">
      <c r="D334" s="15" t="str">
        <f>SUBSTITUTE("Sp.mat: 0.00%",".",IF(VALUE("1.2")=1.2,".",","),2)</f>
        <v>Sp.mat: 0.00%</v>
      </c>
      <c r="F334" s="15" t="str">
        <f>SUBSTITUTE("Sp.man: 0.00%",".",IF(VALUE("1.2")=1.2,".",","),2)</f>
        <v>Sp.man: 0.00%</v>
      </c>
      <c r="G334" s="35" t="str">
        <f>SUBSTITUTE("Sp.uti: 0.00%",".",IF(VALUE("1.2")=1.2,".",","),2)</f>
        <v>Sp.uti: 0.00%</v>
      </c>
      <c r="H334" s="38">
        <f>(1+IF(OR(ISERR(FIND(":",F334)),ISERR(FIND("%",F334))),0,MID(F334,FIND(":",F334)+2,FIND("%",F334)-FIND(":",F334)-2)/100))*0</f>
        <v>0</v>
      </c>
      <c r="I334" s="29">
        <f>G333*H334</f>
        <v>0</v>
      </c>
      <c r="J334">
        <v>2</v>
      </c>
    </row>
    <row r="335" spans="1:19" x14ac:dyDescent="0.3">
      <c r="A335" s="88" t="s">
        <v>434</v>
      </c>
      <c r="B335" s="98"/>
      <c r="C335" s="98"/>
      <c r="D335" s="98"/>
      <c r="E335" s="98"/>
      <c r="F335" s="98"/>
      <c r="G335" s="98"/>
      <c r="H335" s="38">
        <f>(1+IF(OR(ISERR(FIND(":",G334)),ISERR(FIND("%",G334))),0,MID(G334,FIND(":",G334)+2,FIND("%",G334)-FIND(":",G334)-2)/100))*0</f>
        <v>0</v>
      </c>
      <c r="I335" s="29">
        <f>G333*H335</f>
        <v>0</v>
      </c>
      <c r="J335">
        <v>3</v>
      </c>
      <c r="K335" s="4">
        <v>0</v>
      </c>
      <c r="L335" s="4">
        <v>0</v>
      </c>
      <c r="M335" s="4">
        <f>I335-K335-L335</f>
        <v>0</v>
      </c>
    </row>
    <row r="336" spans="1:19" x14ac:dyDescent="0.3">
      <c r="A336" s="98"/>
      <c r="B336" s="98"/>
      <c r="C336" s="98"/>
      <c r="D336" s="98"/>
      <c r="E336" s="98"/>
      <c r="F336" s="98"/>
      <c r="G336" s="98"/>
      <c r="H336" s="38">
        <f>0</f>
        <v>0</v>
      </c>
      <c r="I336" s="29">
        <f>G333*H336</f>
        <v>0</v>
      </c>
      <c r="J336">
        <v>4</v>
      </c>
      <c r="N336" s="4">
        <f>IF(ISERR(SEARCH("TRA* 82",C333)),IF(Q336+R336+S336=0,0,I336*(Q336/(Q336+R336+S336))),I336)</f>
        <v>0</v>
      </c>
      <c r="O336" s="4">
        <f>IF(ISERR(SEARCH("TRA* 82",C333)),IF(Q336+R336+S336=0,0,I336*(R336/(Q336+R336+S336))),0)</f>
        <v>0</v>
      </c>
      <c r="P336" s="4">
        <f>IF(ISERR(SEARCH("TRA* 82",C333)),I336-N336-O336,0)</f>
        <v>0</v>
      </c>
      <c r="Q336" s="4">
        <v>0</v>
      </c>
      <c r="R336" s="4">
        <v>0</v>
      </c>
      <c r="S336" s="4">
        <v>0</v>
      </c>
    </row>
    <row r="337" spans="1:19" x14ac:dyDescent="0.3">
      <c r="A337" s="96" t="s">
        <v>27</v>
      </c>
      <c r="B337" s="97"/>
      <c r="C337" s="97"/>
      <c r="D337" s="97"/>
      <c r="E337" s="97"/>
      <c r="F337" s="97"/>
      <c r="G337" s="97"/>
      <c r="H337" s="36">
        <f>H333+H334+H335+H336</f>
        <v>14.95</v>
      </c>
      <c r="I337" s="74">
        <f>I333+I334+I335+I336</f>
        <v>448.5</v>
      </c>
      <c r="J337">
        <v>5</v>
      </c>
    </row>
    <row r="338" spans="1:19" x14ac:dyDescent="0.3">
      <c r="B338" s="2">
        <v>59</v>
      </c>
      <c r="C338" s="3" t="s">
        <v>435</v>
      </c>
      <c r="D338" s="5" t="s">
        <v>25</v>
      </c>
      <c r="G338" s="30">
        <v>40</v>
      </c>
      <c r="H338" s="38">
        <v>16.73</v>
      </c>
      <c r="I338" s="29">
        <f>G338*H338</f>
        <v>669.2</v>
      </c>
      <c r="J338">
        <v>1</v>
      </c>
    </row>
    <row r="339" spans="1:19" x14ac:dyDescent="0.3">
      <c r="D339" s="15" t="str">
        <f>SUBSTITUTE("Sp.mat: 0.00%",".",IF(VALUE("1.2")=1.2,".",","),2)</f>
        <v>Sp.mat: 0.00%</v>
      </c>
      <c r="F339" s="15" t="str">
        <f>SUBSTITUTE("Sp.man: 0.00%",".",IF(VALUE("1.2")=1.2,".",","),2)</f>
        <v>Sp.man: 0.00%</v>
      </c>
      <c r="G339" s="35" t="str">
        <f>SUBSTITUTE("Sp.uti: 0.00%",".",IF(VALUE("1.2")=1.2,".",","),2)</f>
        <v>Sp.uti: 0.00%</v>
      </c>
      <c r="H339" s="38">
        <f>(1+IF(OR(ISERR(FIND(":",F339)),ISERR(FIND("%",F339))),0,MID(F339,FIND(":",F339)+2,FIND("%",F339)-FIND(":",F339)-2)/100))*0</f>
        <v>0</v>
      </c>
      <c r="I339" s="29">
        <f>G338*H339</f>
        <v>0</v>
      </c>
      <c r="J339">
        <v>2</v>
      </c>
    </row>
    <row r="340" spans="1:19" x14ac:dyDescent="0.3">
      <c r="A340" s="88" t="s">
        <v>436</v>
      </c>
      <c r="B340" s="98"/>
      <c r="C340" s="98"/>
      <c r="D340" s="98"/>
      <c r="E340" s="98"/>
      <c r="F340" s="98"/>
      <c r="G340" s="98"/>
      <c r="H340" s="38">
        <f>(1+IF(OR(ISERR(FIND(":",G339)),ISERR(FIND("%",G339))),0,MID(G339,FIND(":",G339)+2,FIND("%",G339)-FIND(":",G339)-2)/100))*0</f>
        <v>0</v>
      </c>
      <c r="I340" s="29">
        <f>G338*H340</f>
        <v>0</v>
      </c>
      <c r="J340">
        <v>3</v>
      </c>
      <c r="K340" s="4">
        <v>0</v>
      </c>
      <c r="L340" s="4">
        <v>0</v>
      </c>
      <c r="M340" s="4">
        <f>I340-K340-L340</f>
        <v>0</v>
      </c>
    </row>
    <row r="341" spans="1:19" x14ac:dyDescent="0.3">
      <c r="A341" s="98"/>
      <c r="B341" s="98"/>
      <c r="C341" s="98"/>
      <c r="D341" s="98"/>
      <c r="E341" s="98"/>
      <c r="F341" s="98"/>
      <c r="G341" s="98"/>
      <c r="H341" s="38">
        <f>0</f>
        <v>0</v>
      </c>
      <c r="I341" s="29">
        <f>G338*H341</f>
        <v>0</v>
      </c>
      <c r="J341">
        <v>4</v>
      </c>
      <c r="N341" s="4">
        <f>IF(ISERR(SEARCH("TRA* 82",C338)),IF(Q341+R341+S341=0,0,I341*(Q341/(Q341+R341+S341))),I341)</f>
        <v>0</v>
      </c>
      <c r="O341" s="4">
        <f>IF(ISERR(SEARCH("TRA* 82",C338)),IF(Q341+R341+S341=0,0,I341*(R341/(Q341+R341+S341))),0)</f>
        <v>0</v>
      </c>
      <c r="P341" s="4">
        <f>IF(ISERR(SEARCH("TRA* 82",C338)),I341-N341-O341,0)</f>
        <v>0</v>
      </c>
      <c r="Q341" s="4">
        <v>0</v>
      </c>
      <c r="R341" s="4">
        <v>0</v>
      </c>
      <c r="S341" s="4">
        <v>0</v>
      </c>
    </row>
    <row r="342" spans="1:19" x14ac:dyDescent="0.3">
      <c r="A342" s="96" t="s">
        <v>27</v>
      </c>
      <c r="B342" s="97"/>
      <c r="C342" s="97"/>
      <c r="D342" s="97"/>
      <c r="E342" s="97"/>
      <c r="F342" s="97"/>
      <c r="G342" s="97"/>
      <c r="H342" s="36">
        <f>H338+H339+H340+H341</f>
        <v>16.73</v>
      </c>
      <c r="I342" s="74">
        <f>I338+I339+I340+I341</f>
        <v>669.2</v>
      </c>
      <c r="J342">
        <v>5</v>
      </c>
    </row>
    <row r="343" spans="1:19" x14ac:dyDescent="0.3">
      <c r="B343" s="2">
        <v>60</v>
      </c>
      <c r="C343" s="3" t="s">
        <v>933</v>
      </c>
      <c r="D343" s="5" t="s">
        <v>25</v>
      </c>
      <c r="G343" s="30">
        <v>50</v>
      </c>
      <c r="H343" s="38">
        <v>20.21</v>
      </c>
      <c r="I343" s="29">
        <f>G343*H343</f>
        <v>1010.5</v>
      </c>
      <c r="J343">
        <v>1</v>
      </c>
    </row>
    <row r="344" spans="1:19" x14ac:dyDescent="0.3">
      <c r="D344" s="15" t="str">
        <f>SUBSTITUTE("Sp.mat: 0.00%",".",IF(VALUE("1.2")=1.2,".",","),2)</f>
        <v>Sp.mat: 0.00%</v>
      </c>
      <c r="F344" s="15" t="str">
        <f>SUBSTITUTE("Sp.man: 0.00%",".",IF(VALUE("1.2")=1.2,".",","),2)</f>
        <v>Sp.man: 0.00%</v>
      </c>
      <c r="G344" s="35" t="str">
        <f>SUBSTITUTE("Sp.uti: 0.00%",".",IF(VALUE("1.2")=1.2,".",","),2)</f>
        <v>Sp.uti: 0.00%</v>
      </c>
      <c r="H344" s="38">
        <f>(1+IF(OR(ISERR(FIND(":",F344)),ISERR(FIND("%",F344))),0,MID(F344,FIND(":",F344)+2,FIND("%",F344)-FIND(":",F344)-2)/100))*0</f>
        <v>0</v>
      </c>
      <c r="I344" s="29">
        <f>G343*H344</f>
        <v>0</v>
      </c>
      <c r="J344">
        <v>2</v>
      </c>
    </row>
    <row r="345" spans="1:19" x14ac:dyDescent="0.3">
      <c r="A345" s="88" t="s">
        <v>934</v>
      </c>
      <c r="B345" s="98"/>
      <c r="C345" s="98"/>
      <c r="D345" s="98"/>
      <c r="E345" s="98"/>
      <c r="F345" s="98"/>
      <c r="G345" s="98"/>
      <c r="H345" s="38">
        <f>(1+IF(OR(ISERR(FIND(":",G344)),ISERR(FIND("%",G344))),0,MID(G344,FIND(":",G344)+2,FIND("%",G344)-FIND(":",G344)-2)/100))*0</f>
        <v>0</v>
      </c>
      <c r="I345" s="29">
        <f>G343*H345</f>
        <v>0</v>
      </c>
      <c r="J345">
        <v>3</v>
      </c>
      <c r="K345" s="4">
        <v>0</v>
      </c>
      <c r="L345" s="4">
        <v>0</v>
      </c>
      <c r="M345" s="4">
        <f>I345-K345-L345</f>
        <v>0</v>
      </c>
    </row>
    <row r="346" spans="1:19" x14ac:dyDescent="0.3">
      <c r="A346" s="98"/>
      <c r="B346" s="98"/>
      <c r="C346" s="98"/>
      <c r="D346" s="98"/>
      <c r="E346" s="98"/>
      <c r="F346" s="98"/>
      <c r="G346" s="98"/>
      <c r="H346" s="38">
        <f>0</f>
        <v>0</v>
      </c>
      <c r="I346" s="29">
        <f>G343*H346</f>
        <v>0</v>
      </c>
      <c r="J346">
        <v>4</v>
      </c>
      <c r="N346" s="4">
        <f>IF(ISERR(SEARCH("TRA* 82",C343)),IF(Q346+R346+S346=0,0,I346*(Q346/(Q346+R346+S346))),I346)</f>
        <v>0</v>
      </c>
      <c r="O346" s="4">
        <f>IF(ISERR(SEARCH("TRA* 82",C343)),IF(Q346+R346+S346=0,0,I346*(R346/(Q346+R346+S346))),0)</f>
        <v>0</v>
      </c>
      <c r="P346" s="4">
        <f>IF(ISERR(SEARCH("TRA* 82",C343)),I346-N346-O346,0)</f>
        <v>0</v>
      </c>
      <c r="Q346" s="4">
        <v>0</v>
      </c>
      <c r="R346" s="4">
        <v>0</v>
      </c>
      <c r="S346" s="4">
        <v>0</v>
      </c>
    </row>
    <row r="347" spans="1:19" x14ac:dyDescent="0.3">
      <c r="A347" s="96" t="s">
        <v>27</v>
      </c>
      <c r="B347" s="97"/>
      <c r="C347" s="97"/>
      <c r="D347" s="97"/>
      <c r="E347" s="97"/>
      <c r="F347" s="97"/>
      <c r="G347" s="97"/>
      <c r="H347" s="36">
        <f>H343+H344+H345+H346</f>
        <v>20.21</v>
      </c>
      <c r="I347" s="74">
        <f>I343+I344+I345+I346</f>
        <v>1010.5</v>
      </c>
      <c r="J347">
        <v>5</v>
      </c>
    </row>
    <row r="348" spans="1:19" x14ac:dyDescent="0.3">
      <c r="B348" s="2">
        <v>61</v>
      </c>
      <c r="C348" s="3" t="s">
        <v>439</v>
      </c>
      <c r="D348" s="5" t="s">
        <v>29</v>
      </c>
      <c r="G348" s="30">
        <v>1</v>
      </c>
      <c r="H348" s="38">
        <v>60.15</v>
      </c>
      <c r="I348" s="29">
        <f>G348*H348</f>
        <v>60.15</v>
      </c>
      <c r="J348">
        <v>1</v>
      </c>
    </row>
    <row r="349" spans="1:19" x14ac:dyDescent="0.3">
      <c r="D349" s="15" t="str">
        <f>SUBSTITUTE("Sp.mat: 0.00%",".",IF(VALUE("1.2")=1.2,".",","),2)</f>
        <v>Sp.mat: 0.00%</v>
      </c>
      <c r="F349" s="15" t="str">
        <f>SUBSTITUTE("Sp.man: 0.00%",".",IF(VALUE("1.2")=1.2,".",","),2)</f>
        <v>Sp.man: 0.00%</v>
      </c>
      <c r="G349" s="35" t="str">
        <f>SUBSTITUTE("Sp.uti: 0.00%",".",IF(VALUE("1.2")=1.2,".",","),2)</f>
        <v>Sp.uti: 0.00%</v>
      </c>
      <c r="H349" s="38">
        <v>31.71</v>
      </c>
      <c r="I349" s="29">
        <f>G348*H349</f>
        <v>31.71</v>
      </c>
      <c r="J349">
        <v>2</v>
      </c>
    </row>
    <row r="350" spans="1:19" x14ac:dyDescent="0.3">
      <c r="A350" s="88" t="s">
        <v>935</v>
      </c>
      <c r="B350" s="98"/>
      <c r="C350" s="98"/>
      <c r="D350" s="98"/>
      <c r="E350" s="98"/>
      <c r="F350" s="98"/>
      <c r="G350" s="98"/>
      <c r="H350" s="38">
        <v>4.55</v>
      </c>
      <c r="I350" s="29">
        <f>G348*H350</f>
        <v>4.55</v>
      </c>
      <c r="J350">
        <v>3</v>
      </c>
      <c r="K350" s="4">
        <v>0</v>
      </c>
      <c r="L350" s="4">
        <v>8.4</v>
      </c>
      <c r="M350" s="4">
        <f>I350-K350-L350</f>
        <v>-3.8500000000000005</v>
      </c>
    </row>
    <row r="351" spans="1:19" x14ac:dyDescent="0.3">
      <c r="A351" s="98"/>
      <c r="B351" s="98"/>
      <c r="C351" s="98"/>
      <c r="D351" s="98"/>
      <c r="E351" s="98"/>
      <c r="F351" s="98"/>
      <c r="G351" s="98"/>
      <c r="H351" s="38">
        <f>0</f>
        <v>0</v>
      </c>
      <c r="I351" s="29">
        <f>G348*H351</f>
        <v>0</v>
      </c>
      <c r="J351">
        <v>4</v>
      </c>
      <c r="N351" s="4">
        <f>IF(ISERR(SEARCH("TRA* 82",C348)),IF(Q351+R351+S351=0,0,I351*(Q351/(Q351+R351+S351))),I351)</f>
        <v>0</v>
      </c>
      <c r="O351" s="4">
        <f>IF(ISERR(SEARCH("TRA* 82",C348)),IF(Q351+R351+S351=0,0,I351*(R351/(Q351+R351+S351))),0)</f>
        <v>0</v>
      </c>
      <c r="P351" s="4">
        <f>IF(ISERR(SEARCH("TRA* 82",C348)),I351-N351-O351,0)</f>
        <v>0</v>
      </c>
      <c r="Q351" s="4">
        <v>0</v>
      </c>
      <c r="R351" s="4">
        <v>0</v>
      </c>
      <c r="S351" s="4">
        <v>0</v>
      </c>
    </row>
    <row r="352" spans="1:19" x14ac:dyDescent="0.3">
      <c r="A352" s="100" t="s">
        <v>87</v>
      </c>
      <c r="B352" s="101"/>
      <c r="C352" s="101"/>
      <c r="D352" s="101"/>
      <c r="E352" s="101"/>
      <c r="F352" s="101"/>
      <c r="G352" s="101"/>
      <c r="H352" s="33">
        <f>H348+H349+H350+H351</f>
        <v>96.41</v>
      </c>
      <c r="I352" s="37">
        <f>I348+I349+I350+I351</f>
        <v>96.41</v>
      </c>
      <c r="J352">
        <v>5</v>
      </c>
    </row>
    <row r="353" spans="1:19" x14ac:dyDescent="0.3">
      <c r="A353" s="102" t="s">
        <v>441</v>
      </c>
      <c r="B353" s="102"/>
      <c r="C353" s="102"/>
      <c r="D353" s="102"/>
      <c r="E353" s="102"/>
      <c r="F353" s="102"/>
      <c r="G353" s="102"/>
      <c r="H353" s="102"/>
      <c r="I353" s="102"/>
    </row>
    <row r="354" spans="1:19" x14ac:dyDescent="0.3">
      <c r="A354" s="98" t="s">
        <v>442</v>
      </c>
      <c r="B354" s="98"/>
      <c r="C354" s="98"/>
      <c r="D354" s="98"/>
      <c r="E354" s="98"/>
      <c r="F354" s="98"/>
      <c r="G354" s="98"/>
      <c r="H354" s="98"/>
      <c r="I354" s="98"/>
    </row>
    <row r="355" spans="1:19" x14ac:dyDescent="0.3">
      <c r="A355" s="97" t="s">
        <v>443</v>
      </c>
      <c r="B355" s="97"/>
      <c r="C355" s="97"/>
      <c r="D355" s="97"/>
      <c r="E355" s="97"/>
      <c r="F355" s="97"/>
      <c r="G355" s="97"/>
      <c r="H355" s="97"/>
      <c r="I355" s="97"/>
    </row>
    <row r="356" spans="1:19" x14ac:dyDescent="0.3">
      <c r="B356" s="2">
        <v>62</v>
      </c>
      <c r="C356" s="3" t="s">
        <v>439</v>
      </c>
      <c r="D356" s="5" t="s">
        <v>29</v>
      </c>
      <c r="G356" s="30">
        <v>1</v>
      </c>
      <c r="H356" s="38">
        <v>54.68</v>
      </c>
      <c r="I356" s="29">
        <f>G356*H356</f>
        <v>54.68</v>
      </c>
      <c r="J356">
        <v>1</v>
      </c>
    </row>
    <row r="357" spans="1:19" x14ac:dyDescent="0.3">
      <c r="D357" s="15" t="str">
        <f>SUBSTITUTE("Sp.mat: 0.00%",".",IF(VALUE("1.2")=1.2,".",","),2)</f>
        <v>Sp.mat: 0.00%</v>
      </c>
      <c r="F357" s="15" t="str">
        <f>SUBSTITUTE("Sp.man: 0.00%",".",IF(VALUE("1.2")=1.2,".",","),2)</f>
        <v>Sp.man: 0.00%</v>
      </c>
      <c r="G357" s="35" t="str">
        <f>SUBSTITUTE("Sp.uti: 0.00%",".",IF(VALUE("1.2")=1.2,".",","),2)</f>
        <v>Sp.uti: 0.00%</v>
      </c>
      <c r="H357" s="38">
        <v>31.71</v>
      </c>
      <c r="I357" s="29">
        <f>G356*H357</f>
        <v>31.71</v>
      </c>
      <c r="J357">
        <v>2</v>
      </c>
    </row>
    <row r="358" spans="1:19" x14ac:dyDescent="0.3">
      <c r="A358" s="88" t="s">
        <v>936</v>
      </c>
      <c r="B358" s="98"/>
      <c r="C358" s="98"/>
      <c r="D358" s="98"/>
      <c r="E358" s="98"/>
      <c r="F358" s="98"/>
      <c r="G358" s="98"/>
      <c r="H358" s="38">
        <v>4.55</v>
      </c>
      <c r="I358" s="29">
        <f>G356*H358</f>
        <v>4.55</v>
      </c>
      <c r="J358">
        <v>3</v>
      </c>
      <c r="K358" s="4">
        <v>0</v>
      </c>
      <c r="L358" s="4">
        <v>8.4</v>
      </c>
      <c r="M358" s="4">
        <f>I358-K358-L358</f>
        <v>-3.8500000000000005</v>
      </c>
    </row>
    <row r="359" spans="1:19" x14ac:dyDescent="0.3">
      <c r="A359" s="98"/>
      <c r="B359" s="98"/>
      <c r="C359" s="98"/>
      <c r="D359" s="98"/>
      <c r="E359" s="98"/>
      <c r="F359" s="98"/>
      <c r="G359" s="98"/>
      <c r="H359" s="38">
        <f>0</f>
        <v>0</v>
      </c>
      <c r="I359" s="29">
        <f>G356*H359</f>
        <v>0</v>
      </c>
      <c r="J359">
        <v>4</v>
      </c>
      <c r="N359" s="4">
        <f>IF(ISERR(SEARCH("TRA* 82",C356)),IF(Q359+R359+S359=0,0,I359*(Q359/(Q359+R359+S359))),I359)</f>
        <v>0</v>
      </c>
      <c r="O359" s="4">
        <f>IF(ISERR(SEARCH("TRA* 82",C356)),IF(Q359+R359+S359=0,0,I359*(R359/(Q359+R359+S359))),0)</f>
        <v>0</v>
      </c>
      <c r="P359" s="4">
        <f>IF(ISERR(SEARCH("TRA* 82",C356)),I359-N359-O359,0)</f>
        <v>0</v>
      </c>
      <c r="Q359" s="4">
        <v>0</v>
      </c>
      <c r="R359" s="4">
        <v>0</v>
      </c>
      <c r="S359" s="4">
        <v>0</v>
      </c>
    </row>
    <row r="360" spans="1:19" x14ac:dyDescent="0.3">
      <c r="A360" s="100" t="s">
        <v>87</v>
      </c>
      <c r="B360" s="101"/>
      <c r="C360" s="101"/>
      <c r="D360" s="101"/>
      <c r="E360" s="101"/>
      <c r="F360" s="101"/>
      <c r="G360" s="101"/>
      <c r="H360" s="33">
        <f>H356+H357+H358+H359</f>
        <v>90.94</v>
      </c>
      <c r="I360" s="37">
        <f>I356+I357+I358+I359</f>
        <v>90.94</v>
      </c>
      <c r="J360">
        <v>5</v>
      </c>
    </row>
    <row r="361" spans="1:19" x14ac:dyDescent="0.3">
      <c r="A361" s="99" t="s">
        <v>444</v>
      </c>
      <c r="B361" s="99"/>
      <c r="C361" s="99"/>
      <c r="D361" s="99"/>
      <c r="E361" s="99"/>
      <c r="F361" s="99"/>
      <c r="G361" s="99"/>
      <c r="H361" s="99"/>
      <c r="I361" s="99"/>
    </row>
    <row r="362" spans="1:19" x14ac:dyDescent="0.3">
      <c r="B362" s="2">
        <v>63</v>
      </c>
      <c r="C362" s="3" t="s">
        <v>445</v>
      </c>
      <c r="D362" s="5" t="s">
        <v>133</v>
      </c>
      <c r="G362" s="30">
        <v>14</v>
      </c>
      <c r="H362" s="38">
        <f>(1+IF(OR(ISERR(FIND(":",D363)),ISERR(FIND("%",D363))),0,MID(D363,FIND(":",D363)+2,FIND("%",D363)-FIND(":",D363)-2)/100))*0</f>
        <v>0</v>
      </c>
      <c r="I362" s="29">
        <f>G362*H362</f>
        <v>0</v>
      </c>
      <c r="J362">
        <v>1</v>
      </c>
    </row>
    <row r="363" spans="1:19" x14ac:dyDescent="0.3">
      <c r="D363" s="15" t="str">
        <f>SUBSTITUTE("Sp.mat: 0.00%",".",IF(VALUE("1.2")=1.2,".",","),2)</f>
        <v>Sp.mat: 0.00%</v>
      </c>
      <c r="F363" s="15" t="str">
        <f>SUBSTITUTE("Sp.man: 0.00%",".",IF(VALUE("1.2")=1.2,".",","),2)</f>
        <v>Sp.man: 0.00%</v>
      </c>
      <c r="G363" s="35" t="str">
        <f>SUBSTITUTE("Sp.uti: 0.00%",".",IF(VALUE("1.2")=1.2,".",","),2)</f>
        <v>Sp.uti: 0.00%</v>
      </c>
      <c r="H363" s="38">
        <v>1.6</v>
      </c>
      <c r="I363" s="29">
        <f>G362*H363</f>
        <v>22.400000000000002</v>
      </c>
      <c r="J363">
        <v>2</v>
      </c>
    </row>
    <row r="364" spans="1:19" x14ac:dyDescent="0.3">
      <c r="A364" s="88" t="s">
        <v>446</v>
      </c>
      <c r="B364" s="98"/>
      <c r="C364" s="98"/>
      <c r="D364" s="98"/>
      <c r="E364" s="98"/>
      <c r="F364" s="98"/>
      <c r="G364" s="98"/>
      <c r="H364" s="38">
        <f>(1+IF(OR(ISERR(FIND(":",G363)),ISERR(FIND("%",G363))),0,MID(G363,FIND(":",G363)+2,FIND("%",G363)-FIND(":",G363)-2)/100))*0</f>
        <v>0</v>
      </c>
      <c r="I364" s="29">
        <f>G362*H364</f>
        <v>0</v>
      </c>
      <c r="J364">
        <v>3</v>
      </c>
      <c r="K364" s="4">
        <v>0</v>
      </c>
      <c r="L364" s="4">
        <v>0</v>
      </c>
      <c r="M364" s="4">
        <f>I364-K364-L364</f>
        <v>0</v>
      </c>
    </row>
    <row r="365" spans="1:19" x14ac:dyDescent="0.3">
      <c r="A365" s="98"/>
      <c r="B365" s="98"/>
      <c r="C365" s="98"/>
      <c r="D365" s="98"/>
      <c r="E365" s="98"/>
      <c r="F365" s="98"/>
      <c r="G365" s="98"/>
      <c r="H365" s="38">
        <f>0</f>
        <v>0</v>
      </c>
      <c r="I365" s="29">
        <f>G362*H365</f>
        <v>0</v>
      </c>
      <c r="J365">
        <v>4</v>
      </c>
      <c r="N365" s="4">
        <f>IF(ISERR(SEARCH("TRA* 82",C362)),IF(Q365+R365+S365=0,0,I365*(Q365/(Q365+R365+S365))),I365)</f>
        <v>0</v>
      </c>
      <c r="O365" s="4">
        <f>IF(ISERR(SEARCH("TRA* 82",C362)),IF(Q365+R365+S365=0,0,I365*(R365/(Q365+R365+S365))),0)</f>
        <v>0</v>
      </c>
      <c r="P365" s="4">
        <f>IF(ISERR(SEARCH("TRA* 82",C362)),I365-N365-O365,0)</f>
        <v>0</v>
      </c>
      <c r="Q365" s="4">
        <v>0</v>
      </c>
      <c r="R365" s="4">
        <v>0</v>
      </c>
      <c r="S365" s="4">
        <v>0</v>
      </c>
    </row>
    <row r="366" spans="1:19" x14ac:dyDescent="0.3">
      <c r="A366" s="100" t="s">
        <v>87</v>
      </c>
      <c r="B366" s="101"/>
      <c r="C366" s="101"/>
      <c r="D366" s="101"/>
      <c r="E366" s="101"/>
      <c r="F366" s="101"/>
      <c r="G366" s="101"/>
      <c r="H366" s="33">
        <f>H362+H363+H364+H365</f>
        <v>1.6</v>
      </c>
      <c r="I366" s="37">
        <f>I362+I363+I364+I365</f>
        <v>22.400000000000002</v>
      </c>
      <c r="J366">
        <v>5</v>
      </c>
    </row>
    <row r="367" spans="1:19" x14ac:dyDescent="0.3">
      <c r="A367" s="99" t="s">
        <v>447</v>
      </c>
      <c r="B367" s="99"/>
      <c r="C367" s="99"/>
      <c r="D367" s="99"/>
      <c r="E367" s="99"/>
      <c r="F367" s="99"/>
      <c r="G367" s="99"/>
      <c r="H367" s="99"/>
      <c r="I367" s="99"/>
    </row>
    <row r="368" spans="1:19" x14ac:dyDescent="0.3">
      <c r="B368" s="2">
        <v>64</v>
      </c>
      <c r="C368" s="3" t="s">
        <v>448</v>
      </c>
      <c r="D368" s="5" t="s">
        <v>133</v>
      </c>
      <c r="G368" s="30">
        <v>12</v>
      </c>
      <c r="H368" s="38">
        <f>(1+IF(OR(ISERR(FIND(":",D369)),ISERR(FIND("%",D369))),0,MID(D369,FIND(":",D369)+2,FIND("%",D369)-FIND(":",D369)-2)/100))*0</f>
        <v>0</v>
      </c>
      <c r="I368" s="29">
        <f>G368*H368</f>
        <v>0</v>
      </c>
      <c r="J368">
        <v>1</v>
      </c>
    </row>
    <row r="369" spans="1:19" x14ac:dyDescent="0.3">
      <c r="D369" s="15" t="str">
        <f>SUBSTITUTE("Sp.mat: 0.00%",".",IF(VALUE("1.2")=1.2,".",","),2)</f>
        <v>Sp.mat: 0.00%</v>
      </c>
      <c r="F369" s="15" t="str">
        <f>SUBSTITUTE("Sp.man: 0.00%",".",IF(VALUE("1.2")=1.2,".",","),2)</f>
        <v>Sp.man: 0.00%</v>
      </c>
      <c r="G369" s="35" t="str">
        <f>SUBSTITUTE("Sp.uti: 0.00%",".",IF(VALUE("1.2")=1.2,".",","),2)</f>
        <v>Sp.uti: 0.00%</v>
      </c>
      <c r="H369" s="38">
        <v>2.4</v>
      </c>
      <c r="I369" s="29">
        <f>G368*H369</f>
        <v>28.799999999999997</v>
      </c>
      <c r="J369">
        <v>2</v>
      </c>
    </row>
    <row r="370" spans="1:19" x14ac:dyDescent="0.3">
      <c r="A370" s="88" t="s">
        <v>449</v>
      </c>
      <c r="B370" s="98"/>
      <c r="C370" s="98"/>
      <c r="D370" s="98"/>
      <c r="E370" s="98"/>
      <c r="F370" s="98"/>
      <c r="G370" s="98"/>
      <c r="H370" s="38">
        <f>(1+IF(OR(ISERR(FIND(":",G369)),ISERR(FIND("%",G369))),0,MID(G369,FIND(":",G369)+2,FIND("%",G369)-FIND(":",G369)-2)/100))*0</f>
        <v>0</v>
      </c>
      <c r="I370" s="29">
        <f>G368*H370</f>
        <v>0</v>
      </c>
      <c r="J370">
        <v>3</v>
      </c>
      <c r="K370" s="4">
        <v>0</v>
      </c>
      <c r="L370" s="4">
        <v>0</v>
      </c>
      <c r="M370" s="4">
        <f>I370-K370-L370</f>
        <v>0</v>
      </c>
    </row>
    <row r="371" spans="1:19" x14ac:dyDescent="0.3">
      <c r="A371" s="98"/>
      <c r="B371" s="98"/>
      <c r="C371" s="98"/>
      <c r="D371" s="98"/>
      <c r="E371" s="98"/>
      <c r="F371" s="98"/>
      <c r="G371" s="98"/>
      <c r="H371" s="38">
        <f>0</f>
        <v>0</v>
      </c>
      <c r="I371" s="29">
        <f>G368*H371</f>
        <v>0</v>
      </c>
      <c r="J371">
        <v>4</v>
      </c>
      <c r="N371" s="4">
        <f>IF(ISERR(SEARCH("TRA* 82",C368)),IF(Q371+R371+S371=0,0,I371*(Q371/(Q371+R371+S371))),I371)</f>
        <v>0</v>
      </c>
      <c r="O371" s="4">
        <f>IF(ISERR(SEARCH("TRA* 82",C368)),IF(Q371+R371+S371=0,0,I371*(R371/(Q371+R371+S371))),0)</f>
        <v>0</v>
      </c>
      <c r="P371" s="4">
        <f>IF(ISERR(SEARCH("TRA* 82",C368)),I371-N371-O371,0)</f>
        <v>0</v>
      </c>
      <c r="Q371" s="4">
        <v>0</v>
      </c>
      <c r="R371" s="4">
        <v>0</v>
      </c>
      <c r="S371" s="4">
        <v>0</v>
      </c>
    </row>
    <row r="372" spans="1:19" x14ac:dyDescent="0.3">
      <c r="A372" s="100" t="s">
        <v>87</v>
      </c>
      <c r="B372" s="101"/>
      <c r="C372" s="101"/>
      <c r="D372" s="101"/>
      <c r="E372" s="101"/>
      <c r="F372" s="101"/>
      <c r="G372" s="101"/>
      <c r="H372" s="33">
        <f>H368+H369+H370+H371</f>
        <v>2.4</v>
      </c>
      <c r="I372" s="37">
        <f>I368+I369+I370+I371</f>
        <v>28.799999999999997</v>
      </c>
      <c r="J372">
        <v>5</v>
      </c>
    </row>
    <row r="373" spans="1:19" x14ac:dyDescent="0.3">
      <c r="A373" s="99" t="s">
        <v>447</v>
      </c>
      <c r="B373" s="99"/>
      <c r="C373" s="99"/>
      <c r="D373" s="99"/>
      <c r="E373" s="99"/>
      <c r="F373" s="99"/>
      <c r="G373" s="99"/>
      <c r="H373" s="99"/>
      <c r="I373" s="99"/>
    </row>
    <row r="374" spans="1:19" x14ac:dyDescent="0.3">
      <c r="B374" s="2">
        <v>65</v>
      </c>
      <c r="C374" s="3" t="s">
        <v>450</v>
      </c>
      <c r="D374" s="5" t="s">
        <v>25</v>
      </c>
      <c r="G374" s="30">
        <v>50</v>
      </c>
      <c r="H374" s="38">
        <f>(1+IF(OR(ISERR(FIND(":",D375)),ISERR(FIND("%",D375))),0,MID(D375,FIND(":",D375)+2,FIND("%",D375)-FIND(":",D375)-2)/100))*0</f>
        <v>0</v>
      </c>
      <c r="I374" s="29">
        <f>G374*H374</f>
        <v>0</v>
      </c>
      <c r="J374">
        <v>1</v>
      </c>
    </row>
    <row r="375" spans="1:19" x14ac:dyDescent="0.3">
      <c r="D375" s="15" t="str">
        <f>SUBSTITUTE("Sp.mat: 0.00%",".",IF(VALUE("1.2")=1.2,".",","),2)</f>
        <v>Sp.mat: 0.00%</v>
      </c>
      <c r="F375" s="15" t="str">
        <f>SUBSTITUTE("Sp.man: 0.00%",".",IF(VALUE("1.2")=1.2,".",","),2)</f>
        <v>Sp.man: 0.00%</v>
      </c>
      <c r="G375" s="35" t="str">
        <f>SUBSTITUTE("Sp.uti: 0.00%",".",IF(VALUE("1.2")=1.2,".",","),2)</f>
        <v>Sp.uti: 0.00%</v>
      </c>
      <c r="H375" s="38">
        <v>1.44</v>
      </c>
      <c r="I375" s="29">
        <f>G374*H375</f>
        <v>72</v>
      </c>
      <c r="J375">
        <v>2</v>
      </c>
    </row>
    <row r="376" spans="1:19" x14ac:dyDescent="0.3">
      <c r="A376" s="88" t="s">
        <v>451</v>
      </c>
      <c r="B376" s="98"/>
      <c r="C376" s="98"/>
      <c r="D376" s="98"/>
      <c r="E376" s="98"/>
      <c r="F376" s="98"/>
      <c r="G376" s="98"/>
      <c r="H376" s="38">
        <v>0.26</v>
      </c>
      <c r="I376" s="29">
        <f>G374*H376</f>
        <v>13</v>
      </c>
      <c r="J376">
        <v>3</v>
      </c>
      <c r="K376" s="4">
        <v>0</v>
      </c>
      <c r="L376" s="4">
        <v>24</v>
      </c>
      <c r="M376" s="4">
        <f>I376-K376-L376</f>
        <v>-11</v>
      </c>
    </row>
    <row r="377" spans="1:19" x14ac:dyDescent="0.3">
      <c r="A377" s="98"/>
      <c r="B377" s="98"/>
      <c r="C377" s="98"/>
      <c r="D377" s="98"/>
      <c r="E377" s="98"/>
      <c r="F377" s="98"/>
      <c r="G377" s="98"/>
      <c r="H377" s="38">
        <f>0</f>
        <v>0</v>
      </c>
      <c r="I377" s="29">
        <f>G374*H377</f>
        <v>0</v>
      </c>
      <c r="J377">
        <v>4</v>
      </c>
      <c r="N377" s="4">
        <f>IF(ISERR(SEARCH("TRA* 82",C374)),IF(Q377+R377+S377=0,0,I377*(Q377/(Q377+R377+S377))),I377)</f>
        <v>0</v>
      </c>
      <c r="O377" s="4">
        <f>IF(ISERR(SEARCH("TRA* 82",C374)),IF(Q377+R377+S377=0,0,I377*(R377/(Q377+R377+S377))),0)</f>
        <v>0</v>
      </c>
      <c r="P377" s="4">
        <f>IF(ISERR(SEARCH("TRA* 82",C374)),I377-N377-O377,0)</f>
        <v>0</v>
      </c>
      <c r="Q377" s="4">
        <v>0</v>
      </c>
      <c r="R377" s="4">
        <v>0</v>
      </c>
      <c r="S377" s="4">
        <v>0</v>
      </c>
    </row>
    <row r="378" spans="1:19" x14ac:dyDescent="0.3">
      <c r="A378" s="96" t="s">
        <v>27</v>
      </c>
      <c r="B378" s="97"/>
      <c r="C378" s="97"/>
      <c r="D378" s="97"/>
      <c r="E378" s="97"/>
      <c r="F378" s="97"/>
      <c r="G378" s="97"/>
      <c r="H378" s="36">
        <f>H374+H375+H376+H377</f>
        <v>1.7</v>
      </c>
      <c r="I378" s="74">
        <f>I374+I375+I376+I377</f>
        <v>85</v>
      </c>
      <c r="J378">
        <v>5</v>
      </c>
    </row>
    <row r="379" spans="1:19" x14ac:dyDescent="0.3">
      <c r="B379" s="2">
        <v>66</v>
      </c>
      <c r="C379" s="3" t="s">
        <v>452</v>
      </c>
      <c r="D379" s="5" t="s">
        <v>25</v>
      </c>
      <c r="G379" s="30">
        <v>90</v>
      </c>
      <c r="H379" s="38">
        <f>(1+IF(OR(ISERR(FIND(":",D380)),ISERR(FIND("%",D380))),0,MID(D380,FIND(":",D380)+2,FIND("%",D380)-FIND(":",D380)-2)/100))*0</f>
        <v>0</v>
      </c>
      <c r="I379" s="29">
        <f>G379*H379</f>
        <v>0</v>
      </c>
      <c r="J379">
        <v>1</v>
      </c>
    </row>
    <row r="380" spans="1:19" x14ac:dyDescent="0.3">
      <c r="D380" s="15" t="str">
        <f>SUBSTITUTE("Sp.mat: 0.00%",".",IF(VALUE("1.2")=1.2,".",","),2)</f>
        <v>Sp.mat: 0.00%</v>
      </c>
      <c r="F380" s="15" t="str">
        <f>SUBSTITUTE("Sp.man: 0.00%",".",IF(VALUE("1.2")=1.2,".",","),2)</f>
        <v>Sp.man: 0.00%</v>
      </c>
      <c r="G380" s="35" t="str">
        <f>SUBSTITUTE("Sp.uti: 0.00%",".",IF(VALUE("1.2")=1.2,".",","),2)</f>
        <v>Sp.uti: 0.00%</v>
      </c>
      <c r="H380" s="38">
        <v>1.76</v>
      </c>
      <c r="I380" s="29">
        <f>G379*H380</f>
        <v>158.4</v>
      </c>
      <c r="J380">
        <v>2</v>
      </c>
    </row>
    <row r="381" spans="1:19" x14ac:dyDescent="0.3">
      <c r="A381" s="88" t="s">
        <v>453</v>
      </c>
      <c r="B381" s="98"/>
      <c r="C381" s="98"/>
      <c r="D381" s="98"/>
      <c r="E381" s="98"/>
      <c r="F381" s="98"/>
      <c r="G381" s="98"/>
      <c r="H381" s="38">
        <v>0.32</v>
      </c>
      <c r="I381" s="29">
        <f>G379*H381</f>
        <v>28.8</v>
      </c>
      <c r="J381">
        <v>3</v>
      </c>
      <c r="K381" s="4">
        <v>0</v>
      </c>
      <c r="L381" s="4">
        <v>54</v>
      </c>
      <c r="M381" s="4">
        <f>I381-K381-L381</f>
        <v>-25.2</v>
      </c>
    </row>
    <row r="382" spans="1:19" x14ac:dyDescent="0.3">
      <c r="A382" s="98"/>
      <c r="B382" s="98"/>
      <c r="C382" s="98"/>
      <c r="D382" s="98"/>
      <c r="E382" s="98"/>
      <c r="F382" s="98"/>
      <c r="G382" s="98"/>
      <c r="H382" s="38">
        <f>0</f>
        <v>0</v>
      </c>
      <c r="I382" s="29">
        <f>G379*H382</f>
        <v>0</v>
      </c>
      <c r="J382">
        <v>4</v>
      </c>
      <c r="N382" s="4">
        <f>IF(ISERR(SEARCH("TRA* 82",C379)),IF(Q382+R382+S382=0,0,I382*(Q382/(Q382+R382+S382))),I382)</f>
        <v>0</v>
      </c>
      <c r="O382" s="4">
        <f>IF(ISERR(SEARCH("TRA* 82",C379)),IF(Q382+R382+S382=0,0,I382*(R382/(Q382+R382+S382))),0)</f>
        <v>0</v>
      </c>
      <c r="P382" s="4">
        <f>IF(ISERR(SEARCH("TRA* 82",C379)),I382-N382-O382,0)</f>
        <v>0</v>
      </c>
      <c r="Q382" s="4">
        <v>0</v>
      </c>
      <c r="R382" s="4">
        <v>0</v>
      </c>
      <c r="S382" s="4">
        <v>0</v>
      </c>
    </row>
    <row r="383" spans="1:19" x14ac:dyDescent="0.3">
      <c r="A383" s="96" t="s">
        <v>27</v>
      </c>
      <c r="B383" s="97"/>
      <c r="C383" s="97"/>
      <c r="D383" s="97"/>
      <c r="E383" s="97"/>
      <c r="F383" s="97"/>
      <c r="G383" s="97"/>
      <c r="H383" s="36">
        <f>H379+H380+H381+H382</f>
        <v>2.08</v>
      </c>
      <c r="I383" s="74">
        <f>I379+I380+I381+I382</f>
        <v>187.20000000000002</v>
      </c>
      <c r="J383">
        <v>5</v>
      </c>
    </row>
    <row r="384" spans="1:19" x14ac:dyDescent="0.3">
      <c r="B384" s="2">
        <v>67</v>
      </c>
      <c r="C384" s="3" t="s">
        <v>456</v>
      </c>
      <c r="D384" s="5" t="s">
        <v>25</v>
      </c>
      <c r="G384" s="30">
        <v>120</v>
      </c>
      <c r="H384" s="38">
        <f>(1+IF(OR(ISERR(FIND(":",D385)),ISERR(FIND("%",D385))),0,MID(D385,FIND(":",D385)+2,FIND("%",D385)-FIND(":",D385)-2)/100))*0</f>
        <v>0</v>
      </c>
      <c r="I384" s="29">
        <f>G384*H384</f>
        <v>0</v>
      </c>
      <c r="J384">
        <v>1</v>
      </c>
    </row>
    <row r="385" spans="1:19" x14ac:dyDescent="0.3">
      <c r="D385" s="15" t="str">
        <f>SUBSTITUTE("Sp.mat: 0.00%",".",IF(VALUE("1.2")=1.2,".",","),2)</f>
        <v>Sp.mat: 0.00%</v>
      </c>
      <c r="F385" s="15" t="str">
        <f>SUBSTITUTE("Sp.man: 0.00%",".",IF(VALUE("1.2")=1.2,".",","),2)</f>
        <v>Sp.man: 0.00%</v>
      </c>
      <c r="G385" s="35" t="str">
        <f>SUBSTITUTE("Sp.uti: 0.00%",".",IF(VALUE("1.2")=1.2,".",","),2)</f>
        <v>Sp.uti: 0.00%</v>
      </c>
      <c r="H385" s="38">
        <v>2.4</v>
      </c>
      <c r="I385" s="29">
        <f>G384*H385</f>
        <v>288</v>
      </c>
      <c r="J385">
        <v>2</v>
      </c>
    </row>
    <row r="386" spans="1:19" x14ac:dyDescent="0.3">
      <c r="A386" s="88" t="s">
        <v>457</v>
      </c>
      <c r="B386" s="98"/>
      <c r="C386" s="98"/>
      <c r="D386" s="98"/>
      <c r="E386" s="98"/>
      <c r="F386" s="98"/>
      <c r="G386" s="98"/>
      <c r="H386" s="38">
        <v>0.45</v>
      </c>
      <c r="I386" s="29">
        <f>G384*H386</f>
        <v>54</v>
      </c>
      <c r="J386">
        <v>3</v>
      </c>
      <c r="K386" s="4">
        <v>0</v>
      </c>
      <c r="L386" s="4">
        <v>100.8</v>
      </c>
      <c r="M386" s="4">
        <f>I386-K386-L386</f>
        <v>-46.8</v>
      </c>
    </row>
    <row r="387" spans="1:19" x14ac:dyDescent="0.3">
      <c r="A387" s="98"/>
      <c r="B387" s="98"/>
      <c r="C387" s="98"/>
      <c r="D387" s="98"/>
      <c r="E387" s="98"/>
      <c r="F387" s="98"/>
      <c r="G387" s="98"/>
      <c r="H387" s="38">
        <f>0</f>
        <v>0</v>
      </c>
      <c r="I387" s="29">
        <f>G384*H387</f>
        <v>0</v>
      </c>
      <c r="J387">
        <v>4</v>
      </c>
      <c r="N387" s="4">
        <f>IF(ISERR(SEARCH("TRA* 82",C384)),IF(Q387+R387+S387=0,0,I387*(Q387/(Q387+R387+S387))),I387)</f>
        <v>0</v>
      </c>
      <c r="O387" s="4">
        <f>IF(ISERR(SEARCH("TRA* 82",C384)),IF(Q387+R387+S387=0,0,I387*(R387/(Q387+R387+S387))),0)</f>
        <v>0</v>
      </c>
      <c r="P387" s="4">
        <f>IF(ISERR(SEARCH("TRA* 82",C384)),I387-N387-O387,0)</f>
        <v>0</v>
      </c>
      <c r="Q387" s="4">
        <v>0</v>
      </c>
      <c r="R387" s="4">
        <v>0</v>
      </c>
      <c r="S387" s="4">
        <v>0</v>
      </c>
    </row>
    <row r="388" spans="1:19" x14ac:dyDescent="0.3">
      <c r="A388" s="96" t="s">
        <v>27</v>
      </c>
      <c r="B388" s="97"/>
      <c r="C388" s="97"/>
      <c r="D388" s="97"/>
      <c r="E388" s="97"/>
      <c r="F388" s="97"/>
      <c r="G388" s="97"/>
      <c r="H388" s="36">
        <f>H384+H385+H386+H387</f>
        <v>2.85</v>
      </c>
      <c r="I388" s="74">
        <f>I384+I385+I386+I387</f>
        <v>342</v>
      </c>
      <c r="J388">
        <v>5</v>
      </c>
    </row>
    <row r="389" spans="1:19" x14ac:dyDescent="0.3">
      <c r="B389" s="2">
        <v>68</v>
      </c>
      <c r="C389" s="3" t="s">
        <v>460</v>
      </c>
      <c r="D389" s="5" t="s">
        <v>25</v>
      </c>
      <c r="G389" s="30">
        <v>50</v>
      </c>
      <c r="H389" s="38">
        <f>(1+IF(OR(ISERR(FIND(":",D390)),ISERR(FIND("%",D390))),0,MID(D390,FIND(":",D390)+2,FIND("%",D390)-FIND(":",D390)-2)/100))*0</f>
        <v>0</v>
      </c>
      <c r="I389" s="29">
        <f>G389*H389</f>
        <v>0</v>
      </c>
      <c r="J389">
        <v>1</v>
      </c>
    </row>
    <row r="390" spans="1:19" x14ac:dyDescent="0.3">
      <c r="D390" s="15" t="str">
        <f>SUBSTITUTE("Sp.mat: 0.00%",".",IF(VALUE("1.2")=1.2,".",","),2)</f>
        <v>Sp.mat: 0.00%</v>
      </c>
      <c r="F390" s="15" t="str">
        <f>SUBSTITUTE("Sp.man: 0.00%",".",IF(VALUE("1.2")=1.2,".",","),2)</f>
        <v>Sp.man: 0.00%</v>
      </c>
      <c r="G390" s="35" t="str">
        <f>SUBSTITUTE("Sp.uti: 0.00%",".",IF(VALUE("1.2")=1.2,".",","),2)</f>
        <v>Sp.uti: 0.00%</v>
      </c>
      <c r="H390" s="38">
        <v>1.28</v>
      </c>
      <c r="I390" s="29">
        <f>G389*H390</f>
        <v>64</v>
      </c>
      <c r="J390">
        <v>2</v>
      </c>
    </row>
    <row r="391" spans="1:19" x14ac:dyDescent="0.3">
      <c r="A391" s="88" t="s">
        <v>461</v>
      </c>
      <c r="B391" s="98"/>
      <c r="C391" s="98"/>
      <c r="D391" s="98"/>
      <c r="E391" s="98"/>
      <c r="F391" s="98"/>
      <c r="G391" s="98"/>
      <c r="H391" s="38">
        <f>(1+IF(OR(ISERR(FIND(":",G390)),ISERR(FIND("%",G390))),0,MID(G390,FIND(":",G390)+2,FIND("%",G390)-FIND(":",G390)-2)/100))*0</f>
        <v>0</v>
      </c>
      <c r="I391" s="29">
        <f>G389*H391</f>
        <v>0</v>
      </c>
      <c r="J391">
        <v>3</v>
      </c>
      <c r="K391" s="4">
        <v>0</v>
      </c>
      <c r="L391" s="4">
        <v>0</v>
      </c>
      <c r="M391" s="4">
        <f>I391-K391-L391</f>
        <v>0</v>
      </c>
    </row>
    <row r="392" spans="1:19" x14ac:dyDescent="0.3">
      <c r="A392" s="98"/>
      <c r="B392" s="98"/>
      <c r="C392" s="98"/>
      <c r="D392" s="98"/>
      <c r="E392" s="98"/>
      <c r="F392" s="98"/>
      <c r="G392" s="98"/>
      <c r="H392" s="38">
        <f>0</f>
        <v>0</v>
      </c>
      <c r="I392" s="29">
        <f>G389*H392</f>
        <v>0</v>
      </c>
      <c r="J392">
        <v>4</v>
      </c>
      <c r="N392" s="4">
        <f>IF(ISERR(SEARCH("TRA* 82",C389)),IF(Q392+R392+S392=0,0,I392*(Q392/(Q392+R392+S392))),I392)</f>
        <v>0</v>
      </c>
      <c r="O392" s="4">
        <f>IF(ISERR(SEARCH("TRA* 82",C389)),IF(Q392+R392+S392=0,0,I392*(R392/(Q392+R392+S392))),0)</f>
        <v>0</v>
      </c>
      <c r="P392" s="4">
        <f>IF(ISERR(SEARCH("TRA* 82",C389)),I392-N392-O392,0)</f>
        <v>0</v>
      </c>
      <c r="Q392" s="4">
        <v>0</v>
      </c>
      <c r="R392" s="4">
        <v>0</v>
      </c>
      <c r="S392" s="4">
        <v>0</v>
      </c>
    </row>
    <row r="393" spans="1:19" x14ac:dyDescent="0.3">
      <c r="A393" s="96" t="s">
        <v>27</v>
      </c>
      <c r="B393" s="97"/>
      <c r="C393" s="97"/>
      <c r="D393" s="97"/>
      <c r="E393" s="97"/>
      <c r="F393" s="97"/>
      <c r="G393" s="97"/>
      <c r="H393" s="36">
        <f>H389+H390+H391+H392</f>
        <v>1.28</v>
      </c>
      <c r="I393" s="74">
        <f>I389+I390+I391+I392</f>
        <v>64</v>
      </c>
      <c r="J393">
        <v>5</v>
      </c>
    </row>
    <row r="394" spans="1:19" x14ac:dyDescent="0.3">
      <c r="B394" s="2">
        <v>69</v>
      </c>
      <c r="C394" s="3" t="s">
        <v>462</v>
      </c>
      <c r="D394" s="5" t="s">
        <v>25</v>
      </c>
      <c r="G394" s="30">
        <v>90</v>
      </c>
      <c r="H394" s="38">
        <f>(1+IF(OR(ISERR(FIND(":",D395)),ISERR(FIND("%",D395))),0,MID(D395,FIND(":",D395)+2,FIND("%",D395)-FIND(":",D395)-2)/100))*0</f>
        <v>0</v>
      </c>
      <c r="I394" s="29">
        <f>G394*H394</f>
        <v>0</v>
      </c>
      <c r="J394">
        <v>1</v>
      </c>
    </row>
    <row r="395" spans="1:19" x14ac:dyDescent="0.3">
      <c r="D395" s="15" t="str">
        <f>SUBSTITUTE("Sp.mat: 0.00%",".",IF(VALUE("1.2")=1.2,".",","),2)</f>
        <v>Sp.mat: 0.00%</v>
      </c>
      <c r="F395" s="15" t="str">
        <f>SUBSTITUTE("Sp.man: 0.00%",".",IF(VALUE("1.2")=1.2,".",","),2)</f>
        <v>Sp.man: 0.00%</v>
      </c>
      <c r="G395" s="35" t="str">
        <f>SUBSTITUTE("Sp.uti: 0.00%",".",IF(VALUE("1.2")=1.2,".",","),2)</f>
        <v>Sp.uti: 0.00%</v>
      </c>
      <c r="H395" s="38">
        <v>1.6</v>
      </c>
      <c r="I395" s="29">
        <f>G394*H395</f>
        <v>144</v>
      </c>
      <c r="J395">
        <v>2</v>
      </c>
    </row>
    <row r="396" spans="1:19" x14ac:dyDescent="0.3">
      <c r="A396" s="88" t="s">
        <v>463</v>
      </c>
      <c r="B396" s="98"/>
      <c r="C396" s="98"/>
      <c r="D396" s="98"/>
      <c r="E396" s="98"/>
      <c r="F396" s="98"/>
      <c r="G396" s="98"/>
      <c r="H396" s="38">
        <f>(1+IF(OR(ISERR(FIND(":",G395)),ISERR(FIND("%",G395))),0,MID(G395,FIND(":",G395)+2,FIND("%",G395)-FIND(":",G395)-2)/100))*0</f>
        <v>0</v>
      </c>
      <c r="I396" s="29">
        <f>G394*H396</f>
        <v>0</v>
      </c>
      <c r="J396">
        <v>3</v>
      </c>
      <c r="K396" s="4">
        <v>0</v>
      </c>
      <c r="L396" s="4">
        <v>0</v>
      </c>
      <c r="M396" s="4">
        <f>I396-K396-L396</f>
        <v>0</v>
      </c>
    </row>
    <row r="397" spans="1:19" x14ac:dyDescent="0.3">
      <c r="A397" s="98"/>
      <c r="B397" s="98"/>
      <c r="C397" s="98"/>
      <c r="D397" s="98"/>
      <c r="E397" s="98"/>
      <c r="F397" s="98"/>
      <c r="G397" s="98"/>
      <c r="H397" s="38">
        <f>0</f>
        <v>0</v>
      </c>
      <c r="I397" s="29">
        <f>G394*H397</f>
        <v>0</v>
      </c>
      <c r="J397">
        <v>4</v>
      </c>
      <c r="N397" s="4">
        <f>IF(ISERR(SEARCH("TRA* 82",C394)),IF(Q397+R397+S397=0,0,I397*(Q397/(Q397+R397+S397))),I397)</f>
        <v>0</v>
      </c>
      <c r="O397" s="4">
        <f>IF(ISERR(SEARCH("TRA* 82",C394)),IF(Q397+R397+S397=0,0,I397*(R397/(Q397+R397+S397))),0)</f>
        <v>0</v>
      </c>
      <c r="P397" s="4">
        <f>IF(ISERR(SEARCH("TRA* 82",C394)),I397-N397-O397,0)</f>
        <v>0</v>
      </c>
      <c r="Q397" s="4">
        <v>0</v>
      </c>
      <c r="R397" s="4">
        <v>0</v>
      </c>
      <c r="S397" s="4">
        <v>0</v>
      </c>
    </row>
    <row r="398" spans="1:19" x14ac:dyDescent="0.3">
      <c r="A398" s="96" t="s">
        <v>27</v>
      </c>
      <c r="B398" s="97"/>
      <c r="C398" s="97"/>
      <c r="D398" s="97"/>
      <c r="E398" s="97"/>
      <c r="F398" s="97"/>
      <c r="G398" s="97"/>
      <c r="H398" s="36">
        <f>H394+H395+H396+H397</f>
        <v>1.6</v>
      </c>
      <c r="I398" s="74">
        <f>I394+I395+I396+I397</f>
        <v>144</v>
      </c>
      <c r="J398">
        <v>5</v>
      </c>
    </row>
    <row r="399" spans="1:19" x14ac:dyDescent="0.3">
      <c r="B399" s="2">
        <v>70</v>
      </c>
      <c r="C399" s="3" t="s">
        <v>466</v>
      </c>
      <c r="D399" s="5" t="s">
        <v>25</v>
      </c>
      <c r="G399" s="30">
        <v>120</v>
      </c>
      <c r="H399" s="38">
        <f>(1+IF(OR(ISERR(FIND(":",D400)),ISERR(FIND("%",D400))),0,MID(D400,FIND(":",D400)+2,FIND("%",D400)-FIND(":",D400)-2)/100))*0</f>
        <v>0</v>
      </c>
      <c r="I399" s="29">
        <f>G399*H399</f>
        <v>0</v>
      </c>
      <c r="J399">
        <v>1</v>
      </c>
    </row>
    <row r="400" spans="1:19" x14ac:dyDescent="0.3">
      <c r="D400" s="15" t="str">
        <f>SUBSTITUTE("Sp.mat: 0.00%",".",IF(VALUE("1.2")=1.2,".",","),2)</f>
        <v>Sp.mat: 0.00%</v>
      </c>
      <c r="F400" s="15" t="str">
        <f>SUBSTITUTE("Sp.man: 0.00%",".",IF(VALUE("1.2")=1.2,".",","),2)</f>
        <v>Sp.man: 0.00%</v>
      </c>
      <c r="G400" s="35" t="str">
        <f>SUBSTITUTE("Sp.uti: 0.00%",".",IF(VALUE("1.2")=1.2,".",","),2)</f>
        <v>Sp.uti: 0.00%</v>
      </c>
      <c r="H400" s="38">
        <v>2.2400000000000002</v>
      </c>
      <c r="I400" s="29">
        <f>G399*H400</f>
        <v>268.8</v>
      </c>
      <c r="J400">
        <v>2</v>
      </c>
    </row>
    <row r="401" spans="1:19" x14ac:dyDescent="0.3">
      <c r="A401" s="88" t="s">
        <v>467</v>
      </c>
      <c r="B401" s="98"/>
      <c r="C401" s="98"/>
      <c r="D401" s="98"/>
      <c r="E401" s="98"/>
      <c r="F401" s="98"/>
      <c r="G401" s="98"/>
      <c r="H401" s="38">
        <f>(1+IF(OR(ISERR(FIND(":",G400)),ISERR(FIND("%",G400))),0,MID(G400,FIND(":",G400)+2,FIND("%",G400)-FIND(":",G400)-2)/100))*0</f>
        <v>0</v>
      </c>
      <c r="I401" s="29">
        <f>G399*H401</f>
        <v>0</v>
      </c>
      <c r="J401">
        <v>3</v>
      </c>
      <c r="K401" s="4">
        <v>0</v>
      </c>
      <c r="L401" s="4">
        <v>0</v>
      </c>
      <c r="M401" s="4">
        <f>I401-K401-L401</f>
        <v>0</v>
      </c>
    </row>
    <row r="402" spans="1:19" x14ac:dyDescent="0.3">
      <c r="A402" s="98"/>
      <c r="B402" s="98"/>
      <c r="C402" s="98"/>
      <c r="D402" s="98"/>
      <c r="E402" s="98"/>
      <c r="F402" s="98"/>
      <c r="G402" s="98"/>
      <c r="H402" s="38">
        <f>0</f>
        <v>0</v>
      </c>
      <c r="I402" s="29">
        <f>G399*H402</f>
        <v>0</v>
      </c>
      <c r="J402">
        <v>4</v>
      </c>
      <c r="N402" s="4">
        <f>IF(ISERR(SEARCH("TRA* 82",C399)),IF(Q402+R402+S402=0,0,I402*(Q402/(Q402+R402+S402))),I402)</f>
        <v>0</v>
      </c>
      <c r="O402" s="4">
        <f>IF(ISERR(SEARCH("TRA* 82",C399)),IF(Q402+R402+S402=0,0,I402*(R402/(Q402+R402+S402))),0)</f>
        <v>0</v>
      </c>
      <c r="P402" s="4">
        <f>IF(ISERR(SEARCH("TRA* 82",C399)),I402-N402-O402,0)</f>
        <v>0</v>
      </c>
      <c r="Q402" s="4">
        <v>0</v>
      </c>
      <c r="R402" s="4">
        <v>0</v>
      </c>
      <c r="S402" s="4">
        <v>0</v>
      </c>
    </row>
    <row r="403" spans="1:19" x14ac:dyDescent="0.3">
      <c r="A403" s="96" t="s">
        <v>27</v>
      </c>
      <c r="B403" s="97"/>
      <c r="C403" s="97"/>
      <c r="D403" s="97"/>
      <c r="E403" s="97"/>
      <c r="F403" s="97"/>
      <c r="G403" s="97"/>
      <c r="H403" s="36">
        <f>H399+H400+H401+H402</f>
        <v>2.2400000000000002</v>
      </c>
      <c r="I403" s="74">
        <f>I399+I400+I401+I402</f>
        <v>268.8</v>
      </c>
      <c r="J403">
        <v>5</v>
      </c>
    </row>
    <row r="404" spans="1:19" x14ac:dyDescent="0.3">
      <c r="B404" s="2">
        <v>71</v>
      </c>
      <c r="C404" s="3" t="s">
        <v>470</v>
      </c>
      <c r="D404" s="5" t="s">
        <v>40</v>
      </c>
      <c r="G404" s="30">
        <v>60</v>
      </c>
      <c r="H404" s="38">
        <v>5.04</v>
      </c>
      <c r="I404" s="29">
        <f>G404*H404</f>
        <v>302.39999999999998</v>
      </c>
      <c r="J404">
        <v>1</v>
      </c>
    </row>
    <row r="405" spans="1:19" x14ac:dyDescent="0.3">
      <c r="D405" s="15" t="str">
        <f>SUBSTITUTE("Sp.mat: 0.00%",".",IF(VALUE("1.2")=1.2,".",","),2)</f>
        <v>Sp.mat: 0.00%</v>
      </c>
      <c r="F405" s="15" t="str">
        <f>SUBSTITUTE("Sp.man: 0.00%",".",IF(VALUE("1.2")=1.2,".",","),2)</f>
        <v>Sp.man: 0.00%</v>
      </c>
      <c r="G405" s="35" t="str">
        <f>SUBSTITUTE("Sp.uti: 0.00%",".",IF(VALUE("1.2")=1.2,".",","),2)</f>
        <v>Sp.uti: 0.00%</v>
      </c>
      <c r="H405" s="38">
        <v>8.81</v>
      </c>
      <c r="I405" s="29">
        <f>G404*H405</f>
        <v>528.6</v>
      </c>
      <c r="J405">
        <v>2</v>
      </c>
    </row>
    <row r="406" spans="1:19" x14ac:dyDescent="0.3">
      <c r="A406" s="88" t="s">
        <v>471</v>
      </c>
      <c r="B406" s="98"/>
      <c r="C406" s="98"/>
      <c r="D406" s="98"/>
      <c r="E406" s="98"/>
      <c r="F406" s="98"/>
      <c r="G406" s="98"/>
      <c r="H406" s="38">
        <v>0.03</v>
      </c>
      <c r="I406" s="29">
        <f>G404*H406</f>
        <v>1.7999999999999998</v>
      </c>
      <c r="J406">
        <v>3</v>
      </c>
      <c r="K406" s="4">
        <v>0</v>
      </c>
      <c r="L406" s="4">
        <v>0</v>
      </c>
      <c r="M406" s="4">
        <f>I406-K406-L406</f>
        <v>1.7999999999999998</v>
      </c>
    </row>
    <row r="407" spans="1:19" x14ac:dyDescent="0.3">
      <c r="A407" s="98"/>
      <c r="B407" s="98"/>
      <c r="C407" s="98"/>
      <c r="D407" s="98"/>
      <c r="E407" s="98"/>
      <c r="F407" s="98"/>
      <c r="G407" s="98"/>
      <c r="H407" s="38">
        <f>0</f>
        <v>0</v>
      </c>
      <c r="I407" s="29">
        <f>G404*H407</f>
        <v>0</v>
      </c>
      <c r="J407">
        <v>4</v>
      </c>
      <c r="N407" s="4">
        <f>IF(ISERR(SEARCH("TRA* 82",C404)),IF(Q407+R407+S407=0,0,I407*(Q407/(Q407+R407+S407))),I407)</f>
        <v>0</v>
      </c>
      <c r="O407" s="4">
        <f>IF(ISERR(SEARCH("TRA* 82",C404)),IF(Q407+R407+S407=0,0,I407*(R407/(Q407+R407+S407))),0)</f>
        <v>0</v>
      </c>
      <c r="P407" s="4">
        <f>IF(ISERR(SEARCH("TRA* 82",C404)),I407-N407-O407,0)</f>
        <v>0</v>
      </c>
      <c r="Q407" s="4">
        <v>0</v>
      </c>
      <c r="R407" s="4">
        <v>0</v>
      </c>
      <c r="S407" s="4">
        <v>0</v>
      </c>
    </row>
    <row r="408" spans="1:19" x14ac:dyDescent="0.3">
      <c r="A408" s="96" t="s">
        <v>27</v>
      </c>
      <c r="B408" s="97"/>
      <c r="C408" s="97"/>
      <c r="D408" s="97"/>
      <c r="E408" s="97"/>
      <c r="F408" s="97"/>
      <c r="G408" s="97"/>
      <c r="H408" s="36">
        <f>H404+H405+H406+H407</f>
        <v>13.88</v>
      </c>
      <c r="I408" s="74">
        <f>I404+I405+I406+I407</f>
        <v>832.8</v>
      </c>
      <c r="J408">
        <v>5</v>
      </c>
    </row>
    <row r="409" spans="1:19" x14ac:dyDescent="0.3">
      <c r="B409" s="2">
        <v>72</v>
      </c>
      <c r="C409" s="3" t="s">
        <v>472</v>
      </c>
      <c r="D409" s="5" t="s">
        <v>40</v>
      </c>
      <c r="G409" s="30">
        <v>60</v>
      </c>
      <c r="H409" s="38">
        <v>0</v>
      </c>
      <c r="I409" s="29">
        <f>G409*H409</f>
        <v>0</v>
      </c>
      <c r="J409">
        <v>1</v>
      </c>
    </row>
    <row r="410" spans="1:19" x14ac:dyDescent="0.3">
      <c r="D410" s="15" t="str">
        <f>SUBSTITUTE("Sp.mat: 0.00%",".",IF(VALUE("1.2")=1.2,".",","),2)</f>
        <v>Sp.mat: 0.00%</v>
      </c>
      <c r="F410" s="15" t="str">
        <f>SUBSTITUTE("Sp.man: 0.00%",".",IF(VALUE("1.2")=1.2,".",","),2)</f>
        <v>Sp.man: 0.00%</v>
      </c>
      <c r="G410" s="35" t="str">
        <f>SUBSTITUTE("Sp.uti: 0.00%",".",IF(VALUE("1.2")=1.2,".",","),2)</f>
        <v>Sp.uti: 0.00%</v>
      </c>
      <c r="H410" s="38">
        <v>5.29</v>
      </c>
      <c r="I410" s="29">
        <f>G409*H410</f>
        <v>317.39999999999998</v>
      </c>
      <c r="J410">
        <v>2</v>
      </c>
    </row>
    <row r="411" spans="1:19" x14ac:dyDescent="0.3">
      <c r="A411" s="88" t="s">
        <v>937</v>
      </c>
      <c r="B411" s="98"/>
      <c r="C411" s="98"/>
      <c r="D411" s="98"/>
      <c r="E411" s="98"/>
      <c r="F411" s="98"/>
      <c r="G411" s="98"/>
      <c r="H411" s="38">
        <v>1.6</v>
      </c>
      <c r="I411" s="29">
        <f>G409*H411</f>
        <v>96</v>
      </c>
      <c r="J411">
        <v>3</v>
      </c>
      <c r="K411" s="4">
        <v>0</v>
      </c>
      <c r="L411" s="4">
        <v>180</v>
      </c>
      <c r="M411" s="4">
        <f>I411-K411-L411</f>
        <v>-84</v>
      </c>
    </row>
    <row r="412" spans="1:19" x14ac:dyDescent="0.3">
      <c r="A412" s="98"/>
      <c r="B412" s="98"/>
      <c r="C412" s="98"/>
      <c r="D412" s="98"/>
      <c r="E412" s="98"/>
      <c r="F412" s="98"/>
      <c r="G412" s="98"/>
      <c r="H412" s="38">
        <f>0</f>
        <v>0</v>
      </c>
      <c r="I412" s="29">
        <f>G409*H412</f>
        <v>0</v>
      </c>
      <c r="J412">
        <v>4</v>
      </c>
      <c r="N412" s="4">
        <f>IF(ISERR(SEARCH("TRA* 82",C409)),IF(Q412+R412+S412=0,0,I412*(Q412/(Q412+R412+S412))),I412)</f>
        <v>0</v>
      </c>
      <c r="O412" s="4">
        <f>IF(ISERR(SEARCH("TRA* 82",C409)),IF(Q412+R412+S412=0,0,I412*(R412/(Q412+R412+S412))),0)</f>
        <v>0</v>
      </c>
      <c r="P412" s="4">
        <f>IF(ISERR(SEARCH("TRA* 82",C409)),I412-N412-O412,0)</f>
        <v>0</v>
      </c>
      <c r="Q412" s="4">
        <v>0</v>
      </c>
      <c r="R412" s="4">
        <v>0</v>
      </c>
      <c r="S412" s="4">
        <v>0</v>
      </c>
    </row>
    <row r="413" spans="1:19" x14ac:dyDescent="0.3">
      <c r="A413" s="96" t="s">
        <v>27</v>
      </c>
      <c r="B413" s="97"/>
      <c r="C413" s="97"/>
      <c r="D413" s="97"/>
      <c r="E413" s="97"/>
      <c r="F413" s="97"/>
      <c r="G413" s="97"/>
      <c r="H413" s="36">
        <f>H409+H410+H411+H412</f>
        <v>6.8900000000000006</v>
      </c>
      <c r="I413" s="74">
        <f>I409+I410+I411+I412</f>
        <v>413.4</v>
      </c>
      <c r="J413">
        <v>5</v>
      </c>
    </row>
    <row r="414" spans="1:19" x14ac:dyDescent="0.3">
      <c r="B414" s="2">
        <v>73</v>
      </c>
      <c r="C414" s="3" t="s">
        <v>474</v>
      </c>
      <c r="D414" s="5" t="s">
        <v>29</v>
      </c>
      <c r="G414" s="30">
        <v>16</v>
      </c>
      <c r="H414" s="38">
        <f>(1+IF(OR(ISERR(FIND(":",D415)),ISERR(FIND("%",D415))),0,MID(D415,FIND(":",D415)+2,FIND("%",D415)-FIND(":",D415)-2)/100))*0</f>
        <v>0</v>
      </c>
      <c r="I414" s="29">
        <f>G414*H414</f>
        <v>0</v>
      </c>
      <c r="J414">
        <v>1</v>
      </c>
    </row>
    <row r="415" spans="1:19" x14ac:dyDescent="0.3">
      <c r="D415" s="15" t="str">
        <f>SUBSTITUTE("Sp.mat: 0.00%",".",IF(VALUE("1.2")=1.2,".",","),2)</f>
        <v>Sp.mat: 0.00%</v>
      </c>
      <c r="F415" s="15" t="str">
        <f>SUBSTITUTE("Sp.man: 0.00%",".",IF(VALUE("1.2")=1.2,".",","),2)</f>
        <v>Sp.man: 0.00%</v>
      </c>
      <c r="G415" s="35" t="str">
        <f>SUBSTITUTE("Sp.uti: 0.00%",".",IF(VALUE("1.2")=1.2,".",","),2)</f>
        <v>Sp.uti: 0.00%</v>
      </c>
      <c r="H415" s="38">
        <v>38.44</v>
      </c>
      <c r="I415" s="29">
        <f>G414*H415</f>
        <v>615.04</v>
      </c>
      <c r="J415">
        <v>2</v>
      </c>
    </row>
    <row r="416" spans="1:19" x14ac:dyDescent="0.3">
      <c r="A416" s="88" t="s">
        <v>475</v>
      </c>
      <c r="B416" s="98"/>
      <c r="C416" s="98"/>
      <c r="D416" s="98"/>
      <c r="E416" s="98"/>
      <c r="F416" s="98"/>
      <c r="G416" s="98"/>
      <c r="H416" s="38">
        <v>19.22</v>
      </c>
      <c r="I416" s="29">
        <f>G414*H416</f>
        <v>307.52</v>
      </c>
      <c r="J416">
        <v>3</v>
      </c>
      <c r="K416" s="4">
        <v>576</v>
      </c>
      <c r="L416" s="4">
        <v>0</v>
      </c>
      <c r="M416" s="4">
        <f>I416-K416-L416</f>
        <v>-268.48</v>
      </c>
    </row>
    <row r="417" spans="1:19" x14ac:dyDescent="0.3">
      <c r="A417" s="98"/>
      <c r="B417" s="98"/>
      <c r="C417" s="98"/>
      <c r="D417" s="98"/>
      <c r="E417" s="98"/>
      <c r="F417" s="98"/>
      <c r="G417" s="98"/>
      <c r="H417" s="38">
        <f>0</f>
        <v>0</v>
      </c>
      <c r="I417" s="29">
        <f>G414*H417</f>
        <v>0</v>
      </c>
      <c r="J417">
        <v>4</v>
      </c>
      <c r="N417" s="4">
        <f>IF(ISERR(SEARCH("TRA* 82",C414)),IF(Q417+R417+S417=0,0,I417*(Q417/(Q417+R417+S417))),I417)</f>
        <v>0</v>
      </c>
      <c r="O417" s="4">
        <f>IF(ISERR(SEARCH("TRA* 82",C414)),IF(Q417+R417+S417=0,0,I417*(R417/(Q417+R417+S417))),0)</f>
        <v>0</v>
      </c>
      <c r="P417" s="4">
        <f>IF(ISERR(SEARCH("TRA* 82",C414)),I417-N417-O417,0)</f>
        <v>0</v>
      </c>
      <c r="Q417" s="4">
        <v>0</v>
      </c>
      <c r="R417" s="4">
        <v>0</v>
      </c>
      <c r="S417" s="4">
        <v>0</v>
      </c>
    </row>
    <row r="418" spans="1:19" x14ac:dyDescent="0.3">
      <c r="A418" s="96" t="s">
        <v>476</v>
      </c>
      <c r="B418" s="97"/>
      <c r="C418" s="97"/>
      <c r="D418" s="97"/>
      <c r="E418" s="97"/>
      <c r="F418" s="97"/>
      <c r="G418" s="97"/>
      <c r="H418" s="36">
        <f>H414+H415+H416+H417</f>
        <v>57.66</v>
      </c>
      <c r="I418" s="74">
        <f>I414+I415+I416+I417</f>
        <v>922.56</v>
      </c>
      <c r="J418">
        <v>5</v>
      </c>
    </row>
    <row r="419" spans="1:19" x14ac:dyDescent="0.3">
      <c r="B419" s="16"/>
      <c r="E419" s="4">
        <f>SUMIF(J12:J418,"1",I12:I418)</f>
        <v>54911.540000000008</v>
      </c>
      <c r="F419" s="4">
        <f>SUMIF(J12:J418,"2",I12:I418)</f>
        <v>14240.159999999996</v>
      </c>
      <c r="G419" s="29">
        <f>SUMIF(J12:J418,"3",I12:I418)</f>
        <v>5615.66</v>
      </c>
      <c r="H419" s="29">
        <f>SUMIF(J12:J418,"4",I12:I418)</f>
        <v>0</v>
      </c>
      <c r="I419" s="29">
        <f>SUMIF(J12:J418,"5",I12:I418)</f>
        <v>74767.359999999957</v>
      </c>
      <c r="K419" s="4">
        <f>SUMIF(J12:J418,"3",K12:K418)</f>
        <v>10138.5</v>
      </c>
      <c r="L419" s="4">
        <f>SUMIF(J12:J418,"3",L12:L418)</f>
        <v>375.6</v>
      </c>
      <c r="M419" s="4">
        <f>SUMIF(J12:J418,"3",M12:M418)</f>
        <v>-4898.4400000000005</v>
      </c>
      <c r="N419" s="4">
        <f>SUMIF(J12:J418,"4",N12:N418)</f>
        <v>0</v>
      </c>
      <c r="O419" s="4">
        <f>SUMIF(J12:J418,"4",O12:O418)</f>
        <v>0</v>
      </c>
      <c r="P419" s="4">
        <f>SUMIF(J12:J418,"4",P12:P418)</f>
        <v>0</v>
      </c>
      <c r="Q419" s="4">
        <f>SUMIF(J12:J418,"4",Q12:Q418)</f>
        <v>0</v>
      </c>
      <c r="R419" s="4">
        <f>SUMIF(J12:J418,"4",R12:R418)</f>
        <v>0</v>
      </c>
      <c r="S419" s="4">
        <f>SUMIF(J12:J418,"4",S12:S418)</f>
        <v>0</v>
      </c>
    </row>
    <row r="420" spans="1:19" x14ac:dyDescent="0.3">
      <c r="B420" s="107" t="s">
        <v>1556</v>
      </c>
      <c r="C420" s="108"/>
      <c r="D420" s="26"/>
      <c r="E420" s="26"/>
      <c r="F420" s="26"/>
      <c r="G420" s="109"/>
      <c r="H420" s="36"/>
      <c r="I420" s="110">
        <f>I419</f>
        <v>74767.359999999957</v>
      </c>
    </row>
  </sheetData>
  <mergeCells count="193">
    <mergeCell ref="A16:G16"/>
    <mergeCell ref="A19:G20"/>
    <mergeCell ref="A21:G21"/>
    <mergeCell ref="A24:G25"/>
    <mergeCell ref="A26:G26"/>
    <mergeCell ref="A29:G30"/>
    <mergeCell ref="A1:D1"/>
    <mergeCell ref="A2:I2"/>
    <mergeCell ref="A3:I3"/>
    <mergeCell ref="A4:I4"/>
    <mergeCell ref="A5:H5"/>
    <mergeCell ref="A14:G15"/>
    <mergeCell ref="A46:G46"/>
    <mergeCell ref="A49:G50"/>
    <mergeCell ref="A51:G51"/>
    <mergeCell ref="A54:G55"/>
    <mergeCell ref="A56:G56"/>
    <mergeCell ref="A59:G60"/>
    <mergeCell ref="A31:G31"/>
    <mergeCell ref="A34:G35"/>
    <mergeCell ref="A36:G36"/>
    <mergeCell ref="A39:G40"/>
    <mergeCell ref="A41:G41"/>
    <mergeCell ref="A44:G45"/>
    <mergeCell ref="A72:G73"/>
    <mergeCell ref="A74:G74"/>
    <mergeCell ref="A77:G78"/>
    <mergeCell ref="A79:G79"/>
    <mergeCell ref="A82:G83"/>
    <mergeCell ref="A84:G84"/>
    <mergeCell ref="A61:G61"/>
    <mergeCell ref="A62:I62"/>
    <mergeCell ref="A63:I63"/>
    <mergeCell ref="A64:I64"/>
    <mergeCell ref="A67:G68"/>
    <mergeCell ref="A69:G69"/>
    <mergeCell ref="A97:I97"/>
    <mergeCell ref="A100:G101"/>
    <mergeCell ref="A102:G102"/>
    <mergeCell ref="A103:I103"/>
    <mergeCell ref="A106:G107"/>
    <mergeCell ref="A108:G108"/>
    <mergeCell ref="A85:I85"/>
    <mergeCell ref="A88:G89"/>
    <mergeCell ref="A90:G90"/>
    <mergeCell ref="A91:I91"/>
    <mergeCell ref="A94:G95"/>
    <mergeCell ref="A96:G96"/>
    <mergeCell ref="A121:I121"/>
    <mergeCell ref="A124:G125"/>
    <mergeCell ref="A126:G126"/>
    <mergeCell ref="A127:I127"/>
    <mergeCell ref="A130:G131"/>
    <mergeCell ref="A132:G132"/>
    <mergeCell ref="A109:I109"/>
    <mergeCell ref="A112:G113"/>
    <mergeCell ref="A114:G114"/>
    <mergeCell ref="A115:I115"/>
    <mergeCell ref="A118:G119"/>
    <mergeCell ref="A120:G120"/>
    <mergeCell ref="A147:G148"/>
    <mergeCell ref="A149:G149"/>
    <mergeCell ref="A152:G153"/>
    <mergeCell ref="A154:G154"/>
    <mergeCell ref="A157:G158"/>
    <mergeCell ref="A159:G159"/>
    <mergeCell ref="A133:I133"/>
    <mergeCell ref="A136:G137"/>
    <mergeCell ref="A138:G138"/>
    <mergeCell ref="A139:I139"/>
    <mergeCell ref="A142:G143"/>
    <mergeCell ref="A144:G144"/>
    <mergeCell ref="A177:G178"/>
    <mergeCell ref="A179:G179"/>
    <mergeCell ref="A182:G183"/>
    <mergeCell ref="A184:G184"/>
    <mergeCell ref="A185:I185"/>
    <mergeCell ref="A188:G189"/>
    <mergeCell ref="A162:G163"/>
    <mergeCell ref="A164:G164"/>
    <mergeCell ref="A167:G168"/>
    <mergeCell ref="A169:G169"/>
    <mergeCell ref="A172:G173"/>
    <mergeCell ref="A174:G174"/>
    <mergeCell ref="A202:G202"/>
    <mergeCell ref="A203:I203"/>
    <mergeCell ref="A206:G207"/>
    <mergeCell ref="A208:G208"/>
    <mergeCell ref="A211:G212"/>
    <mergeCell ref="A213:G213"/>
    <mergeCell ref="A190:G190"/>
    <mergeCell ref="A191:I191"/>
    <mergeCell ref="A194:G195"/>
    <mergeCell ref="A196:G196"/>
    <mergeCell ref="A197:I197"/>
    <mergeCell ref="A200:G201"/>
    <mergeCell ref="A231:G232"/>
    <mergeCell ref="A233:G233"/>
    <mergeCell ref="A236:G237"/>
    <mergeCell ref="A238:G238"/>
    <mergeCell ref="A239:I239"/>
    <mergeCell ref="A240:I240"/>
    <mergeCell ref="A216:G217"/>
    <mergeCell ref="A218:G218"/>
    <mergeCell ref="A221:G222"/>
    <mergeCell ref="A223:G223"/>
    <mergeCell ref="A226:G227"/>
    <mergeCell ref="A228:G228"/>
    <mergeCell ref="A253:I253"/>
    <mergeCell ref="A254:I254"/>
    <mergeCell ref="A257:G258"/>
    <mergeCell ref="A259:G259"/>
    <mergeCell ref="A260:I260"/>
    <mergeCell ref="A261:I261"/>
    <mergeCell ref="A243:G244"/>
    <mergeCell ref="A245:G245"/>
    <mergeCell ref="A246:I246"/>
    <mergeCell ref="A247:I247"/>
    <mergeCell ref="A250:G251"/>
    <mergeCell ref="A252:G252"/>
    <mergeCell ref="A274:I274"/>
    <mergeCell ref="A275:I275"/>
    <mergeCell ref="A278:G279"/>
    <mergeCell ref="A280:G280"/>
    <mergeCell ref="A281:I281"/>
    <mergeCell ref="A282:I282"/>
    <mergeCell ref="A264:G265"/>
    <mergeCell ref="A266:G266"/>
    <mergeCell ref="A267:I267"/>
    <mergeCell ref="A268:I268"/>
    <mergeCell ref="A271:G272"/>
    <mergeCell ref="A273:G273"/>
    <mergeCell ref="A295:I295"/>
    <mergeCell ref="A296:I296"/>
    <mergeCell ref="A299:G300"/>
    <mergeCell ref="A301:G301"/>
    <mergeCell ref="A302:I302"/>
    <mergeCell ref="A305:G306"/>
    <mergeCell ref="A285:G286"/>
    <mergeCell ref="A287:G287"/>
    <mergeCell ref="A288:I288"/>
    <mergeCell ref="A289:I289"/>
    <mergeCell ref="A292:G293"/>
    <mergeCell ref="A294:G294"/>
    <mergeCell ref="A322:G322"/>
    <mergeCell ref="A325:G326"/>
    <mergeCell ref="A327:G327"/>
    <mergeCell ref="A330:G331"/>
    <mergeCell ref="A332:G332"/>
    <mergeCell ref="A335:G336"/>
    <mergeCell ref="A307:G307"/>
    <mergeCell ref="A310:G311"/>
    <mergeCell ref="A312:G312"/>
    <mergeCell ref="A315:G316"/>
    <mergeCell ref="A317:G317"/>
    <mergeCell ref="A320:G321"/>
    <mergeCell ref="A352:G352"/>
    <mergeCell ref="A353:I353"/>
    <mergeCell ref="A354:I354"/>
    <mergeCell ref="A355:I355"/>
    <mergeCell ref="A358:G359"/>
    <mergeCell ref="A360:G360"/>
    <mergeCell ref="A337:G337"/>
    <mergeCell ref="A340:G341"/>
    <mergeCell ref="A342:G342"/>
    <mergeCell ref="A345:G346"/>
    <mergeCell ref="A347:G347"/>
    <mergeCell ref="A350:G351"/>
    <mergeCell ref="A373:I373"/>
    <mergeCell ref="A376:G377"/>
    <mergeCell ref="A378:G378"/>
    <mergeCell ref="A381:G382"/>
    <mergeCell ref="A383:G383"/>
    <mergeCell ref="A386:G387"/>
    <mergeCell ref="A361:I361"/>
    <mergeCell ref="A364:G365"/>
    <mergeCell ref="A366:G366"/>
    <mergeCell ref="A367:I367"/>
    <mergeCell ref="A370:G371"/>
    <mergeCell ref="A372:G372"/>
    <mergeCell ref="A418:G418"/>
    <mergeCell ref="A403:G403"/>
    <mergeCell ref="A406:G407"/>
    <mergeCell ref="A408:G408"/>
    <mergeCell ref="A411:G412"/>
    <mergeCell ref="A413:G413"/>
    <mergeCell ref="A416:G417"/>
    <mergeCell ref="A388:G388"/>
    <mergeCell ref="A391:G392"/>
    <mergeCell ref="A393:G393"/>
    <mergeCell ref="A396:G397"/>
    <mergeCell ref="A398:G398"/>
    <mergeCell ref="A401:G402"/>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20" manualBreakCount="20">
    <brk id="46" max="16383" man="1"/>
    <brk id="91" max="16383" man="1"/>
    <brk id="133" max="16383" man="1"/>
    <brk id="174" max="16383" man="1"/>
    <brk id="218" max="16383" man="1"/>
    <brk id="261" max="16383" man="1"/>
    <brk id="302" max="16383" man="1"/>
    <brk id="355" max="16383" man="1"/>
    <brk id="361" max="16383" man="1"/>
    <brk id="367" max="16383" man="1"/>
    <brk id="373" max="16383" man="1"/>
    <brk id="378" max="16383" man="1"/>
    <brk id="383" max="16383" man="1"/>
    <brk id="388" max="16383" man="1"/>
    <brk id="393" max="16383" man="1"/>
    <brk id="398" max="16383" man="1"/>
    <brk id="403" max="16383" man="1"/>
    <brk id="408" max="16383" man="1"/>
    <brk id="413" max="16383" man="1"/>
    <brk id="418"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827C8-350A-4051-BB73-DB4C2C4302AC}">
  <sheetPr>
    <tabColor rgb="FF92D050"/>
  </sheetPr>
  <dimension ref="A1:T105"/>
  <sheetViews>
    <sheetView topLeftCell="A99" workbookViewId="0">
      <selection activeCell="E113" sqref="E113"/>
    </sheetView>
  </sheetViews>
  <sheetFormatPr defaultRowHeight="14.4" outlineLevelCol="1" x14ac:dyDescent="0.3"/>
  <cols>
    <col min="1" max="1" width="0.33203125" style="1" customWidth="1"/>
    <col min="2" max="2" width="5.77734375" style="2" customWidth="1"/>
    <col min="3" max="3" width="25.33203125" style="3" customWidth="1"/>
    <col min="4" max="4" width="10.5546875" style="5" customWidth="1"/>
    <col min="5" max="6" width="10.5546875" customWidth="1"/>
    <col min="7" max="7" width="10.5546875" style="30" customWidth="1"/>
    <col min="8" max="8" width="10.5546875" style="38" customWidth="1"/>
    <col min="9" max="9" width="10.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891</v>
      </c>
      <c r="B4" s="98"/>
      <c r="C4" s="98"/>
      <c r="D4" s="98"/>
      <c r="E4" s="98"/>
      <c r="F4" s="98"/>
      <c r="G4" s="98"/>
      <c r="H4" s="98"/>
      <c r="I4" s="98"/>
    </row>
    <row r="5" spans="1:19" ht="15" thickBot="1" x14ac:dyDescent="0.35">
      <c r="A5" s="82" t="s">
        <v>938</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939</v>
      </c>
      <c r="D12" s="13" t="s">
        <v>29</v>
      </c>
      <c r="E12" s="14"/>
      <c r="F12" s="14"/>
      <c r="G12" s="41">
        <v>2</v>
      </c>
      <c r="H12" s="71">
        <v>149.51</v>
      </c>
      <c r="I12" s="32">
        <f>G12*H12</f>
        <v>299.02</v>
      </c>
      <c r="J12">
        <v>1</v>
      </c>
    </row>
    <row r="13" spans="1:19" x14ac:dyDescent="0.3">
      <c r="D13" s="15" t="str">
        <f>SUBSTITUTE("Sp.mat: 0.00%",".",IF(VALUE("1.2")=1.2,".",","),2)</f>
        <v>Sp.mat: 0.00%</v>
      </c>
      <c r="F13" s="15" t="str">
        <f>SUBSTITUTE("Sp.man: 0.00%",".",IF(VALUE("1.2")=1.2,".",","),2)</f>
        <v>Sp.man: 0.00%</v>
      </c>
      <c r="G13" s="35" t="str">
        <f>SUBSTITUTE("Sp.uti: 0.00%",".",IF(VALUE("1.2")=1.2,".",","),2)</f>
        <v>Sp.uti: 0.00%</v>
      </c>
      <c r="H13" s="38">
        <v>544.58000000000004</v>
      </c>
      <c r="I13" s="29">
        <f>G12*H13</f>
        <v>1089.1600000000001</v>
      </c>
      <c r="J13">
        <v>2</v>
      </c>
    </row>
    <row r="14" spans="1:19" x14ac:dyDescent="0.3">
      <c r="A14" s="88" t="s">
        <v>940</v>
      </c>
      <c r="B14" s="98"/>
      <c r="C14" s="98"/>
      <c r="D14" s="98"/>
      <c r="E14" s="98"/>
      <c r="F14" s="98"/>
      <c r="G14" s="98"/>
      <c r="H14" s="38">
        <v>2.25</v>
      </c>
      <c r="I14" s="29">
        <f>G12*H14</f>
        <v>4.5</v>
      </c>
      <c r="J14">
        <v>3</v>
      </c>
      <c r="K14" s="4">
        <v>0</v>
      </c>
      <c r="L14" s="4">
        <v>0</v>
      </c>
      <c r="M14" s="4">
        <f>I14-K14-L14</f>
        <v>4.5</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110</v>
      </c>
      <c r="B16" s="101"/>
      <c r="C16" s="101"/>
      <c r="D16" s="101"/>
      <c r="E16" s="101"/>
      <c r="F16" s="101"/>
      <c r="G16" s="101"/>
      <c r="H16" s="33">
        <f>H12+H13+H14+H15</f>
        <v>696.34</v>
      </c>
      <c r="I16" s="37">
        <f>I12+I13+I14+I15</f>
        <v>1392.68</v>
      </c>
      <c r="J16">
        <v>5</v>
      </c>
    </row>
    <row r="17" spans="1:19" x14ac:dyDescent="0.3">
      <c r="A17" s="102" t="s">
        <v>941</v>
      </c>
      <c r="B17" s="102"/>
      <c r="C17" s="102"/>
      <c r="D17" s="102"/>
      <c r="E17" s="102"/>
      <c r="F17" s="102"/>
      <c r="G17" s="102"/>
      <c r="H17" s="102"/>
      <c r="I17" s="102"/>
    </row>
    <row r="18" spans="1:19" x14ac:dyDescent="0.3">
      <c r="A18" s="98" t="s">
        <v>942</v>
      </c>
      <c r="B18" s="98"/>
      <c r="C18" s="98"/>
      <c r="D18" s="98"/>
      <c r="E18" s="98"/>
      <c r="F18" s="98"/>
      <c r="G18" s="98"/>
      <c r="H18" s="98"/>
      <c r="I18" s="98"/>
    </row>
    <row r="19" spans="1:19" x14ac:dyDescent="0.3">
      <c r="A19" s="98" t="s">
        <v>943</v>
      </c>
      <c r="B19" s="98"/>
      <c r="C19" s="98"/>
      <c r="D19" s="98"/>
      <c r="E19" s="98"/>
      <c r="F19" s="98"/>
      <c r="G19" s="98"/>
      <c r="H19" s="98"/>
      <c r="I19" s="98"/>
    </row>
    <row r="20" spans="1:19" x14ac:dyDescent="0.3">
      <c r="A20" s="98" t="s">
        <v>944</v>
      </c>
      <c r="B20" s="98"/>
      <c r="C20" s="98"/>
      <c r="D20" s="98"/>
      <c r="E20" s="98"/>
      <c r="F20" s="98"/>
      <c r="G20" s="98"/>
      <c r="H20" s="98"/>
      <c r="I20" s="98"/>
    </row>
    <row r="21" spans="1:19" x14ac:dyDescent="0.3">
      <c r="A21" s="98" t="s">
        <v>945</v>
      </c>
      <c r="B21" s="98"/>
      <c r="C21" s="98"/>
      <c r="D21" s="98"/>
      <c r="E21" s="98"/>
      <c r="F21" s="98"/>
      <c r="G21" s="98"/>
      <c r="H21" s="98"/>
      <c r="I21" s="98"/>
    </row>
    <row r="22" spans="1:19" x14ac:dyDescent="0.3">
      <c r="A22" s="98" t="s">
        <v>946</v>
      </c>
      <c r="B22" s="98"/>
      <c r="C22" s="98"/>
      <c r="D22" s="98"/>
      <c r="E22" s="98"/>
      <c r="F22" s="98"/>
      <c r="G22" s="98"/>
      <c r="H22" s="98"/>
      <c r="I22" s="98"/>
    </row>
    <row r="23" spans="1:19" x14ac:dyDescent="0.3">
      <c r="A23" s="97" t="s">
        <v>947</v>
      </c>
      <c r="B23" s="97"/>
      <c r="C23" s="97"/>
      <c r="D23" s="97"/>
      <c r="E23" s="97"/>
      <c r="F23" s="97"/>
      <c r="G23" s="97"/>
      <c r="H23" s="97"/>
      <c r="I23" s="97"/>
    </row>
    <row r="24" spans="1:19" x14ac:dyDescent="0.3">
      <c r="B24" s="2">
        <v>2</v>
      </c>
      <c r="C24" s="3" t="s">
        <v>948</v>
      </c>
      <c r="D24" s="5" t="s">
        <v>29</v>
      </c>
      <c r="G24" s="30">
        <v>1</v>
      </c>
      <c r="H24" s="38">
        <v>49.84</v>
      </c>
      <c r="I24" s="29">
        <f>G24*H24</f>
        <v>49.84</v>
      </c>
      <c r="J24">
        <v>1</v>
      </c>
    </row>
    <row r="25" spans="1:19" x14ac:dyDescent="0.3">
      <c r="D25" s="15" t="str">
        <f>SUBSTITUTE("Sp.mat: 0.00%",".",IF(VALUE("1.2")=1.2,".",","),2)</f>
        <v>Sp.mat: 0.00%</v>
      </c>
      <c r="F25" s="15" t="str">
        <f>SUBSTITUTE("Sp.man: 0.00%",".",IF(VALUE("1.2")=1.2,".",","),2)</f>
        <v>Sp.man: 0.00%</v>
      </c>
      <c r="G25" s="35" t="str">
        <f>SUBSTITUTE("Sp.uti: 0.00%",".",IF(VALUE("1.2")=1.2,".",","),2)</f>
        <v>Sp.uti: 0.00%</v>
      </c>
      <c r="H25" s="38">
        <v>44.85</v>
      </c>
      <c r="I25" s="29">
        <f>G24*H25</f>
        <v>44.85</v>
      </c>
      <c r="J25">
        <v>2</v>
      </c>
    </row>
    <row r="26" spans="1:19" x14ac:dyDescent="0.3">
      <c r="A26" s="88" t="s">
        <v>949</v>
      </c>
      <c r="B26" s="98"/>
      <c r="C26" s="98"/>
      <c r="D26" s="98"/>
      <c r="E26" s="98"/>
      <c r="F26" s="98"/>
      <c r="G26" s="98"/>
      <c r="H26" s="38">
        <v>0.13</v>
      </c>
      <c r="I26" s="29">
        <f>G24*H26</f>
        <v>0.13</v>
      </c>
      <c r="J26">
        <v>3</v>
      </c>
      <c r="K26" s="4">
        <v>0</v>
      </c>
      <c r="L26" s="4">
        <v>0.129</v>
      </c>
      <c r="M26" s="4">
        <f>I26-K26-L26</f>
        <v>1.0000000000000009E-3</v>
      </c>
    </row>
    <row r="27" spans="1:19" x14ac:dyDescent="0.3">
      <c r="A27" s="98"/>
      <c r="B27" s="98"/>
      <c r="C27" s="98"/>
      <c r="D27" s="98"/>
      <c r="E27" s="98"/>
      <c r="F27" s="98"/>
      <c r="G27" s="98"/>
      <c r="H27" s="38">
        <f>0</f>
        <v>0</v>
      </c>
      <c r="I27" s="29">
        <f>G24*H27</f>
        <v>0</v>
      </c>
      <c r="J27">
        <v>4</v>
      </c>
      <c r="N27" s="4">
        <f>IF(ISERR(SEARCH("TRA* 82",C24)),IF(Q27+R27+S27=0,0,I27*(Q27/(Q27+R27+S27))),I27)</f>
        <v>0</v>
      </c>
      <c r="O27" s="4">
        <f>IF(ISERR(SEARCH("TRA* 82",C24)),IF(Q27+R27+S27=0,0,I27*(R27/(Q27+R27+S27))),0)</f>
        <v>0</v>
      </c>
      <c r="P27" s="4">
        <f>IF(ISERR(SEARCH("TRA* 82",C24)),I27-N27-O27,0)</f>
        <v>0</v>
      </c>
      <c r="Q27" s="4">
        <v>0</v>
      </c>
      <c r="R27" s="4">
        <v>0</v>
      </c>
      <c r="S27" s="4">
        <v>0</v>
      </c>
    </row>
    <row r="28" spans="1:19" x14ac:dyDescent="0.3">
      <c r="A28" s="100" t="s">
        <v>110</v>
      </c>
      <c r="B28" s="101"/>
      <c r="C28" s="101"/>
      <c r="D28" s="101"/>
      <c r="E28" s="101"/>
      <c r="F28" s="101"/>
      <c r="G28" s="101"/>
      <c r="H28" s="33">
        <f>H24+H25+H26+H27</f>
        <v>94.82</v>
      </c>
      <c r="I28" s="37">
        <f>I24+I25+I26+I27</f>
        <v>94.82</v>
      </c>
      <c r="J28">
        <v>5</v>
      </c>
    </row>
    <row r="29" spans="1:19" x14ac:dyDescent="0.3">
      <c r="A29" s="102" t="s">
        <v>950</v>
      </c>
      <c r="B29" s="102"/>
      <c r="C29" s="102"/>
      <c r="D29" s="102"/>
      <c r="E29" s="102"/>
      <c r="F29" s="102"/>
      <c r="G29" s="102"/>
      <c r="H29" s="102"/>
      <c r="I29" s="102"/>
    </row>
    <row r="30" spans="1:19" x14ac:dyDescent="0.3">
      <c r="A30" s="97" t="s">
        <v>951</v>
      </c>
      <c r="B30" s="97"/>
      <c r="C30" s="97"/>
      <c r="D30" s="97"/>
      <c r="E30" s="97"/>
      <c r="F30" s="97"/>
      <c r="G30" s="97"/>
      <c r="H30" s="97"/>
      <c r="I30" s="97"/>
    </row>
    <row r="31" spans="1:19" x14ac:dyDescent="0.3">
      <c r="B31" s="2">
        <v>3</v>
      </c>
      <c r="C31" s="3" t="s">
        <v>495</v>
      </c>
      <c r="D31" s="5" t="s">
        <v>29</v>
      </c>
      <c r="G31" s="30">
        <v>1</v>
      </c>
      <c r="H31" s="38">
        <v>67.14</v>
      </c>
      <c r="I31" s="29">
        <f>G31*H31</f>
        <v>67.14</v>
      </c>
      <c r="J31">
        <v>1</v>
      </c>
    </row>
    <row r="32" spans="1:19" x14ac:dyDescent="0.3">
      <c r="D32" s="15" t="str">
        <f>SUBSTITUTE("Sp.mat: 0.00%",".",IF(VALUE("1.2")=1.2,".",","),2)</f>
        <v>Sp.mat: 0.00%</v>
      </c>
      <c r="F32" s="15" t="str">
        <f>SUBSTITUTE("Sp.man: 0.00%",".",IF(VALUE("1.2")=1.2,".",","),2)</f>
        <v>Sp.man: 0.00%</v>
      </c>
      <c r="G32" s="35" t="str">
        <f>SUBSTITUTE("Sp.uti: 0.00%",".",IF(VALUE("1.2")=1.2,".",","),2)</f>
        <v>Sp.uti: 0.00%</v>
      </c>
      <c r="H32" s="38">
        <v>1269.01</v>
      </c>
      <c r="I32" s="29">
        <f>G31*H32</f>
        <v>1269.01</v>
      </c>
      <c r="J32">
        <v>2</v>
      </c>
    </row>
    <row r="33" spans="1:19" x14ac:dyDescent="0.3">
      <c r="A33" s="88" t="s">
        <v>952</v>
      </c>
      <c r="B33" s="98"/>
      <c r="C33" s="98"/>
      <c r="D33" s="98"/>
      <c r="E33" s="98"/>
      <c r="F33" s="98"/>
      <c r="G33" s="98"/>
      <c r="H33" s="38">
        <v>520.54999999999995</v>
      </c>
      <c r="I33" s="29">
        <f>G31*H33</f>
        <v>520.54999999999995</v>
      </c>
      <c r="J33">
        <v>3</v>
      </c>
      <c r="K33" s="4">
        <v>975</v>
      </c>
      <c r="L33" s="4">
        <v>0</v>
      </c>
      <c r="M33" s="4">
        <f>I33-K33-L33</f>
        <v>-454.45000000000005</v>
      </c>
    </row>
    <row r="34" spans="1:19" x14ac:dyDescent="0.3">
      <c r="A34" s="98"/>
      <c r="B34" s="98"/>
      <c r="C34" s="98"/>
      <c r="D34" s="98"/>
      <c r="E34" s="98"/>
      <c r="F34" s="98"/>
      <c r="G34" s="98"/>
      <c r="H34" s="38">
        <f>0</f>
        <v>0</v>
      </c>
      <c r="I34" s="29">
        <f>G31*H34</f>
        <v>0</v>
      </c>
      <c r="J34">
        <v>4</v>
      </c>
      <c r="N34" s="4">
        <f>IF(ISERR(SEARCH("TRA* 82",C31)),IF(Q34+R34+S34=0,0,I34*(Q34/(Q34+R34+S34))),I34)</f>
        <v>0</v>
      </c>
      <c r="O34" s="4">
        <f>IF(ISERR(SEARCH("TRA* 82",C31)),IF(Q34+R34+S34=0,0,I34*(R34/(Q34+R34+S34))),0)</f>
        <v>0</v>
      </c>
      <c r="P34" s="4">
        <f>IF(ISERR(SEARCH("TRA* 82",C31)),I34-N34-O34,0)</f>
        <v>0</v>
      </c>
      <c r="Q34" s="4">
        <v>0</v>
      </c>
      <c r="R34" s="4">
        <v>0</v>
      </c>
      <c r="S34" s="4">
        <v>0</v>
      </c>
    </row>
    <row r="35" spans="1:19" x14ac:dyDescent="0.3">
      <c r="A35" s="100" t="s">
        <v>110</v>
      </c>
      <c r="B35" s="101"/>
      <c r="C35" s="101"/>
      <c r="D35" s="101"/>
      <c r="E35" s="101"/>
      <c r="F35" s="101"/>
      <c r="G35" s="101"/>
      <c r="H35" s="33">
        <f>H31+H32+H33+H34</f>
        <v>1856.7</v>
      </c>
      <c r="I35" s="37">
        <f>I31+I32+I33+I34</f>
        <v>1856.7</v>
      </c>
      <c r="J35">
        <v>5</v>
      </c>
    </row>
    <row r="36" spans="1:19" x14ac:dyDescent="0.3">
      <c r="A36" s="102" t="s">
        <v>953</v>
      </c>
      <c r="B36" s="102"/>
      <c r="C36" s="102"/>
      <c r="D36" s="102"/>
      <c r="E36" s="102"/>
      <c r="F36" s="102"/>
      <c r="G36" s="102"/>
      <c r="H36" s="102"/>
      <c r="I36" s="102"/>
    </row>
    <row r="37" spans="1:19" x14ac:dyDescent="0.3">
      <c r="A37" s="98" t="s">
        <v>954</v>
      </c>
      <c r="B37" s="98"/>
      <c r="C37" s="98"/>
      <c r="D37" s="98"/>
      <c r="E37" s="98"/>
      <c r="F37" s="98"/>
      <c r="G37" s="98"/>
      <c r="H37" s="98"/>
      <c r="I37" s="98"/>
    </row>
    <row r="38" spans="1:19" x14ac:dyDescent="0.3">
      <c r="A38" s="97" t="s">
        <v>955</v>
      </c>
      <c r="B38" s="97"/>
      <c r="C38" s="97"/>
      <c r="D38" s="97"/>
      <c r="E38" s="97"/>
      <c r="F38" s="97"/>
      <c r="G38" s="97"/>
      <c r="H38" s="97"/>
      <c r="I38" s="97"/>
    </row>
    <row r="39" spans="1:19" x14ac:dyDescent="0.3">
      <c r="B39" s="2">
        <v>4</v>
      </c>
      <c r="C39" s="3" t="s">
        <v>506</v>
      </c>
      <c r="D39" s="5" t="s">
        <v>29</v>
      </c>
      <c r="G39" s="30">
        <v>3</v>
      </c>
      <c r="H39" s="38">
        <v>48.17</v>
      </c>
      <c r="I39" s="29">
        <f>G39*H39</f>
        <v>144.51</v>
      </c>
      <c r="J39">
        <v>1</v>
      </c>
    </row>
    <row r="40" spans="1:19" x14ac:dyDescent="0.3">
      <c r="D40" s="15" t="str">
        <f>SUBSTITUTE("Sp.mat: 0.00%",".",IF(VALUE("1.2")=1.2,".",","),2)</f>
        <v>Sp.mat: 0.00%</v>
      </c>
      <c r="F40" s="15" t="str">
        <f>SUBSTITUTE("Sp.man: 0.00%",".",IF(VALUE("1.2")=1.2,".",","),2)</f>
        <v>Sp.man: 0.00%</v>
      </c>
      <c r="G40" s="35" t="str">
        <f>SUBSTITUTE("Sp.uti: 0.00%",".",IF(VALUE("1.2")=1.2,".",","),2)</f>
        <v>Sp.uti: 0.00%</v>
      </c>
      <c r="H40" s="38">
        <v>75.28</v>
      </c>
      <c r="I40" s="29">
        <f>G39*H40</f>
        <v>225.84</v>
      </c>
      <c r="J40">
        <v>2</v>
      </c>
    </row>
    <row r="41" spans="1:19" x14ac:dyDescent="0.3">
      <c r="A41" s="88" t="s">
        <v>507</v>
      </c>
      <c r="B41" s="98"/>
      <c r="C41" s="98"/>
      <c r="D41" s="98"/>
      <c r="E41" s="98"/>
      <c r="F41" s="98"/>
      <c r="G41" s="98"/>
      <c r="H41" s="38">
        <v>1.22</v>
      </c>
      <c r="I41" s="29">
        <f>G39*H41</f>
        <v>3.66</v>
      </c>
      <c r="J41">
        <v>3</v>
      </c>
      <c r="K41" s="4">
        <v>0</v>
      </c>
      <c r="L41" s="4">
        <v>0</v>
      </c>
      <c r="M41" s="4">
        <f>I41-K41-L41</f>
        <v>3.66</v>
      </c>
    </row>
    <row r="42" spans="1:19" x14ac:dyDescent="0.3">
      <c r="A42" s="98"/>
      <c r="B42" s="98"/>
      <c r="C42" s="98"/>
      <c r="D42" s="98"/>
      <c r="E42" s="98"/>
      <c r="F42" s="98"/>
      <c r="G42" s="98"/>
      <c r="H42" s="38">
        <f>0</f>
        <v>0</v>
      </c>
      <c r="I42" s="29">
        <f>G39*H42</f>
        <v>0</v>
      </c>
      <c r="J42">
        <v>4</v>
      </c>
      <c r="N42" s="4">
        <f>IF(ISERR(SEARCH("TRA* 82",C39)),IF(Q42+R42+S42=0,0,I42*(Q42/(Q42+R42+S42))),I42)</f>
        <v>0</v>
      </c>
      <c r="O42" s="4">
        <f>IF(ISERR(SEARCH("TRA* 82",C39)),IF(Q42+R42+S42=0,0,I42*(R42/(Q42+R42+S42))),0)</f>
        <v>0</v>
      </c>
      <c r="P42" s="4">
        <f>IF(ISERR(SEARCH("TRA* 82",C39)),I42-N42-O42,0)</f>
        <v>0</v>
      </c>
      <c r="Q42" s="4">
        <v>0</v>
      </c>
      <c r="R42" s="4">
        <v>0</v>
      </c>
      <c r="S42" s="4">
        <v>0</v>
      </c>
    </row>
    <row r="43" spans="1:19" x14ac:dyDescent="0.3">
      <c r="A43" s="100" t="s">
        <v>110</v>
      </c>
      <c r="B43" s="101"/>
      <c r="C43" s="101"/>
      <c r="D43" s="101"/>
      <c r="E43" s="101"/>
      <c r="F43" s="101"/>
      <c r="G43" s="101"/>
      <c r="H43" s="33">
        <f>H39+H40+H41+H42</f>
        <v>124.67</v>
      </c>
      <c r="I43" s="37">
        <f>I39+I40+I41+I42</f>
        <v>374.01000000000005</v>
      </c>
      <c r="J43">
        <v>5</v>
      </c>
    </row>
    <row r="44" spans="1:19" x14ac:dyDescent="0.3">
      <c r="A44" s="102" t="s">
        <v>956</v>
      </c>
      <c r="B44" s="102"/>
      <c r="C44" s="102"/>
      <c r="D44" s="102"/>
      <c r="E44" s="102"/>
      <c r="F44" s="102"/>
      <c r="G44" s="102"/>
      <c r="H44" s="102"/>
      <c r="I44" s="102"/>
    </row>
    <row r="45" spans="1:19" x14ac:dyDescent="0.3">
      <c r="A45" s="98" t="s">
        <v>957</v>
      </c>
      <c r="B45" s="98"/>
      <c r="C45" s="98"/>
      <c r="D45" s="98"/>
      <c r="E45" s="98"/>
      <c r="F45" s="98"/>
      <c r="G45" s="98"/>
      <c r="H45" s="98"/>
      <c r="I45" s="98"/>
    </row>
    <row r="46" spans="1:19" x14ac:dyDescent="0.3">
      <c r="A46" s="97" t="s">
        <v>958</v>
      </c>
      <c r="B46" s="97"/>
      <c r="C46" s="97"/>
      <c r="D46" s="97"/>
      <c r="E46" s="97"/>
      <c r="F46" s="97"/>
      <c r="G46" s="97"/>
      <c r="H46" s="97"/>
      <c r="I46" s="97"/>
    </row>
    <row r="47" spans="1:19" x14ac:dyDescent="0.3">
      <c r="B47" s="2">
        <v>5</v>
      </c>
      <c r="C47" s="3" t="s">
        <v>959</v>
      </c>
      <c r="D47" s="5" t="s">
        <v>29</v>
      </c>
      <c r="G47" s="30">
        <v>1</v>
      </c>
      <c r="H47" s="38">
        <v>140.27000000000001</v>
      </c>
      <c r="I47" s="29">
        <f>G47*H47</f>
        <v>140.27000000000001</v>
      </c>
      <c r="J47">
        <v>1</v>
      </c>
    </row>
    <row r="48" spans="1:19" x14ac:dyDescent="0.3">
      <c r="D48" s="15" t="str">
        <f>SUBSTITUTE("Sp.mat: 0.00%",".",IF(VALUE("1.2")=1.2,".",","),2)</f>
        <v>Sp.mat: 0.00%</v>
      </c>
      <c r="F48" s="15" t="str">
        <f>SUBSTITUTE("Sp.man: 0.00%",".",IF(VALUE("1.2")=1.2,".",","),2)</f>
        <v>Sp.man: 0.00%</v>
      </c>
      <c r="G48" s="35" t="str">
        <f>SUBSTITUTE("Sp.uti: 0.00%",".",IF(VALUE("1.2")=1.2,".",","),2)</f>
        <v>Sp.uti: 0.00%</v>
      </c>
      <c r="H48" s="38">
        <v>78.48</v>
      </c>
      <c r="I48" s="29">
        <f>G47*H48</f>
        <v>78.48</v>
      </c>
      <c r="J48">
        <v>2</v>
      </c>
    </row>
    <row r="49" spans="1:19" x14ac:dyDescent="0.3">
      <c r="A49" s="88" t="s">
        <v>960</v>
      </c>
      <c r="B49" s="98"/>
      <c r="C49" s="98"/>
      <c r="D49" s="98"/>
      <c r="E49" s="98"/>
      <c r="F49" s="98"/>
      <c r="G49" s="98"/>
      <c r="H49" s="38">
        <f>(1+IF(OR(ISERR(FIND(":",G48)),ISERR(FIND("%",G48))),0,MID(G48,FIND(":",G48)+2,FIND("%",G48)-FIND(":",G48)-2)/100))*0</f>
        <v>0</v>
      </c>
      <c r="I49" s="29">
        <f>G47*H49</f>
        <v>0</v>
      </c>
      <c r="J49">
        <v>3</v>
      </c>
      <c r="K49" s="4">
        <v>0</v>
      </c>
      <c r="L49" s="4">
        <v>0</v>
      </c>
      <c r="M49" s="4">
        <f>I49-K49-L49</f>
        <v>0</v>
      </c>
    </row>
    <row r="50" spans="1:19" x14ac:dyDescent="0.3">
      <c r="A50" s="98"/>
      <c r="B50" s="98"/>
      <c r="C50" s="98"/>
      <c r="D50" s="98"/>
      <c r="E50" s="98"/>
      <c r="F50" s="98"/>
      <c r="G50" s="98"/>
      <c r="H50" s="38">
        <f>0</f>
        <v>0</v>
      </c>
      <c r="I50" s="29">
        <f>G47*H50</f>
        <v>0</v>
      </c>
      <c r="J50">
        <v>4</v>
      </c>
      <c r="N50" s="4">
        <f>IF(ISERR(SEARCH("TRA* 82",C47)),IF(Q50+R50+S50=0,0,I50*(Q50/(Q50+R50+S50))),I50)</f>
        <v>0</v>
      </c>
      <c r="O50" s="4">
        <f>IF(ISERR(SEARCH("TRA* 82",C47)),IF(Q50+R50+S50=0,0,I50*(R50/(Q50+R50+S50))),0)</f>
        <v>0</v>
      </c>
      <c r="P50" s="4">
        <f>IF(ISERR(SEARCH("TRA* 82",C47)),I50-N50-O50,0)</f>
        <v>0</v>
      </c>
      <c r="Q50" s="4">
        <v>0</v>
      </c>
      <c r="R50" s="4">
        <v>0</v>
      </c>
      <c r="S50" s="4">
        <v>0</v>
      </c>
    </row>
    <row r="51" spans="1:19" x14ac:dyDescent="0.3">
      <c r="A51" s="100" t="s">
        <v>110</v>
      </c>
      <c r="B51" s="101"/>
      <c r="C51" s="101"/>
      <c r="D51" s="101"/>
      <c r="E51" s="101"/>
      <c r="F51" s="101"/>
      <c r="G51" s="101"/>
      <c r="H51" s="33">
        <f>H47+H48+H49+H50</f>
        <v>218.75</v>
      </c>
      <c r="I51" s="37">
        <f>I47+I48+I49+I50</f>
        <v>218.75</v>
      </c>
      <c r="J51">
        <v>5</v>
      </c>
    </row>
    <row r="52" spans="1:19" x14ac:dyDescent="0.3">
      <c r="A52" s="102" t="s">
        <v>961</v>
      </c>
      <c r="B52" s="102"/>
      <c r="C52" s="102"/>
      <c r="D52" s="102"/>
      <c r="E52" s="102"/>
      <c r="F52" s="102"/>
      <c r="G52" s="102"/>
      <c r="H52" s="102"/>
      <c r="I52" s="102"/>
    </row>
    <row r="53" spans="1:19" x14ac:dyDescent="0.3">
      <c r="A53" s="98" t="s">
        <v>962</v>
      </c>
      <c r="B53" s="98"/>
      <c r="C53" s="98"/>
      <c r="D53" s="98"/>
      <c r="E53" s="98"/>
      <c r="F53" s="98"/>
      <c r="G53" s="98"/>
      <c r="H53" s="98"/>
      <c r="I53" s="98"/>
    </row>
    <row r="54" spans="1:19" x14ac:dyDescent="0.3">
      <c r="A54" s="97" t="s">
        <v>963</v>
      </c>
      <c r="B54" s="97"/>
      <c r="C54" s="97"/>
      <c r="D54" s="97"/>
      <c r="E54" s="97"/>
      <c r="F54" s="97"/>
      <c r="G54" s="97"/>
      <c r="H54" s="97"/>
      <c r="I54" s="97"/>
    </row>
    <row r="55" spans="1:19" x14ac:dyDescent="0.3">
      <c r="B55" s="2">
        <v>6</v>
      </c>
      <c r="C55" s="3" t="s">
        <v>500</v>
      </c>
      <c r="D55" s="5" t="s">
        <v>29</v>
      </c>
      <c r="G55" s="30">
        <v>1</v>
      </c>
      <c r="H55" s="38">
        <v>214</v>
      </c>
      <c r="I55" s="29">
        <f>G55*H55</f>
        <v>214</v>
      </c>
      <c r="J55">
        <v>1</v>
      </c>
    </row>
    <row r="56" spans="1:19" x14ac:dyDescent="0.3">
      <c r="D56" s="15" t="str">
        <f>SUBSTITUTE("Sp.mat: 0.00%",".",IF(VALUE("1.2")=1.2,".",","),2)</f>
        <v>Sp.mat: 0.00%</v>
      </c>
      <c r="F56" s="15" t="str">
        <f>SUBSTITUTE("Sp.man: 0.00%",".",IF(VALUE("1.2")=1.2,".",","),2)</f>
        <v>Sp.man: 0.00%</v>
      </c>
      <c r="G56" s="35" t="str">
        <f>SUBSTITUTE("Sp.uti: 0.00%",".",IF(VALUE("1.2")=1.2,".",","),2)</f>
        <v>Sp.uti: 0.00%</v>
      </c>
      <c r="H56" s="38">
        <v>152.16</v>
      </c>
      <c r="I56" s="29">
        <f>G55*H56</f>
        <v>152.16</v>
      </c>
      <c r="J56">
        <v>2</v>
      </c>
    </row>
    <row r="57" spans="1:19" x14ac:dyDescent="0.3">
      <c r="A57" s="88" t="s">
        <v>501</v>
      </c>
      <c r="B57" s="98"/>
      <c r="C57" s="98"/>
      <c r="D57" s="98"/>
      <c r="E57" s="98"/>
      <c r="F57" s="98"/>
      <c r="G57" s="98"/>
      <c r="H57" s="38">
        <v>0.02</v>
      </c>
      <c r="I57" s="29">
        <f>G55*H57</f>
        <v>0.02</v>
      </c>
      <c r="J57">
        <v>3</v>
      </c>
      <c r="K57" s="4">
        <v>0</v>
      </c>
      <c r="L57" s="4">
        <v>0</v>
      </c>
      <c r="M57" s="4">
        <f>I57-K57-L57</f>
        <v>0.02</v>
      </c>
    </row>
    <row r="58" spans="1:19" x14ac:dyDescent="0.3">
      <c r="A58" s="98"/>
      <c r="B58" s="98"/>
      <c r="C58" s="98"/>
      <c r="D58" s="98"/>
      <c r="E58" s="98"/>
      <c r="F58" s="98"/>
      <c r="G58" s="98"/>
      <c r="H58" s="38">
        <f>0</f>
        <v>0</v>
      </c>
      <c r="I58" s="29">
        <f>G55*H58</f>
        <v>0</v>
      </c>
      <c r="J58">
        <v>4</v>
      </c>
      <c r="N58" s="4">
        <f>IF(ISERR(SEARCH("TRA* 82",C55)),IF(Q58+R58+S58=0,0,I58*(Q58/(Q58+R58+S58))),I58)</f>
        <v>0</v>
      </c>
      <c r="O58" s="4">
        <f>IF(ISERR(SEARCH("TRA* 82",C55)),IF(Q58+R58+S58=0,0,I58*(R58/(Q58+R58+S58))),0)</f>
        <v>0</v>
      </c>
      <c r="P58" s="4">
        <f>IF(ISERR(SEARCH("TRA* 82",C55)),I58-N58-O58,0)</f>
        <v>0</v>
      </c>
      <c r="Q58" s="4">
        <v>0</v>
      </c>
      <c r="R58" s="4">
        <v>0</v>
      </c>
      <c r="S58" s="4">
        <v>0</v>
      </c>
    </row>
    <row r="59" spans="1:19" x14ac:dyDescent="0.3">
      <c r="A59" s="100" t="s">
        <v>110</v>
      </c>
      <c r="B59" s="101"/>
      <c r="C59" s="101"/>
      <c r="D59" s="101"/>
      <c r="E59" s="101"/>
      <c r="F59" s="101"/>
      <c r="G59" s="101"/>
      <c r="H59" s="33">
        <f>H55+H56+H57+H58</f>
        <v>366.17999999999995</v>
      </c>
      <c r="I59" s="37">
        <f>I55+I56+I57+I58</f>
        <v>366.17999999999995</v>
      </c>
      <c r="J59">
        <v>5</v>
      </c>
    </row>
    <row r="60" spans="1:19" x14ac:dyDescent="0.3">
      <c r="A60" s="102" t="s">
        <v>502</v>
      </c>
      <c r="B60" s="102"/>
      <c r="C60" s="102"/>
      <c r="D60" s="102"/>
      <c r="E60" s="102"/>
      <c r="F60" s="102"/>
      <c r="G60" s="102"/>
      <c r="H60" s="102"/>
      <c r="I60" s="102"/>
    </row>
    <row r="61" spans="1:19" x14ac:dyDescent="0.3">
      <c r="A61" s="98" t="s">
        <v>503</v>
      </c>
      <c r="B61" s="98"/>
      <c r="C61" s="98"/>
      <c r="D61" s="98"/>
      <c r="E61" s="98"/>
      <c r="F61" s="98"/>
      <c r="G61" s="98"/>
      <c r="H61" s="98"/>
      <c r="I61" s="98"/>
    </row>
    <row r="62" spans="1:19" x14ac:dyDescent="0.3">
      <c r="A62" s="98" t="s">
        <v>504</v>
      </c>
      <c r="B62" s="98"/>
      <c r="C62" s="98"/>
      <c r="D62" s="98"/>
      <c r="E62" s="98"/>
      <c r="F62" s="98"/>
      <c r="G62" s="98"/>
      <c r="H62" s="98"/>
      <c r="I62" s="98"/>
    </row>
    <row r="63" spans="1:19" x14ac:dyDescent="0.3">
      <c r="A63" s="97" t="s">
        <v>505</v>
      </c>
      <c r="B63" s="97"/>
      <c r="C63" s="97"/>
      <c r="D63" s="97"/>
      <c r="E63" s="97"/>
      <c r="F63" s="97"/>
      <c r="G63" s="97"/>
      <c r="H63" s="97"/>
      <c r="I63" s="97"/>
    </row>
    <row r="64" spans="1:19" x14ac:dyDescent="0.3">
      <c r="B64" s="2">
        <v>7</v>
      </c>
      <c r="C64" s="3" t="s">
        <v>519</v>
      </c>
      <c r="D64" s="5" t="s">
        <v>29</v>
      </c>
      <c r="G64" s="30">
        <v>8</v>
      </c>
      <c r="H64" s="38">
        <v>13.73</v>
      </c>
      <c r="I64" s="29">
        <f>G64*H64</f>
        <v>109.84</v>
      </c>
      <c r="J64">
        <v>1</v>
      </c>
    </row>
    <row r="65" spans="1:19" x14ac:dyDescent="0.3">
      <c r="D65" s="15" t="str">
        <f>SUBSTITUTE("Sp.mat: 0.00%",".",IF(VALUE("1.2")=1.2,".",","),2)</f>
        <v>Sp.mat: 0.00%</v>
      </c>
      <c r="F65" s="15" t="str">
        <f>SUBSTITUTE("Sp.man: 0.00%",".",IF(VALUE("1.2")=1.2,".",","),2)</f>
        <v>Sp.man: 0.00%</v>
      </c>
      <c r="G65" s="35" t="str">
        <f>SUBSTITUTE("Sp.uti: 0.00%",".",IF(VALUE("1.2")=1.2,".",","),2)</f>
        <v>Sp.uti: 0.00%</v>
      </c>
      <c r="H65" s="38">
        <v>48.05</v>
      </c>
      <c r="I65" s="29">
        <f>G64*H65</f>
        <v>384.4</v>
      </c>
      <c r="J65">
        <v>2</v>
      </c>
    </row>
    <row r="66" spans="1:19" x14ac:dyDescent="0.3">
      <c r="A66" s="88" t="s">
        <v>964</v>
      </c>
      <c r="B66" s="98"/>
      <c r="C66" s="98"/>
      <c r="D66" s="98"/>
      <c r="E66" s="98"/>
      <c r="F66" s="98"/>
      <c r="G66" s="98"/>
      <c r="H66" s="38">
        <v>0</v>
      </c>
      <c r="I66" s="29">
        <f>G64*H66</f>
        <v>0</v>
      </c>
      <c r="J66">
        <v>3</v>
      </c>
      <c r="K66" s="4">
        <v>0</v>
      </c>
      <c r="L66" s="4">
        <v>0</v>
      </c>
      <c r="M66" s="4">
        <f>I66-K66-L66</f>
        <v>0</v>
      </c>
    </row>
    <row r="67" spans="1:19" x14ac:dyDescent="0.3">
      <c r="A67" s="98"/>
      <c r="B67" s="98"/>
      <c r="C67" s="98"/>
      <c r="D67" s="98"/>
      <c r="E67" s="98"/>
      <c r="F67" s="98"/>
      <c r="G67" s="98"/>
      <c r="H67" s="38">
        <f>0</f>
        <v>0</v>
      </c>
      <c r="I67" s="29">
        <f>G64*H67</f>
        <v>0</v>
      </c>
      <c r="J67">
        <v>4</v>
      </c>
      <c r="N67" s="4">
        <f>IF(ISERR(SEARCH("TRA* 82",C64)),IF(Q67+R67+S67=0,0,I67*(Q67/(Q67+R67+S67))),I67)</f>
        <v>0</v>
      </c>
      <c r="O67" s="4">
        <f>IF(ISERR(SEARCH("TRA* 82",C64)),IF(Q67+R67+S67=0,0,I67*(R67/(Q67+R67+S67))),0)</f>
        <v>0</v>
      </c>
      <c r="P67" s="4">
        <f>IF(ISERR(SEARCH("TRA* 82",C64)),I67-N67-O67,0)</f>
        <v>0</v>
      </c>
      <c r="Q67" s="4">
        <v>0</v>
      </c>
      <c r="R67" s="4">
        <v>0</v>
      </c>
      <c r="S67" s="4">
        <v>0</v>
      </c>
    </row>
    <row r="68" spans="1:19" x14ac:dyDescent="0.3">
      <c r="A68" s="100" t="s">
        <v>110</v>
      </c>
      <c r="B68" s="101"/>
      <c r="C68" s="101"/>
      <c r="D68" s="101"/>
      <c r="E68" s="101"/>
      <c r="F68" s="101"/>
      <c r="G68" s="101"/>
      <c r="H68" s="33">
        <f>H64+H65+H66+H67</f>
        <v>61.78</v>
      </c>
      <c r="I68" s="37">
        <f>I64+I65+I66+I67</f>
        <v>494.24</v>
      </c>
      <c r="J68">
        <v>5</v>
      </c>
    </row>
    <row r="69" spans="1:19" x14ac:dyDescent="0.3">
      <c r="A69" s="102" t="s">
        <v>527</v>
      </c>
      <c r="B69" s="102"/>
      <c r="C69" s="102"/>
      <c r="D69" s="102"/>
      <c r="E69" s="102"/>
      <c r="F69" s="102"/>
      <c r="G69" s="102"/>
      <c r="H69" s="102"/>
      <c r="I69" s="102"/>
    </row>
    <row r="70" spans="1:19" x14ac:dyDescent="0.3">
      <c r="A70" s="98" t="s">
        <v>965</v>
      </c>
      <c r="B70" s="98"/>
      <c r="C70" s="98"/>
      <c r="D70" s="98"/>
      <c r="E70" s="98"/>
      <c r="F70" s="98"/>
      <c r="G70" s="98"/>
      <c r="H70" s="98"/>
      <c r="I70" s="98"/>
    </row>
    <row r="71" spans="1:19" x14ac:dyDescent="0.3">
      <c r="A71" s="98" t="s">
        <v>966</v>
      </c>
      <c r="B71" s="98"/>
      <c r="C71" s="98"/>
      <c r="D71" s="98"/>
      <c r="E71" s="98"/>
      <c r="F71" s="98"/>
      <c r="G71" s="98"/>
      <c r="H71" s="98"/>
      <c r="I71" s="98"/>
    </row>
    <row r="72" spans="1:19" x14ac:dyDescent="0.3">
      <c r="A72" s="98" t="s">
        <v>530</v>
      </c>
      <c r="B72" s="98"/>
      <c r="C72" s="98"/>
      <c r="D72" s="98"/>
      <c r="E72" s="98"/>
      <c r="F72" s="98"/>
      <c r="G72" s="98"/>
      <c r="H72" s="98"/>
      <c r="I72" s="98"/>
    </row>
    <row r="73" spans="1:19" x14ac:dyDescent="0.3">
      <c r="A73" s="98" t="s">
        <v>967</v>
      </c>
      <c r="B73" s="98"/>
      <c r="C73" s="98"/>
      <c r="D73" s="98"/>
      <c r="E73" s="98"/>
      <c r="F73" s="98"/>
      <c r="G73" s="98"/>
      <c r="H73" s="98"/>
      <c r="I73" s="98"/>
    </row>
    <row r="74" spans="1:19" x14ac:dyDescent="0.3">
      <c r="A74" s="98" t="s">
        <v>968</v>
      </c>
      <c r="B74" s="98"/>
      <c r="C74" s="98"/>
      <c r="D74" s="98"/>
      <c r="E74" s="98"/>
      <c r="F74" s="98"/>
      <c r="G74" s="98"/>
      <c r="H74" s="98"/>
      <c r="I74" s="98"/>
    </row>
    <row r="75" spans="1:19" x14ac:dyDescent="0.3">
      <c r="A75" s="98" t="s">
        <v>533</v>
      </c>
      <c r="B75" s="98"/>
      <c r="C75" s="98"/>
      <c r="D75" s="98"/>
      <c r="E75" s="98"/>
      <c r="F75" s="98"/>
      <c r="G75" s="98"/>
      <c r="H75" s="98"/>
      <c r="I75" s="98"/>
    </row>
    <row r="76" spans="1:19" x14ac:dyDescent="0.3">
      <c r="A76" s="98" t="s">
        <v>969</v>
      </c>
      <c r="B76" s="98"/>
      <c r="C76" s="98"/>
      <c r="D76" s="98"/>
      <c r="E76" s="98"/>
      <c r="F76" s="98"/>
      <c r="G76" s="98"/>
      <c r="H76" s="98"/>
      <c r="I76" s="98"/>
    </row>
    <row r="77" spans="1:19" x14ac:dyDescent="0.3">
      <c r="A77" s="98" t="s">
        <v>970</v>
      </c>
      <c r="B77" s="98"/>
      <c r="C77" s="98"/>
      <c r="D77" s="98"/>
      <c r="E77" s="98"/>
      <c r="F77" s="98"/>
      <c r="G77" s="98"/>
      <c r="H77" s="98"/>
      <c r="I77" s="98"/>
    </row>
    <row r="78" spans="1:19" x14ac:dyDescent="0.3">
      <c r="A78" s="98" t="s">
        <v>971</v>
      </c>
      <c r="B78" s="98"/>
      <c r="C78" s="98"/>
      <c r="D78" s="98"/>
      <c r="E78" s="98"/>
      <c r="F78" s="98"/>
      <c r="G78" s="98"/>
      <c r="H78" s="98"/>
      <c r="I78" s="98"/>
    </row>
    <row r="79" spans="1:19" x14ac:dyDescent="0.3">
      <c r="A79" s="98" t="s">
        <v>533</v>
      </c>
      <c r="B79" s="98"/>
      <c r="C79" s="98"/>
      <c r="D79" s="98"/>
      <c r="E79" s="98"/>
      <c r="F79" s="98"/>
      <c r="G79" s="98"/>
      <c r="H79" s="98"/>
      <c r="I79" s="98"/>
    </row>
    <row r="80" spans="1:19" x14ac:dyDescent="0.3">
      <c r="A80" s="98" t="s">
        <v>972</v>
      </c>
      <c r="B80" s="98"/>
      <c r="C80" s="98"/>
      <c r="D80" s="98"/>
      <c r="E80" s="98"/>
      <c r="F80" s="98"/>
      <c r="G80" s="98"/>
      <c r="H80" s="98"/>
      <c r="I80" s="98"/>
    </row>
    <row r="81" spans="1:9" x14ac:dyDescent="0.3">
      <c r="A81" s="98" t="s">
        <v>973</v>
      </c>
      <c r="B81" s="98"/>
      <c r="C81" s="98"/>
      <c r="D81" s="98"/>
      <c r="E81" s="98"/>
      <c r="F81" s="98"/>
      <c r="G81" s="98"/>
      <c r="H81" s="98"/>
      <c r="I81" s="98"/>
    </row>
    <row r="82" spans="1:9" x14ac:dyDescent="0.3">
      <c r="A82" s="98" t="s">
        <v>971</v>
      </c>
      <c r="B82" s="98"/>
      <c r="C82" s="98"/>
      <c r="D82" s="98"/>
      <c r="E82" s="98"/>
      <c r="F82" s="98"/>
      <c r="G82" s="98"/>
      <c r="H82" s="98"/>
      <c r="I82" s="98"/>
    </row>
    <row r="83" spans="1:9" x14ac:dyDescent="0.3">
      <c r="A83" s="98" t="s">
        <v>533</v>
      </c>
      <c r="B83" s="98"/>
      <c r="C83" s="98"/>
      <c r="D83" s="98"/>
      <c r="E83" s="98"/>
      <c r="F83" s="98"/>
      <c r="G83" s="98"/>
      <c r="H83" s="98"/>
      <c r="I83" s="98"/>
    </row>
    <row r="84" spans="1:9" x14ac:dyDescent="0.3">
      <c r="A84" s="98" t="s">
        <v>551</v>
      </c>
      <c r="B84" s="98"/>
      <c r="C84" s="98"/>
      <c r="D84" s="98"/>
      <c r="E84" s="98"/>
      <c r="F84" s="98"/>
      <c r="G84" s="98"/>
      <c r="H84" s="98"/>
      <c r="I84" s="98"/>
    </row>
    <row r="85" spans="1:9" x14ac:dyDescent="0.3">
      <c r="A85" s="98" t="s">
        <v>974</v>
      </c>
      <c r="B85" s="98"/>
      <c r="C85" s="98"/>
      <c r="D85" s="98"/>
      <c r="E85" s="98"/>
      <c r="F85" s="98"/>
      <c r="G85" s="98"/>
      <c r="H85" s="98"/>
      <c r="I85" s="98"/>
    </row>
    <row r="86" spans="1:9" x14ac:dyDescent="0.3">
      <c r="A86" s="98" t="s">
        <v>975</v>
      </c>
      <c r="B86" s="98"/>
      <c r="C86" s="98"/>
      <c r="D86" s="98"/>
      <c r="E86" s="98"/>
      <c r="F86" s="98"/>
      <c r="G86" s="98"/>
      <c r="H86" s="98"/>
      <c r="I86" s="98"/>
    </row>
    <row r="87" spans="1:9" x14ac:dyDescent="0.3">
      <c r="A87" s="98" t="s">
        <v>976</v>
      </c>
      <c r="B87" s="98"/>
      <c r="C87" s="98"/>
      <c r="D87" s="98"/>
      <c r="E87" s="98"/>
      <c r="F87" s="98"/>
      <c r="G87" s="98"/>
      <c r="H87" s="98"/>
      <c r="I87" s="98"/>
    </row>
    <row r="88" spans="1:9" x14ac:dyDescent="0.3">
      <c r="A88" s="98" t="s">
        <v>977</v>
      </c>
      <c r="B88" s="98"/>
      <c r="C88" s="98"/>
      <c r="D88" s="98"/>
      <c r="E88" s="98"/>
      <c r="F88" s="98"/>
      <c r="G88" s="98"/>
      <c r="H88" s="98"/>
      <c r="I88" s="98"/>
    </row>
    <row r="89" spans="1:9" x14ac:dyDescent="0.3">
      <c r="A89" s="98" t="s">
        <v>978</v>
      </c>
      <c r="B89" s="98"/>
      <c r="C89" s="98"/>
      <c r="D89" s="98"/>
      <c r="E89" s="98"/>
      <c r="F89" s="98"/>
      <c r="G89" s="98"/>
      <c r="H89" s="98"/>
      <c r="I89" s="98"/>
    </row>
    <row r="90" spans="1:9" x14ac:dyDescent="0.3">
      <c r="A90" s="98" t="s">
        <v>979</v>
      </c>
      <c r="B90" s="98"/>
      <c r="C90" s="98"/>
      <c r="D90" s="98"/>
      <c r="E90" s="98"/>
      <c r="F90" s="98"/>
      <c r="G90" s="98"/>
      <c r="H90" s="98"/>
      <c r="I90" s="98"/>
    </row>
    <row r="91" spans="1:9" x14ac:dyDescent="0.3">
      <c r="A91" s="98" t="s">
        <v>980</v>
      </c>
      <c r="B91" s="98"/>
      <c r="C91" s="98"/>
      <c r="D91" s="98"/>
      <c r="E91" s="98"/>
      <c r="F91" s="98"/>
      <c r="G91" s="98"/>
      <c r="H91" s="98"/>
      <c r="I91" s="98"/>
    </row>
    <row r="92" spans="1:9" x14ac:dyDescent="0.3">
      <c r="A92" s="98" t="s">
        <v>981</v>
      </c>
      <c r="B92" s="98"/>
      <c r="C92" s="98"/>
      <c r="D92" s="98"/>
      <c r="E92" s="98"/>
      <c r="F92" s="98"/>
      <c r="G92" s="98"/>
      <c r="H92" s="98"/>
      <c r="I92" s="98"/>
    </row>
    <row r="93" spans="1:9" x14ac:dyDescent="0.3">
      <c r="A93" s="98" t="s">
        <v>533</v>
      </c>
      <c r="B93" s="98"/>
      <c r="C93" s="98"/>
      <c r="D93" s="98"/>
      <c r="E93" s="98"/>
      <c r="F93" s="98"/>
      <c r="G93" s="98"/>
      <c r="H93" s="98"/>
      <c r="I93" s="98"/>
    </row>
    <row r="94" spans="1:9" x14ac:dyDescent="0.3">
      <c r="A94" s="98" t="s">
        <v>982</v>
      </c>
      <c r="B94" s="98"/>
      <c r="C94" s="98"/>
      <c r="D94" s="98"/>
      <c r="E94" s="98"/>
      <c r="F94" s="98"/>
      <c r="G94" s="98"/>
      <c r="H94" s="98"/>
      <c r="I94" s="98"/>
    </row>
    <row r="95" spans="1:9" x14ac:dyDescent="0.3">
      <c r="A95" s="98" t="s">
        <v>983</v>
      </c>
      <c r="B95" s="98"/>
      <c r="C95" s="98"/>
      <c r="D95" s="98"/>
      <c r="E95" s="98"/>
      <c r="F95" s="98"/>
      <c r="G95" s="98"/>
      <c r="H95" s="98"/>
      <c r="I95" s="98"/>
    </row>
    <row r="96" spans="1:9" x14ac:dyDescent="0.3">
      <c r="A96" s="98" t="s">
        <v>984</v>
      </c>
      <c r="B96" s="98"/>
      <c r="C96" s="98"/>
      <c r="D96" s="98"/>
      <c r="E96" s="98"/>
      <c r="F96" s="98"/>
      <c r="G96" s="98"/>
      <c r="H96" s="98"/>
      <c r="I96" s="98"/>
    </row>
    <row r="97" spans="1:19" x14ac:dyDescent="0.3">
      <c r="A97" s="97" t="s">
        <v>985</v>
      </c>
      <c r="B97" s="97"/>
      <c r="C97" s="97"/>
      <c r="D97" s="97"/>
      <c r="E97" s="97"/>
      <c r="F97" s="97"/>
      <c r="G97" s="97"/>
      <c r="H97" s="97"/>
      <c r="I97" s="97"/>
    </row>
    <row r="98" spans="1:19" x14ac:dyDescent="0.3">
      <c r="B98" s="2">
        <v>8</v>
      </c>
      <c r="C98" s="3" t="s">
        <v>558</v>
      </c>
      <c r="D98" s="5" t="s">
        <v>29</v>
      </c>
      <c r="G98" s="30">
        <v>1</v>
      </c>
      <c r="H98" s="38">
        <v>22.93</v>
      </c>
      <c r="I98" s="29">
        <f>G98*H98</f>
        <v>22.93</v>
      </c>
      <c r="J98">
        <v>1</v>
      </c>
    </row>
    <row r="99" spans="1:19" x14ac:dyDescent="0.3">
      <c r="D99" s="15" t="str">
        <f>SUBSTITUTE("Sp.mat: 0.00%",".",IF(VALUE("1.2")=1.2,".",","),2)</f>
        <v>Sp.mat: 0.00%</v>
      </c>
      <c r="F99" s="15" t="str">
        <f>SUBSTITUTE("Sp.man: 0.00%",".",IF(VALUE("1.2")=1.2,".",","),2)</f>
        <v>Sp.man: 0.00%</v>
      </c>
      <c r="G99" s="35" t="str">
        <f>SUBSTITUTE("Sp.uti: 0.00%",".",IF(VALUE("1.2")=1.2,".",","),2)</f>
        <v>Sp.uti: 0.00%</v>
      </c>
      <c r="H99" s="38">
        <v>56.06</v>
      </c>
      <c r="I99" s="29">
        <f>G98*H99</f>
        <v>56.06</v>
      </c>
      <c r="J99">
        <v>2</v>
      </c>
    </row>
    <row r="100" spans="1:19" x14ac:dyDescent="0.3">
      <c r="A100" s="88" t="s">
        <v>559</v>
      </c>
      <c r="B100" s="98"/>
      <c r="C100" s="98"/>
      <c r="D100" s="98"/>
      <c r="E100" s="98"/>
      <c r="F100" s="98"/>
      <c r="G100" s="98"/>
      <c r="H100" s="38">
        <v>0.12</v>
      </c>
      <c r="I100" s="29">
        <f>G98*H100</f>
        <v>0.12</v>
      </c>
      <c r="J100">
        <v>3</v>
      </c>
      <c r="K100" s="4">
        <v>0</v>
      </c>
      <c r="L100" s="4">
        <v>0</v>
      </c>
      <c r="M100" s="4">
        <f>I100-K100-L100</f>
        <v>0.12</v>
      </c>
    </row>
    <row r="101" spans="1:19" x14ac:dyDescent="0.3">
      <c r="A101" s="98"/>
      <c r="B101" s="98"/>
      <c r="C101" s="98"/>
      <c r="D101" s="98"/>
      <c r="E101" s="98"/>
      <c r="F101" s="98"/>
      <c r="G101" s="98"/>
      <c r="H101" s="38">
        <f>0</f>
        <v>0</v>
      </c>
      <c r="I101" s="29">
        <f>G98*H101</f>
        <v>0</v>
      </c>
      <c r="J101">
        <v>4</v>
      </c>
      <c r="N101" s="4">
        <f>IF(ISERR(SEARCH("TRA* 82",C98)),IF(Q101+R101+S101=0,0,I101*(Q101/(Q101+R101+S101))),I101)</f>
        <v>0</v>
      </c>
      <c r="O101" s="4">
        <f>IF(ISERR(SEARCH("TRA* 82",C98)),IF(Q101+R101+S101=0,0,I101*(R101/(Q101+R101+S101))),0)</f>
        <v>0</v>
      </c>
      <c r="P101" s="4">
        <f>IF(ISERR(SEARCH("TRA* 82",C98)),I101-N101-O101,0)</f>
        <v>0</v>
      </c>
      <c r="Q101" s="4">
        <v>0</v>
      </c>
      <c r="R101" s="4">
        <v>0</v>
      </c>
      <c r="S101" s="4">
        <v>0</v>
      </c>
    </row>
    <row r="102" spans="1:19" x14ac:dyDescent="0.3">
      <c r="A102" s="100" t="s">
        <v>110</v>
      </c>
      <c r="B102" s="101"/>
      <c r="C102" s="101"/>
      <c r="D102" s="101"/>
      <c r="E102" s="101"/>
      <c r="F102" s="101"/>
      <c r="G102" s="101"/>
      <c r="H102" s="33">
        <f>H98+H99+H100+H101</f>
        <v>79.110000000000014</v>
      </c>
      <c r="I102" s="37">
        <f>I98+I99+I100+I101</f>
        <v>79.110000000000014</v>
      </c>
      <c r="J102">
        <v>5</v>
      </c>
    </row>
    <row r="103" spans="1:19" x14ac:dyDescent="0.3">
      <c r="A103" s="99" t="s">
        <v>986</v>
      </c>
      <c r="B103" s="99"/>
      <c r="C103" s="99"/>
      <c r="D103" s="99"/>
      <c r="E103" s="99"/>
      <c r="F103" s="99"/>
      <c r="G103" s="99"/>
      <c r="H103" s="99"/>
      <c r="I103" s="99"/>
    </row>
    <row r="104" spans="1:19" x14ac:dyDescent="0.3">
      <c r="B104" s="16"/>
      <c r="E104" s="4">
        <f>SUMIF(J12:J102,"1",I12:I102)</f>
        <v>1047.55</v>
      </c>
      <c r="F104" s="4">
        <f>SUMIF(J12:J102,"2",I12:I102)</f>
        <v>3299.96</v>
      </c>
      <c r="G104" s="29">
        <f>SUMIF(J12:J102,"3",I12:I102)</f>
        <v>528.9799999999999</v>
      </c>
      <c r="H104" s="29">
        <f>SUMIF(J12:J102,"4",I12:I102)</f>
        <v>0</v>
      </c>
      <c r="I104" s="29">
        <f>SUMIF(J12:J102,"5",I12:I102)</f>
        <v>4876.49</v>
      </c>
      <c r="K104" s="4">
        <f>SUMIF(J12:J102,"3",K12:K102)</f>
        <v>975</v>
      </c>
      <c r="L104" s="4">
        <f>SUMIF(J12:J102,"3",L12:L102)</f>
        <v>0.129</v>
      </c>
      <c r="M104" s="4">
        <f>SUMIF(J12:J102,"3",M12:M102)</f>
        <v>-446.14900000000006</v>
      </c>
      <c r="N104" s="4">
        <f>SUMIF(J12:J102,"4",N12:N102)</f>
        <v>0</v>
      </c>
      <c r="O104" s="4">
        <f>SUMIF(J12:J102,"4",O12:O102)</f>
        <v>0</v>
      </c>
      <c r="P104" s="4">
        <f>SUMIF(J12:J102,"4",P12:P102)</f>
        <v>0</v>
      </c>
      <c r="Q104" s="4">
        <f>SUMIF(J12:J102,"4",Q12:Q102)</f>
        <v>0</v>
      </c>
      <c r="R104" s="4">
        <f>SUMIF(J12:J102,"4",R12:R102)</f>
        <v>0</v>
      </c>
      <c r="S104" s="4">
        <f>SUMIF(J12:J102,"4",S12:S102)</f>
        <v>0</v>
      </c>
    </row>
    <row r="105" spans="1:19" x14ac:dyDescent="0.3">
      <c r="B105" s="107" t="s">
        <v>1554</v>
      </c>
      <c r="C105" s="108"/>
      <c r="D105" s="26"/>
      <c r="E105" s="26"/>
      <c r="F105" s="26"/>
      <c r="G105" s="109"/>
      <c r="H105" s="36"/>
      <c r="I105" s="110">
        <f>I104</f>
        <v>4876.49</v>
      </c>
    </row>
  </sheetData>
  <mergeCells count="73">
    <mergeCell ref="A14:G15"/>
    <mergeCell ref="A1:D1"/>
    <mergeCell ref="A2:I2"/>
    <mergeCell ref="A3:I3"/>
    <mergeCell ref="A4:I4"/>
    <mergeCell ref="A5:H5"/>
    <mergeCell ref="A30:I30"/>
    <mergeCell ref="A16:G16"/>
    <mergeCell ref="A17:I17"/>
    <mergeCell ref="A18:I18"/>
    <mergeCell ref="A19:I19"/>
    <mergeCell ref="A20:I20"/>
    <mergeCell ref="A21:I21"/>
    <mergeCell ref="A22:I22"/>
    <mergeCell ref="A23:I23"/>
    <mergeCell ref="A26:G27"/>
    <mergeCell ref="A28:G28"/>
    <mergeCell ref="A29:I29"/>
    <mergeCell ref="A51:G51"/>
    <mergeCell ref="A33:G34"/>
    <mergeCell ref="A35:G35"/>
    <mergeCell ref="A36:I36"/>
    <mergeCell ref="A37:I37"/>
    <mergeCell ref="A38:I38"/>
    <mergeCell ref="A41:G42"/>
    <mergeCell ref="A43:G43"/>
    <mergeCell ref="A44:I44"/>
    <mergeCell ref="A45:I45"/>
    <mergeCell ref="A46:I46"/>
    <mergeCell ref="A49:G50"/>
    <mergeCell ref="A69:I69"/>
    <mergeCell ref="A52:I52"/>
    <mergeCell ref="A53:I53"/>
    <mergeCell ref="A54:I54"/>
    <mergeCell ref="A57:G58"/>
    <mergeCell ref="A59:G59"/>
    <mergeCell ref="A60:I60"/>
    <mergeCell ref="A61:I61"/>
    <mergeCell ref="A62:I62"/>
    <mergeCell ref="A63:I63"/>
    <mergeCell ref="A66:G67"/>
    <mergeCell ref="A68:G68"/>
    <mergeCell ref="A81:I81"/>
    <mergeCell ref="A70:I70"/>
    <mergeCell ref="A71:I71"/>
    <mergeCell ref="A72:I72"/>
    <mergeCell ref="A73:I73"/>
    <mergeCell ref="A74:I74"/>
    <mergeCell ref="A75:I75"/>
    <mergeCell ref="A76:I76"/>
    <mergeCell ref="A77:I77"/>
    <mergeCell ref="A78:I78"/>
    <mergeCell ref="A79:I79"/>
    <mergeCell ref="A80:I80"/>
    <mergeCell ref="A93:I93"/>
    <mergeCell ref="A82:I82"/>
    <mergeCell ref="A83:I83"/>
    <mergeCell ref="A84:I84"/>
    <mergeCell ref="A85:I85"/>
    <mergeCell ref="A86:I86"/>
    <mergeCell ref="A87:I87"/>
    <mergeCell ref="A88:I88"/>
    <mergeCell ref="A89:I89"/>
    <mergeCell ref="A90:I90"/>
    <mergeCell ref="A91:I91"/>
    <mergeCell ref="A92:I92"/>
    <mergeCell ref="A103:I103"/>
    <mergeCell ref="A94:I94"/>
    <mergeCell ref="A95:I95"/>
    <mergeCell ref="A96:I96"/>
    <mergeCell ref="A97:I97"/>
    <mergeCell ref="A100:G101"/>
    <mergeCell ref="A102:G102"/>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2" manualBreakCount="2">
    <brk id="46" max="16383" man="1"/>
    <brk id="103"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895B-3310-4EFF-8AFF-4329B416D299}">
  <sheetPr>
    <tabColor rgb="FF92D050"/>
  </sheetPr>
  <dimension ref="A1:T198"/>
  <sheetViews>
    <sheetView topLeftCell="A192" workbookViewId="0">
      <selection activeCell="I200" sqref="I200"/>
    </sheetView>
  </sheetViews>
  <sheetFormatPr defaultRowHeight="14.4" outlineLevelCol="1" x14ac:dyDescent="0.3"/>
  <cols>
    <col min="1" max="1" width="0.33203125" style="1" customWidth="1"/>
    <col min="2" max="2" width="5.77734375" style="2" customWidth="1"/>
    <col min="3" max="3" width="25.33203125" style="3" customWidth="1"/>
    <col min="4" max="4" width="10.44140625" style="5" customWidth="1"/>
    <col min="5" max="6" width="10.44140625" customWidth="1"/>
    <col min="7" max="7" width="10.44140625" style="30" customWidth="1"/>
    <col min="8" max="8" width="10.44140625" style="38" customWidth="1"/>
    <col min="9" max="9" width="10.4414062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891</v>
      </c>
      <c r="B4" s="98"/>
      <c r="C4" s="98"/>
      <c r="D4" s="98"/>
      <c r="E4" s="98"/>
      <c r="F4" s="98"/>
      <c r="G4" s="98"/>
      <c r="H4" s="98"/>
      <c r="I4" s="98"/>
    </row>
    <row r="5" spans="1:19" ht="15" thickBot="1" x14ac:dyDescent="0.35">
      <c r="A5" s="82" t="s">
        <v>987</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317</v>
      </c>
      <c r="D12" s="13" t="s">
        <v>29</v>
      </c>
      <c r="E12" s="14"/>
      <c r="F12" s="14"/>
      <c r="G12" s="41">
        <v>9</v>
      </c>
      <c r="H12" s="71">
        <f>1004.63/G12</f>
        <v>111.62555555555555</v>
      </c>
      <c r="I12" s="32">
        <f>G12*H12</f>
        <v>1004.63</v>
      </c>
      <c r="J12">
        <v>1</v>
      </c>
    </row>
    <row r="13" spans="1:19" x14ac:dyDescent="0.3">
      <c r="D13" s="15" t="str">
        <f>SUBSTITUTE("Sp.mat: 0.00%",".",IF(VALUE("1.2")=1.2,".",","),2)</f>
        <v>Sp.mat: 0.00%</v>
      </c>
      <c r="F13" s="15" t="str">
        <f>SUBSTITUTE("Sp.man: 0.00%",".",IF(VALUE("1.2")=1.2,".",","),2)</f>
        <v>Sp.man: 0.00%</v>
      </c>
      <c r="G13" s="35" t="str">
        <f>SUBSTITUTE("Sp.uti: 0.00%",".",IF(VALUE("1.2")=1.2,".",","),2)</f>
        <v>Sp.uti: 0.00%</v>
      </c>
      <c r="H13" s="38">
        <f>288.31/G12</f>
        <v>32.034444444444446</v>
      </c>
      <c r="I13" s="29">
        <f>G12*H13</f>
        <v>288.31</v>
      </c>
      <c r="J13">
        <v>2</v>
      </c>
    </row>
    <row r="14" spans="1:19" x14ac:dyDescent="0.3">
      <c r="A14" s="88" t="s">
        <v>318</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87</v>
      </c>
      <c r="B16" s="101"/>
      <c r="C16" s="101"/>
      <c r="D16" s="101"/>
      <c r="E16" s="101"/>
      <c r="F16" s="101"/>
      <c r="G16" s="101"/>
      <c r="H16" s="33">
        <f>H12+H13+H14+H15</f>
        <v>143.66</v>
      </c>
      <c r="I16" s="37">
        <f>I12+I13+I14+I15</f>
        <v>1292.94</v>
      </c>
      <c r="J16">
        <v>5</v>
      </c>
    </row>
    <row r="17" spans="1:19" x14ac:dyDescent="0.3">
      <c r="A17" s="102" t="s">
        <v>988</v>
      </c>
      <c r="B17" s="102"/>
      <c r="C17" s="102"/>
      <c r="D17" s="102"/>
      <c r="E17" s="102"/>
      <c r="F17" s="102"/>
      <c r="G17" s="102"/>
      <c r="H17" s="102"/>
      <c r="I17" s="102"/>
    </row>
    <row r="18" spans="1:19" x14ac:dyDescent="0.3">
      <c r="A18" s="98" t="s">
        <v>590</v>
      </c>
      <c r="B18" s="98"/>
      <c r="C18" s="98"/>
      <c r="D18" s="98"/>
      <c r="E18" s="98"/>
      <c r="F18" s="98"/>
      <c r="G18" s="98"/>
      <c r="H18" s="98"/>
      <c r="I18" s="98"/>
    </row>
    <row r="19" spans="1:19" x14ac:dyDescent="0.3">
      <c r="A19" s="97" t="s">
        <v>600</v>
      </c>
      <c r="B19" s="97"/>
      <c r="C19" s="97"/>
      <c r="D19" s="97"/>
      <c r="E19" s="97"/>
      <c r="F19" s="97"/>
      <c r="G19" s="97"/>
      <c r="H19" s="97"/>
      <c r="I19" s="97"/>
    </row>
    <row r="20" spans="1:19" x14ac:dyDescent="0.3">
      <c r="B20" s="2">
        <v>2</v>
      </c>
      <c r="C20" s="3" t="s">
        <v>317</v>
      </c>
      <c r="D20" s="5" t="s">
        <v>29</v>
      </c>
      <c r="G20" s="30">
        <v>4</v>
      </c>
      <c r="H20" s="38">
        <f>548.61/G20</f>
        <v>137.1525</v>
      </c>
      <c r="I20" s="29">
        <f>G20*H20</f>
        <v>548.61</v>
      </c>
      <c r="J20">
        <v>1</v>
      </c>
    </row>
    <row r="21" spans="1:19" x14ac:dyDescent="0.3">
      <c r="D21" s="15" t="str">
        <f>SUBSTITUTE("Sp.mat: 0.00%",".",IF(VALUE("1.2")=1.2,".",","),2)</f>
        <v>Sp.mat: 0.00%</v>
      </c>
      <c r="F21" s="15" t="str">
        <f>SUBSTITUTE("Sp.man: 0.00%",".",IF(VALUE("1.2")=1.2,".",","),2)</f>
        <v>Sp.man: 0.00%</v>
      </c>
      <c r="G21" s="35" t="str">
        <f>SUBSTITUTE("Sp.uti: 0.00%",".",IF(VALUE("1.2")=1.2,".",","),2)</f>
        <v>Sp.uti: 0.00%</v>
      </c>
      <c r="H21" s="38">
        <f>128.14/G20</f>
        <v>32.034999999999997</v>
      </c>
      <c r="I21" s="29">
        <f>G20*H21</f>
        <v>128.13999999999999</v>
      </c>
      <c r="J21">
        <v>2</v>
      </c>
    </row>
    <row r="22" spans="1:19" x14ac:dyDescent="0.3">
      <c r="A22" s="88" t="s">
        <v>318</v>
      </c>
      <c r="B22" s="98"/>
      <c r="C22" s="98"/>
      <c r="D22" s="98"/>
      <c r="E22" s="98"/>
      <c r="F22" s="98"/>
      <c r="G22" s="98"/>
      <c r="H22" s="38">
        <f>(1+IF(OR(ISERR(FIND(":",G21)),ISERR(FIND("%",G21))),0,MID(G21,FIND(":",G21)+2,FIND("%",G21)-FIND(":",G21)-2)/100))*0</f>
        <v>0</v>
      </c>
      <c r="I22" s="29">
        <f>G20*H22</f>
        <v>0</v>
      </c>
      <c r="J22">
        <v>3</v>
      </c>
      <c r="K22" s="4">
        <v>0</v>
      </c>
      <c r="L22" s="4">
        <v>0</v>
      </c>
      <c r="M22" s="4">
        <f>I22-K22-L22</f>
        <v>0</v>
      </c>
    </row>
    <row r="23" spans="1:19" x14ac:dyDescent="0.3">
      <c r="A23" s="98"/>
      <c r="B23" s="98"/>
      <c r="C23" s="98"/>
      <c r="D23" s="98"/>
      <c r="E23" s="98"/>
      <c r="F23" s="98"/>
      <c r="G23" s="98"/>
      <c r="H23" s="38">
        <f>0</f>
        <v>0</v>
      </c>
      <c r="I23" s="29">
        <f>G20*H23</f>
        <v>0</v>
      </c>
      <c r="J23">
        <v>4</v>
      </c>
      <c r="N23" s="4">
        <f>IF(ISERR(SEARCH("TRA* 82",C20)),IF(Q23+R23+S23=0,0,I23*(Q23/(Q23+R23+S23))),I23)</f>
        <v>0</v>
      </c>
      <c r="O23" s="4">
        <f>IF(ISERR(SEARCH("TRA* 82",C20)),IF(Q23+R23+S23=0,0,I23*(R23/(Q23+R23+S23))),0)</f>
        <v>0</v>
      </c>
      <c r="P23" s="4">
        <f>IF(ISERR(SEARCH("TRA* 82",C20)),I23-N23-O23,0)</f>
        <v>0</v>
      </c>
      <c r="Q23" s="4">
        <v>0</v>
      </c>
      <c r="R23" s="4">
        <v>0</v>
      </c>
      <c r="S23" s="4">
        <v>0</v>
      </c>
    </row>
    <row r="24" spans="1:19" x14ac:dyDescent="0.3">
      <c r="A24" s="100" t="s">
        <v>87</v>
      </c>
      <c r="B24" s="101"/>
      <c r="C24" s="101"/>
      <c r="D24" s="101"/>
      <c r="E24" s="101"/>
      <c r="F24" s="101"/>
      <c r="G24" s="101"/>
      <c r="H24" s="33">
        <f>H20+H21+H22+H23</f>
        <v>169.1875</v>
      </c>
      <c r="I24" s="37">
        <f>I20+I21+I22+I23</f>
        <v>676.75</v>
      </c>
      <c r="J24">
        <v>5</v>
      </c>
    </row>
    <row r="25" spans="1:19" x14ac:dyDescent="0.3">
      <c r="A25" s="102" t="s">
        <v>599</v>
      </c>
      <c r="B25" s="102"/>
      <c r="C25" s="102"/>
      <c r="D25" s="102"/>
      <c r="E25" s="102"/>
      <c r="F25" s="102"/>
      <c r="G25" s="102"/>
      <c r="H25" s="102"/>
      <c r="I25" s="102"/>
    </row>
    <row r="26" spans="1:19" x14ac:dyDescent="0.3">
      <c r="A26" s="98" t="s">
        <v>590</v>
      </c>
      <c r="B26" s="98"/>
      <c r="C26" s="98"/>
      <c r="D26" s="98"/>
      <c r="E26" s="98"/>
      <c r="F26" s="98"/>
      <c r="G26" s="98"/>
      <c r="H26" s="98"/>
      <c r="I26" s="98"/>
    </row>
    <row r="27" spans="1:19" x14ac:dyDescent="0.3">
      <c r="A27" s="97" t="s">
        <v>591</v>
      </c>
      <c r="B27" s="97"/>
      <c r="C27" s="97"/>
      <c r="D27" s="97"/>
      <c r="E27" s="97"/>
      <c r="F27" s="97"/>
      <c r="G27" s="97"/>
      <c r="H27" s="97"/>
      <c r="I27" s="97"/>
    </row>
    <row r="28" spans="1:19" x14ac:dyDescent="0.3">
      <c r="B28" s="2">
        <v>3</v>
      </c>
      <c r="C28" s="3" t="s">
        <v>317</v>
      </c>
      <c r="D28" s="5" t="s">
        <v>29</v>
      </c>
      <c r="G28" s="30">
        <v>3</v>
      </c>
      <c r="H28" s="38">
        <f>451.72/G28</f>
        <v>150.57333333333335</v>
      </c>
      <c r="I28" s="29">
        <f>G28*H28</f>
        <v>451.72</v>
      </c>
      <c r="J28">
        <v>1</v>
      </c>
    </row>
    <row r="29" spans="1:19" x14ac:dyDescent="0.3">
      <c r="D29" s="15" t="str">
        <f>SUBSTITUTE("Sp.mat: 0.00%",".",IF(VALUE("1.2")=1.2,".",","),2)</f>
        <v>Sp.mat: 0.00%</v>
      </c>
      <c r="F29" s="15" t="str">
        <f>SUBSTITUTE("Sp.man: 0.00%",".",IF(VALUE("1.2")=1.2,".",","),2)</f>
        <v>Sp.man: 0.00%</v>
      </c>
      <c r="G29" s="35" t="str">
        <f>SUBSTITUTE("Sp.uti: 0.00%",".",IF(VALUE("1.2")=1.2,".",","),2)</f>
        <v>Sp.uti: 0.00%</v>
      </c>
      <c r="H29" s="38">
        <f>96.1/G28</f>
        <v>32.033333333333331</v>
      </c>
      <c r="I29" s="29">
        <f>G28*H29</f>
        <v>96.1</v>
      </c>
      <c r="J29">
        <v>2</v>
      </c>
    </row>
    <row r="30" spans="1:19" x14ac:dyDescent="0.3">
      <c r="A30" s="88" t="s">
        <v>318</v>
      </c>
      <c r="B30" s="98"/>
      <c r="C30" s="98"/>
      <c r="D30" s="98"/>
      <c r="E30" s="98"/>
      <c r="F30" s="98"/>
      <c r="G30" s="98"/>
      <c r="H30" s="38">
        <f>(1+IF(OR(ISERR(FIND(":",G29)),ISERR(FIND("%",G29))),0,MID(G29,FIND(":",G29)+2,FIND("%",G29)-FIND(":",G29)-2)/100))*0</f>
        <v>0</v>
      </c>
      <c r="I30" s="29">
        <f>G28*H30</f>
        <v>0</v>
      </c>
      <c r="J30">
        <v>3</v>
      </c>
      <c r="K30" s="4">
        <v>0</v>
      </c>
      <c r="L30" s="4">
        <v>0</v>
      </c>
      <c r="M30" s="4">
        <f>I30-K30-L30</f>
        <v>0</v>
      </c>
    </row>
    <row r="31" spans="1:19" x14ac:dyDescent="0.3">
      <c r="A31" s="98"/>
      <c r="B31" s="98"/>
      <c r="C31" s="98"/>
      <c r="D31" s="98"/>
      <c r="E31" s="98"/>
      <c r="F31" s="98"/>
      <c r="G31" s="98"/>
      <c r="H31" s="38">
        <f>0</f>
        <v>0</v>
      </c>
      <c r="I31" s="29">
        <f>G28*H31</f>
        <v>0</v>
      </c>
      <c r="J31">
        <v>4</v>
      </c>
      <c r="N31" s="4">
        <f>IF(ISERR(SEARCH("TRA* 82",C28)),IF(Q31+R31+S31=0,0,I31*(Q31/(Q31+R31+S31))),I31)</f>
        <v>0</v>
      </c>
      <c r="O31" s="4">
        <f>IF(ISERR(SEARCH("TRA* 82",C28)),IF(Q31+R31+S31=0,0,I31*(R31/(Q31+R31+S31))),0)</f>
        <v>0</v>
      </c>
      <c r="P31" s="4">
        <f>IF(ISERR(SEARCH("TRA* 82",C28)),I31-N31-O31,0)</f>
        <v>0</v>
      </c>
      <c r="Q31" s="4">
        <v>0</v>
      </c>
      <c r="R31" s="4">
        <v>0</v>
      </c>
      <c r="S31" s="4">
        <v>0</v>
      </c>
    </row>
    <row r="32" spans="1:19" x14ac:dyDescent="0.3">
      <c r="A32" s="100" t="s">
        <v>87</v>
      </c>
      <c r="B32" s="101"/>
      <c r="C32" s="101"/>
      <c r="D32" s="101"/>
      <c r="E32" s="101"/>
      <c r="F32" s="101"/>
      <c r="G32" s="101"/>
      <c r="H32" s="33">
        <f>H28+H29+H30+H31</f>
        <v>182.60666666666668</v>
      </c>
      <c r="I32" s="37">
        <f>I28+I29+I30+I31</f>
        <v>547.82000000000005</v>
      </c>
      <c r="J32">
        <v>5</v>
      </c>
    </row>
    <row r="33" spans="1:19" x14ac:dyDescent="0.3">
      <c r="A33" s="102" t="s">
        <v>598</v>
      </c>
      <c r="B33" s="102"/>
      <c r="C33" s="102"/>
      <c r="D33" s="102"/>
      <c r="E33" s="102"/>
      <c r="F33" s="102"/>
      <c r="G33" s="102"/>
      <c r="H33" s="102"/>
      <c r="I33" s="102"/>
    </row>
    <row r="34" spans="1:19" x14ac:dyDescent="0.3">
      <c r="A34" s="98" t="s">
        <v>590</v>
      </c>
      <c r="B34" s="98"/>
      <c r="C34" s="98"/>
      <c r="D34" s="98"/>
      <c r="E34" s="98"/>
      <c r="F34" s="98"/>
      <c r="G34" s="98"/>
      <c r="H34" s="98"/>
      <c r="I34" s="98"/>
    </row>
    <row r="35" spans="1:19" x14ac:dyDescent="0.3">
      <c r="A35" s="97" t="s">
        <v>591</v>
      </c>
      <c r="B35" s="97"/>
      <c r="C35" s="97"/>
      <c r="D35" s="97"/>
      <c r="E35" s="97"/>
      <c r="F35" s="97"/>
      <c r="G35" s="97"/>
      <c r="H35" s="97"/>
      <c r="I35" s="97"/>
    </row>
    <row r="36" spans="1:19" x14ac:dyDescent="0.3">
      <c r="B36" s="2">
        <v>4</v>
      </c>
      <c r="C36" s="3" t="s">
        <v>317</v>
      </c>
      <c r="D36" s="5" t="s">
        <v>29</v>
      </c>
      <c r="G36" s="30">
        <v>1</v>
      </c>
      <c r="H36" s="38">
        <f>175.61/G36</f>
        <v>175.61</v>
      </c>
      <c r="I36" s="29">
        <f>G36*H36</f>
        <v>175.61</v>
      </c>
      <c r="J36">
        <v>1</v>
      </c>
    </row>
    <row r="37" spans="1:19" x14ac:dyDescent="0.3">
      <c r="D37" s="15" t="str">
        <f>SUBSTITUTE("Sp.mat: 0.00%",".",IF(VALUE("1.2")=1.2,".",","),2)</f>
        <v>Sp.mat: 0.00%</v>
      </c>
      <c r="F37" s="15" t="str">
        <f>SUBSTITUTE("Sp.man: 0.00%",".",IF(VALUE("1.2")=1.2,".",","),2)</f>
        <v>Sp.man: 0.00%</v>
      </c>
      <c r="G37" s="35" t="str">
        <f>SUBSTITUTE("Sp.uti: 0.00%",".",IF(VALUE("1.2")=1.2,".",","),2)</f>
        <v>Sp.uti: 0.00%</v>
      </c>
      <c r="H37" s="38">
        <f>32.02</f>
        <v>32.020000000000003</v>
      </c>
      <c r="I37" s="29">
        <f>G36*H37</f>
        <v>32.020000000000003</v>
      </c>
      <c r="J37">
        <v>2</v>
      </c>
    </row>
    <row r="38" spans="1:19" x14ac:dyDescent="0.3">
      <c r="A38" s="88" t="s">
        <v>318</v>
      </c>
      <c r="B38" s="98"/>
      <c r="C38" s="98"/>
      <c r="D38" s="98"/>
      <c r="E38" s="98"/>
      <c r="F38" s="98"/>
      <c r="G38" s="98"/>
      <c r="H38" s="38">
        <f>(1+IF(OR(ISERR(FIND(":",G37)),ISERR(FIND("%",G37))),0,MID(G37,FIND(":",G37)+2,FIND("%",G37)-FIND(":",G37)-2)/100))*0</f>
        <v>0</v>
      </c>
      <c r="I38" s="29">
        <f>G36*H38</f>
        <v>0</v>
      </c>
      <c r="J38">
        <v>3</v>
      </c>
      <c r="K38" s="4">
        <v>0</v>
      </c>
      <c r="L38" s="4">
        <v>0</v>
      </c>
      <c r="M38" s="4">
        <f>I38-K38-L38</f>
        <v>0</v>
      </c>
    </row>
    <row r="39" spans="1:19" x14ac:dyDescent="0.3">
      <c r="A39" s="98"/>
      <c r="B39" s="98"/>
      <c r="C39" s="98"/>
      <c r="D39" s="98"/>
      <c r="E39" s="98"/>
      <c r="F39" s="98"/>
      <c r="G39" s="98"/>
      <c r="H39" s="38">
        <f>0</f>
        <v>0</v>
      </c>
      <c r="I39" s="29">
        <f>G36*H39</f>
        <v>0</v>
      </c>
      <c r="J39">
        <v>4</v>
      </c>
      <c r="N39" s="4">
        <f>IF(ISERR(SEARCH("TRA* 82",C36)),IF(Q39+R39+S39=0,0,I39*(Q39/(Q39+R39+S39))),I39)</f>
        <v>0</v>
      </c>
      <c r="O39" s="4">
        <f>IF(ISERR(SEARCH("TRA* 82",C36)),IF(Q39+R39+S39=0,0,I39*(R39/(Q39+R39+S39))),0)</f>
        <v>0</v>
      </c>
      <c r="P39" s="4">
        <f>IF(ISERR(SEARCH("TRA* 82",C36)),I39-N39-O39,0)</f>
        <v>0</v>
      </c>
      <c r="Q39" s="4">
        <v>0</v>
      </c>
      <c r="R39" s="4">
        <v>0</v>
      </c>
      <c r="S39" s="4">
        <v>0</v>
      </c>
    </row>
    <row r="40" spans="1:19" x14ac:dyDescent="0.3">
      <c r="A40" s="100" t="s">
        <v>87</v>
      </c>
      <c r="B40" s="101"/>
      <c r="C40" s="101"/>
      <c r="D40" s="101"/>
      <c r="E40" s="101"/>
      <c r="F40" s="101"/>
      <c r="G40" s="101"/>
      <c r="H40" s="33">
        <f>H36+H37+H38+H39</f>
        <v>207.63000000000002</v>
      </c>
      <c r="I40" s="37">
        <f>I36+I37+I38+I39</f>
        <v>207.63000000000002</v>
      </c>
      <c r="J40">
        <v>5</v>
      </c>
    </row>
    <row r="41" spans="1:19" x14ac:dyDescent="0.3">
      <c r="A41" s="102" t="s">
        <v>601</v>
      </c>
      <c r="B41" s="102"/>
      <c r="C41" s="102"/>
      <c r="D41" s="102"/>
      <c r="E41" s="102"/>
      <c r="F41" s="102"/>
      <c r="G41" s="102"/>
      <c r="H41" s="102"/>
      <c r="I41" s="102"/>
    </row>
    <row r="42" spans="1:19" x14ac:dyDescent="0.3">
      <c r="A42" s="98" t="s">
        <v>590</v>
      </c>
      <c r="B42" s="98"/>
      <c r="C42" s="98"/>
      <c r="D42" s="98"/>
      <c r="E42" s="98"/>
      <c r="F42" s="98"/>
      <c r="G42" s="98"/>
      <c r="H42" s="98"/>
      <c r="I42" s="98"/>
    </row>
    <row r="43" spans="1:19" x14ac:dyDescent="0.3">
      <c r="A43" s="97" t="s">
        <v>600</v>
      </c>
      <c r="B43" s="97"/>
      <c r="C43" s="97"/>
      <c r="D43" s="97"/>
      <c r="E43" s="97"/>
      <c r="F43" s="97"/>
      <c r="G43" s="97"/>
      <c r="H43" s="97"/>
      <c r="I43" s="97"/>
    </row>
    <row r="44" spans="1:19" x14ac:dyDescent="0.3">
      <c r="B44" s="2">
        <v>5</v>
      </c>
      <c r="C44" s="3" t="s">
        <v>317</v>
      </c>
      <c r="D44" s="5" t="s">
        <v>29</v>
      </c>
      <c r="G44" s="30">
        <v>4</v>
      </c>
      <c r="H44" s="38">
        <f>762.87/G44</f>
        <v>190.7175</v>
      </c>
      <c r="I44" s="29">
        <f>G44*H44</f>
        <v>762.87</v>
      </c>
      <c r="J44">
        <v>1</v>
      </c>
    </row>
    <row r="45" spans="1:19" x14ac:dyDescent="0.3">
      <c r="D45" s="15" t="str">
        <f>SUBSTITUTE("Sp.mat: 0.00%",".",IF(VALUE("1.2")=1.2,".",","),2)</f>
        <v>Sp.mat: 0.00%</v>
      </c>
      <c r="F45" s="15" t="str">
        <f>SUBSTITUTE("Sp.man: 0.00%",".",IF(VALUE("1.2")=1.2,".",","),2)</f>
        <v>Sp.man: 0.00%</v>
      </c>
      <c r="G45" s="35" t="str">
        <f>SUBSTITUTE("Sp.uti: 0.00%",".",IF(VALUE("1.2")=1.2,".",","),2)</f>
        <v>Sp.uti: 0.00%</v>
      </c>
      <c r="H45" s="38">
        <f>128.14/G44</f>
        <v>32.034999999999997</v>
      </c>
      <c r="I45" s="29">
        <f>G44*H45</f>
        <v>128.13999999999999</v>
      </c>
      <c r="J45">
        <v>2</v>
      </c>
    </row>
    <row r="46" spans="1:19" x14ac:dyDescent="0.3">
      <c r="A46" s="88" t="s">
        <v>318</v>
      </c>
      <c r="B46" s="98"/>
      <c r="C46" s="98"/>
      <c r="D46" s="98"/>
      <c r="E46" s="98"/>
      <c r="F46" s="98"/>
      <c r="G46" s="98"/>
      <c r="H46" s="38">
        <f>(1+IF(OR(ISERR(FIND(":",G45)),ISERR(FIND("%",G45))),0,MID(G45,FIND(":",G45)+2,FIND("%",G45)-FIND(":",G45)-2)/100))*0</f>
        <v>0</v>
      </c>
      <c r="I46" s="29">
        <f>G44*H46</f>
        <v>0</v>
      </c>
      <c r="J46">
        <v>3</v>
      </c>
      <c r="K46" s="4">
        <v>0</v>
      </c>
      <c r="L46" s="4">
        <v>0</v>
      </c>
      <c r="M46" s="4">
        <f>I46-K46-L46</f>
        <v>0</v>
      </c>
    </row>
    <row r="47" spans="1:19" x14ac:dyDescent="0.3">
      <c r="A47" s="98"/>
      <c r="B47" s="98"/>
      <c r="C47" s="98"/>
      <c r="D47" s="98"/>
      <c r="E47" s="98"/>
      <c r="F47" s="98"/>
      <c r="G47" s="98"/>
      <c r="H47" s="38">
        <f>0</f>
        <v>0</v>
      </c>
      <c r="I47" s="29">
        <f>G44*H47</f>
        <v>0</v>
      </c>
      <c r="J47">
        <v>4</v>
      </c>
      <c r="N47" s="4">
        <f>IF(ISERR(SEARCH("TRA* 82",C44)),IF(Q47+R47+S47=0,0,I47*(Q47/(Q47+R47+S47))),I47)</f>
        <v>0</v>
      </c>
      <c r="O47" s="4">
        <f>IF(ISERR(SEARCH("TRA* 82",C44)),IF(Q47+R47+S47=0,0,I47*(R47/(Q47+R47+S47))),0)</f>
        <v>0</v>
      </c>
      <c r="P47" s="4">
        <f>IF(ISERR(SEARCH("TRA* 82",C44)),I47-N47-O47,0)</f>
        <v>0</v>
      </c>
      <c r="Q47" s="4">
        <v>0</v>
      </c>
      <c r="R47" s="4">
        <v>0</v>
      </c>
      <c r="S47" s="4">
        <v>0</v>
      </c>
    </row>
    <row r="48" spans="1:19" x14ac:dyDescent="0.3">
      <c r="A48" s="100" t="s">
        <v>87</v>
      </c>
      <c r="B48" s="101"/>
      <c r="C48" s="101"/>
      <c r="D48" s="101"/>
      <c r="E48" s="101"/>
      <c r="F48" s="101"/>
      <c r="G48" s="101"/>
      <c r="H48" s="33">
        <f>H44+H45+H46+H47</f>
        <v>222.7525</v>
      </c>
      <c r="I48" s="37">
        <f>I44+I45+I46+I47</f>
        <v>891.01</v>
      </c>
      <c r="J48">
        <v>5</v>
      </c>
    </row>
    <row r="49" spans="1:19" x14ac:dyDescent="0.3">
      <c r="A49" s="102" t="s">
        <v>602</v>
      </c>
      <c r="B49" s="102"/>
      <c r="C49" s="102"/>
      <c r="D49" s="102"/>
      <c r="E49" s="102"/>
      <c r="F49" s="102"/>
      <c r="G49" s="102"/>
      <c r="H49" s="102"/>
      <c r="I49" s="102"/>
    </row>
    <row r="50" spans="1:19" x14ac:dyDescent="0.3">
      <c r="A50" s="98" t="s">
        <v>590</v>
      </c>
      <c r="B50" s="98"/>
      <c r="C50" s="98"/>
      <c r="D50" s="98"/>
      <c r="E50" s="98"/>
      <c r="F50" s="98"/>
      <c r="G50" s="98"/>
      <c r="H50" s="98"/>
      <c r="I50" s="98"/>
    </row>
    <row r="51" spans="1:19" x14ac:dyDescent="0.3">
      <c r="A51" s="97" t="s">
        <v>591</v>
      </c>
      <c r="B51" s="97"/>
      <c r="C51" s="97"/>
      <c r="D51" s="97"/>
      <c r="E51" s="97"/>
      <c r="F51" s="97"/>
      <c r="G51" s="97"/>
      <c r="H51" s="97"/>
      <c r="I51" s="97"/>
    </row>
    <row r="52" spans="1:19" x14ac:dyDescent="0.3">
      <c r="B52" s="2">
        <v>6</v>
      </c>
      <c r="C52" s="3" t="s">
        <v>317</v>
      </c>
      <c r="D52" s="5" t="s">
        <v>29</v>
      </c>
      <c r="G52" s="30">
        <v>5</v>
      </c>
      <c r="H52" s="38">
        <f>1144.35/G52</f>
        <v>228.86999999999998</v>
      </c>
      <c r="I52" s="29">
        <f>G52*H52</f>
        <v>1144.3499999999999</v>
      </c>
      <c r="J52">
        <v>1</v>
      </c>
    </row>
    <row r="53" spans="1:19" x14ac:dyDescent="0.3">
      <c r="D53" s="15" t="str">
        <f>SUBSTITUTE("Sp.mat: 0.00%",".",IF(VALUE("1.2")=1.2,".",","),2)</f>
        <v>Sp.mat: 0.00%</v>
      </c>
      <c r="F53" s="15" t="str">
        <f>SUBSTITUTE("Sp.man: 0.00%",".",IF(VALUE("1.2")=1.2,".",","),2)</f>
        <v>Sp.man: 0.00%</v>
      </c>
      <c r="G53" s="35" t="str">
        <f>SUBSTITUTE("Sp.uti: 0.00%",".",IF(VALUE("1.2")=1.2,".",","),2)</f>
        <v>Sp.uti: 0.00%</v>
      </c>
      <c r="H53" s="38">
        <f>160.17/G52</f>
        <v>32.033999999999999</v>
      </c>
      <c r="I53" s="29">
        <f>G52*H53</f>
        <v>160.16999999999999</v>
      </c>
      <c r="J53">
        <v>2</v>
      </c>
    </row>
    <row r="54" spans="1:19" x14ac:dyDescent="0.3">
      <c r="A54" s="88" t="s">
        <v>318</v>
      </c>
      <c r="B54" s="98"/>
      <c r="C54" s="98"/>
      <c r="D54" s="98"/>
      <c r="E54" s="98"/>
      <c r="F54" s="98"/>
      <c r="G54" s="98"/>
      <c r="H54" s="38">
        <f>(1+IF(OR(ISERR(FIND(":",G53)),ISERR(FIND("%",G53))),0,MID(G53,FIND(":",G53)+2,FIND("%",G53)-FIND(":",G53)-2)/100))*0</f>
        <v>0</v>
      </c>
      <c r="I54" s="29">
        <f>G52*H54</f>
        <v>0</v>
      </c>
      <c r="J54">
        <v>3</v>
      </c>
      <c r="K54" s="4">
        <v>0</v>
      </c>
      <c r="L54" s="4">
        <v>0</v>
      </c>
      <c r="M54" s="4">
        <f>I54-K54-L54</f>
        <v>0</v>
      </c>
    </row>
    <row r="55" spans="1:19" x14ac:dyDescent="0.3">
      <c r="A55" s="98"/>
      <c r="B55" s="98"/>
      <c r="C55" s="98"/>
      <c r="D55" s="98"/>
      <c r="E55" s="98"/>
      <c r="F55" s="98"/>
      <c r="G55" s="98"/>
      <c r="H55" s="38">
        <f>0</f>
        <v>0</v>
      </c>
      <c r="I55" s="29">
        <f>G52*H55</f>
        <v>0</v>
      </c>
      <c r="J55">
        <v>4</v>
      </c>
      <c r="N55" s="4">
        <f>IF(ISERR(SEARCH("TRA* 82",C52)),IF(Q55+R55+S55=0,0,I55*(Q55/(Q55+R55+S55))),I55)</f>
        <v>0</v>
      </c>
      <c r="O55" s="4">
        <f>IF(ISERR(SEARCH("TRA* 82",C52)),IF(Q55+R55+S55=0,0,I55*(R55/(Q55+R55+S55))),0)</f>
        <v>0</v>
      </c>
      <c r="P55" s="4">
        <f>IF(ISERR(SEARCH("TRA* 82",C52)),I55-N55-O55,0)</f>
        <v>0</v>
      </c>
      <c r="Q55" s="4">
        <v>0</v>
      </c>
      <c r="R55" s="4">
        <v>0</v>
      </c>
      <c r="S55" s="4">
        <v>0</v>
      </c>
    </row>
    <row r="56" spans="1:19" x14ac:dyDescent="0.3">
      <c r="A56" s="100" t="s">
        <v>87</v>
      </c>
      <c r="B56" s="101"/>
      <c r="C56" s="101"/>
      <c r="D56" s="101"/>
      <c r="E56" s="101"/>
      <c r="F56" s="101"/>
      <c r="G56" s="101"/>
      <c r="H56" s="33">
        <f>H52+H53+H54+H55</f>
        <v>260.904</v>
      </c>
      <c r="I56" s="37">
        <f>I52+I53+I54+I55</f>
        <v>1304.52</v>
      </c>
      <c r="J56">
        <v>5</v>
      </c>
    </row>
    <row r="57" spans="1:19" x14ac:dyDescent="0.3">
      <c r="A57" s="102" t="s">
        <v>604</v>
      </c>
      <c r="B57" s="102"/>
      <c r="C57" s="102"/>
      <c r="D57" s="102"/>
      <c r="E57" s="102"/>
      <c r="F57" s="102"/>
      <c r="G57" s="102"/>
      <c r="H57" s="102"/>
      <c r="I57" s="102"/>
    </row>
    <row r="58" spans="1:19" x14ac:dyDescent="0.3">
      <c r="A58" s="98" t="s">
        <v>593</v>
      </c>
      <c r="B58" s="98"/>
      <c r="C58" s="98"/>
      <c r="D58" s="98"/>
      <c r="E58" s="98"/>
      <c r="F58" s="98"/>
      <c r="G58" s="98"/>
      <c r="H58" s="98"/>
      <c r="I58" s="98"/>
    </row>
    <row r="59" spans="1:19" x14ac:dyDescent="0.3">
      <c r="A59" s="97" t="s">
        <v>596</v>
      </c>
      <c r="B59" s="97"/>
      <c r="C59" s="97"/>
      <c r="D59" s="97"/>
      <c r="E59" s="97"/>
      <c r="F59" s="97"/>
      <c r="G59" s="97"/>
      <c r="H59" s="97"/>
      <c r="I59" s="97"/>
    </row>
    <row r="60" spans="1:19" x14ac:dyDescent="0.3">
      <c r="B60" s="2">
        <v>7</v>
      </c>
      <c r="C60" s="3" t="s">
        <v>317</v>
      </c>
      <c r="D60" s="5" t="s">
        <v>29</v>
      </c>
      <c r="G60" s="30">
        <v>2</v>
      </c>
      <c r="H60" s="38">
        <f>598.1/G60</f>
        <v>299.05</v>
      </c>
      <c r="I60" s="29">
        <f>G60*H60</f>
        <v>598.1</v>
      </c>
      <c r="J60">
        <v>1</v>
      </c>
    </row>
    <row r="61" spans="1:19" x14ac:dyDescent="0.3">
      <c r="D61" s="15" t="str">
        <f>SUBSTITUTE("Sp.mat: 0.00%",".",IF(VALUE("1.2")=1.2,".",","),2)</f>
        <v>Sp.mat: 0.00%</v>
      </c>
      <c r="F61" s="15" t="str">
        <f>SUBSTITUTE("Sp.man: 0.00%",".",IF(VALUE("1.2")=1.2,".",","),2)</f>
        <v>Sp.man: 0.00%</v>
      </c>
      <c r="G61" s="35" t="str">
        <f>SUBSTITUTE("Sp.uti: 0.00%",".",IF(VALUE("1.2")=1.2,".",","),2)</f>
        <v>Sp.uti: 0.00%</v>
      </c>
      <c r="H61" s="38">
        <f>67.27/G60</f>
        <v>33.634999999999998</v>
      </c>
      <c r="I61" s="29">
        <f>G60*H61</f>
        <v>67.27</v>
      </c>
      <c r="J61">
        <v>2</v>
      </c>
    </row>
    <row r="62" spans="1:19" x14ac:dyDescent="0.3">
      <c r="A62" s="88" t="s">
        <v>318</v>
      </c>
      <c r="B62" s="98"/>
      <c r="C62" s="98"/>
      <c r="D62" s="98"/>
      <c r="E62" s="98"/>
      <c r="F62" s="98"/>
      <c r="G62" s="98"/>
      <c r="H62" s="38">
        <f>(1+IF(OR(ISERR(FIND(":",G61)),ISERR(FIND("%",G61))),0,MID(G61,FIND(":",G61)+2,FIND("%",G61)-FIND(":",G61)-2)/100))*0</f>
        <v>0</v>
      </c>
      <c r="I62" s="29">
        <f>G60*H62</f>
        <v>0</v>
      </c>
      <c r="J62">
        <v>3</v>
      </c>
      <c r="K62" s="4">
        <v>0</v>
      </c>
      <c r="L62" s="4">
        <v>0</v>
      </c>
      <c r="M62" s="4">
        <f>I62-K62-L62</f>
        <v>0</v>
      </c>
    </row>
    <row r="63" spans="1:19" x14ac:dyDescent="0.3">
      <c r="A63" s="98"/>
      <c r="B63" s="98"/>
      <c r="C63" s="98"/>
      <c r="D63" s="98"/>
      <c r="E63" s="98"/>
      <c r="F63" s="98"/>
      <c r="G63" s="98"/>
      <c r="H63" s="38">
        <f>0</f>
        <v>0</v>
      </c>
      <c r="I63" s="29">
        <f>G60*H63</f>
        <v>0</v>
      </c>
      <c r="J63">
        <v>4</v>
      </c>
      <c r="N63" s="4">
        <f>IF(ISERR(SEARCH("TRA* 82",C60)),IF(Q63+R63+S63=0,0,I63*(Q63/(Q63+R63+S63))),I63)</f>
        <v>0</v>
      </c>
      <c r="O63" s="4">
        <f>IF(ISERR(SEARCH("TRA* 82",C60)),IF(Q63+R63+S63=0,0,I63*(R63/(Q63+R63+S63))),0)</f>
        <v>0</v>
      </c>
      <c r="P63" s="4">
        <f>IF(ISERR(SEARCH("TRA* 82",C60)),I63-N63-O63,0)</f>
        <v>0</v>
      </c>
      <c r="Q63" s="4">
        <v>0</v>
      </c>
      <c r="R63" s="4">
        <v>0</v>
      </c>
      <c r="S63" s="4">
        <v>0</v>
      </c>
    </row>
    <row r="64" spans="1:19" x14ac:dyDescent="0.3">
      <c r="A64" s="100" t="s">
        <v>87</v>
      </c>
      <c r="B64" s="101"/>
      <c r="C64" s="101"/>
      <c r="D64" s="101"/>
      <c r="E64" s="101"/>
      <c r="F64" s="101"/>
      <c r="G64" s="101"/>
      <c r="H64" s="33">
        <f>H60+H61+H62+H63</f>
        <v>332.685</v>
      </c>
      <c r="I64" s="37">
        <f>I60+I61+I62+I63</f>
        <v>665.37</v>
      </c>
      <c r="J64">
        <v>5</v>
      </c>
    </row>
    <row r="65" spans="1:19" x14ac:dyDescent="0.3">
      <c r="A65" s="102" t="s">
        <v>989</v>
      </c>
      <c r="B65" s="102"/>
      <c r="C65" s="102"/>
      <c r="D65" s="102"/>
      <c r="E65" s="102"/>
      <c r="F65" s="102"/>
      <c r="G65" s="102"/>
      <c r="H65" s="102"/>
      <c r="I65" s="102"/>
    </row>
    <row r="66" spans="1:19" x14ac:dyDescent="0.3">
      <c r="A66" s="98" t="s">
        <v>593</v>
      </c>
      <c r="B66" s="98"/>
      <c r="C66" s="98"/>
      <c r="D66" s="98"/>
      <c r="E66" s="98"/>
      <c r="F66" s="98"/>
      <c r="G66" s="98"/>
      <c r="H66" s="98"/>
      <c r="I66" s="98"/>
    </row>
    <row r="67" spans="1:19" x14ac:dyDescent="0.3">
      <c r="A67" s="97" t="s">
        <v>596</v>
      </c>
      <c r="B67" s="97"/>
      <c r="C67" s="97"/>
      <c r="D67" s="97"/>
      <c r="E67" s="97"/>
      <c r="F67" s="97"/>
      <c r="G67" s="97"/>
      <c r="H67" s="97"/>
      <c r="I67" s="97"/>
    </row>
    <row r="68" spans="1:19" x14ac:dyDescent="0.3">
      <c r="B68" s="2">
        <v>8</v>
      </c>
      <c r="C68" s="3" t="s">
        <v>317</v>
      </c>
      <c r="D68" s="5" t="s">
        <v>29</v>
      </c>
      <c r="G68" s="30">
        <v>4</v>
      </c>
      <c r="H68" s="38">
        <f>1224.65/G68</f>
        <v>306.16250000000002</v>
      </c>
      <c r="I68" s="29">
        <f>G68*H68</f>
        <v>1224.6500000000001</v>
      </c>
      <c r="J68">
        <v>1</v>
      </c>
    </row>
    <row r="69" spans="1:19" x14ac:dyDescent="0.3">
      <c r="D69" s="15" t="str">
        <f>SUBSTITUTE("Sp.mat: 0.00%",".",IF(VALUE("1.2")=1.2,".",","),2)</f>
        <v>Sp.mat: 0.00%</v>
      </c>
      <c r="F69" s="15" t="str">
        <f>SUBSTITUTE("Sp.man: 0.00%",".",IF(VALUE("1.2")=1.2,".",","),2)</f>
        <v>Sp.man: 0.00%</v>
      </c>
      <c r="G69" s="35" t="str">
        <f>SUBSTITUTE("Sp.uti: 0.00%",".",IF(VALUE("1.2")=1.2,".",","),2)</f>
        <v>Sp.uti: 0.00%</v>
      </c>
      <c r="H69" s="38">
        <f>140.95/G68</f>
        <v>35.237499999999997</v>
      </c>
      <c r="I69" s="29">
        <f>G68*H69</f>
        <v>140.94999999999999</v>
      </c>
      <c r="J69">
        <v>2</v>
      </c>
    </row>
    <row r="70" spans="1:19" x14ac:dyDescent="0.3">
      <c r="A70" s="88" t="s">
        <v>318</v>
      </c>
      <c r="B70" s="98"/>
      <c r="C70" s="98"/>
      <c r="D70" s="98"/>
      <c r="E70" s="98"/>
      <c r="F70" s="98"/>
      <c r="G70" s="98"/>
      <c r="H70" s="38">
        <f>(1+IF(OR(ISERR(FIND(":",G69)),ISERR(FIND("%",G69))),0,MID(G69,FIND(":",G69)+2,FIND("%",G69)-FIND(":",G69)-2)/100))*0</f>
        <v>0</v>
      </c>
      <c r="I70" s="29">
        <f>G68*H70</f>
        <v>0</v>
      </c>
      <c r="J70">
        <v>3</v>
      </c>
      <c r="K70" s="4">
        <v>0</v>
      </c>
      <c r="L70" s="4">
        <v>0</v>
      </c>
      <c r="M70" s="4">
        <f>I70-K70-L70</f>
        <v>0</v>
      </c>
    </row>
    <row r="71" spans="1:19" x14ac:dyDescent="0.3">
      <c r="A71" s="98"/>
      <c r="B71" s="98"/>
      <c r="C71" s="98"/>
      <c r="D71" s="98"/>
      <c r="E71" s="98"/>
      <c r="F71" s="98"/>
      <c r="G71" s="98"/>
      <c r="H71" s="38">
        <f>0</f>
        <v>0</v>
      </c>
      <c r="I71" s="29">
        <f>G68*H71</f>
        <v>0</v>
      </c>
      <c r="J71">
        <v>4</v>
      </c>
      <c r="N71" s="4">
        <f>IF(ISERR(SEARCH("TRA* 82",C68)),IF(Q71+R71+S71=0,0,I71*(Q71/(Q71+R71+S71))),I71)</f>
        <v>0</v>
      </c>
      <c r="O71" s="4">
        <f>IF(ISERR(SEARCH("TRA* 82",C68)),IF(Q71+R71+S71=0,0,I71*(R71/(Q71+R71+S71))),0)</f>
        <v>0</v>
      </c>
      <c r="P71" s="4">
        <f>IF(ISERR(SEARCH("TRA* 82",C68)),I71-N71-O71,0)</f>
        <v>0</v>
      </c>
      <c r="Q71" s="4">
        <v>0</v>
      </c>
      <c r="R71" s="4">
        <v>0</v>
      </c>
      <c r="S71" s="4">
        <v>0</v>
      </c>
    </row>
    <row r="72" spans="1:19" x14ac:dyDescent="0.3">
      <c r="A72" s="100" t="s">
        <v>87</v>
      </c>
      <c r="B72" s="101"/>
      <c r="C72" s="101"/>
      <c r="D72" s="101"/>
      <c r="E72" s="101"/>
      <c r="F72" s="101"/>
      <c r="G72" s="101"/>
      <c r="H72" s="33">
        <f>H68+H69+H70+H71</f>
        <v>341.40000000000003</v>
      </c>
      <c r="I72" s="37">
        <f>I68+I69+I70+I71</f>
        <v>1365.6000000000001</v>
      </c>
      <c r="J72">
        <v>5</v>
      </c>
    </row>
    <row r="73" spans="1:19" x14ac:dyDescent="0.3">
      <c r="A73" s="102" t="s">
        <v>605</v>
      </c>
      <c r="B73" s="102"/>
      <c r="C73" s="102"/>
      <c r="D73" s="102"/>
      <c r="E73" s="102"/>
      <c r="F73" s="102"/>
      <c r="G73" s="102"/>
      <c r="H73" s="102"/>
      <c r="I73" s="102"/>
    </row>
    <row r="74" spans="1:19" x14ac:dyDescent="0.3">
      <c r="A74" s="98" t="s">
        <v>593</v>
      </c>
      <c r="B74" s="98"/>
      <c r="C74" s="98"/>
      <c r="D74" s="98"/>
      <c r="E74" s="98"/>
      <c r="F74" s="98"/>
      <c r="G74" s="98"/>
      <c r="H74" s="98"/>
      <c r="I74" s="98"/>
    </row>
    <row r="75" spans="1:19" x14ac:dyDescent="0.3">
      <c r="A75" s="97" t="s">
        <v>596</v>
      </c>
      <c r="B75" s="97"/>
      <c r="C75" s="97"/>
      <c r="D75" s="97"/>
      <c r="E75" s="97"/>
      <c r="F75" s="97"/>
      <c r="G75" s="97"/>
      <c r="H75" s="97"/>
      <c r="I75" s="97"/>
    </row>
    <row r="76" spans="1:19" x14ac:dyDescent="0.3">
      <c r="B76" s="2">
        <v>9</v>
      </c>
      <c r="C76" s="3" t="s">
        <v>317</v>
      </c>
      <c r="D76" s="5" t="s">
        <v>29</v>
      </c>
      <c r="G76" s="30">
        <v>1</v>
      </c>
      <c r="H76" s="38">
        <v>381.2</v>
      </c>
      <c r="I76" s="29">
        <f>G76*H76</f>
        <v>381.2</v>
      </c>
      <c r="J76">
        <v>1</v>
      </c>
    </row>
    <row r="77" spans="1:19" x14ac:dyDescent="0.3">
      <c r="D77" s="15" t="str">
        <f>SUBSTITUTE("Sp.mat: 0.00%",".",IF(VALUE("1.2")=1.2,".",","),2)</f>
        <v>Sp.mat: 0.00%</v>
      </c>
      <c r="F77" s="15" t="str">
        <f>SUBSTITUTE("Sp.man: 0.00%",".",IF(VALUE("1.2")=1.2,".",","),2)</f>
        <v>Sp.man: 0.00%</v>
      </c>
      <c r="G77" s="35" t="str">
        <f>SUBSTITUTE("Sp.uti: 0.00%",".",IF(VALUE("1.2")=1.2,".",","),2)</f>
        <v>Sp.uti: 0.00%</v>
      </c>
      <c r="H77" s="38">
        <v>38.44</v>
      </c>
      <c r="I77" s="29">
        <f>G76*H77</f>
        <v>38.44</v>
      </c>
      <c r="J77">
        <v>2</v>
      </c>
    </row>
    <row r="78" spans="1:19" x14ac:dyDescent="0.3">
      <c r="A78" s="88" t="s">
        <v>318</v>
      </c>
      <c r="B78" s="98"/>
      <c r="C78" s="98"/>
      <c r="D78" s="98"/>
      <c r="E78" s="98"/>
      <c r="F78" s="98"/>
      <c r="G78" s="98"/>
      <c r="H78" s="38">
        <f>(1+IF(OR(ISERR(FIND(":",G77)),ISERR(FIND("%",G77))),0,MID(G77,FIND(":",G77)+2,FIND("%",G77)-FIND(":",G77)-2)/100))*0</f>
        <v>0</v>
      </c>
      <c r="I78" s="29">
        <f>G76*H78</f>
        <v>0</v>
      </c>
      <c r="J78">
        <v>3</v>
      </c>
      <c r="K78" s="4">
        <v>0</v>
      </c>
      <c r="L78" s="4">
        <v>0</v>
      </c>
      <c r="M78" s="4">
        <f>I78-K78-L78</f>
        <v>0</v>
      </c>
    </row>
    <row r="79" spans="1:19" x14ac:dyDescent="0.3">
      <c r="A79" s="98"/>
      <c r="B79" s="98"/>
      <c r="C79" s="98"/>
      <c r="D79" s="98"/>
      <c r="E79" s="98"/>
      <c r="F79" s="98"/>
      <c r="G79" s="98"/>
      <c r="H79" s="38">
        <f>0</f>
        <v>0</v>
      </c>
      <c r="I79" s="29">
        <f>G76*H79</f>
        <v>0</v>
      </c>
      <c r="J79">
        <v>4</v>
      </c>
      <c r="N79" s="4">
        <f>IF(ISERR(SEARCH("TRA* 82",C76)),IF(Q79+R79+S79=0,0,I79*(Q79/(Q79+R79+S79))),I79)</f>
        <v>0</v>
      </c>
      <c r="O79" s="4">
        <f>IF(ISERR(SEARCH("TRA* 82",C76)),IF(Q79+R79+S79=0,0,I79*(R79/(Q79+R79+S79))),0)</f>
        <v>0</v>
      </c>
      <c r="P79" s="4">
        <f>IF(ISERR(SEARCH("TRA* 82",C76)),I79-N79-O79,0)</f>
        <v>0</v>
      </c>
      <c r="Q79" s="4">
        <v>0</v>
      </c>
      <c r="R79" s="4">
        <v>0</v>
      </c>
      <c r="S79" s="4">
        <v>0</v>
      </c>
    </row>
    <row r="80" spans="1:19" x14ac:dyDescent="0.3">
      <c r="A80" s="100" t="s">
        <v>87</v>
      </c>
      <c r="B80" s="101"/>
      <c r="C80" s="101"/>
      <c r="D80" s="101"/>
      <c r="E80" s="101"/>
      <c r="F80" s="101"/>
      <c r="G80" s="101"/>
      <c r="H80" s="33">
        <f>H76+H77+H78+H79</f>
        <v>419.64</v>
      </c>
      <c r="I80" s="37">
        <f>I76+I77+I78+I79</f>
        <v>419.64</v>
      </c>
      <c r="J80">
        <v>5</v>
      </c>
    </row>
    <row r="81" spans="1:19" x14ac:dyDescent="0.3">
      <c r="A81" s="102" t="s">
        <v>607</v>
      </c>
      <c r="B81" s="102"/>
      <c r="C81" s="102"/>
      <c r="D81" s="102"/>
      <c r="E81" s="102"/>
      <c r="F81" s="102"/>
      <c r="G81" s="102"/>
      <c r="H81" s="102"/>
      <c r="I81" s="102"/>
    </row>
    <row r="82" spans="1:19" x14ac:dyDescent="0.3">
      <c r="A82" s="98" t="s">
        <v>593</v>
      </c>
      <c r="B82" s="98"/>
      <c r="C82" s="98"/>
      <c r="D82" s="98"/>
      <c r="E82" s="98"/>
      <c r="F82" s="98"/>
      <c r="G82" s="98"/>
      <c r="H82" s="98"/>
      <c r="I82" s="98"/>
    </row>
    <row r="83" spans="1:19" x14ac:dyDescent="0.3">
      <c r="A83" s="97" t="s">
        <v>596</v>
      </c>
      <c r="B83" s="97"/>
      <c r="C83" s="97"/>
      <c r="D83" s="97"/>
      <c r="E83" s="97"/>
      <c r="F83" s="97"/>
      <c r="G83" s="97"/>
      <c r="H83" s="97"/>
      <c r="I83" s="97"/>
    </row>
    <row r="84" spans="1:19" x14ac:dyDescent="0.3">
      <c r="B84" s="2">
        <v>10</v>
      </c>
      <c r="C84" s="3" t="s">
        <v>317</v>
      </c>
      <c r="D84" s="5" t="s">
        <v>29</v>
      </c>
      <c r="G84" s="30">
        <v>1</v>
      </c>
      <c r="H84" s="38">
        <v>429.85</v>
      </c>
      <c r="I84" s="29">
        <f>G84*H84</f>
        <v>429.85</v>
      </c>
      <c r="J84">
        <v>1</v>
      </c>
    </row>
    <row r="85" spans="1:19" x14ac:dyDescent="0.3">
      <c r="D85" s="15" t="str">
        <f>SUBSTITUTE("Sp.mat: 0.00%",".",IF(VALUE("1.2")=1.2,".",","),2)</f>
        <v>Sp.mat: 0.00%</v>
      </c>
      <c r="F85" s="15" t="str">
        <f>SUBSTITUTE("Sp.man: 0.00%",".",IF(VALUE("1.2")=1.2,".",","),2)</f>
        <v>Sp.man: 0.00%</v>
      </c>
      <c r="G85" s="35" t="str">
        <f>SUBSTITUTE("Sp.uti: 0.00%",".",IF(VALUE("1.2")=1.2,".",","),2)</f>
        <v>Sp.uti: 0.00%</v>
      </c>
      <c r="H85" s="38">
        <v>40.04</v>
      </c>
      <c r="I85" s="29">
        <f>G84*H85</f>
        <v>40.04</v>
      </c>
      <c r="J85">
        <v>2</v>
      </c>
    </row>
    <row r="86" spans="1:19" x14ac:dyDescent="0.3">
      <c r="A86" s="88" t="s">
        <v>318</v>
      </c>
      <c r="B86" s="98"/>
      <c r="C86" s="98"/>
      <c r="D86" s="98"/>
      <c r="E86" s="98"/>
      <c r="F86" s="98"/>
      <c r="G86" s="98"/>
      <c r="H86" s="38">
        <f>(1+IF(OR(ISERR(FIND(":",G85)),ISERR(FIND("%",G85))),0,MID(G85,FIND(":",G85)+2,FIND("%",G85)-FIND(":",G85)-2)/100))*0</f>
        <v>0</v>
      </c>
      <c r="I86" s="29">
        <f>G84*H86</f>
        <v>0</v>
      </c>
      <c r="J86">
        <v>3</v>
      </c>
      <c r="K86" s="4">
        <v>0</v>
      </c>
      <c r="L86" s="4">
        <v>0</v>
      </c>
      <c r="M86" s="4">
        <f>I86-K86-L86</f>
        <v>0</v>
      </c>
    </row>
    <row r="87" spans="1:19" x14ac:dyDescent="0.3">
      <c r="A87" s="98"/>
      <c r="B87" s="98"/>
      <c r="C87" s="98"/>
      <c r="D87" s="98"/>
      <c r="E87" s="98"/>
      <c r="F87" s="98"/>
      <c r="G87" s="98"/>
      <c r="H87" s="38">
        <f>0</f>
        <v>0</v>
      </c>
      <c r="I87" s="29">
        <f>G84*H87</f>
        <v>0</v>
      </c>
      <c r="J87">
        <v>4</v>
      </c>
      <c r="N87" s="4">
        <f>IF(ISERR(SEARCH("TRA* 82",C84)),IF(Q87+R87+S87=0,0,I87*(Q87/(Q87+R87+S87))),I87)</f>
        <v>0</v>
      </c>
      <c r="O87" s="4">
        <f>IF(ISERR(SEARCH("TRA* 82",C84)),IF(Q87+R87+S87=0,0,I87*(R87/(Q87+R87+S87))),0)</f>
        <v>0</v>
      </c>
      <c r="P87" s="4">
        <f>IF(ISERR(SEARCH("TRA* 82",C84)),I87-N87-O87,0)</f>
        <v>0</v>
      </c>
      <c r="Q87" s="4">
        <v>0</v>
      </c>
      <c r="R87" s="4">
        <v>0</v>
      </c>
      <c r="S87" s="4">
        <v>0</v>
      </c>
    </row>
    <row r="88" spans="1:19" x14ac:dyDescent="0.3">
      <c r="A88" s="100" t="s">
        <v>87</v>
      </c>
      <c r="B88" s="101"/>
      <c r="C88" s="101"/>
      <c r="D88" s="101"/>
      <c r="E88" s="101"/>
      <c r="F88" s="101"/>
      <c r="G88" s="101"/>
      <c r="H88" s="33">
        <f>H84+H85+H86+H87</f>
        <v>469.89000000000004</v>
      </c>
      <c r="I88" s="37">
        <f>I84+I85+I86+I87</f>
        <v>469.89000000000004</v>
      </c>
      <c r="J88">
        <v>5</v>
      </c>
    </row>
    <row r="89" spans="1:19" x14ac:dyDescent="0.3">
      <c r="A89" s="102" t="s">
        <v>608</v>
      </c>
      <c r="B89" s="102"/>
      <c r="C89" s="102"/>
      <c r="D89" s="102"/>
      <c r="E89" s="102"/>
      <c r="F89" s="102"/>
      <c r="G89" s="102"/>
      <c r="H89" s="102"/>
      <c r="I89" s="102"/>
    </row>
    <row r="90" spans="1:19" x14ac:dyDescent="0.3">
      <c r="A90" s="98" t="s">
        <v>593</v>
      </c>
      <c r="B90" s="98"/>
      <c r="C90" s="98"/>
      <c r="D90" s="98"/>
      <c r="E90" s="98"/>
      <c r="F90" s="98"/>
      <c r="G90" s="98"/>
      <c r="H90" s="98"/>
      <c r="I90" s="98"/>
    </row>
    <row r="91" spans="1:19" x14ac:dyDescent="0.3">
      <c r="A91" s="97" t="s">
        <v>596</v>
      </c>
      <c r="B91" s="97"/>
      <c r="C91" s="97"/>
      <c r="D91" s="97"/>
      <c r="E91" s="97"/>
      <c r="F91" s="97"/>
      <c r="G91" s="97"/>
      <c r="H91" s="97"/>
      <c r="I91" s="97"/>
    </row>
    <row r="92" spans="1:19" x14ac:dyDescent="0.3">
      <c r="B92" s="2">
        <v>11</v>
      </c>
      <c r="C92" s="3" t="s">
        <v>393</v>
      </c>
      <c r="D92" s="5" t="s">
        <v>25</v>
      </c>
      <c r="G92" s="30">
        <v>72</v>
      </c>
      <c r="H92" s="38">
        <f>275.08/G92</f>
        <v>3.8205555555555555</v>
      </c>
      <c r="I92" s="29">
        <f>G92*H92</f>
        <v>275.08</v>
      </c>
      <c r="J92">
        <v>1</v>
      </c>
    </row>
    <row r="93" spans="1:19" x14ac:dyDescent="0.3">
      <c r="D93" s="15" t="str">
        <f>SUBSTITUTE("Sp.mat: 0.00%",".",IF(VALUE("1.2")=1.2,".",","),2)</f>
        <v>Sp.mat: 0.00%</v>
      </c>
      <c r="F93" s="15" t="str">
        <f>SUBSTITUTE("Sp.man: 0.00%",".",IF(VALUE("1.2")=1.2,".",","),2)</f>
        <v>Sp.man: 0.00%</v>
      </c>
      <c r="G93" s="35" t="str">
        <f>SUBSTITUTE("Sp.uti: 0.00%",".",IF(VALUE("1.2")=1.2,".",","),2)</f>
        <v>Sp.uti: 0.00%</v>
      </c>
      <c r="H93" s="38">
        <f>1268.55/G92</f>
        <v>17.618749999999999</v>
      </c>
      <c r="I93" s="29">
        <f>G92*H93</f>
        <v>1268.55</v>
      </c>
      <c r="J93">
        <v>2</v>
      </c>
    </row>
    <row r="94" spans="1:19" x14ac:dyDescent="0.3">
      <c r="A94" s="88" t="s">
        <v>394</v>
      </c>
      <c r="B94" s="98"/>
      <c r="C94" s="98"/>
      <c r="D94" s="98"/>
      <c r="E94" s="98"/>
      <c r="F94" s="98"/>
      <c r="G94" s="98"/>
      <c r="H94" s="38">
        <f>(1+IF(OR(ISERR(FIND(":",G93)),ISERR(FIND("%",G93))),0,MID(G93,FIND(":",G93)+2,FIND("%",G93)-FIND(":",G93)-2)/100))*0</f>
        <v>0</v>
      </c>
      <c r="I94" s="29">
        <f>G92*H94</f>
        <v>0</v>
      </c>
      <c r="J94">
        <v>3</v>
      </c>
      <c r="K94" s="4">
        <v>0</v>
      </c>
      <c r="L94" s="4">
        <v>0</v>
      </c>
      <c r="M94" s="4">
        <f>I94-K94-L94</f>
        <v>0</v>
      </c>
    </row>
    <row r="95" spans="1:19" x14ac:dyDescent="0.3">
      <c r="A95" s="98"/>
      <c r="B95" s="98"/>
      <c r="C95" s="98"/>
      <c r="D95" s="98"/>
      <c r="E95" s="98"/>
      <c r="F95" s="98"/>
      <c r="G95" s="98"/>
      <c r="H95" s="38">
        <f>0</f>
        <v>0</v>
      </c>
      <c r="I95" s="29">
        <f>G92*H95</f>
        <v>0</v>
      </c>
      <c r="J95">
        <v>4</v>
      </c>
      <c r="N95" s="4">
        <f>IF(ISERR(SEARCH("TRA* 82",C92)),IF(Q95+R95+S95=0,0,I95*(Q95/(Q95+R95+S95))),I95)</f>
        <v>0</v>
      </c>
      <c r="O95" s="4">
        <f>IF(ISERR(SEARCH("TRA* 82",C92)),IF(Q95+R95+S95=0,0,I95*(R95/(Q95+R95+S95))),0)</f>
        <v>0</v>
      </c>
      <c r="P95" s="4">
        <f>IF(ISERR(SEARCH("TRA* 82",C92)),I95-N95-O95,0)</f>
        <v>0</v>
      </c>
      <c r="Q95" s="4">
        <v>0</v>
      </c>
      <c r="R95" s="4">
        <v>0</v>
      </c>
      <c r="S95" s="4">
        <v>0</v>
      </c>
    </row>
    <row r="96" spans="1:19" x14ac:dyDescent="0.3">
      <c r="A96" s="96" t="s">
        <v>27</v>
      </c>
      <c r="B96" s="97"/>
      <c r="C96" s="97"/>
      <c r="D96" s="97"/>
      <c r="E96" s="97"/>
      <c r="F96" s="97"/>
      <c r="G96" s="97"/>
      <c r="H96" s="36">
        <f>H92+H93+H94+H95</f>
        <v>21.439305555555553</v>
      </c>
      <c r="I96" s="74">
        <f>I92+I93+I94+I95</f>
        <v>1543.6299999999999</v>
      </c>
      <c r="J96">
        <v>5</v>
      </c>
    </row>
    <row r="97" spans="1:19" x14ac:dyDescent="0.3">
      <c r="B97" s="2">
        <v>12</v>
      </c>
      <c r="C97" s="3" t="s">
        <v>393</v>
      </c>
      <c r="D97" s="5" t="s">
        <v>25</v>
      </c>
      <c r="G97" s="30">
        <v>60</v>
      </c>
      <c r="H97" s="38">
        <f>276.13/G97</f>
        <v>4.6021666666666663</v>
      </c>
      <c r="I97" s="29">
        <f>G97*H97</f>
        <v>276.13</v>
      </c>
      <c r="J97">
        <v>1</v>
      </c>
    </row>
    <row r="98" spans="1:19" x14ac:dyDescent="0.3">
      <c r="D98" s="15" t="str">
        <f>SUBSTITUTE("Sp.mat: 0.00%",".",IF(VALUE("1.2")=1.2,".",","),2)</f>
        <v>Sp.mat: 0.00%</v>
      </c>
      <c r="F98" s="15" t="str">
        <f>SUBSTITUTE("Sp.man: 0.00%",".",IF(VALUE("1.2")=1.2,".",","),2)</f>
        <v>Sp.man: 0.00%</v>
      </c>
      <c r="G98" s="35" t="str">
        <f>SUBSTITUTE("Sp.uti: 0.00%",".",IF(VALUE("1.2")=1.2,".",","),2)</f>
        <v>Sp.uti: 0.00%</v>
      </c>
      <c r="H98" s="38">
        <f>1057.12/G97</f>
        <v>17.618666666666666</v>
      </c>
      <c r="I98" s="29">
        <f>G97*H98</f>
        <v>1057.1199999999999</v>
      </c>
      <c r="J98">
        <v>2</v>
      </c>
    </row>
    <row r="99" spans="1:19" x14ac:dyDescent="0.3">
      <c r="A99" s="88" t="s">
        <v>394</v>
      </c>
      <c r="B99" s="98"/>
      <c r="C99" s="98"/>
      <c r="D99" s="98"/>
      <c r="E99" s="98"/>
      <c r="F99" s="98"/>
      <c r="G99" s="98"/>
      <c r="H99" s="38">
        <f>(1+IF(OR(ISERR(FIND(":",G98)),ISERR(FIND("%",G98))),0,MID(G98,FIND(":",G98)+2,FIND("%",G98)-FIND(":",G98)-2)/100))*0</f>
        <v>0</v>
      </c>
      <c r="I99" s="29">
        <f>G97*H99</f>
        <v>0</v>
      </c>
      <c r="J99">
        <v>3</v>
      </c>
      <c r="K99" s="4">
        <v>0</v>
      </c>
      <c r="L99" s="4">
        <v>0</v>
      </c>
      <c r="M99" s="4">
        <f>I99-K99-L99</f>
        <v>0</v>
      </c>
    </row>
    <row r="100" spans="1:19" x14ac:dyDescent="0.3">
      <c r="A100" s="98"/>
      <c r="B100" s="98"/>
      <c r="C100" s="98"/>
      <c r="D100" s="98"/>
      <c r="E100" s="98"/>
      <c r="F100" s="98"/>
      <c r="G100" s="98"/>
      <c r="H100" s="38">
        <f>0</f>
        <v>0</v>
      </c>
      <c r="I100" s="29">
        <f>G97*H100</f>
        <v>0</v>
      </c>
      <c r="J100">
        <v>4</v>
      </c>
      <c r="N100" s="4">
        <f>IF(ISERR(SEARCH("TRA* 82",C97)),IF(Q100+R100+S100=0,0,I100*(Q100/(Q100+R100+S100))),I100)</f>
        <v>0</v>
      </c>
      <c r="O100" s="4">
        <f>IF(ISERR(SEARCH("TRA* 82",C97)),IF(Q100+R100+S100=0,0,I100*(R100/(Q100+R100+S100))),0)</f>
        <v>0</v>
      </c>
      <c r="P100" s="4">
        <f>IF(ISERR(SEARCH("TRA* 82",C97)),I100-N100-O100,0)</f>
        <v>0</v>
      </c>
      <c r="Q100" s="4">
        <v>0</v>
      </c>
      <c r="R100" s="4">
        <v>0</v>
      </c>
      <c r="S100" s="4">
        <v>0</v>
      </c>
    </row>
    <row r="101" spans="1:19" x14ac:dyDescent="0.3">
      <c r="A101" s="96" t="s">
        <v>27</v>
      </c>
      <c r="B101" s="97"/>
      <c r="C101" s="97"/>
      <c r="D101" s="97"/>
      <c r="E101" s="97"/>
      <c r="F101" s="97"/>
      <c r="G101" s="97"/>
      <c r="H101" s="36">
        <f>H97+H98+H99+H100</f>
        <v>22.220833333333331</v>
      </c>
      <c r="I101" s="74">
        <f>I97+I98+I99+I100</f>
        <v>1333.25</v>
      </c>
      <c r="J101">
        <v>5</v>
      </c>
    </row>
    <row r="102" spans="1:19" x14ac:dyDescent="0.3">
      <c r="B102" s="2">
        <v>13</v>
      </c>
      <c r="C102" s="3" t="s">
        <v>398</v>
      </c>
      <c r="D102" s="5" t="s">
        <v>25</v>
      </c>
      <c r="G102" s="30">
        <v>35</v>
      </c>
      <c r="H102" s="38">
        <f>240.93/G102</f>
        <v>6.8837142857142863</v>
      </c>
      <c r="I102" s="29">
        <f>G102*H102</f>
        <v>240.93000000000004</v>
      </c>
      <c r="J102">
        <v>1</v>
      </c>
    </row>
    <row r="103" spans="1:19" x14ac:dyDescent="0.3">
      <c r="D103" s="15" t="str">
        <f>SUBSTITUTE("Sp.mat: 0.00%",".",IF(VALUE("1.2")=1.2,".",","),2)</f>
        <v>Sp.mat: 0.00%</v>
      </c>
      <c r="F103" s="15" t="str">
        <f>SUBSTITUTE("Sp.man: 0.00%",".",IF(VALUE("1.2")=1.2,".",","),2)</f>
        <v>Sp.man: 0.00%</v>
      </c>
      <c r="G103" s="35" t="str">
        <f>SUBSTITUTE("Sp.uti: 0.00%",".",IF(VALUE("1.2")=1.2,".",","),2)</f>
        <v>Sp.uti: 0.00%</v>
      </c>
      <c r="H103" s="38">
        <f>532.57/G102</f>
        <v>15.216285714285716</v>
      </c>
      <c r="I103" s="29">
        <f>G102*H103</f>
        <v>532.57000000000005</v>
      </c>
      <c r="J103">
        <v>2</v>
      </c>
    </row>
    <row r="104" spans="1:19" x14ac:dyDescent="0.3">
      <c r="A104" s="88" t="s">
        <v>399</v>
      </c>
      <c r="B104" s="98"/>
      <c r="C104" s="98"/>
      <c r="D104" s="98"/>
      <c r="E104" s="98"/>
      <c r="F104" s="98"/>
      <c r="G104" s="98"/>
      <c r="H104" s="38">
        <f>(1+IF(OR(ISERR(FIND(":",G103)),ISERR(FIND("%",G103))),0,MID(G103,FIND(":",G103)+2,FIND("%",G103)-FIND(":",G103)-2)/100))*0</f>
        <v>0</v>
      </c>
      <c r="I104" s="29">
        <f>G102*H104</f>
        <v>0</v>
      </c>
      <c r="J104">
        <v>3</v>
      </c>
      <c r="K104" s="4">
        <v>0</v>
      </c>
      <c r="L104" s="4">
        <v>0</v>
      </c>
      <c r="M104" s="4">
        <f>I104-K104-L104</f>
        <v>0</v>
      </c>
    </row>
    <row r="105" spans="1:19" x14ac:dyDescent="0.3">
      <c r="A105" s="98"/>
      <c r="B105" s="98"/>
      <c r="C105" s="98"/>
      <c r="D105" s="98"/>
      <c r="E105" s="98"/>
      <c r="F105" s="98"/>
      <c r="G105" s="98"/>
      <c r="H105" s="38">
        <f>0</f>
        <v>0</v>
      </c>
      <c r="I105" s="29">
        <f>G102*H105</f>
        <v>0</v>
      </c>
      <c r="J105">
        <v>4</v>
      </c>
      <c r="N105" s="4">
        <f>IF(ISERR(SEARCH("TRA* 82",C102)),IF(Q105+R105+S105=0,0,I105*(Q105/(Q105+R105+S105))),I105)</f>
        <v>0</v>
      </c>
      <c r="O105" s="4">
        <f>IF(ISERR(SEARCH("TRA* 82",C102)),IF(Q105+R105+S105=0,0,I105*(R105/(Q105+R105+S105))),0)</f>
        <v>0</v>
      </c>
      <c r="P105" s="4">
        <f>IF(ISERR(SEARCH("TRA* 82",C102)),I105-N105-O105,0)</f>
        <v>0</v>
      </c>
      <c r="Q105" s="4">
        <v>0</v>
      </c>
      <c r="R105" s="4">
        <v>0</v>
      </c>
      <c r="S105" s="4">
        <v>0</v>
      </c>
    </row>
    <row r="106" spans="1:19" x14ac:dyDescent="0.3">
      <c r="A106" s="96" t="s">
        <v>27</v>
      </c>
      <c r="B106" s="97"/>
      <c r="C106" s="97"/>
      <c r="D106" s="97"/>
      <c r="E106" s="97"/>
      <c r="F106" s="97"/>
      <c r="G106" s="97"/>
      <c r="H106" s="36">
        <f>H102+H103+H104+H105</f>
        <v>22.1</v>
      </c>
      <c r="I106" s="74">
        <f>I102+I103+I104+I105</f>
        <v>773.50000000000011</v>
      </c>
      <c r="J106">
        <v>5</v>
      </c>
    </row>
    <row r="107" spans="1:19" x14ac:dyDescent="0.3">
      <c r="B107" s="2">
        <v>14</v>
      </c>
      <c r="C107" s="3" t="s">
        <v>398</v>
      </c>
      <c r="D107" s="5" t="s">
        <v>25</v>
      </c>
      <c r="G107" s="30">
        <v>20</v>
      </c>
      <c r="H107" s="38">
        <f>186.36/G107</f>
        <v>9.3180000000000014</v>
      </c>
      <c r="I107" s="29">
        <f>G107*H107</f>
        <v>186.36</v>
      </c>
      <c r="J107">
        <v>1</v>
      </c>
    </row>
    <row r="108" spans="1:19" x14ac:dyDescent="0.3">
      <c r="D108" s="15" t="str">
        <f>SUBSTITUTE("Sp.mat: 0.00%",".",IF(VALUE("1.2")=1.2,".",","),2)</f>
        <v>Sp.mat: 0.00%</v>
      </c>
      <c r="F108" s="15" t="str">
        <f>SUBSTITUTE("Sp.man: 0.00%",".",IF(VALUE("1.2")=1.2,".",","),2)</f>
        <v>Sp.man: 0.00%</v>
      </c>
      <c r="G108" s="35" t="str">
        <f>SUBSTITUTE("Sp.uti: 0.00%",".",IF(VALUE("1.2")=1.2,".",","),2)</f>
        <v>Sp.uti: 0.00%</v>
      </c>
      <c r="H108" s="38">
        <f>304.32/G107</f>
        <v>15.215999999999999</v>
      </c>
      <c r="I108" s="29">
        <f>G107*H108</f>
        <v>304.32</v>
      </c>
      <c r="J108">
        <v>2</v>
      </c>
    </row>
    <row r="109" spans="1:19" x14ac:dyDescent="0.3">
      <c r="A109" s="88" t="s">
        <v>399</v>
      </c>
      <c r="B109" s="98"/>
      <c r="C109" s="98"/>
      <c r="D109" s="98"/>
      <c r="E109" s="98"/>
      <c r="F109" s="98"/>
      <c r="G109" s="98"/>
      <c r="H109" s="38">
        <f>(1+IF(OR(ISERR(FIND(":",G108)),ISERR(FIND("%",G108))),0,MID(G108,FIND(":",G108)+2,FIND("%",G108)-FIND(":",G108)-2)/100))*0</f>
        <v>0</v>
      </c>
      <c r="I109" s="29">
        <f>G107*H109</f>
        <v>0</v>
      </c>
      <c r="J109">
        <v>3</v>
      </c>
      <c r="K109" s="4">
        <v>0</v>
      </c>
      <c r="L109" s="4">
        <v>0</v>
      </c>
      <c r="M109" s="4">
        <f>I109-K109-L109</f>
        <v>0</v>
      </c>
    </row>
    <row r="110" spans="1:19" x14ac:dyDescent="0.3">
      <c r="A110" s="98"/>
      <c r="B110" s="98"/>
      <c r="C110" s="98"/>
      <c r="D110" s="98"/>
      <c r="E110" s="98"/>
      <c r="F110" s="98"/>
      <c r="G110" s="98"/>
      <c r="H110" s="38">
        <f>0</f>
        <v>0</v>
      </c>
      <c r="I110" s="29">
        <f>G107*H110</f>
        <v>0</v>
      </c>
      <c r="J110">
        <v>4</v>
      </c>
      <c r="N110" s="4">
        <f>IF(ISERR(SEARCH("TRA* 82",C107)),IF(Q110+R110+S110=0,0,I110*(Q110/(Q110+R110+S110))),I110)</f>
        <v>0</v>
      </c>
      <c r="O110" s="4">
        <f>IF(ISERR(SEARCH("TRA* 82",C107)),IF(Q110+R110+S110=0,0,I110*(R110/(Q110+R110+S110))),0)</f>
        <v>0</v>
      </c>
      <c r="P110" s="4">
        <f>IF(ISERR(SEARCH("TRA* 82",C107)),I110-N110-O110,0)</f>
        <v>0</v>
      </c>
      <c r="Q110" s="4">
        <v>0</v>
      </c>
      <c r="R110" s="4">
        <v>0</v>
      </c>
      <c r="S110" s="4">
        <v>0</v>
      </c>
    </row>
    <row r="111" spans="1:19" x14ac:dyDescent="0.3">
      <c r="A111" s="96" t="s">
        <v>27</v>
      </c>
      <c r="B111" s="97"/>
      <c r="C111" s="97"/>
      <c r="D111" s="97"/>
      <c r="E111" s="97"/>
      <c r="F111" s="97"/>
      <c r="G111" s="97"/>
      <c r="H111" s="36">
        <f>H107+H108+H109+H110</f>
        <v>24.533999999999999</v>
      </c>
      <c r="I111" s="74">
        <f>I107+I108+I109+I110</f>
        <v>490.68</v>
      </c>
      <c r="J111">
        <v>5</v>
      </c>
    </row>
    <row r="112" spans="1:19" x14ac:dyDescent="0.3">
      <c r="B112" s="2">
        <v>15</v>
      </c>
      <c r="C112" s="3" t="s">
        <v>238</v>
      </c>
      <c r="D112" s="5" t="s">
        <v>25</v>
      </c>
      <c r="G112" s="30">
        <v>187</v>
      </c>
      <c r="H112" s="38">
        <f>49.09/G112</f>
        <v>0.26251336898395722</v>
      </c>
      <c r="I112" s="29">
        <f>G112*H112</f>
        <v>49.089999999999996</v>
      </c>
      <c r="J112">
        <v>1</v>
      </c>
    </row>
    <row r="113" spans="1:19" x14ac:dyDescent="0.3">
      <c r="D113" s="15" t="str">
        <f>SUBSTITUTE("Sp.mat: 0.00%",".",IF(VALUE("1.2")=1.2,".",","),2)</f>
        <v>Sp.mat: 0.00%</v>
      </c>
      <c r="F113" s="15" t="str">
        <f>SUBSTITUTE("Sp.man: 0.00%",".",IF(VALUE("1.2")=1.2,".",","),2)</f>
        <v>Sp.man: 0.00%</v>
      </c>
      <c r="G113" s="35" t="str">
        <f>SUBSTITUTE("Sp.uti: 0.00%",".",IF(VALUE("1.2")=1.2,".",","),2)</f>
        <v>Sp.uti: 0.00%</v>
      </c>
      <c r="H113" s="38">
        <f>359.42/G112</f>
        <v>1.9220320855614974</v>
      </c>
      <c r="I113" s="29">
        <f>G112*H113</f>
        <v>359.42</v>
      </c>
      <c r="J113">
        <v>2</v>
      </c>
    </row>
    <row r="114" spans="1:19" x14ac:dyDescent="0.3">
      <c r="A114" s="88" t="s">
        <v>239</v>
      </c>
      <c r="B114" s="98"/>
      <c r="C114" s="98"/>
      <c r="D114" s="98"/>
      <c r="E114" s="98"/>
      <c r="F114" s="98"/>
      <c r="G114" s="98"/>
      <c r="H114" s="38">
        <f>5.84/G112</f>
        <v>3.1229946524064172E-2</v>
      </c>
      <c r="I114" s="29">
        <f>G112*H114</f>
        <v>5.84</v>
      </c>
      <c r="J114">
        <v>3</v>
      </c>
      <c r="K114" s="4">
        <v>0</v>
      </c>
      <c r="L114" s="4">
        <v>0</v>
      </c>
      <c r="M114" s="4">
        <f>I114-K114-L114</f>
        <v>5.84</v>
      </c>
    </row>
    <row r="115" spans="1:19" x14ac:dyDescent="0.3">
      <c r="A115" s="98"/>
      <c r="B115" s="98"/>
      <c r="C115" s="98"/>
      <c r="D115" s="98"/>
      <c r="E115" s="98"/>
      <c r="F115" s="98"/>
      <c r="G115" s="98"/>
      <c r="H115" s="38">
        <f>0</f>
        <v>0</v>
      </c>
      <c r="I115" s="29">
        <f>G112*H115</f>
        <v>0</v>
      </c>
      <c r="J115">
        <v>4</v>
      </c>
      <c r="N115" s="4">
        <f>IF(ISERR(SEARCH("TRA* 82",C112)),IF(Q115+R115+S115=0,0,I115*(Q115/(Q115+R115+S115))),I115)</f>
        <v>0</v>
      </c>
      <c r="O115" s="4">
        <f>IF(ISERR(SEARCH("TRA* 82",C112)),IF(Q115+R115+S115=0,0,I115*(R115/(Q115+R115+S115))),0)</f>
        <v>0</v>
      </c>
      <c r="P115" s="4">
        <f>IF(ISERR(SEARCH("TRA* 82",C112)),I115-N115-O115,0)</f>
        <v>0</v>
      </c>
      <c r="Q115" s="4">
        <v>0</v>
      </c>
      <c r="R115" s="4">
        <v>0</v>
      </c>
      <c r="S115" s="4">
        <v>0</v>
      </c>
    </row>
    <row r="116" spans="1:19" x14ac:dyDescent="0.3">
      <c r="A116" s="96" t="s">
        <v>240</v>
      </c>
      <c r="B116" s="97"/>
      <c r="C116" s="97"/>
      <c r="D116" s="97"/>
      <c r="E116" s="97"/>
      <c r="F116" s="97"/>
      <c r="G116" s="97"/>
      <c r="H116" s="36">
        <f>H112+H113+H114+H115</f>
        <v>2.2157754010695188</v>
      </c>
      <c r="I116" s="74">
        <f>I112+I113+I114+I115</f>
        <v>414.34999999999997</v>
      </c>
      <c r="J116">
        <v>5</v>
      </c>
    </row>
    <row r="117" spans="1:19" x14ac:dyDescent="0.3">
      <c r="B117" s="2">
        <v>16</v>
      </c>
      <c r="C117" s="3" t="s">
        <v>565</v>
      </c>
      <c r="D117" s="5" t="s">
        <v>25</v>
      </c>
      <c r="G117" s="30">
        <v>72</v>
      </c>
      <c r="H117" s="38">
        <f>83.22/G117</f>
        <v>1.1558333333333333</v>
      </c>
      <c r="I117" s="29">
        <f>G117*H117</f>
        <v>83.22</v>
      </c>
      <c r="J117">
        <v>1</v>
      </c>
    </row>
    <row r="118" spans="1:19" x14ac:dyDescent="0.3">
      <c r="D118" s="15" t="str">
        <f>SUBSTITUTE("Sp.mat: 0.00%",".",IF(VALUE("1.2")=1.2,".",","),2)</f>
        <v>Sp.mat: 0.00%</v>
      </c>
      <c r="F118" s="15" t="str">
        <f>SUBSTITUTE("Sp.man: 0.00%",".",IF(VALUE("1.2")=1.2,".",","),2)</f>
        <v>Sp.man: 0.00%</v>
      </c>
      <c r="G118" s="35" t="str">
        <f>SUBSTITUTE("Sp.uti: 0.00%",".",IF(VALUE("1.2")=1.2,".",","),2)</f>
        <v>Sp.uti: 0.00%</v>
      </c>
      <c r="H118" s="38">
        <f>(1+IF(OR(ISERR(FIND(":",F118)),ISERR(FIND("%",F118))),0,MID(F118,FIND(":",F118)+2,FIND("%",F118)-FIND(":",F118)-2)/100))*0</f>
        <v>0</v>
      </c>
      <c r="I118" s="29">
        <f>G117*H118</f>
        <v>0</v>
      </c>
      <c r="J118">
        <v>2</v>
      </c>
    </row>
    <row r="119" spans="1:19" x14ac:dyDescent="0.3">
      <c r="A119" s="88" t="s">
        <v>566</v>
      </c>
      <c r="B119" s="98"/>
      <c r="C119" s="98"/>
      <c r="D119" s="98"/>
      <c r="E119" s="98"/>
      <c r="F119" s="98"/>
      <c r="G119" s="98"/>
      <c r="H119" s="38">
        <f>(1+IF(OR(ISERR(FIND(":",G118)),ISERR(FIND("%",G118))),0,MID(G118,FIND(":",G118)+2,FIND("%",G118)-FIND(":",G118)-2)/100))*0</f>
        <v>0</v>
      </c>
      <c r="I119" s="29">
        <f>G117*H119</f>
        <v>0</v>
      </c>
      <c r="J119">
        <v>3</v>
      </c>
      <c r="K119" s="4">
        <v>0</v>
      </c>
      <c r="L119" s="4">
        <v>0</v>
      </c>
      <c r="M119" s="4">
        <f>I119-K119-L119</f>
        <v>0</v>
      </c>
    </row>
    <row r="120" spans="1:19" x14ac:dyDescent="0.3">
      <c r="A120" s="98"/>
      <c r="B120" s="98"/>
      <c r="C120" s="98"/>
      <c r="D120" s="98"/>
      <c r="E120" s="98"/>
      <c r="F120" s="98"/>
      <c r="G120" s="98"/>
      <c r="H120" s="38">
        <f>0</f>
        <v>0</v>
      </c>
      <c r="I120" s="29">
        <f>G117*H120</f>
        <v>0</v>
      </c>
      <c r="J120">
        <v>4</v>
      </c>
      <c r="N120" s="4">
        <f>IF(ISERR(SEARCH("TRA* 82",C117)),IF(Q120+R120+S120=0,0,I120*(Q120/(Q120+R120+S120))),I120)</f>
        <v>0</v>
      </c>
      <c r="O120" s="4">
        <f>IF(ISERR(SEARCH("TRA* 82",C117)),IF(Q120+R120+S120=0,0,I120*(R120/(Q120+R120+S120))),0)</f>
        <v>0</v>
      </c>
      <c r="P120" s="4">
        <f>IF(ISERR(SEARCH("TRA* 82",C117)),I120-N120-O120,0)</f>
        <v>0</v>
      </c>
      <c r="Q120" s="4">
        <v>0</v>
      </c>
      <c r="R120" s="4">
        <v>0</v>
      </c>
      <c r="S120" s="4">
        <v>0</v>
      </c>
    </row>
    <row r="121" spans="1:19" x14ac:dyDescent="0.3">
      <c r="A121" s="96" t="s">
        <v>27</v>
      </c>
      <c r="B121" s="97"/>
      <c r="C121" s="97"/>
      <c r="D121" s="97"/>
      <c r="E121" s="97"/>
      <c r="F121" s="97"/>
      <c r="G121" s="97"/>
      <c r="H121" s="36">
        <f>H117+H118+H119+H120</f>
        <v>1.1558333333333333</v>
      </c>
      <c r="I121" s="74">
        <f>I117+I118+I119+I120</f>
        <v>83.22</v>
      </c>
      <c r="J121">
        <v>5</v>
      </c>
    </row>
    <row r="122" spans="1:19" x14ac:dyDescent="0.3">
      <c r="B122" s="2">
        <v>17</v>
      </c>
      <c r="C122" s="3" t="s">
        <v>619</v>
      </c>
      <c r="D122" s="5" t="s">
        <v>25</v>
      </c>
      <c r="G122" s="30">
        <v>60</v>
      </c>
      <c r="H122" s="38">
        <f>108.92/G122</f>
        <v>1.8153333333333335</v>
      </c>
      <c r="I122" s="29">
        <f>G122*H122</f>
        <v>108.92</v>
      </c>
      <c r="J122">
        <v>1</v>
      </c>
    </row>
    <row r="123" spans="1:19" x14ac:dyDescent="0.3">
      <c r="D123" s="15" t="str">
        <f>SUBSTITUTE("Sp.mat: 0.00%",".",IF(VALUE("1.2")=1.2,".",","),2)</f>
        <v>Sp.mat: 0.00%</v>
      </c>
      <c r="F123" s="15" t="str">
        <f>SUBSTITUTE("Sp.man: 0.00%",".",IF(VALUE("1.2")=1.2,".",","),2)</f>
        <v>Sp.man: 0.00%</v>
      </c>
      <c r="G123" s="35" t="str">
        <f>SUBSTITUTE("Sp.uti: 0.00%",".",IF(VALUE("1.2")=1.2,".",","),2)</f>
        <v>Sp.uti: 0.00%</v>
      </c>
      <c r="H123" s="38">
        <f>(1+IF(OR(ISERR(FIND(":",F123)),ISERR(FIND("%",F123))),0,MID(F123,FIND(":",F123)+2,FIND("%",F123)-FIND(":",F123)-2)/100))*0</f>
        <v>0</v>
      </c>
      <c r="I123" s="29">
        <f>G122*H123</f>
        <v>0</v>
      </c>
      <c r="J123">
        <v>2</v>
      </c>
    </row>
    <row r="124" spans="1:19" x14ac:dyDescent="0.3">
      <c r="A124" s="88" t="s">
        <v>620</v>
      </c>
      <c r="B124" s="98"/>
      <c r="C124" s="98"/>
      <c r="D124" s="98"/>
      <c r="E124" s="98"/>
      <c r="F124" s="98"/>
      <c r="G124" s="98"/>
      <c r="H124" s="38">
        <f>(1+IF(OR(ISERR(FIND(":",G123)),ISERR(FIND("%",G123))),0,MID(G123,FIND(":",G123)+2,FIND("%",G123)-FIND(":",G123)-2)/100))*0</f>
        <v>0</v>
      </c>
      <c r="I124" s="29">
        <f>G122*H124</f>
        <v>0</v>
      </c>
      <c r="J124">
        <v>3</v>
      </c>
      <c r="K124" s="4">
        <v>0</v>
      </c>
      <c r="L124" s="4">
        <v>0</v>
      </c>
      <c r="M124" s="4">
        <f>I124-K124-L124</f>
        <v>0</v>
      </c>
    </row>
    <row r="125" spans="1:19" x14ac:dyDescent="0.3">
      <c r="A125" s="98"/>
      <c r="B125" s="98"/>
      <c r="C125" s="98"/>
      <c r="D125" s="98"/>
      <c r="E125" s="98"/>
      <c r="F125" s="98"/>
      <c r="G125" s="98"/>
      <c r="H125" s="38">
        <f>0</f>
        <v>0</v>
      </c>
      <c r="I125" s="29">
        <f>G122*H125</f>
        <v>0</v>
      </c>
      <c r="J125">
        <v>4</v>
      </c>
      <c r="N125" s="4">
        <f>IF(ISERR(SEARCH("TRA* 82",C122)),IF(Q125+R125+S125=0,0,I125*(Q125/(Q125+R125+S125))),I125)</f>
        <v>0</v>
      </c>
      <c r="O125" s="4">
        <f>IF(ISERR(SEARCH("TRA* 82",C122)),IF(Q125+R125+S125=0,0,I125*(R125/(Q125+R125+S125))),0)</f>
        <v>0</v>
      </c>
      <c r="P125" s="4">
        <f>IF(ISERR(SEARCH("TRA* 82",C122)),I125-N125-O125,0)</f>
        <v>0</v>
      </c>
      <c r="Q125" s="4">
        <v>0</v>
      </c>
      <c r="R125" s="4">
        <v>0</v>
      </c>
      <c r="S125" s="4">
        <v>0</v>
      </c>
    </row>
    <row r="126" spans="1:19" x14ac:dyDescent="0.3">
      <c r="A126" s="96" t="s">
        <v>27</v>
      </c>
      <c r="B126" s="97"/>
      <c r="C126" s="97"/>
      <c r="D126" s="97"/>
      <c r="E126" s="97"/>
      <c r="F126" s="97"/>
      <c r="G126" s="97"/>
      <c r="H126" s="36">
        <f>H122+H123+H124+H125</f>
        <v>1.8153333333333335</v>
      </c>
      <c r="I126" s="74">
        <f>I122+I123+I124+I125</f>
        <v>108.92</v>
      </c>
      <c r="J126">
        <v>5</v>
      </c>
    </row>
    <row r="127" spans="1:19" x14ac:dyDescent="0.3">
      <c r="B127" s="2">
        <v>18</v>
      </c>
      <c r="C127" s="3" t="s">
        <v>621</v>
      </c>
      <c r="D127" s="5" t="s">
        <v>25</v>
      </c>
      <c r="G127" s="30">
        <v>35</v>
      </c>
      <c r="H127" s="38">
        <f>78.48/G127</f>
        <v>2.2422857142857144</v>
      </c>
      <c r="I127" s="29">
        <f>G127*H127</f>
        <v>78.48</v>
      </c>
      <c r="J127">
        <v>1</v>
      </c>
    </row>
    <row r="128" spans="1:19" x14ac:dyDescent="0.3">
      <c r="D128" s="15" t="str">
        <f>SUBSTITUTE("Sp.mat: 0.00%",".",IF(VALUE("1.2")=1.2,".",","),2)</f>
        <v>Sp.mat: 0.00%</v>
      </c>
      <c r="F128" s="15" t="str">
        <f>SUBSTITUTE("Sp.man: 0.00%",".",IF(VALUE("1.2")=1.2,".",","),2)</f>
        <v>Sp.man: 0.00%</v>
      </c>
      <c r="G128" s="35" t="str">
        <f>SUBSTITUTE("Sp.uti: 0.00%",".",IF(VALUE("1.2")=1.2,".",","),2)</f>
        <v>Sp.uti: 0.00%</v>
      </c>
      <c r="H128" s="38">
        <f>(1+IF(OR(ISERR(FIND(":",F128)),ISERR(FIND("%",F128))),0,MID(F128,FIND(":",F128)+2,FIND("%",F128)-FIND(":",F128)-2)/100))*0</f>
        <v>0</v>
      </c>
      <c r="I128" s="29">
        <f>G127*H128</f>
        <v>0</v>
      </c>
      <c r="J128">
        <v>2</v>
      </c>
    </row>
    <row r="129" spans="1:19" x14ac:dyDescent="0.3">
      <c r="A129" s="88" t="s">
        <v>622</v>
      </c>
      <c r="B129" s="98"/>
      <c r="C129" s="98"/>
      <c r="D129" s="98"/>
      <c r="E129" s="98"/>
      <c r="F129" s="98"/>
      <c r="G129" s="98"/>
      <c r="H129" s="38">
        <f>(1+IF(OR(ISERR(FIND(":",G128)),ISERR(FIND("%",G128))),0,MID(G128,FIND(":",G128)+2,FIND("%",G128)-FIND(":",G128)-2)/100))*0</f>
        <v>0</v>
      </c>
      <c r="I129" s="29">
        <f>G127*H129</f>
        <v>0</v>
      </c>
      <c r="J129">
        <v>3</v>
      </c>
      <c r="K129" s="4">
        <v>0</v>
      </c>
      <c r="L129" s="4">
        <v>0</v>
      </c>
      <c r="M129" s="4">
        <f>I129-K129-L129</f>
        <v>0</v>
      </c>
    </row>
    <row r="130" spans="1:19" x14ac:dyDescent="0.3">
      <c r="A130" s="98"/>
      <c r="B130" s="98"/>
      <c r="C130" s="98"/>
      <c r="D130" s="98"/>
      <c r="E130" s="98"/>
      <c r="F130" s="98"/>
      <c r="G130" s="98"/>
      <c r="H130" s="38">
        <f>0</f>
        <v>0</v>
      </c>
      <c r="I130" s="29">
        <f>G127*H130</f>
        <v>0</v>
      </c>
      <c r="J130">
        <v>4</v>
      </c>
      <c r="N130" s="4">
        <f>IF(ISERR(SEARCH("TRA* 82",C127)),IF(Q130+R130+S130=0,0,I130*(Q130/(Q130+R130+S130))),I130)</f>
        <v>0</v>
      </c>
      <c r="O130" s="4">
        <f>IF(ISERR(SEARCH("TRA* 82",C127)),IF(Q130+R130+S130=0,0,I130*(R130/(Q130+R130+S130))),0)</f>
        <v>0</v>
      </c>
      <c r="P130" s="4">
        <f>IF(ISERR(SEARCH("TRA* 82",C127)),I130-N130-O130,0)</f>
        <v>0</v>
      </c>
      <c r="Q130" s="4">
        <v>0</v>
      </c>
      <c r="R130" s="4">
        <v>0</v>
      </c>
      <c r="S130" s="4">
        <v>0</v>
      </c>
    </row>
    <row r="131" spans="1:19" x14ac:dyDescent="0.3">
      <c r="A131" s="96" t="s">
        <v>27</v>
      </c>
      <c r="B131" s="97"/>
      <c r="C131" s="97"/>
      <c r="D131" s="97"/>
      <c r="E131" s="97"/>
      <c r="F131" s="97"/>
      <c r="G131" s="97"/>
      <c r="H131" s="36">
        <f>H127+H128+H129+H130</f>
        <v>2.2422857142857144</v>
      </c>
      <c r="I131" s="74">
        <f>I127+I128+I129+I130</f>
        <v>78.48</v>
      </c>
      <c r="J131">
        <v>5</v>
      </c>
    </row>
    <row r="132" spans="1:19" x14ac:dyDescent="0.3">
      <c r="B132" s="2">
        <v>19</v>
      </c>
      <c r="C132" s="3" t="s">
        <v>623</v>
      </c>
      <c r="D132" s="5" t="s">
        <v>25</v>
      </c>
      <c r="G132" s="30">
        <v>20</v>
      </c>
      <c r="H132" s="38">
        <f>57.02/G132</f>
        <v>2.851</v>
      </c>
      <c r="I132" s="29">
        <f>G132*H132</f>
        <v>57.019999999999996</v>
      </c>
      <c r="J132">
        <v>1</v>
      </c>
    </row>
    <row r="133" spans="1:19" x14ac:dyDescent="0.3">
      <c r="D133" s="15" t="str">
        <f>SUBSTITUTE("Sp.mat: 0.00%",".",IF(VALUE("1.2")=1.2,".",","),2)</f>
        <v>Sp.mat: 0.00%</v>
      </c>
      <c r="F133" s="15" t="str">
        <f>SUBSTITUTE("Sp.man: 0.00%",".",IF(VALUE("1.2")=1.2,".",","),2)</f>
        <v>Sp.man: 0.00%</v>
      </c>
      <c r="G133" s="35" t="str">
        <f>SUBSTITUTE("Sp.uti: 0.00%",".",IF(VALUE("1.2")=1.2,".",","),2)</f>
        <v>Sp.uti: 0.00%</v>
      </c>
      <c r="H133" s="38">
        <f>(1+IF(OR(ISERR(FIND(":",F133)),ISERR(FIND("%",F133))),0,MID(F133,FIND(":",F133)+2,FIND("%",F133)-FIND(":",F133)-2)/100))*0</f>
        <v>0</v>
      </c>
      <c r="I133" s="29">
        <f>G132*H133</f>
        <v>0</v>
      </c>
      <c r="J133">
        <v>2</v>
      </c>
    </row>
    <row r="134" spans="1:19" x14ac:dyDescent="0.3">
      <c r="A134" s="88" t="s">
        <v>624</v>
      </c>
      <c r="B134" s="98"/>
      <c r="C134" s="98"/>
      <c r="D134" s="98"/>
      <c r="E134" s="98"/>
      <c r="F134" s="98"/>
      <c r="G134" s="98"/>
      <c r="H134" s="38">
        <f>(1+IF(OR(ISERR(FIND(":",G133)),ISERR(FIND("%",G133))),0,MID(G133,FIND(":",G133)+2,FIND("%",G133)-FIND(":",G133)-2)/100))*0</f>
        <v>0</v>
      </c>
      <c r="I134" s="29">
        <f>G132*H134</f>
        <v>0</v>
      </c>
      <c r="J134">
        <v>3</v>
      </c>
      <c r="K134" s="4">
        <v>0</v>
      </c>
      <c r="L134" s="4">
        <v>0</v>
      </c>
      <c r="M134" s="4">
        <f>I134-K134-L134</f>
        <v>0</v>
      </c>
    </row>
    <row r="135" spans="1:19" x14ac:dyDescent="0.3">
      <c r="A135" s="98"/>
      <c r="B135" s="98"/>
      <c r="C135" s="98"/>
      <c r="D135" s="98"/>
      <c r="E135" s="98"/>
      <c r="F135" s="98"/>
      <c r="G135" s="98"/>
      <c r="H135" s="38">
        <f>0</f>
        <v>0</v>
      </c>
      <c r="I135" s="29">
        <f>G132*H135</f>
        <v>0</v>
      </c>
      <c r="J135">
        <v>4</v>
      </c>
      <c r="N135" s="4">
        <f>IF(ISERR(SEARCH("TRA* 82",C132)),IF(Q135+R135+S135=0,0,I135*(Q135/(Q135+R135+S135))),I135)</f>
        <v>0</v>
      </c>
      <c r="O135" s="4">
        <f>IF(ISERR(SEARCH("TRA* 82",C132)),IF(Q135+R135+S135=0,0,I135*(R135/(Q135+R135+S135))),0)</f>
        <v>0</v>
      </c>
      <c r="P135" s="4">
        <f>IF(ISERR(SEARCH("TRA* 82",C132)),I135-N135-O135,0)</f>
        <v>0</v>
      </c>
      <c r="Q135" s="4">
        <v>0</v>
      </c>
      <c r="R135" s="4">
        <v>0</v>
      </c>
      <c r="S135" s="4">
        <v>0</v>
      </c>
    </row>
    <row r="136" spans="1:19" x14ac:dyDescent="0.3">
      <c r="A136" s="96" t="s">
        <v>27</v>
      </c>
      <c r="B136" s="97"/>
      <c r="C136" s="97"/>
      <c r="D136" s="97"/>
      <c r="E136" s="97"/>
      <c r="F136" s="97"/>
      <c r="G136" s="97"/>
      <c r="H136" s="36">
        <f>H132+H133+H134+H135</f>
        <v>2.851</v>
      </c>
      <c r="I136" s="74">
        <f>I132+I133+I134+I135</f>
        <v>57.019999999999996</v>
      </c>
      <c r="J136">
        <v>5</v>
      </c>
    </row>
    <row r="137" spans="1:19" x14ac:dyDescent="0.3">
      <c r="B137" s="2">
        <v>20</v>
      </c>
      <c r="C137" s="3" t="s">
        <v>627</v>
      </c>
      <c r="D137" s="5" t="s">
        <v>29</v>
      </c>
      <c r="G137" s="30">
        <v>29</v>
      </c>
      <c r="H137" s="38">
        <f>13933.4/G137</f>
        <v>480.46206896551723</v>
      </c>
      <c r="I137" s="29">
        <f>G137*H137</f>
        <v>13933.4</v>
      </c>
      <c r="J137">
        <v>1</v>
      </c>
    </row>
    <row r="138" spans="1:19" x14ac:dyDescent="0.3">
      <c r="D138" s="15" t="str">
        <f>SUBSTITUTE("Sp.mat: 0.00%",".",IF(VALUE("1.2")=1.2,".",","),2)</f>
        <v>Sp.mat: 0.00%</v>
      </c>
      <c r="F138" s="15" t="str">
        <f>SUBSTITUTE("Sp.man: 0.00%",".",IF(VALUE("1.2")=1.2,".",","),2)</f>
        <v>Sp.man: 0.00%</v>
      </c>
      <c r="G138" s="35" t="str">
        <f>SUBSTITUTE("Sp.uti: 0.00%",".",IF(VALUE("1.2")=1.2,".",","),2)</f>
        <v>Sp.uti: 0.00%</v>
      </c>
      <c r="H138" s="38">
        <f>1718.62/G137</f>
        <v>59.262758620689652</v>
      </c>
      <c r="I138" s="29">
        <f>G137*H138</f>
        <v>1718.62</v>
      </c>
      <c r="J138">
        <v>2</v>
      </c>
    </row>
    <row r="139" spans="1:19" x14ac:dyDescent="0.3">
      <c r="A139" s="88" t="s">
        <v>628</v>
      </c>
      <c r="B139" s="98"/>
      <c r="C139" s="98"/>
      <c r="D139" s="98"/>
      <c r="E139" s="98"/>
      <c r="F139" s="98"/>
      <c r="G139" s="98"/>
      <c r="H139" s="38">
        <f>(1+IF(OR(ISERR(FIND(":",G138)),ISERR(FIND("%",G138))),0,MID(G138,FIND(":",G138)+2,FIND("%",G138)-FIND(":",G138)-2)/100))*0</f>
        <v>0</v>
      </c>
      <c r="I139" s="29">
        <f>G137*H139</f>
        <v>0</v>
      </c>
      <c r="J139">
        <v>3</v>
      </c>
      <c r="K139" s="4">
        <v>0</v>
      </c>
      <c r="L139" s="4">
        <v>0</v>
      </c>
      <c r="M139" s="4">
        <f>I139-K139-L139</f>
        <v>0</v>
      </c>
    </row>
    <row r="140" spans="1:19" x14ac:dyDescent="0.3">
      <c r="A140" s="98"/>
      <c r="B140" s="98"/>
      <c r="C140" s="98"/>
      <c r="D140" s="98"/>
      <c r="E140" s="98"/>
      <c r="F140" s="98"/>
      <c r="G140" s="98"/>
      <c r="H140" s="38">
        <f>0</f>
        <v>0</v>
      </c>
      <c r="I140" s="29">
        <f>G137*H140</f>
        <v>0</v>
      </c>
      <c r="J140">
        <v>4</v>
      </c>
      <c r="N140" s="4">
        <f>IF(ISERR(SEARCH("TRA* 82",C137)),IF(Q140+R140+S140=0,0,I140*(Q140/(Q140+R140+S140))),I140)</f>
        <v>0</v>
      </c>
      <c r="O140" s="4">
        <f>IF(ISERR(SEARCH("TRA* 82",C137)),IF(Q140+R140+S140=0,0,I140*(R140/(Q140+R140+S140))),0)</f>
        <v>0</v>
      </c>
      <c r="P140" s="4">
        <f>IF(ISERR(SEARCH("TRA* 82",C137)),I140-N140-O140,0)</f>
        <v>0</v>
      </c>
      <c r="Q140" s="4">
        <v>0</v>
      </c>
      <c r="R140" s="4">
        <v>0</v>
      </c>
      <c r="S140" s="4">
        <v>0</v>
      </c>
    </row>
    <row r="141" spans="1:19" x14ac:dyDescent="0.3">
      <c r="A141" s="100" t="s">
        <v>87</v>
      </c>
      <c r="B141" s="101"/>
      <c r="C141" s="101"/>
      <c r="D141" s="101"/>
      <c r="E141" s="101"/>
      <c r="F141" s="101"/>
      <c r="G141" s="101"/>
      <c r="H141" s="33">
        <f>H137+H138+H139+H140</f>
        <v>539.72482758620686</v>
      </c>
      <c r="I141" s="37">
        <f>I137+I138+I139+I140</f>
        <v>15652.02</v>
      </c>
      <c r="J141">
        <v>5</v>
      </c>
    </row>
    <row r="142" spans="1:19" x14ac:dyDescent="0.3">
      <c r="A142" s="99" t="s">
        <v>990</v>
      </c>
      <c r="B142" s="99"/>
      <c r="C142" s="99"/>
      <c r="D142" s="99"/>
      <c r="E142" s="99"/>
      <c r="F142" s="99"/>
      <c r="G142" s="99"/>
      <c r="H142" s="99"/>
      <c r="I142" s="99"/>
    </row>
    <row r="143" spans="1:19" x14ac:dyDescent="0.3">
      <c r="B143" s="2">
        <v>21</v>
      </c>
      <c r="C143" s="3" t="s">
        <v>335</v>
      </c>
      <c r="D143" s="5" t="s">
        <v>29</v>
      </c>
      <c r="G143" s="30">
        <v>4</v>
      </c>
      <c r="H143" s="38">
        <f>72.41/G143</f>
        <v>18.102499999999999</v>
      </c>
      <c r="I143" s="29">
        <f>G143*H143</f>
        <v>72.41</v>
      </c>
      <c r="J143">
        <v>1</v>
      </c>
    </row>
    <row r="144" spans="1:19" x14ac:dyDescent="0.3">
      <c r="D144" s="15" t="str">
        <f>SUBSTITUTE("Sp.mat: 0.00%",".",IF(VALUE("1.2")=1.2,".",","),2)</f>
        <v>Sp.mat: 0.00%</v>
      </c>
      <c r="F144" s="15" t="str">
        <f>SUBSTITUTE("Sp.man: 0.00%",".",IF(VALUE("1.2")=1.2,".",","),2)</f>
        <v>Sp.man: 0.00%</v>
      </c>
      <c r="G144" s="35" t="str">
        <f>SUBSTITUTE("Sp.uti: 0.00%",".",IF(VALUE("1.2")=1.2,".",","),2)</f>
        <v>Sp.uti: 0.00%</v>
      </c>
      <c r="H144" s="38">
        <f>22.42/G143</f>
        <v>5.6050000000000004</v>
      </c>
      <c r="I144" s="29">
        <f>G143*H144</f>
        <v>22.42</v>
      </c>
      <c r="J144">
        <v>2</v>
      </c>
    </row>
    <row r="145" spans="1:19" x14ac:dyDescent="0.3">
      <c r="A145" s="88" t="s">
        <v>336</v>
      </c>
      <c r="B145" s="98"/>
      <c r="C145" s="98"/>
      <c r="D145" s="98"/>
      <c r="E145" s="98"/>
      <c r="F145" s="98"/>
      <c r="G145" s="98"/>
      <c r="H145" s="38">
        <f>(1+IF(OR(ISERR(FIND(":",G144)),ISERR(FIND("%",G144))),0,MID(G144,FIND(":",G144)+2,FIND("%",G144)-FIND(":",G144)-2)/100))*0</f>
        <v>0</v>
      </c>
      <c r="I145" s="29">
        <f>G143*H145</f>
        <v>0</v>
      </c>
      <c r="J145">
        <v>3</v>
      </c>
      <c r="K145" s="4">
        <v>0</v>
      </c>
      <c r="L145" s="4">
        <v>0</v>
      </c>
      <c r="M145" s="4">
        <f>I145-K145-L145</f>
        <v>0</v>
      </c>
    </row>
    <row r="146" spans="1:19" x14ac:dyDescent="0.3">
      <c r="A146" s="98"/>
      <c r="B146" s="98"/>
      <c r="C146" s="98"/>
      <c r="D146" s="98"/>
      <c r="E146" s="98"/>
      <c r="F146" s="98"/>
      <c r="G146" s="98"/>
      <c r="H146" s="38">
        <f>0</f>
        <v>0</v>
      </c>
      <c r="I146" s="29">
        <f>G143*H146</f>
        <v>0</v>
      </c>
      <c r="J146">
        <v>4</v>
      </c>
      <c r="N146" s="4">
        <f>IF(ISERR(SEARCH("TRA* 82",C143)),IF(Q146+R146+S146=0,0,I146*(Q146/(Q146+R146+S146))),I146)</f>
        <v>0</v>
      </c>
      <c r="O146" s="4">
        <f>IF(ISERR(SEARCH("TRA* 82",C143)),IF(Q146+R146+S146=0,0,I146*(R146/(Q146+R146+S146))),0)</f>
        <v>0</v>
      </c>
      <c r="P146" s="4">
        <f>IF(ISERR(SEARCH("TRA* 82",C143)),I146-N146-O146,0)</f>
        <v>0</v>
      </c>
      <c r="Q146" s="4">
        <v>0</v>
      </c>
      <c r="R146" s="4">
        <v>0</v>
      </c>
      <c r="S146" s="4">
        <v>0</v>
      </c>
    </row>
    <row r="147" spans="1:19" x14ac:dyDescent="0.3">
      <c r="A147" s="100" t="s">
        <v>27</v>
      </c>
      <c r="B147" s="101"/>
      <c r="C147" s="101"/>
      <c r="D147" s="101"/>
      <c r="E147" s="101"/>
      <c r="F147" s="101"/>
      <c r="G147" s="101"/>
      <c r="H147" s="33">
        <f>H143+H144+H145+H146</f>
        <v>23.7075</v>
      </c>
      <c r="I147" s="37">
        <f>I143+I144+I145+I146</f>
        <v>94.83</v>
      </c>
      <c r="J147">
        <v>5</v>
      </c>
    </row>
    <row r="148" spans="1:19" x14ac:dyDescent="0.3">
      <c r="A148" s="99" t="s">
        <v>337</v>
      </c>
      <c r="B148" s="99"/>
      <c r="C148" s="99"/>
      <c r="D148" s="99"/>
      <c r="E148" s="99"/>
      <c r="F148" s="99"/>
      <c r="G148" s="99"/>
      <c r="H148" s="99"/>
      <c r="I148" s="99"/>
    </row>
    <row r="149" spans="1:19" x14ac:dyDescent="0.3">
      <c r="B149" s="2">
        <v>22</v>
      </c>
      <c r="C149" s="3" t="s">
        <v>331</v>
      </c>
      <c r="D149" s="5" t="s">
        <v>29</v>
      </c>
      <c r="G149" s="30">
        <v>58</v>
      </c>
      <c r="H149" s="38">
        <f>1009.9/G149</f>
        <v>17.412068965517243</v>
      </c>
      <c r="I149" s="29">
        <f>G149*H149</f>
        <v>1009.9000000000001</v>
      </c>
      <c r="J149">
        <v>1</v>
      </c>
    </row>
    <row r="150" spans="1:19" x14ac:dyDescent="0.3">
      <c r="D150" s="15" t="str">
        <f>SUBSTITUTE("Sp.mat: 0.00%",".",IF(VALUE("1.2")=1.2,".",","),2)</f>
        <v>Sp.mat: 0.00%</v>
      </c>
      <c r="F150" s="15" t="str">
        <f>SUBSTITUTE("Sp.man: 0.00%",".",IF(VALUE("1.2")=1.2,".",","),2)</f>
        <v>Sp.man: 0.00%</v>
      </c>
      <c r="G150" s="35" t="str">
        <f>SUBSTITUTE("Sp.uti: 0.00%",".",IF(VALUE("1.2")=1.2,".",","),2)</f>
        <v>Sp.uti: 0.00%</v>
      </c>
      <c r="H150" s="38">
        <f>232.25/G149</f>
        <v>4.0043103448275863</v>
      </c>
      <c r="I150" s="29">
        <f>G149*H150</f>
        <v>232.25</v>
      </c>
      <c r="J150">
        <v>2</v>
      </c>
    </row>
    <row r="151" spans="1:19" x14ac:dyDescent="0.3">
      <c r="A151" s="88" t="s">
        <v>991</v>
      </c>
      <c r="B151" s="98"/>
      <c r="C151" s="98"/>
      <c r="D151" s="98"/>
      <c r="E151" s="98"/>
      <c r="F151" s="98"/>
      <c r="G151" s="98"/>
      <c r="H151" s="38">
        <f>(1+IF(OR(ISERR(FIND(":",G150)),ISERR(FIND("%",G150))),0,MID(G150,FIND(":",G150)+2,FIND("%",G150)-FIND(":",G150)-2)/100))*0</f>
        <v>0</v>
      </c>
      <c r="I151" s="29">
        <f>G149*H151</f>
        <v>0</v>
      </c>
      <c r="J151">
        <v>3</v>
      </c>
      <c r="K151" s="4">
        <v>0</v>
      </c>
      <c r="L151" s="4">
        <v>0</v>
      </c>
      <c r="M151" s="4">
        <f>I151-K151-L151</f>
        <v>0</v>
      </c>
    </row>
    <row r="152" spans="1:19" x14ac:dyDescent="0.3">
      <c r="A152" s="98"/>
      <c r="B152" s="98"/>
      <c r="C152" s="98"/>
      <c r="D152" s="98"/>
      <c r="E152" s="98"/>
      <c r="F152" s="98"/>
      <c r="G152" s="98"/>
      <c r="H152" s="38">
        <f>0</f>
        <v>0</v>
      </c>
      <c r="I152" s="29">
        <f>G149*H152</f>
        <v>0</v>
      </c>
      <c r="J152">
        <v>4</v>
      </c>
      <c r="N152" s="4">
        <f>IF(ISERR(SEARCH("TRA* 82",C149)),IF(Q152+R152+S152=0,0,I152*(Q152/(Q152+R152+S152))),I152)</f>
        <v>0</v>
      </c>
      <c r="O152" s="4">
        <f>IF(ISERR(SEARCH("TRA* 82",C149)),IF(Q152+R152+S152=0,0,I152*(R152/(Q152+R152+S152))),0)</f>
        <v>0</v>
      </c>
      <c r="P152" s="4">
        <f>IF(ISERR(SEARCH("TRA* 82",C149)),I152-N152-O152,0)</f>
        <v>0</v>
      </c>
      <c r="Q152" s="4">
        <v>0</v>
      </c>
      <c r="R152" s="4">
        <v>0</v>
      </c>
      <c r="S152" s="4">
        <v>0</v>
      </c>
    </row>
    <row r="153" spans="1:19" x14ac:dyDescent="0.3">
      <c r="A153" s="100" t="s">
        <v>87</v>
      </c>
      <c r="B153" s="101"/>
      <c r="C153" s="101"/>
      <c r="D153" s="101"/>
      <c r="E153" s="101"/>
      <c r="F153" s="101"/>
      <c r="G153" s="101"/>
      <c r="H153" s="33">
        <f>H149+H150+H151+H152</f>
        <v>21.41637931034483</v>
      </c>
      <c r="I153" s="37">
        <f>I149+I150+I151+I152</f>
        <v>1242.1500000000001</v>
      </c>
      <c r="J153">
        <v>5</v>
      </c>
    </row>
    <row r="154" spans="1:19" x14ac:dyDescent="0.3">
      <c r="A154" s="99" t="s">
        <v>370</v>
      </c>
      <c r="B154" s="99"/>
      <c r="C154" s="99"/>
      <c r="D154" s="99"/>
      <c r="E154" s="99"/>
      <c r="F154" s="99"/>
      <c r="G154" s="99"/>
      <c r="H154" s="99"/>
      <c r="I154" s="99"/>
    </row>
    <row r="155" spans="1:19" x14ac:dyDescent="0.3">
      <c r="B155" s="2">
        <v>23</v>
      </c>
      <c r="C155" s="3" t="s">
        <v>372</v>
      </c>
      <c r="D155" s="5" t="s">
        <v>29</v>
      </c>
      <c r="G155" s="30">
        <v>50</v>
      </c>
      <c r="H155" s="38">
        <f>1000.56/G155</f>
        <v>20.011199999999999</v>
      </c>
      <c r="I155" s="29">
        <f>G155*H155</f>
        <v>1000.56</v>
      </c>
      <c r="J155">
        <v>1</v>
      </c>
    </row>
    <row r="156" spans="1:19" x14ac:dyDescent="0.3">
      <c r="D156" s="15" t="str">
        <f>SUBSTITUTE("Sp.mat: 0.00%",".",IF(VALUE("1.2")=1.2,".",","),2)</f>
        <v>Sp.mat: 0.00%</v>
      </c>
      <c r="F156" s="15" t="str">
        <f>SUBSTITUTE("Sp.man: 0.00%",".",IF(VALUE("1.2")=1.2,".",","),2)</f>
        <v>Sp.man: 0.00%</v>
      </c>
      <c r="G156" s="35" t="str">
        <f>SUBSTITUTE("Sp.uti: 0.00%",".",IF(VALUE("1.2")=1.2,".",","),2)</f>
        <v>Sp.uti: 0.00%</v>
      </c>
      <c r="H156" s="38">
        <f>200.21/G155</f>
        <v>4.0042</v>
      </c>
      <c r="I156" s="29">
        <f>G155*H156</f>
        <v>200.21</v>
      </c>
      <c r="J156">
        <v>2</v>
      </c>
    </row>
    <row r="157" spans="1:19" x14ac:dyDescent="0.3">
      <c r="A157" s="88" t="s">
        <v>992</v>
      </c>
      <c r="B157" s="98"/>
      <c r="C157" s="98"/>
      <c r="D157" s="98"/>
      <c r="E157" s="98"/>
      <c r="F157" s="98"/>
      <c r="G157" s="98"/>
      <c r="H157" s="38">
        <f>(1+IF(OR(ISERR(FIND(":",G156)),ISERR(FIND("%",G156))),0,MID(G156,FIND(":",G156)+2,FIND("%",G156)-FIND(":",G156)-2)/100))*0</f>
        <v>0</v>
      </c>
      <c r="I157" s="29">
        <f>G155*H157</f>
        <v>0</v>
      </c>
      <c r="J157">
        <v>3</v>
      </c>
      <c r="K157" s="4">
        <v>0</v>
      </c>
      <c r="L157" s="4">
        <v>0</v>
      </c>
      <c r="M157" s="4">
        <f>I157-K157-L157</f>
        <v>0</v>
      </c>
    </row>
    <row r="158" spans="1:19" x14ac:dyDescent="0.3">
      <c r="A158" s="98"/>
      <c r="B158" s="98"/>
      <c r="C158" s="98"/>
      <c r="D158" s="98"/>
      <c r="E158" s="98"/>
      <c r="F158" s="98"/>
      <c r="G158" s="98"/>
      <c r="H158" s="38">
        <f>0</f>
        <v>0</v>
      </c>
      <c r="I158" s="29">
        <f>G155*H158</f>
        <v>0</v>
      </c>
      <c r="J158">
        <v>4</v>
      </c>
      <c r="N158" s="4">
        <f>IF(ISERR(SEARCH("TRA* 82",C155)),IF(Q158+R158+S158=0,0,I158*(Q158/(Q158+R158+S158))),I158)</f>
        <v>0</v>
      </c>
      <c r="O158" s="4">
        <f>IF(ISERR(SEARCH("TRA* 82",C155)),IF(Q158+R158+S158=0,0,I158*(R158/(Q158+R158+S158))),0)</f>
        <v>0</v>
      </c>
      <c r="P158" s="4">
        <f>IF(ISERR(SEARCH("TRA* 82",C155)),I158-N158-O158,0)</f>
        <v>0</v>
      </c>
      <c r="Q158" s="4">
        <v>0</v>
      </c>
      <c r="R158" s="4">
        <v>0</v>
      </c>
      <c r="S158" s="4">
        <v>0</v>
      </c>
    </row>
    <row r="159" spans="1:19" x14ac:dyDescent="0.3">
      <c r="A159" s="100" t="s">
        <v>87</v>
      </c>
      <c r="B159" s="101"/>
      <c r="C159" s="101"/>
      <c r="D159" s="101"/>
      <c r="E159" s="101"/>
      <c r="F159" s="101"/>
      <c r="G159" s="101"/>
      <c r="H159" s="33">
        <f>H155+H156+H157+H158</f>
        <v>24.0154</v>
      </c>
      <c r="I159" s="37">
        <f>I155+I156+I157+I158</f>
        <v>1200.77</v>
      </c>
      <c r="J159">
        <v>5</v>
      </c>
    </row>
    <row r="160" spans="1:19" x14ac:dyDescent="0.3">
      <c r="A160" s="99" t="s">
        <v>374</v>
      </c>
      <c r="B160" s="99"/>
      <c r="C160" s="99"/>
      <c r="D160" s="99"/>
      <c r="E160" s="99"/>
      <c r="F160" s="99"/>
      <c r="G160" s="99"/>
      <c r="H160" s="99"/>
      <c r="I160" s="99"/>
    </row>
    <row r="161" spans="1:19" x14ac:dyDescent="0.3">
      <c r="B161" s="2">
        <v>24</v>
      </c>
      <c r="C161" s="3" t="s">
        <v>445</v>
      </c>
      <c r="D161" s="5" t="s">
        <v>133</v>
      </c>
      <c r="G161" s="30">
        <v>18.7</v>
      </c>
      <c r="H161" s="38">
        <f>(1+IF(OR(ISERR(FIND(":",D162)),ISERR(FIND("%",D162))),0,MID(D162,FIND(":",D162)+2,FIND("%",D162)-FIND(":",D162)-2)/100))*0</f>
        <v>0</v>
      </c>
      <c r="I161" s="29">
        <f>G161*H161</f>
        <v>0</v>
      </c>
      <c r="J161">
        <v>1</v>
      </c>
    </row>
    <row r="162" spans="1:19" x14ac:dyDescent="0.3">
      <c r="D162" s="15" t="str">
        <f>SUBSTITUTE("Sp.mat: 0.00%",".",IF(VALUE("1.2")=1.2,".",","),2)</f>
        <v>Sp.mat: 0.00%</v>
      </c>
      <c r="F162" s="15" t="str">
        <f>SUBSTITUTE("Sp.man: 0.00%",".",IF(VALUE("1.2")=1.2,".",","),2)</f>
        <v>Sp.man: 0.00%</v>
      </c>
      <c r="G162" s="35" t="str">
        <f>SUBSTITUTE("Sp.uti: 0.00%",".",IF(VALUE("1.2")=1.2,".",","),2)</f>
        <v>Sp.uti: 0.00%</v>
      </c>
      <c r="H162" s="38">
        <f>29.95/G161</f>
        <v>1.6016042780748663</v>
      </c>
      <c r="I162" s="29">
        <f>G161*H162</f>
        <v>29.95</v>
      </c>
      <c r="J162">
        <v>2</v>
      </c>
    </row>
    <row r="163" spans="1:19" x14ac:dyDescent="0.3">
      <c r="A163" s="88" t="s">
        <v>446</v>
      </c>
      <c r="B163" s="98"/>
      <c r="C163" s="98"/>
      <c r="D163" s="98"/>
      <c r="E163" s="98"/>
      <c r="F163" s="98"/>
      <c r="G163" s="98"/>
      <c r="H163" s="38">
        <f>(1+IF(OR(ISERR(FIND(":",G162)),ISERR(FIND("%",G162))),0,MID(G162,FIND(":",G162)+2,FIND("%",G162)-FIND(":",G162)-2)/100))*0</f>
        <v>0</v>
      </c>
      <c r="I163" s="29">
        <f>G161*H163</f>
        <v>0</v>
      </c>
      <c r="J163">
        <v>3</v>
      </c>
      <c r="K163" s="4">
        <v>0</v>
      </c>
      <c r="L163" s="4">
        <v>0</v>
      </c>
      <c r="M163" s="4">
        <f>I163-K163-L163</f>
        <v>0</v>
      </c>
    </row>
    <row r="164" spans="1:19" x14ac:dyDescent="0.3">
      <c r="A164" s="98"/>
      <c r="B164" s="98"/>
      <c r="C164" s="98"/>
      <c r="D164" s="98"/>
      <c r="E164" s="98"/>
      <c r="F164" s="98"/>
      <c r="G164" s="98"/>
      <c r="H164" s="38">
        <f>0</f>
        <v>0</v>
      </c>
      <c r="I164" s="29">
        <f>G161*H164</f>
        <v>0</v>
      </c>
      <c r="J164">
        <v>4</v>
      </c>
      <c r="N164" s="4">
        <f>IF(ISERR(SEARCH("TRA* 82",C161)),IF(Q164+R164+S164=0,0,I164*(Q164/(Q164+R164+S164))),I164)</f>
        <v>0</v>
      </c>
      <c r="O164" s="4">
        <f>IF(ISERR(SEARCH("TRA* 82",C161)),IF(Q164+R164+S164=0,0,I164*(R164/(Q164+R164+S164))),0)</f>
        <v>0</v>
      </c>
      <c r="P164" s="4">
        <f>IF(ISERR(SEARCH("TRA* 82",C161)),I164-N164-O164,0)</f>
        <v>0</v>
      </c>
      <c r="Q164" s="4">
        <v>0</v>
      </c>
      <c r="R164" s="4">
        <v>0</v>
      </c>
      <c r="S164" s="4">
        <v>0</v>
      </c>
    </row>
    <row r="165" spans="1:19" x14ac:dyDescent="0.3">
      <c r="A165" s="100" t="s">
        <v>87</v>
      </c>
      <c r="B165" s="101"/>
      <c r="C165" s="101"/>
      <c r="D165" s="101"/>
      <c r="E165" s="101"/>
      <c r="F165" s="101"/>
      <c r="G165" s="101"/>
      <c r="H165" s="33">
        <f>H161+H162+H163+H164</f>
        <v>1.6016042780748663</v>
      </c>
      <c r="I165" s="37">
        <f>I161+I162+I163+I164</f>
        <v>29.95</v>
      </c>
      <c r="J165">
        <v>5</v>
      </c>
    </row>
    <row r="166" spans="1:19" x14ac:dyDescent="0.3">
      <c r="A166" s="99" t="s">
        <v>447</v>
      </c>
      <c r="B166" s="99"/>
      <c r="C166" s="99"/>
      <c r="D166" s="99"/>
      <c r="E166" s="99"/>
      <c r="F166" s="99"/>
      <c r="G166" s="99"/>
      <c r="H166" s="99"/>
      <c r="I166" s="99"/>
    </row>
    <row r="167" spans="1:19" x14ac:dyDescent="0.3">
      <c r="B167" s="2">
        <v>25</v>
      </c>
      <c r="C167" s="3" t="s">
        <v>450</v>
      </c>
      <c r="D167" s="5" t="s">
        <v>25</v>
      </c>
      <c r="G167" s="30">
        <v>167</v>
      </c>
      <c r="H167" s="38">
        <f>(1+IF(OR(ISERR(FIND(":",D168)),ISERR(FIND("%",D168))),0,MID(D168,FIND(":",D168)+2,FIND("%",D168)-FIND(":",D168)-2)/100))*0</f>
        <v>0</v>
      </c>
      <c r="I167" s="29">
        <f>G167*H167</f>
        <v>0</v>
      </c>
      <c r="J167">
        <v>1</v>
      </c>
    </row>
    <row r="168" spans="1:19" x14ac:dyDescent="0.3">
      <c r="D168" s="15" t="str">
        <f>SUBSTITUTE("Sp.mat: 0.00%",".",IF(VALUE("1.2")=1.2,".",","),2)</f>
        <v>Sp.mat: 0.00%</v>
      </c>
      <c r="F168" s="15" t="str">
        <f>SUBSTITUTE("Sp.man: 0.00%",".",IF(VALUE("1.2")=1.2,".",","),2)</f>
        <v>Sp.man: 0.00%</v>
      </c>
      <c r="G168" s="35" t="str">
        <f>SUBSTITUTE("Sp.uti: 0.00%",".",IF(VALUE("1.2")=1.2,".",","),2)</f>
        <v>Sp.uti: 0.00%</v>
      </c>
      <c r="H168" s="38">
        <f>240.74/G167</f>
        <v>1.441556886227545</v>
      </c>
      <c r="I168" s="29">
        <f>G167*H168</f>
        <v>240.74</v>
      </c>
      <c r="J168">
        <v>2</v>
      </c>
    </row>
    <row r="169" spans="1:19" x14ac:dyDescent="0.3">
      <c r="A169" s="88" t="s">
        <v>993</v>
      </c>
      <c r="B169" s="98"/>
      <c r="C169" s="98"/>
      <c r="D169" s="98"/>
      <c r="E169" s="98"/>
      <c r="F169" s="98"/>
      <c r="G169" s="98"/>
      <c r="H169" s="38">
        <f>42.8/G167</f>
        <v>0.2562874251497006</v>
      </c>
      <c r="I169" s="29">
        <f>G167*H169</f>
        <v>42.8</v>
      </c>
      <c r="J169">
        <v>3</v>
      </c>
      <c r="K169" s="4">
        <v>0</v>
      </c>
      <c r="L169" s="4">
        <v>80.16</v>
      </c>
      <c r="M169" s="4">
        <f>I169-K169-L169</f>
        <v>-37.36</v>
      </c>
    </row>
    <row r="170" spans="1:19" x14ac:dyDescent="0.3">
      <c r="A170" s="98"/>
      <c r="B170" s="98"/>
      <c r="C170" s="98"/>
      <c r="D170" s="98"/>
      <c r="E170" s="98"/>
      <c r="F170" s="98"/>
      <c r="G170" s="98"/>
      <c r="H170" s="38">
        <f>0</f>
        <v>0</v>
      </c>
      <c r="I170" s="29">
        <f>G167*H170</f>
        <v>0</v>
      </c>
      <c r="J170">
        <v>4</v>
      </c>
      <c r="N170" s="4">
        <f>IF(ISERR(SEARCH("TRA* 82",C167)),IF(Q170+R170+S170=0,0,I170*(Q170/(Q170+R170+S170))),I170)</f>
        <v>0</v>
      </c>
      <c r="O170" s="4">
        <f>IF(ISERR(SEARCH("TRA* 82",C167)),IF(Q170+R170+S170=0,0,I170*(R170/(Q170+R170+S170))),0)</f>
        <v>0</v>
      </c>
      <c r="P170" s="4">
        <f>IF(ISERR(SEARCH("TRA* 82",C167)),I170-N170-O170,0)</f>
        <v>0</v>
      </c>
      <c r="Q170" s="4">
        <v>0</v>
      </c>
      <c r="R170" s="4">
        <v>0</v>
      </c>
      <c r="S170" s="4">
        <v>0</v>
      </c>
    </row>
    <row r="171" spans="1:19" x14ac:dyDescent="0.3">
      <c r="A171" s="96" t="s">
        <v>27</v>
      </c>
      <c r="B171" s="97"/>
      <c r="C171" s="97"/>
      <c r="D171" s="97"/>
      <c r="E171" s="97"/>
      <c r="F171" s="97"/>
      <c r="G171" s="97"/>
      <c r="H171" s="36">
        <f>H167+H168+H169+H170</f>
        <v>1.6978443113772457</v>
      </c>
      <c r="I171" s="74">
        <f>I167+I168+I169+I170</f>
        <v>283.54000000000002</v>
      </c>
      <c r="J171">
        <v>5</v>
      </c>
    </row>
    <row r="172" spans="1:19" x14ac:dyDescent="0.3">
      <c r="B172" s="2">
        <v>26</v>
      </c>
      <c r="C172" s="3" t="s">
        <v>452</v>
      </c>
      <c r="D172" s="5" t="s">
        <v>25</v>
      </c>
      <c r="G172" s="30">
        <v>20</v>
      </c>
      <c r="H172" s="38">
        <f>(1+IF(OR(ISERR(FIND(":",D173)),ISERR(FIND("%",D173))),0,MID(D173,FIND(":",D173)+2,FIND("%",D173)-FIND(":",D173)-2)/100))*0</f>
        <v>0</v>
      </c>
      <c r="I172" s="29">
        <f>G172*H172</f>
        <v>0</v>
      </c>
      <c r="J172">
        <v>1</v>
      </c>
    </row>
    <row r="173" spans="1:19" x14ac:dyDescent="0.3">
      <c r="D173" s="15" t="str">
        <f>SUBSTITUTE("Sp.mat: 0.00%",".",IF(VALUE("1.2")=1.2,".",","),2)</f>
        <v>Sp.mat: 0.00%</v>
      </c>
      <c r="F173" s="15" t="str">
        <f>SUBSTITUTE("Sp.man: 0.00%",".",IF(VALUE("1.2")=1.2,".",","),2)</f>
        <v>Sp.man: 0.00%</v>
      </c>
      <c r="G173" s="35" t="str">
        <f>SUBSTITUTE("Sp.uti: 0.00%",".",IF(VALUE("1.2")=1.2,".",","),2)</f>
        <v>Sp.uti: 0.00%</v>
      </c>
      <c r="H173" s="38">
        <f>35.24/G172</f>
        <v>1.762</v>
      </c>
      <c r="I173" s="29">
        <f>G172*H173</f>
        <v>35.24</v>
      </c>
      <c r="J173">
        <v>2</v>
      </c>
    </row>
    <row r="174" spans="1:19" x14ac:dyDescent="0.3">
      <c r="A174" s="88" t="s">
        <v>453</v>
      </c>
      <c r="B174" s="98"/>
      <c r="C174" s="98"/>
      <c r="D174" s="98"/>
      <c r="E174" s="98"/>
      <c r="F174" s="98"/>
      <c r="G174" s="98"/>
      <c r="H174" s="38">
        <f>6.41/G172</f>
        <v>0.32050000000000001</v>
      </c>
      <c r="I174" s="29">
        <f>G172*H174</f>
        <v>6.41</v>
      </c>
      <c r="J174">
        <v>3</v>
      </c>
      <c r="K174" s="4">
        <v>0</v>
      </c>
      <c r="L174" s="4">
        <v>12</v>
      </c>
      <c r="M174" s="4">
        <f>I174-K174-L174</f>
        <v>-5.59</v>
      </c>
    </row>
    <row r="175" spans="1:19" x14ac:dyDescent="0.3">
      <c r="A175" s="98"/>
      <c r="B175" s="98"/>
      <c r="C175" s="98"/>
      <c r="D175" s="98"/>
      <c r="E175" s="98"/>
      <c r="F175" s="98"/>
      <c r="G175" s="98"/>
      <c r="H175" s="38">
        <f>0</f>
        <v>0</v>
      </c>
      <c r="I175" s="29">
        <f>G172*H175</f>
        <v>0</v>
      </c>
      <c r="J175">
        <v>4</v>
      </c>
      <c r="N175" s="4">
        <f>IF(ISERR(SEARCH("TRA* 82",C172)),IF(Q175+R175+S175=0,0,I175*(Q175/(Q175+R175+S175))),I175)</f>
        <v>0</v>
      </c>
      <c r="O175" s="4">
        <f>IF(ISERR(SEARCH("TRA* 82",C172)),IF(Q175+R175+S175=0,0,I175*(R175/(Q175+R175+S175))),0)</f>
        <v>0</v>
      </c>
      <c r="P175" s="4">
        <f>IF(ISERR(SEARCH("TRA* 82",C172)),I175-N175-O175,0)</f>
        <v>0</v>
      </c>
      <c r="Q175" s="4">
        <v>0</v>
      </c>
      <c r="R175" s="4">
        <v>0</v>
      </c>
      <c r="S175" s="4">
        <v>0</v>
      </c>
    </row>
    <row r="176" spans="1:19" x14ac:dyDescent="0.3">
      <c r="A176" s="96" t="s">
        <v>27</v>
      </c>
      <c r="B176" s="97"/>
      <c r="C176" s="97"/>
      <c r="D176" s="97"/>
      <c r="E176" s="97"/>
      <c r="F176" s="97"/>
      <c r="G176" s="97"/>
      <c r="H176" s="36">
        <f>H172+H173+H174+H175</f>
        <v>2.0825</v>
      </c>
      <c r="I176" s="74">
        <f>I172+I173+I174+I175</f>
        <v>41.650000000000006</v>
      </c>
      <c r="J176">
        <v>5</v>
      </c>
    </row>
    <row r="177" spans="1:19" x14ac:dyDescent="0.3">
      <c r="B177" s="2">
        <v>27</v>
      </c>
      <c r="C177" s="3" t="s">
        <v>460</v>
      </c>
      <c r="D177" s="5" t="s">
        <v>25</v>
      </c>
      <c r="G177" s="30">
        <v>167</v>
      </c>
      <c r="H177" s="38">
        <f>(1+IF(OR(ISERR(FIND(":",D178)),ISERR(FIND("%",D178))),0,MID(D178,FIND(":",D178)+2,FIND("%",D178)-FIND(":",D178)-2)/100))*0</f>
        <v>0</v>
      </c>
      <c r="I177" s="29">
        <f>G177*H177</f>
        <v>0</v>
      </c>
      <c r="J177">
        <v>1</v>
      </c>
    </row>
    <row r="178" spans="1:19" x14ac:dyDescent="0.3">
      <c r="D178" s="15" t="str">
        <f>SUBSTITUTE("Sp.mat: 0.00%",".",IF(VALUE("1.2")=1.2,".",","),2)</f>
        <v>Sp.mat: 0.00%</v>
      </c>
      <c r="F178" s="15" t="str">
        <f>SUBSTITUTE("Sp.man: 0.00%",".",IF(VALUE("1.2")=1.2,".",","),2)</f>
        <v>Sp.man: 0.00%</v>
      </c>
      <c r="G178" s="35" t="str">
        <f>SUBSTITUTE("Sp.uti: 0.00%",".",IF(VALUE("1.2")=1.2,".",","),2)</f>
        <v>Sp.uti: 0.00%</v>
      </c>
      <c r="H178" s="38">
        <f>213.99/G177</f>
        <v>1.281377245508982</v>
      </c>
      <c r="I178" s="29">
        <f>G177*H178</f>
        <v>213.99</v>
      </c>
      <c r="J178">
        <v>2</v>
      </c>
    </row>
    <row r="179" spans="1:19" x14ac:dyDescent="0.3">
      <c r="A179" s="88" t="s">
        <v>461</v>
      </c>
      <c r="B179" s="98"/>
      <c r="C179" s="98"/>
      <c r="D179" s="98"/>
      <c r="E179" s="98"/>
      <c r="F179" s="98"/>
      <c r="G179" s="98"/>
      <c r="H179" s="38">
        <f>(1+IF(OR(ISERR(FIND(":",G178)),ISERR(FIND("%",G178))),0,MID(G178,FIND(":",G178)+2,FIND("%",G178)-FIND(":",G178)-2)/100))*0</f>
        <v>0</v>
      </c>
      <c r="I179" s="29">
        <f>G177*H179</f>
        <v>0</v>
      </c>
      <c r="J179">
        <v>3</v>
      </c>
      <c r="K179" s="4">
        <v>0</v>
      </c>
      <c r="L179" s="4">
        <v>0</v>
      </c>
      <c r="M179" s="4">
        <f>I179-K179-L179</f>
        <v>0</v>
      </c>
    </row>
    <row r="180" spans="1:19" x14ac:dyDescent="0.3">
      <c r="A180" s="98"/>
      <c r="B180" s="98"/>
      <c r="C180" s="98"/>
      <c r="D180" s="98"/>
      <c r="E180" s="98"/>
      <c r="F180" s="98"/>
      <c r="G180" s="98"/>
      <c r="H180" s="38">
        <f>0</f>
        <v>0</v>
      </c>
      <c r="I180" s="29">
        <f>G177*H180</f>
        <v>0</v>
      </c>
      <c r="J180">
        <v>4</v>
      </c>
      <c r="N180" s="4">
        <f>IF(ISERR(SEARCH("TRA* 82",C177)),IF(Q180+R180+S180=0,0,I180*(Q180/(Q180+R180+S180))),I180)</f>
        <v>0</v>
      </c>
      <c r="O180" s="4">
        <f>IF(ISERR(SEARCH("TRA* 82",C177)),IF(Q180+R180+S180=0,0,I180*(R180/(Q180+R180+S180))),0)</f>
        <v>0</v>
      </c>
      <c r="P180" s="4">
        <f>IF(ISERR(SEARCH("TRA* 82",C177)),I180-N180-O180,0)</f>
        <v>0</v>
      </c>
      <c r="Q180" s="4">
        <v>0</v>
      </c>
      <c r="R180" s="4">
        <v>0</v>
      </c>
      <c r="S180" s="4">
        <v>0</v>
      </c>
    </row>
    <row r="181" spans="1:19" x14ac:dyDescent="0.3">
      <c r="A181" s="96" t="s">
        <v>27</v>
      </c>
      <c r="B181" s="97"/>
      <c r="C181" s="97"/>
      <c r="D181" s="97"/>
      <c r="E181" s="97"/>
      <c r="F181" s="97"/>
      <c r="G181" s="97"/>
      <c r="H181" s="36">
        <f>H177+H178+H179+H180</f>
        <v>1.281377245508982</v>
      </c>
      <c r="I181" s="74">
        <f>I177+I178+I179+I180</f>
        <v>213.99</v>
      </c>
      <c r="J181">
        <v>5</v>
      </c>
    </row>
    <row r="182" spans="1:19" x14ac:dyDescent="0.3">
      <c r="B182" s="2">
        <v>28</v>
      </c>
      <c r="C182" s="3" t="s">
        <v>462</v>
      </c>
      <c r="D182" s="5" t="s">
        <v>25</v>
      </c>
      <c r="G182" s="30">
        <v>20</v>
      </c>
      <c r="H182" s="38">
        <f>(1+IF(OR(ISERR(FIND(":",D183)),ISERR(FIND("%",D183))),0,MID(D183,FIND(":",D183)+2,FIND("%",D183)-FIND(":",D183)-2)/100))*0</f>
        <v>0</v>
      </c>
      <c r="I182" s="29">
        <f>G182*H182</f>
        <v>0</v>
      </c>
      <c r="J182">
        <v>1</v>
      </c>
    </row>
    <row r="183" spans="1:19" x14ac:dyDescent="0.3">
      <c r="D183" s="15" t="str">
        <f>SUBSTITUTE("Sp.mat: 0.00%",".",IF(VALUE("1.2")=1.2,".",","),2)</f>
        <v>Sp.mat: 0.00%</v>
      </c>
      <c r="F183" s="15" t="str">
        <f>SUBSTITUTE("Sp.man: 0.00%",".",IF(VALUE("1.2")=1.2,".",","),2)</f>
        <v>Sp.man: 0.00%</v>
      </c>
      <c r="G183" s="35" t="str">
        <f>SUBSTITUTE("Sp.uti: 0.00%",".",IF(VALUE("1.2")=1.2,".",","),2)</f>
        <v>Sp.uti: 0.00%</v>
      </c>
      <c r="H183" s="38">
        <f>32.03/G182</f>
        <v>1.6015000000000001</v>
      </c>
      <c r="I183" s="29">
        <f>G182*H183</f>
        <v>32.03</v>
      </c>
      <c r="J183">
        <v>2</v>
      </c>
    </row>
    <row r="184" spans="1:19" x14ac:dyDescent="0.3">
      <c r="A184" s="88" t="s">
        <v>463</v>
      </c>
      <c r="B184" s="98"/>
      <c r="C184" s="98"/>
      <c r="D184" s="98"/>
      <c r="E184" s="98"/>
      <c r="F184" s="98"/>
      <c r="G184" s="98"/>
      <c r="H184" s="38">
        <f>(1+IF(OR(ISERR(FIND(":",G183)),ISERR(FIND("%",G183))),0,MID(G183,FIND(":",G183)+2,FIND("%",G183)-FIND(":",G183)-2)/100))*0</f>
        <v>0</v>
      </c>
      <c r="I184" s="29">
        <f>G182*H184</f>
        <v>0</v>
      </c>
      <c r="J184">
        <v>3</v>
      </c>
      <c r="K184" s="4">
        <v>0</v>
      </c>
      <c r="L184" s="4">
        <v>0</v>
      </c>
      <c r="M184" s="4">
        <f>I184-K184-L184</f>
        <v>0</v>
      </c>
    </row>
    <row r="185" spans="1:19" x14ac:dyDescent="0.3">
      <c r="A185" s="98"/>
      <c r="B185" s="98"/>
      <c r="C185" s="98"/>
      <c r="D185" s="98"/>
      <c r="E185" s="98"/>
      <c r="F185" s="98"/>
      <c r="G185" s="98"/>
      <c r="H185" s="38">
        <f>0</f>
        <v>0</v>
      </c>
      <c r="I185" s="29">
        <f>G182*H185</f>
        <v>0</v>
      </c>
      <c r="J185">
        <v>4</v>
      </c>
      <c r="N185" s="4">
        <f>IF(ISERR(SEARCH("TRA* 82",C182)),IF(Q185+R185+S185=0,0,I185*(Q185/(Q185+R185+S185))),I185)</f>
        <v>0</v>
      </c>
      <c r="O185" s="4">
        <f>IF(ISERR(SEARCH("TRA* 82",C182)),IF(Q185+R185+S185=0,0,I185*(R185/(Q185+R185+S185))),0)</f>
        <v>0</v>
      </c>
      <c r="P185" s="4">
        <f>IF(ISERR(SEARCH("TRA* 82",C182)),I185-N185-O185,0)</f>
        <v>0</v>
      </c>
      <c r="Q185" s="4">
        <v>0</v>
      </c>
      <c r="R185" s="4">
        <v>0</v>
      </c>
      <c r="S185" s="4">
        <v>0</v>
      </c>
    </row>
    <row r="186" spans="1:19" x14ac:dyDescent="0.3">
      <c r="A186" s="96" t="s">
        <v>27</v>
      </c>
      <c r="B186" s="97"/>
      <c r="C186" s="97"/>
      <c r="D186" s="97"/>
      <c r="E186" s="97"/>
      <c r="F186" s="97"/>
      <c r="G186" s="97"/>
      <c r="H186" s="36">
        <f>H182+H183+H184+H185</f>
        <v>1.6015000000000001</v>
      </c>
      <c r="I186" s="74">
        <f>I182+I183+I184+I185</f>
        <v>32.03</v>
      </c>
      <c r="J186">
        <v>5</v>
      </c>
    </row>
    <row r="187" spans="1:19" x14ac:dyDescent="0.3">
      <c r="B187" s="2">
        <v>29</v>
      </c>
      <c r="C187" s="3" t="s">
        <v>470</v>
      </c>
      <c r="D187" s="5" t="s">
        <v>40</v>
      </c>
      <c r="G187" s="30">
        <v>20</v>
      </c>
      <c r="H187" s="38">
        <f>100.85/G187</f>
        <v>5.0424999999999995</v>
      </c>
      <c r="I187" s="29">
        <f>G187*H187</f>
        <v>100.85</v>
      </c>
      <c r="J187">
        <v>1</v>
      </c>
    </row>
    <row r="188" spans="1:19" x14ac:dyDescent="0.3">
      <c r="D188" s="15" t="str">
        <f>SUBSTITUTE("Sp.mat: 0.00%",".",IF(VALUE("1.2")=1.2,".",","),2)</f>
        <v>Sp.mat: 0.00%</v>
      </c>
      <c r="F188" s="15" t="str">
        <f>SUBSTITUTE("Sp.man: 0.00%",".",IF(VALUE("1.2")=1.2,".",","),2)</f>
        <v>Sp.man: 0.00%</v>
      </c>
      <c r="G188" s="35" t="str">
        <f>SUBSTITUTE("Sp.uti: 0.00%",".",IF(VALUE("1.2")=1.2,".",","),2)</f>
        <v>Sp.uti: 0.00%</v>
      </c>
      <c r="H188" s="38">
        <f>176.19/G187</f>
        <v>8.8094999999999999</v>
      </c>
      <c r="I188" s="29">
        <f>G187*H188</f>
        <v>176.19</v>
      </c>
      <c r="J188">
        <v>2</v>
      </c>
    </row>
    <row r="189" spans="1:19" x14ac:dyDescent="0.3">
      <c r="A189" s="88" t="s">
        <v>471</v>
      </c>
      <c r="B189" s="98"/>
      <c r="C189" s="98"/>
      <c r="D189" s="98"/>
      <c r="E189" s="98"/>
      <c r="F189" s="98"/>
      <c r="G189" s="98"/>
      <c r="H189" s="38">
        <f>0.5/G187</f>
        <v>2.5000000000000001E-2</v>
      </c>
      <c r="I189" s="29">
        <f>G187*H189</f>
        <v>0.5</v>
      </c>
      <c r="J189">
        <v>3</v>
      </c>
      <c r="K189" s="4">
        <v>0</v>
      </c>
      <c r="L189" s="4">
        <v>0</v>
      </c>
      <c r="M189" s="4">
        <f>I189-K189-L189</f>
        <v>0.5</v>
      </c>
    </row>
    <row r="190" spans="1:19" x14ac:dyDescent="0.3">
      <c r="A190" s="98"/>
      <c r="B190" s="98"/>
      <c r="C190" s="98"/>
      <c r="D190" s="98"/>
      <c r="E190" s="98"/>
      <c r="F190" s="98"/>
      <c r="G190" s="98"/>
      <c r="H190" s="38">
        <f>0</f>
        <v>0</v>
      </c>
      <c r="I190" s="29">
        <f>G187*H190</f>
        <v>0</v>
      </c>
      <c r="J190">
        <v>4</v>
      </c>
      <c r="N190" s="4">
        <f>IF(ISERR(SEARCH("TRA* 82",C187)),IF(Q190+R190+S190=0,0,I190*(Q190/(Q190+R190+S190))),I190)</f>
        <v>0</v>
      </c>
      <c r="O190" s="4">
        <f>IF(ISERR(SEARCH("TRA* 82",C187)),IF(Q190+R190+S190=0,0,I190*(R190/(Q190+R190+S190))),0)</f>
        <v>0</v>
      </c>
      <c r="P190" s="4">
        <f>IF(ISERR(SEARCH("TRA* 82",C187)),I190-N190-O190,0)</f>
        <v>0</v>
      </c>
      <c r="Q190" s="4">
        <v>0</v>
      </c>
      <c r="R190" s="4">
        <v>0</v>
      </c>
      <c r="S190" s="4">
        <v>0</v>
      </c>
    </row>
    <row r="191" spans="1:19" x14ac:dyDescent="0.3">
      <c r="A191" s="96" t="s">
        <v>27</v>
      </c>
      <c r="B191" s="97"/>
      <c r="C191" s="97"/>
      <c r="D191" s="97"/>
      <c r="E191" s="97"/>
      <c r="F191" s="97"/>
      <c r="G191" s="97"/>
      <c r="H191" s="36">
        <f>H187+H188+H189+H190</f>
        <v>13.877000000000001</v>
      </c>
      <c r="I191" s="74">
        <f>I187+I188+I189+I190</f>
        <v>277.53999999999996</v>
      </c>
      <c r="J191">
        <v>5</v>
      </c>
    </row>
    <row r="192" spans="1:19" x14ac:dyDescent="0.3">
      <c r="B192" s="2">
        <v>30</v>
      </c>
      <c r="C192" s="3" t="s">
        <v>472</v>
      </c>
      <c r="D192" s="5" t="s">
        <v>40</v>
      </c>
      <c r="G192" s="30">
        <v>20</v>
      </c>
      <c r="H192" s="38">
        <f>(1+IF(OR(ISERR(FIND(":",D193)),ISERR(FIND("%",D193))),0,MID(D193,FIND(":",D193)+2,FIND("%",D193)-FIND(":",D193)-2)/100))*0</f>
        <v>0</v>
      </c>
      <c r="I192" s="29">
        <f>G192*H192</f>
        <v>0</v>
      </c>
      <c r="J192">
        <v>1</v>
      </c>
    </row>
    <row r="193" spans="1:19" x14ac:dyDescent="0.3">
      <c r="D193" s="15" t="str">
        <f>SUBSTITUTE("Sp.mat: 0.00%",".",IF(VALUE("1.2")=1.2,".",","),2)</f>
        <v>Sp.mat: 0.00%</v>
      </c>
      <c r="F193" s="15" t="str">
        <f>SUBSTITUTE("Sp.man: 0.00%",".",IF(VALUE("1.2")=1.2,".",","),2)</f>
        <v>Sp.man: 0.00%</v>
      </c>
      <c r="G193" s="35" t="str">
        <f>SUBSTITUTE("Sp.uti: 0.00%",".",IF(VALUE("1.2")=1.2,".",","),2)</f>
        <v>Sp.uti: 0.00%</v>
      </c>
      <c r="H193" s="38">
        <f>105.71/G192</f>
        <v>5.2854999999999999</v>
      </c>
      <c r="I193" s="29">
        <f>G192*H193</f>
        <v>105.71</v>
      </c>
      <c r="J193">
        <v>2</v>
      </c>
    </row>
    <row r="194" spans="1:19" x14ac:dyDescent="0.3">
      <c r="A194" s="88" t="s">
        <v>473</v>
      </c>
      <c r="B194" s="98"/>
      <c r="C194" s="98"/>
      <c r="D194" s="98"/>
      <c r="E194" s="98"/>
      <c r="F194" s="98"/>
      <c r="G194" s="98"/>
      <c r="H194" s="38">
        <f>32.03/G192</f>
        <v>1.6015000000000001</v>
      </c>
      <c r="I194" s="29">
        <f>G192*H194</f>
        <v>32.03</v>
      </c>
      <c r="J194">
        <v>3</v>
      </c>
      <c r="K194" s="4">
        <v>0</v>
      </c>
      <c r="L194" s="4">
        <v>60</v>
      </c>
      <c r="M194" s="4">
        <f>I194-K194-L194</f>
        <v>-27.97</v>
      </c>
    </row>
    <row r="195" spans="1:19" x14ac:dyDescent="0.3">
      <c r="A195" s="98"/>
      <c r="B195" s="98"/>
      <c r="C195" s="98"/>
      <c r="D195" s="98"/>
      <c r="E195" s="98"/>
      <c r="F195" s="98"/>
      <c r="G195" s="98"/>
      <c r="H195" s="38">
        <f>0</f>
        <v>0</v>
      </c>
      <c r="I195" s="29">
        <f>G192*H195</f>
        <v>0</v>
      </c>
      <c r="J195">
        <v>4</v>
      </c>
      <c r="N195" s="4">
        <f>IF(ISERR(SEARCH("TRA* 82",C192)),IF(Q195+R195+S195=0,0,I195*(Q195/(Q195+R195+S195))),I195)</f>
        <v>0</v>
      </c>
      <c r="O195" s="4">
        <f>IF(ISERR(SEARCH("TRA* 82",C192)),IF(Q195+R195+S195=0,0,I195*(R195/(Q195+R195+S195))),0)</f>
        <v>0</v>
      </c>
      <c r="P195" s="4">
        <f>IF(ISERR(SEARCH("TRA* 82",C192)),I195-N195-O195,0)</f>
        <v>0</v>
      </c>
      <c r="Q195" s="4">
        <v>0</v>
      </c>
      <c r="R195" s="4">
        <v>0</v>
      </c>
      <c r="S195" s="4">
        <v>0</v>
      </c>
    </row>
    <row r="196" spans="1:19" x14ac:dyDescent="0.3">
      <c r="A196" s="96" t="s">
        <v>27</v>
      </c>
      <c r="B196" s="97"/>
      <c r="C196" s="97"/>
      <c r="D196" s="97"/>
      <c r="E196" s="97"/>
      <c r="F196" s="97"/>
      <c r="G196" s="97"/>
      <c r="H196" s="36">
        <f>H192+H193+H194+H195</f>
        <v>6.8870000000000005</v>
      </c>
      <c r="I196" s="74">
        <f>I192+I193+I194+I195</f>
        <v>137.74</v>
      </c>
      <c r="J196">
        <v>5</v>
      </c>
    </row>
    <row r="197" spans="1:19" x14ac:dyDescent="0.3">
      <c r="B197" s="16"/>
      <c r="E197" s="4">
        <f>SUMIF(J12:J196,"1",I12:I196)</f>
        <v>24193.940000000002</v>
      </c>
      <c r="F197" s="4">
        <f>SUMIF(J12:J196,"2",I12:I196)</f>
        <v>7648.9099999999989</v>
      </c>
      <c r="G197" s="29">
        <f>SUMIF(J12:J196,"3",I12:I196)</f>
        <v>87.58</v>
      </c>
      <c r="H197" s="29">
        <f>SUMIF(J12:J196,"4",I12:I196)</f>
        <v>0</v>
      </c>
      <c r="I197" s="29">
        <f>SUMIF(J12:J196,"5",I12:I196)</f>
        <v>31930.430000000011</v>
      </c>
      <c r="K197" s="4">
        <f>SUMIF(J12:J196,"3",K12:K196)</f>
        <v>0</v>
      </c>
      <c r="L197" s="4">
        <f>SUMIF(J12:J196,"3",L12:L196)</f>
        <v>152.16</v>
      </c>
      <c r="M197" s="4">
        <f>SUMIF(J12:J196,"3",M12:M196)</f>
        <v>-64.58</v>
      </c>
      <c r="N197" s="4">
        <f>SUMIF(J12:J196,"4",N12:N196)</f>
        <v>0</v>
      </c>
      <c r="O197" s="4">
        <f>SUMIF(J12:J196,"4",O12:O196)</f>
        <v>0</v>
      </c>
      <c r="P197" s="4">
        <f>SUMIF(J12:J196,"4",P12:P196)</f>
        <v>0</v>
      </c>
      <c r="Q197" s="4">
        <f>SUMIF(J12:J196,"4",Q12:Q196)</f>
        <v>0</v>
      </c>
      <c r="R197" s="4">
        <f>SUMIF(J12:J196,"4",R12:R196)</f>
        <v>0</v>
      </c>
      <c r="S197" s="4">
        <f>SUMIF(J12:J196,"4",S12:S196)</f>
        <v>0</v>
      </c>
    </row>
    <row r="198" spans="1:19" x14ac:dyDescent="0.3">
      <c r="B198" s="107" t="s">
        <v>1554</v>
      </c>
      <c r="C198" s="108"/>
      <c r="D198" s="26"/>
      <c r="E198" s="26"/>
      <c r="F198" s="26"/>
      <c r="G198" s="109"/>
      <c r="H198" s="36"/>
      <c r="I198" s="110">
        <f>I197</f>
        <v>31930.430000000011</v>
      </c>
    </row>
  </sheetData>
  <mergeCells count="100">
    <mergeCell ref="A14:G15"/>
    <mergeCell ref="A1:D1"/>
    <mergeCell ref="A2:I2"/>
    <mergeCell ref="A3:I3"/>
    <mergeCell ref="A4:I4"/>
    <mergeCell ref="A5:H5"/>
    <mergeCell ref="A33:I33"/>
    <mergeCell ref="A16:G16"/>
    <mergeCell ref="A17:I17"/>
    <mergeCell ref="A18:I18"/>
    <mergeCell ref="A19:I19"/>
    <mergeCell ref="A22:G23"/>
    <mergeCell ref="A24:G24"/>
    <mergeCell ref="A25:I25"/>
    <mergeCell ref="A26:I26"/>
    <mergeCell ref="A27:I27"/>
    <mergeCell ref="A30:G31"/>
    <mergeCell ref="A32:G32"/>
    <mergeCell ref="A51:I51"/>
    <mergeCell ref="A34:I34"/>
    <mergeCell ref="A35:I35"/>
    <mergeCell ref="A38:G39"/>
    <mergeCell ref="A40:G40"/>
    <mergeCell ref="A41:I41"/>
    <mergeCell ref="A42:I42"/>
    <mergeCell ref="A43:I43"/>
    <mergeCell ref="A46:G47"/>
    <mergeCell ref="A48:G48"/>
    <mergeCell ref="A49:I49"/>
    <mergeCell ref="A50:I50"/>
    <mergeCell ref="A72:G72"/>
    <mergeCell ref="A54:G55"/>
    <mergeCell ref="A56:G56"/>
    <mergeCell ref="A57:I57"/>
    <mergeCell ref="A58:I58"/>
    <mergeCell ref="A59:I59"/>
    <mergeCell ref="A62:G63"/>
    <mergeCell ref="A64:G64"/>
    <mergeCell ref="A65:I65"/>
    <mergeCell ref="A66:I66"/>
    <mergeCell ref="A67:I67"/>
    <mergeCell ref="A70:G71"/>
    <mergeCell ref="A90:I90"/>
    <mergeCell ref="A73:I73"/>
    <mergeCell ref="A74:I74"/>
    <mergeCell ref="A75:I75"/>
    <mergeCell ref="A78:G79"/>
    <mergeCell ref="A80:G80"/>
    <mergeCell ref="A81:I81"/>
    <mergeCell ref="A82:I82"/>
    <mergeCell ref="A83:I83"/>
    <mergeCell ref="A86:G87"/>
    <mergeCell ref="A88:G88"/>
    <mergeCell ref="A89:I89"/>
    <mergeCell ref="A119:G120"/>
    <mergeCell ref="A91:I91"/>
    <mergeCell ref="A94:G95"/>
    <mergeCell ref="A96:G96"/>
    <mergeCell ref="A99:G100"/>
    <mergeCell ref="A101:G101"/>
    <mergeCell ref="A104:G105"/>
    <mergeCell ref="A106:G106"/>
    <mergeCell ref="A109:G110"/>
    <mergeCell ref="A111:G111"/>
    <mergeCell ref="A114:G115"/>
    <mergeCell ref="A116:G116"/>
    <mergeCell ref="A147:G147"/>
    <mergeCell ref="A121:G121"/>
    <mergeCell ref="A124:G125"/>
    <mergeCell ref="A126:G126"/>
    <mergeCell ref="A129:G130"/>
    <mergeCell ref="A131:G131"/>
    <mergeCell ref="A134:G135"/>
    <mergeCell ref="A136:G136"/>
    <mergeCell ref="A139:G140"/>
    <mergeCell ref="A141:G141"/>
    <mergeCell ref="A142:I142"/>
    <mergeCell ref="A145:G146"/>
    <mergeCell ref="A171:G171"/>
    <mergeCell ref="A148:I148"/>
    <mergeCell ref="A151:G152"/>
    <mergeCell ref="A153:G153"/>
    <mergeCell ref="A154:I154"/>
    <mergeCell ref="A157:G158"/>
    <mergeCell ref="A159:G159"/>
    <mergeCell ref="A160:I160"/>
    <mergeCell ref="A163:G164"/>
    <mergeCell ref="A165:G165"/>
    <mergeCell ref="A166:I166"/>
    <mergeCell ref="A169:G170"/>
    <mergeCell ref="A189:G190"/>
    <mergeCell ref="A191:G191"/>
    <mergeCell ref="A194:G195"/>
    <mergeCell ref="A196:G196"/>
    <mergeCell ref="A174:G175"/>
    <mergeCell ref="A176:G176"/>
    <mergeCell ref="A179:G180"/>
    <mergeCell ref="A181:G181"/>
    <mergeCell ref="A184:G185"/>
    <mergeCell ref="A186:G186"/>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25" manualBreakCount="25">
    <brk id="51" max="16383" man="1"/>
    <brk id="59" max="16383" man="1"/>
    <brk id="67" max="16383" man="1"/>
    <brk id="75" max="16383" man="1"/>
    <brk id="83" max="16383" man="1"/>
    <brk id="91" max="16383" man="1"/>
    <brk id="96" max="16383" man="1"/>
    <brk id="101" max="16383" man="1"/>
    <brk id="106" max="16383" man="1"/>
    <brk id="111" max="16383" man="1"/>
    <brk id="116" max="16383" man="1"/>
    <brk id="121" max="16383" man="1"/>
    <brk id="126" max="16383" man="1"/>
    <brk id="131" max="16383" man="1"/>
    <brk id="142" max="16383" man="1"/>
    <brk id="148" max="16383" man="1"/>
    <brk id="154" max="16383" man="1"/>
    <brk id="160" max="16383" man="1"/>
    <brk id="166" max="16383" man="1"/>
    <brk id="171" max="16383" man="1"/>
    <brk id="176" max="16383" man="1"/>
    <brk id="181" max="16383" man="1"/>
    <brk id="186" max="16383" man="1"/>
    <brk id="191" max="16383" man="1"/>
    <brk id="196"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BF306-F8CE-48CD-BBAE-A685198542F1}">
  <sheetPr>
    <tabColor rgb="FF92D050"/>
  </sheetPr>
  <dimension ref="A1:T238"/>
  <sheetViews>
    <sheetView topLeftCell="A234" workbookViewId="0">
      <selection activeCell="G243" sqref="G243"/>
    </sheetView>
  </sheetViews>
  <sheetFormatPr defaultRowHeight="14.4" outlineLevelCol="1" x14ac:dyDescent="0.3"/>
  <cols>
    <col min="1" max="1" width="0.33203125" style="1" customWidth="1"/>
    <col min="2" max="2" width="5.77734375" style="2" customWidth="1"/>
    <col min="3" max="3" width="25.33203125" style="3" customWidth="1"/>
    <col min="4" max="4" width="10.6640625" style="5" customWidth="1"/>
    <col min="5" max="6" width="10.6640625" customWidth="1"/>
    <col min="7" max="7" width="10.6640625" style="30" customWidth="1"/>
    <col min="8" max="8" width="10.6640625" style="38" customWidth="1"/>
    <col min="9" max="9" width="10.664062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891</v>
      </c>
      <c r="B4" s="98"/>
      <c r="C4" s="98"/>
      <c r="D4" s="98"/>
      <c r="E4" s="98"/>
      <c r="F4" s="98"/>
      <c r="G4" s="98"/>
      <c r="H4" s="98"/>
      <c r="I4" s="98"/>
    </row>
    <row r="5" spans="1:19" ht="15" thickBot="1" x14ac:dyDescent="0.35">
      <c r="A5" s="82" t="s">
        <v>630</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631</v>
      </c>
      <c r="D12" s="13" t="s">
        <v>25</v>
      </c>
      <c r="E12" s="14"/>
      <c r="F12" s="14"/>
      <c r="G12" s="41">
        <v>12500</v>
      </c>
      <c r="H12" s="71">
        <f>31747.7/G12</f>
        <v>2.5398160000000001</v>
      </c>
      <c r="I12" s="32">
        <f>G12*H12</f>
        <v>31747.7</v>
      </c>
      <c r="J12">
        <v>1</v>
      </c>
    </row>
    <row r="13" spans="1:19" x14ac:dyDescent="0.3">
      <c r="D13" s="15" t="str">
        <f>SUBSTITUTE("Sp.mat: 0.00%",".",IF(VALUE("1.2")=1.2,".",","),2)</f>
        <v>Sp.mat: 0.00%</v>
      </c>
      <c r="F13" s="15" t="str">
        <f>SUBSTITUTE("Sp.man: 0.00%",".",IF(VALUE("1.2")=1.2,".",","),2)</f>
        <v>Sp.man: 0.00%</v>
      </c>
      <c r="G13" s="35" t="str">
        <f>SUBSTITUTE("Sp.uti: 0.00%",".",IF(VALUE("1.2")=1.2,".",","),2)</f>
        <v>Sp.uti: 0.00%</v>
      </c>
      <c r="H13" s="38">
        <f>5005.31/G12</f>
        <v>0.40042480000000003</v>
      </c>
      <c r="I13" s="29">
        <f>G12*H13</f>
        <v>5005.3100000000004</v>
      </c>
      <c r="J13">
        <v>2</v>
      </c>
    </row>
    <row r="14" spans="1:19" x14ac:dyDescent="0.3">
      <c r="A14" s="88" t="s">
        <v>632</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87</v>
      </c>
      <c r="B16" s="101"/>
      <c r="C16" s="101"/>
      <c r="D16" s="101"/>
      <c r="E16" s="101"/>
      <c r="F16" s="101"/>
      <c r="G16" s="101"/>
      <c r="H16" s="33">
        <f>H12+H13+H14+H15</f>
        <v>2.9402408000000002</v>
      </c>
      <c r="I16" s="37">
        <f>I12+I13+I14+I15</f>
        <v>36753.01</v>
      </c>
      <c r="J16">
        <v>5</v>
      </c>
    </row>
    <row r="17" spans="1:19" x14ac:dyDescent="0.3">
      <c r="A17" s="99" t="s">
        <v>633</v>
      </c>
      <c r="B17" s="99"/>
      <c r="C17" s="99"/>
      <c r="D17" s="99"/>
      <c r="E17" s="99"/>
      <c r="F17" s="99"/>
      <c r="G17" s="99"/>
      <c r="H17" s="99"/>
      <c r="I17" s="99"/>
    </row>
    <row r="18" spans="1:19" x14ac:dyDescent="0.3">
      <c r="B18" s="2">
        <v>2</v>
      </c>
      <c r="C18" s="3" t="s">
        <v>634</v>
      </c>
      <c r="D18" s="5" t="s">
        <v>29</v>
      </c>
      <c r="G18" s="30">
        <v>3</v>
      </c>
      <c r="H18" s="38">
        <f>1205.34/G18</f>
        <v>401.78</v>
      </c>
      <c r="I18" s="29">
        <f>G18*H18</f>
        <v>1205.3399999999999</v>
      </c>
      <c r="J18">
        <v>1</v>
      </c>
    </row>
    <row r="19" spans="1:19" x14ac:dyDescent="0.3">
      <c r="D19" s="15" t="str">
        <f>SUBSTITUTE("Sp.mat: 0.00%",".",IF(VALUE("1.2")=1.2,".",","),2)</f>
        <v>Sp.mat: 0.00%</v>
      </c>
      <c r="F19" s="15" t="str">
        <f>SUBSTITUTE("Sp.man: 0.00%",".",IF(VALUE("1.2")=1.2,".",","),2)</f>
        <v>Sp.man: 0.00%</v>
      </c>
      <c r="G19" s="35" t="str">
        <f>SUBSTITUTE("Sp.uti: 0.00%",".",IF(VALUE("1.2")=1.2,".",","),2)</f>
        <v>Sp.uti: 0.00%</v>
      </c>
      <c r="H19" s="38">
        <f>31.33/G18</f>
        <v>10.443333333333333</v>
      </c>
      <c r="I19" s="29">
        <f>G18*H19</f>
        <v>31.33</v>
      </c>
      <c r="J19">
        <v>2</v>
      </c>
    </row>
    <row r="20" spans="1:19" x14ac:dyDescent="0.3">
      <c r="A20" s="88" t="s">
        <v>635</v>
      </c>
      <c r="B20" s="98"/>
      <c r="C20" s="98"/>
      <c r="D20" s="98"/>
      <c r="E20" s="98"/>
      <c r="F20" s="98"/>
      <c r="G20" s="98"/>
      <c r="H20" s="38">
        <f>(1+IF(OR(ISERR(FIND(":",G19)),ISERR(FIND("%",G19))),0,MID(G19,FIND(":",G19)+2,FIND("%",G19)-FIND(":",G19)-2)/100))*0</f>
        <v>0</v>
      </c>
      <c r="I20" s="29">
        <f>G18*H20</f>
        <v>0</v>
      </c>
      <c r="J20">
        <v>3</v>
      </c>
      <c r="K20" s="4">
        <v>0</v>
      </c>
      <c r="L20" s="4">
        <v>0</v>
      </c>
      <c r="M20" s="4">
        <f>I20-K20-L20</f>
        <v>0</v>
      </c>
    </row>
    <row r="21" spans="1:19" x14ac:dyDescent="0.3">
      <c r="A21" s="98"/>
      <c r="B21" s="98"/>
      <c r="C21" s="98"/>
      <c r="D21" s="98"/>
      <c r="E21" s="98"/>
      <c r="F21" s="98"/>
      <c r="G21" s="98"/>
      <c r="H21" s="38">
        <f>0</f>
        <v>0</v>
      </c>
      <c r="I21" s="29">
        <f>G18*H21</f>
        <v>0</v>
      </c>
      <c r="J21">
        <v>4</v>
      </c>
      <c r="N21" s="4">
        <f>IF(ISERR(SEARCH("TRA* 82",C18)),IF(Q21+R21+S21=0,0,I21*(Q21/(Q21+R21+S21))),I21)</f>
        <v>0</v>
      </c>
      <c r="O21" s="4">
        <f>IF(ISERR(SEARCH("TRA* 82",C18)),IF(Q21+R21+S21=0,0,I21*(R21/(Q21+R21+S21))),0)</f>
        <v>0</v>
      </c>
      <c r="P21" s="4">
        <f>IF(ISERR(SEARCH("TRA* 82",C18)),I21-N21-O21,0)</f>
        <v>0</v>
      </c>
      <c r="Q21" s="4">
        <v>0</v>
      </c>
      <c r="R21" s="4">
        <v>0</v>
      </c>
      <c r="S21" s="4">
        <v>0</v>
      </c>
    </row>
    <row r="22" spans="1:19" x14ac:dyDescent="0.3">
      <c r="A22" s="100" t="s">
        <v>87</v>
      </c>
      <c r="B22" s="101"/>
      <c r="C22" s="101"/>
      <c r="D22" s="101"/>
      <c r="E22" s="101"/>
      <c r="F22" s="101"/>
      <c r="G22" s="101"/>
      <c r="H22" s="33">
        <f>H18+H19+H20+H21</f>
        <v>412.2233333333333</v>
      </c>
      <c r="I22" s="37">
        <f>I18+I19+I20+I21</f>
        <v>1236.6699999999998</v>
      </c>
      <c r="J22">
        <v>5</v>
      </c>
    </row>
    <row r="23" spans="1:19" x14ac:dyDescent="0.3">
      <c r="A23" s="102" t="s">
        <v>636</v>
      </c>
      <c r="B23" s="102"/>
      <c r="C23" s="102"/>
      <c r="D23" s="102"/>
      <c r="E23" s="102"/>
      <c r="F23" s="102"/>
      <c r="G23" s="102"/>
      <c r="H23" s="102"/>
      <c r="I23" s="102"/>
    </row>
    <row r="24" spans="1:19" x14ac:dyDescent="0.3">
      <c r="A24" s="98" t="s">
        <v>643</v>
      </c>
      <c r="B24" s="98"/>
      <c r="C24" s="98"/>
      <c r="D24" s="98"/>
      <c r="E24" s="98"/>
      <c r="F24" s="98"/>
      <c r="G24" s="98"/>
      <c r="H24" s="98"/>
      <c r="I24" s="98"/>
    </row>
    <row r="25" spans="1:19" x14ac:dyDescent="0.3">
      <c r="A25" s="98" t="s">
        <v>638</v>
      </c>
      <c r="B25" s="98"/>
      <c r="C25" s="98"/>
      <c r="D25" s="98"/>
      <c r="E25" s="98"/>
      <c r="F25" s="98"/>
      <c r="G25" s="98"/>
      <c r="H25" s="98"/>
      <c r="I25" s="98"/>
    </row>
    <row r="26" spans="1:19" x14ac:dyDescent="0.3">
      <c r="A26" s="98" t="s">
        <v>639</v>
      </c>
      <c r="B26" s="98"/>
      <c r="C26" s="98"/>
      <c r="D26" s="98"/>
      <c r="E26" s="98"/>
      <c r="F26" s="98"/>
      <c r="G26" s="98"/>
      <c r="H26" s="98"/>
      <c r="I26" s="98"/>
    </row>
    <row r="27" spans="1:19" x14ac:dyDescent="0.3">
      <c r="A27" s="98" t="s">
        <v>640</v>
      </c>
      <c r="B27" s="98"/>
      <c r="C27" s="98"/>
      <c r="D27" s="98"/>
      <c r="E27" s="98"/>
      <c r="F27" s="98"/>
      <c r="G27" s="98"/>
      <c r="H27" s="98"/>
      <c r="I27" s="98"/>
    </row>
    <row r="28" spans="1:19" x14ac:dyDescent="0.3">
      <c r="A28" s="97" t="s">
        <v>641</v>
      </c>
      <c r="B28" s="97"/>
      <c r="C28" s="97"/>
      <c r="D28" s="97"/>
      <c r="E28" s="97"/>
      <c r="F28" s="97"/>
      <c r="G28" s="97"/>
      <c r="H28" s="97"/>
      <c r="I28" s="97"/>
    </row>
    <row r="29" spans="1:19" x14ac:dyDescent="0.3">
      <c r="B29" s="2">
        <v>3</v>
      </c>
      <c r="C29" s="3" t="s">
        <v>634</v>
      </c>
      <c r="D29" s="5" t="s">
        <v>29</v>
      </c>
      <c r="G29" s="30">
        <v>1</v>
      </c>
      <c r="H29" s="38">
        <f>433.32/G29</f>
        <v>433.32</v>
      </c>
      <c r="I29" s="29">
        <f>G29*H29</f>
        <v>433.32</v>
      </c>
      <c r="J29">
        <v>1</v>
      </c>
    </row>
    <row r="30" spans="1:19" x14ac:dyDescent="0.3">
      <c r="D30" s="15" t="str">
        <f>SUBSTITUTE("Sp.mat: 0.00%",".",IF(VALUE("1.2")=1.2,".",","),2)</f>
        <v>Sp.mat: 0.00%</v>
      </c>
      <c r="F30" s="15" t="str">
        <f>SUBSTITUTE("Sp.man: 0.00%",".",IF(VALUE("1.2")=1.2,".",","),2)</f>
        <v>Sp.man: 0.00%</v>
      </c>
      <c r="G30" s="35" t="str">
        <f>SUBSTITUTE("Sp.uti: 0.00%",".",IF(VALUE("1.2")=1.2,".",","),2)</f>
        <v>Sp.uti: 0.00%</v>
      </c>
      <c r="H30" s="38">
        <v>10.44</v>
      </c>
      <c r="I30" s="29">
        <f>G29*H30</f>
        <v>10.44</v>
      </c>
      <c r="J30">
        <v>2</v>
      </c>
    </row>
    <row r="31" spans="1:19" x14ac:dyDescent="0.3">
      <c r="A31" s="88" t="s">
        <v>635</v>
      </c>
      <c r="B31" s="98"/>
      <c r="C31" s="98"/>
      <c r="D31" s="98"/>
      <c r="E31" s="98"/>
      <c r="F31" s="98"/>
      <c r="G31" s="98"/>
      <c r="H31" s="38">
        <f>(1+IF(OR(ISERR(FIND(":",G30)),ISERR(FIND("%",G30))),0,MID(G30,FIND(":",G30)+2,FIND("%",G30)-FIND(":",G30)-2)/100))*0</f>
        <v>0</v>
      </c>
      <c r="I31" s="29">
        <f>G29*H31</f>
        <v>0</v>
      </c>
      <c r="J31">
        <v>3</v>
      </c>
      <c r="K31" s="4">
        <v>0</v>
      </c>
      <c r="L31" s="4">
        <v>0</v>
      </c>
      <c r="M31" s="4">
        <f>I31-K31-L31</f>
        <v>0</v>
      </c>
    </row>
    <row r="32" spans="1:19" x14ac:dyDescent="0.3">
      <c r="A32" s="98"/>
      <c r="B32" s="98"/>
      <c r="C32" s="98"/>
      <c r="D32" s="98"/>
      <c r="E32" s="98"/>
      <c r="F32" s="98"/>
      <c r="G32" s="98"/>
      <c r="H32" s="38">
        <f>0</f>
        <v>0</v>
      </c>
      <c r="I32" s="29">
        <f>G29*H32</f>
        <v>0</v>
      </c>
      <c r="J32">
        <v>4</v>
      </c>
      <c r="N32" s="4">
        <f>IF(ISERR(SEARCH("TRA* 82",C29)),IF(Q32+R32+S32=0,0,I32*(Q32/(Q32+R32+S32))),I32)</f>
        <v>0</v>
      </c>
      <c r="O32" s="4">
        <f>IF(ISERR(SEARCH("TRA* 82",C29)),IF(Q32+R32+S32=0,0,I32*(R32/(Q32+R32+S32))),0)</f>
        <v>0</v>
      </c>
      <c r="P32" s="4">
        <f>IF(ISERR(SEARCH("TRA* 82",C29)),I32-N32-O32,0)</f>
        <v>0</v>
      </c>
      <c r="Q32" s="4">
        <v>0</v>
      </c>
      <c r="R32" s="4">
        <v>0</v>
      </c>
      <c r="S32" s="4">
        <v>0</v>
      </c>
    </row>
    <row r="33" spans="1:19" x14ac:dyDescent="0.3">
      <c r="A33" s="100" t="s">
        <v>87</v>
      </c>
      <c r="B33" s="101"/>
      <c r="C33" s="101"/>
      <c r="D33" s="101"/>
      <c r="E33" s="101"/>
      <c r="F33" s="101"/>
      <c r="G33" s="101"/>
      <c r="H33" s="33">
        <f>H29+H30+H31+H32</f>
        <v>443.76</v>
      </c>
      <c r="I33" s="37">
        <f>I29+I30+I31+I32</f>
        <v>443.76</v>
      </c>
      <c r="J33">
        <v>5</v>
      </c>
    </row>
    <row r="34" spans="1:19" x14ac:dyDescent="0.3">
      <c r="A34" s="102" t="s">
        <v>636</v>
      </c>
      <c r="B34" s="102"/>
      <c r="C34" s="102"/>
      <c r="D34" s="102"/>
      <c r="E34" s="102"/>
      <c r="F34" s="102"/>
      <c r="G34" s="102"/>
      <c r="H34" s="102"/>
      <c r="I34" s="102"/>
    </row>
    <row r="35" spans="1:19" x14ac:dyDescent="0.3">
      <c r="A35" s="98" t="s">
        <v>644</v>
      </c>
      <c r="B35" s="98"/>
      <c r="C35" s="98"/>
      <c r="D35" s="98"/>
      <c r="E35" s="98"/>
      <c r="F35" s="98"/>
      <c r="G35" s="98"/>
      <c r="H35" s="98"/>
      <c r="I35" s="98"/>
    </row>
    <row r="36" spans="1:19" x14ac:dyDescent="0.3">
      <c r="A36" s="98" t="s">
        <v>638</v>
      </c>
      <c r="B36" s="98"/>
      <c r="C36" s="98"/>
      <c r="D36" s="98"/>
      <c r="E36" s="98"/>
      <c r="F36" s="98"/>
      <c r="G36" s="98"/>
      <c r="H36" s="98"/>
      <c r="I36" s="98"/>
    </row>
    <row r="37" spans="1:19" x14ac:dyDescent="0.3">
      <c r="A37" s="98" t="s">
        <v>639</v>
      </c>
      <c r="B37" s="98"/>
      <c r="C37" s="98"/>
      <c r="D37" s="98"/>
      <c r="E37" s="98"/>
      <c r="F37" s="98"/>
      <c r="G37" s="98"/>
      <c r="H37" s="98"/>
      <c r="I37" s="98"/>
    </row>
    <row r="38" spans="1:19" x14ac:dyDescent="0.3">
      <c r="A38" s="98" t="s">
        <v>640</v>
      </c>
      <c r="B38" s="98"/>
      <c r="C38" s="98"/>
      <c r="D38" s="98"/>
      <c r="E38" s="98"/>
      <c r="F38" s="98"/>
      <c r="G38" s="98"/>
      <c r="H38" s="98"/>
      <c r="I38" s="98"/>
    </row>
    <row r="39" spans="1:19" x14ac:dyDescent="0.3">
      <c r="A39" s="97" t="s">
        <v>641</v>
      </c>
      <c r="B39" s="97"/>
      <c r="C39" s="97"/>
      <c r="D39" s="97"/>
      <c r="E39" s="97"/>
      <c r="F39" s="97"/>
      <c r="G39" s="97"/>
      <c r="H39" s="97"/>
      <c r="I39" s="97"/>
    </row>
    <row r="40" spans="1:19" x14ac:dyDescent="0.3">
      <c r="B40" s="2">
        <v>4</v>
      </c>
      <c r="C40" s="3" t="s">
        <v>634</v>
      </c>
      <c r="D40" s="5" t="s">
        <v>29</v>
      </c>
      <c r="G40" s="30">
        <v>4</v>
      </c>
      <c r="H40" s="38">
        <f>2108.84/G40</f>
        <v>527.21</v>
      </c>
      <c r="I40" s="29">
        <f>G40*H40</f>
        <v>2108.84</v>
      </c>
      <c r="J40">
        <v>1</v>
      </c>
    </row>
    <row r="41" spans="1:19" x14ac:dyDescent="0.3">
      <c r="D41" s="15" t="str">
        <f>SUBSTITUTE("Sp.mat: 0.00%",".",IF(VALUE("1.2")=1.2,".",","),2)</f>
        <v>Sp.mat: 0.00%</v>
      </c>
      <c r="F41" s="15" t="str">
        <f>SUBSTITUTE("Sp.man: 0.00%",".",IF(VALUE("1.2")=1.2,".",","),2)</f>
        <v>Sp.man: 0.00%</v>
      </c>
      <c r="G41" s="35" t="str">
        <f>SUBSTITUTE("Sp.uti: 0.00%",".",IF(VALUE("1.2")=1.2,".",","),2)</f>
        <v>Sp.uti: 0.00%</v>
      </c>
      <c r="H41" s="38">
        <f>41.77/G40</f>
        <v>10.442500000000001</v>
      </c>
      <c r="I41" s="29">
        <f>G40*H41</f>
        <v>41.77</v>
      </c>
      <c r="J41">
        <v>2</v>
      </c>
    </row>
    <row r="42" spans="1:19" x14ac:dyDescent="0.3">
      <c r="A42" s="88" t="s">
        <v>635</v>
      </c>
      <c r="B42" s="98"/>
      <c r="C42" s="98"/>
      <c r="D42" s="98"/>
      <c r="E42" s="98"/>
      <c r="F42" s="98"/>
      <c r="G42" s="98"/>
      <c r="H42" s="38">
        <f>(1+IF(OR(ISERR(FIND(":",G41)),ISERR(FIND("%",G41))),0,MID(G41,FIND(":",G41)+2,FIND("%",G41)-FIND(":",G41)-2)/100))*0</f>
        <v>0</v>
      </c>
      <c r="I42" s="29">
        <f>G40*H42</f>
        <v>0</v>
      </c>
      <c r="J42">
        <v>3</v>
      </c>
      <c r="K42" s="4">
        <v>0</v>
      </c>
      <c r="L42" s="4">
        <v>0</v>
      </c>
      <c r="M42" s="4">
        <f>I42-K42-L42</f>
        <v>0</v>
      </c>
    </row>
    <row r="43" spans="1:19" x14ac:dyDescent="0.3">
      <c r="A43" s="98"/>
      <c r="B43" s="98"/>
      <c r="C43" s="98"/>
      <c r="D43" s="98"/>
      <c r="E43" s="98"/>
      <c r="F43" s="98"/>
      <c r="G43" s="98"/>
      <c r="H43" s="38">
        <f>0</f>
        <v>0</v>
      </c>
      <c r="I43" s="29">
        <f>G40*H43</f>
        <v>0</v>
      </c>
      <c r="J43">
        <v>4</v>
      </c>
      <c r="N43" s="4">
        <f>IF(ISERR(SEARCH("TRA* 82",C40)),IF(Q43+R43+S43=0,0,I43*(Q43/(Q43+R43+S43))),I43)</f>
        <v>0</v>
      </c>
      <c r="O43" s="4">
        <f>IF(ISERR(SEARCH("TRA* 82",C40)),IF(Q43+R43+S43=0,0,I43*(R43/(Q43+R43+S43))),0)</f>
        <v>0</v>
      </c>
      <c r="P43" s="4">
        <f>IF(ISERR(SEARCH("TRA* 82",C40)),I43-N43-O43,0)</f>
        <v>0</v>
      </c>
      <c r="Q43" s="4">
        <v>0</v>
      </c>
      <c r="R43" s="4">
        <v>0</v>
      </c>
      <c r="S43" s="4">
        <v>0</v>
      </c>
    </row>
    <row r="44" spans="1:19" x14ac:dyDescent="0.3">
      <c r="A44" s="100" t="s">
        <v>87</v>
      </c>
      <c r="B44" s="101"/>
      <c r="C44" s="101"/>
      <c r="D44" s="101"/>
      <c r="E44" s="101"/>
      <c r="F44" s="101"/>
      <c r="G44" s="101"/>
      <c r="H44" s="33">
        <f>H40+H41+H42+H43</f>
        <v>537.65250000000003</v>
      </c>
      <c r="I44" s="37">
        <f>I40+I41+I42+I43</f>
        <v>2150.61</v>
      </c>
      <c r="J44">
        <v>5</v>
      </c>
    </row>
    <row r="45" spans="1:19" x14ac:dyDescent="0.3">
      <c r="A45" s="102" t="s">
        <v>636</v>
      </c>
      <c r="B45" s="102"/>
      <c r="C45" s="102"/>
      <c r="D45" s="102"/>
      <c r="E45" s="102"/>
      <c r="F45" s="102"/>
      <c r="G45" s="102"/>
      <c r="H45" s="102"/>
      <c r="I45" s="102"/>
    </row>
    <row r="46" spans="1:19" x14ac:dyDescent="0.3">
      <c r="A46" s="98" t="s">
        <v>994</v>
      </c>
      <c r="B46" s="98"/>
      <c r="C46" s="98"/>
      <c r="D46" s="98"/>
      <c r="E46" s="98"/>
      <c r="F46" s="98"/>
      <c r="G46" s="98"/>
      <c r="H46" s="98"/>
      <c r="I46" s="98"/>
    </row>
    <row r="47" spans="1:19" x14ac:dyDescent="0.3">
      <c r="A47" s="98" t="s">
        <v>638</v>
      </c>
      <c r="B47" s="98"/>
      <c r="C47" s="98"/>
      <c r="D47" s="98"/>
      <c r="E47" s="98"/>
      <c r="F47" s="98"/>
      <c r="G47" s="98"/>
      <c r="H47" s="98"/>
      <c r="I47" s="98"/>
    </row>
    <row r="48" spans="1:19" x14ac:dyDescent="0.3">
      <c r="A48" s="98" t="s">
        <v>639</v>
      </c>
      <c r="B48" s="98"/>
      <c r="C48" s="98"/>
      <c r="D48" s="98"/>
      <c r="E48" s="98"/>
      <c r="F48" s="98"/>
      <c r="G48" s="98"/>
      <c r="H48" s="98"/>
      <c r="I48" s="98"/>
    </row>
    <row r="49" spans="1:19" x14ac:dyDescent="0.3">
      <c r="A49" s="98" t="s">
        <v>640</v>
      </c>
      <c r="B49" s="98"/>
      <c r="C49" s="98"/>
      <c r="D49" s="98"/>
      <c r="E49" s="98"/>
      <c r="F49" s="98"/>
      <c r="G49" s="98"/>
      <c r="H49" s="98"/>
      <c r="I49" s="98"/>
    </row>
    <row r="50" spans="1:19" x14ac:dyDescent="0.3">
      <c r="A50" s="97" t="s">
        <v>641</v>
      </c>
      <c r="B50" s="97"/>
      <c r="C50" s="97"/>
      <c r="D50" s="97"/>
      <c r="E50" s="97"/>
      <c r="F50" s="97"/>
      <c r="G50" s="97"/>
      <c r="H50" s="97"/>
      <c r="I50" s="97"/>
    </row>
    <row r="51" spans="1:19" x14ac:dyDescent="0.3">
      <c r="B51" s="2">
        <v>5</v>
      </c>
      <c r="C51" s="3" t="s">
        <v>634</v>
      </c>
      <c r="D51" s="5" t="s">
        <v>29</v>
      </c>
      <c r="G51" s="30">
        <v>1</v>
      </c>
      <c r="H51" s="38">
        <v>587.38</v>
      </c>
      <c r="I51" s="29">
        <f>G51*H51</f>
        <v>587.38</v>
      </c>
      <c r="J51">
        <v>1</v>
      </c>
    </row>
    <row r="52" spans="1:19" x14ac:dyDescent="0.3">
      <c r="D52" s="15" t="str">
        <f>SUBSTITUTE("Sp.mat: 0.00%",".",IF(VALUE("1.2")=1.2,".",","),2)</f>
        <v>Sp.mat: 0.00%</v>
      </c>
      <c r="F52" s="15" t="str">
        <f>SUBSTITUTE("Sp.man: 0.00%",".",IF(VALUE("1.2")=1.2,".",","),2)</f>
        <v>Sp.man: 0.00%</v>
      </c>
      <c r="G52" s="35" t="str">
        <f>SUBSTITUTE("Sp.uti: 0.00%",".",IF(VALUE("1.2")=1.2,".",","),2)</f>
        <v>Sp.uti: 0.00%</v>
      </c>
      <c r="H52" s="38">
        <v>10.44</v>
      </c>
      <c r="I52" s="29">
        <f>G51*H52</f>
        <v>10.44</v>
      </c>
      <c r="J52">
        <v>2</v>
      </c>
    </row>
    <row r="53" spans="1:19" x14ac:dyDescent="0.3">
      <c r="A53" s="88" t="s">
        <v>635</v>
      </c>
      <c r="B53" s="98"/>
      <c r="C53" s="98"/>
      <c r="D53" s="98"/>
      <c r="E53" s="98"/>
      <c r="F53" s="98"/>
      <c r="G53" s="98"/>
      <c r="H53" s="38">
        <f>(1+IF(OR(ISERR(FIND(":",G52)),ISERR(FIND("%",G52))),0,MID(G52,FIND(":",G52)+2,FIND("%",G52)-FIND(":",G52)-2)/100))*0</f>
        <v>0</v>
      </c>
      <c r="I53" s="29">
        <f>G51*H53</f>
        <v>0</v>
      </c>
      <c r="J53">
        <v>3</v>
      </c>
      <c r="K53" s="4">
        <v>0</v>
      </c>
      <c r="L53" s="4">
        <v>0</v>
      </c>
      <c r="M53" s="4">
        <f>I53-K53-L53</f>
        <v>0</v>
      </c>
    </row>
    <row r="54" spans="1:19" x14ac:dyDescent="0.3">
      <c r="A54" s="98"/>
      <c r="B54" s="98"/>
      <c r="C54" s="98"/>
      <c r="D54" s="98"/>
      <c r="E54" s="98"/>
      <c r="F54" s="98"/>
      <c r="G54" s="98"/>
      <c r="H54" s="38">
        <f>0</f>
        <v>0</v>
      </c>
      <c r="I54" s="29">
        <f>G51*H54</f>
        <v>0</v>
      </c>
      <c r="J54">
        <v>4</v>
      </c>
      <c r="N54" s="4">
        <f>IF(ISERR(SEARCH("TRA* 82",C51)),IF(Q54+R54+S54=0,0,I54*(Q54/(Q54+R54+S54))),I54)</f>
        <v>0</v>
      </c>
      <c r="O54" s="4">
        <f>IF(ISERR(SEARCH("TRA* 82",C51)),IF(Q54+R54+S54=0,0,I54*(R54/(Q54+R54+S54))),0)</f>
        <v>0</v>
      </c>
      <c r="P54" s="4">
        <f>IF(ISERR(SEARCH("TRA* 82",C51)),I54-N54-O54,0)</f>
        <v>0</v>
      </c>
      <c r="Q54" s="4">
        <v>0</v>
      </c>
      <c r="R54" s="4">
        <v>0</v>
      </c>
      <c r="S54" s="4">
        <v>0</v>
      </c>
    </row>
    <row r="55" spans="1:19" x14ac:dyDescent="0.3">
      <c r="A55" s="100" t="s">
        <v>87</v>
      </c>
      <c r="B55" s="101"/>
      <c r="C55" s="101"/>
      <c r="D55" s="101"/>
      <c r="E55" s="101"/>
      <c r="F55" s="101"/>
      <c r="G55" s="101"/>
      <c r="H55" s="33">
        <f>H51+H52+H53+H54</f>
        <v>597.82000000000005</v>
      </c>
      <c r="I55" s="37">
        <f>I51+I52+I53+I54</f>
        <v>597.82000000000005</v>
      </c>
      <c r="J55">
        <v>5</v>
      </c>
    </row>
    <row r="56" spans="1:19" x14ac:dyDescent="0.3">
      <c r="A56" s="102" t="s">
        <v>636</v>
      </c>
      <c r="B56" s="102"/>
      <c r="C56" s="102"/>
      <c r="D56" s="102"/>
      <c r="E56" s="102"/>
      <c r="F56" s="102"/>
      <c r="G56" s="102"/>
      <c r="H56" s="102"/>
      <c r="I56" s="102"/>
    </row>
    <row r="57" spans="1:19" x14ac:dyDescent="0.3">
      <c r="A57" s="98" t="s">
        <v>645</v>
      </c>
      <c r="B57" s="98"/>
      <c r="C57" s="98"/>
      <c r="D57" s="98"/>
      <c r="E57" s="98"/>
      <c r="F57" s="98"/>
      <c r="G57" s="98"/>
      <c r="H57" s="98"/>
      <c r="I57" s="98"/>
    </row>
    <row r="58" spans="1:19" x14ac:dyDescent="0.3">
      <c r="A58" s="98" t="s">
        <v>638</v>
      </c>
      <c r="B58" s="98"/>
      <c r="C58" s="98"/>
      <c r="D58" s="98"/>
      <c r="E58" s="98"/>
      <c r="F58" s="98"/>
      <c r="G58" s="98"/>
      <c r="H58" s="98"/>
      <c r="I58" s="98"/>
    </row>
    <row r="59" spans="1:19" x14ac:dyDescent="0.3">
      <c r="A59" s="98" t="s">
        <v>639</v>
      </c>
      <c r="B59" s="98"/>
      <c r="C59" s="98"/>
      <c r="D59" s="98"/>
      <c r="E59" s="98"/>
      <c r="F59" s="98"/>
      <c r="G59" s="98"/>
      <c r="H59" s="98"/>
      <c r="I59" s="98"/>
    </row>
    <row r="60" spans="1:19" x14ac:dyDescent="0.3">
      <c r="A60" s="98" t="s">
        <v>640</v>
      </c>
      <c r="B60" s="98"/>
      <c r="C60" s="98"/>
      <c r="D60" s="98"/>
      <c r="E60" s="98"/>
      <c r="F60" s="98"/>
      <c r="G60" s="98"/>
      <c r="H60" s="98"/>
      <c r="I60" s="98"/>
    </row>
    <row r="61" spans="1:19" x14ac:dyDescent="0.3">
      <c r="A61" s="97" t="s">
        <v>641</v>
      </c>
      <c r="B61" s="97"/>
      <c r="C61" s="97"/>
      <c r="D61" s="97"/>
      <c r="E61" s="97"/>
      <c r="F61" s="97"/>
      <c r="G61" s="97"/>
      <c r="H61" s="97"/>
      <c r="I61" s="97"/>
    </row>
    <row r="62" spans="1:19" x14ac:dyDescent="0.3">
      <c r="B62" s="2">
        <v>6</v>
      </c>
      <c r="C62" s="3" t="s">
        <v>634</v>
      </c>
      <c r="D62" s="5" t="s">
        <v>29</v>
      </c>
      <c r="G62" s="30">
        <v>6</v>
      </c>
      <c r="H62" s="38">
        <f>3720.94/G62</f>
        <v>620.15666666666664</v>
      </c>
      <c r="I62" s="29">
        <f>G62*H62</f>
        <v>3720.9399999999996</v>
      </c>
      <c r="J62">
        <v>1</v>
      </c>
    </row>
    <row r="63" spans="1:19" x14ac:dyDescent="0.3">
      <c r="D63" s="15" t="str">
        <f>SUBSTITUTE("Sp.mat: 0.00%",".",IF(VALUE("1.2")=1.2,".",","),2)</f>
        <v>Sp.mat: 0.00%</v>
      </c>
      <c r="F63" s="15" t="str">
        <f>SUBSTITUTE("Sp.man: 0.00%",".",IF(VALUE("1.2")=1.2,".",","),2)</f>
        <v>Sp.man: 0.00%</v>
      </c>
      <c r="G63" s="35" t="str">
        <f>SUBSTITUTE("Sp.uti: 0.00%",".",IF(VALUE("1.2")=1.2,".",","),2)</f>
        <v>Sp.uti: 0.00%</v>
      </c>
      <c r="H63" s="38">
        <f>62.66/G62</f>
        <v>10.443333333333333</v>
      </c>
      <c r="I63" s="29">
        <f>G62*H63</f>
        <v>62.66</v>
      </c>
      <c r="J63">
        <v>2</v>
      </c>
    </row>
    <row r="64" spans="1:19" x14ac:dyDescent="0.3">
      <c r="A64" s="88" t="s">
        <v>635</v>
      </c>
      <c r="B64" s="98"/>
      <c r="C64" s="98"/>
      <c r="D64" s="98"/>
      <c r="E64" s="98"/>
      <c r="F64" s="98"/>
      <c r="G64" s="98"/>
      <c r="H64" s="38">
        <f>(1+IF(OR(ISERR(FIND(":",G63)),ISERR(FIND("%",G63))),0,MID(G63,FIND(":",G63)+2,FIND("%",G63)-FIND(":",G63)-2)/100))*0</f>
        <v>0</v>
      </c>
      <c r="I64" s="29">
        <f>G62*H64</f>
        <v>0</v>
      </c>
      <c r="J64">
        <v>3</v>
      </c>
      <c r="K64" s="4">
        <v>0</v>
      </c>
      <c r="L64" s="4">
        <v>0</v>
      </c>
      <c r="M64" s="4">
        <f>I64-K64-L64</f>
        <v>0</v>
      </c>
    </row>
    <row r="65" spans="1:19" x14ac:dyDescent="0.3">
      <c r="A65" s="98"/>
      <c r="B65" s="98"/>
      <c r="C65" s="98"/>
      <c r="D65" s="98"/>
      <c r="E65" s="98"/>
      <c r="F65" s="98"/>
      <c r="G65" s="98"/>
      <c r="H65" s="38">
        <f>0</f>
        <v>0</v>
      </c>
      <c r="I65" s="29">
        <f>G62*H65</f>
        <v>0</v>
      </c>
      <c r="J65">
        <v>4</v>
      </c>
      <c r="N65" s="4">
        <f>IF(ISERR(SEARCH("TRA* 82",C62)),IF(Q65+R65+S65=0,0,I65*(Q65/(Q65+R65+S65))),I65)</f>
        <v>0</v>
      </c>
      <c r="O65" s="4">
        <f>IF(ISERR(SEARCH("TRA* 82",C62)),IF(Q65+R65+S65=0,0,I65*(R65/(Q65+R65+S65))),0)</f>
        <v>0</v>
      </c>
      <c r="P65" s="4">
        <f>IF(ISERR(SEARCH("TRA* 82",C62)),I65-N65-O65,0)</f>
        <v>0</v>
      </c>
      <c r="Q65" s="4">
        <v>0</v>
      </c>
      <c r="R65" s="4">
        <v>0</v>
      </c>
      <c r="S65" s="4">
        <v>0</v>
      </c>
    </row>
    <row r="66" spans="1:19" x14ac:dyDescent="0.3">
      <c r="A66" s="100" t="s">
        <v>87</v>
      </c>
      <c r="B66" s="101"/>
      <c r="C66" s="101"/>
      <c r="D66" s="101"/>
      <c r="E66" s="101"/>
      <c r="F66" s="101"/>
      <c r="G66" s="101"/>
      <c r="H66" s="33">
        <f>H62+H63+H64+H65</f>
        <v>630.6</v>
      </c>
      <c r="I66" s="37">
        <f>I62+I63+I64+I65</f>
        <v>3783.5999999999995</v>
      </c>
      <c r="J66">
        <v>5</v>
      </c>
    </row>
    <row r="67" spans="1:19" x14ac:dyDescent="0.3">
      <c r="A67" s="102" t="s">
        <v>636</v>
      </c>
      <c r="B67" s="102"/>
      <c r="C67" s="102"/>
      <c r="D67" s="102"/>
      <c r="E67" s="102"/>
      <c r="F67" s="102"/>
      <c r="G67" s="102"/>
      <c r="H67" s="102"/>
      <c r="I67" s="102"/>
    </row>
    <row r="68" spans="1:19" x14ac:dyDescent="0.3">
      <c r="A68" s="98" t="s">
        <v>995</v>
      </c>
      <c r="B68" s="98"/>
      <c r="C68" s="98"/>
      <c r="D68" s="98"/>
      <c r="E68" s="98"/>
      <c r="F68" s="98"/>
      <c r="G68" s="98"/>
      <c r="H68" s="98"/>
      <c r="I68" s="98"/>
    </row>
    <row r="69" spans="1:19" x14ac:dyDescent="0.3">
      <c r="A69" s="98" t="s">
        <v>638</v>
      </c>
      <c r="B69" s="98"/>
      <c r="C69" s="98"/>
      <c r="D69" s="98"/>
      <c r="E69" s="98"/>
      <c r="F69" s="98"/>
      <c r="G69" s="98"/>
      <c r="H69" s="98"/>
      <c r="I69" s="98"/>
    </row>
    <row r="70" spans="1:19" x14ac:dyDescent="0.3">
      <c r="A70" s="98" t="s">
        <v>639</v>
      </c>
      <c r="B70" s="98"/>
      <c r="C70" s="98"/>
      <c r="D70" s="98"/>
      <c r="E70" s="98"/>
      <c r="F70" s="98"/>
      <c r="G70" s="98"/>
      <c r="H70" s="98"/>
      <c r="I70" s="98"/>
    </row>
    <row r="71" spans="1:19" x14ac:dyDescent="0.3">
      <c r="A71" s="98" t="s">
        <v>640</v>
      </c>
      <c r="B71" s="98"/>
      <c r="C71" s="98"/>
      <c r="D71" s="98"/>
      <c r="E71" s="98"/>
      <c r="F71" s="98"/>
      <c r="G71" s="98"/>
      <c r="H71" s="98"/>
      <c r="I71" s="98"/>
    </row>
    <row r="72" spans="1:19" x14ac:dyDescent="0.3">
      <c r="A72" s="97" t="s">
        <v>641</v>
      </c>
      <c r="B72" s="97"/>
      <c r="C72" s="97"/>
      <c r="D72" s="97"/>
      <c r="E72" s="97"/>
      <c r="F72" s="97"/>
      <c r="G72" s="97"/>
      <c r="H72" s="97"/>
      <c r="I72" s="97"/>
    </row>
    <row r="73" spans="1:19" x14ac:dyDescent="0.3">
      <c r="B73" s="2">
        <v>7</v>
      </c>
      <c r="C73" s="3" t="s">
        <v>634</v>
      </c>
      <c r="D73" s="5" t="s">
        <v>29</v>
      </c>
      <c r="G73" s="30">
        <v>2</v>
      </c>
      <c r="H73" s="38">
        <f>1356.93/G73</f>
        <v>678.46500000000003</v>
      </c>
      <c r="I73" s="29">
        <f>G73*H73</f>
        <v>1356.93</v>
      </c>
      <c r="J73">
        <v>1</v>
      </c>
    </row>
    <row r="74" spans="1:19" x14ac:dyDescent="0.3">
      <c r="D74" s="15" t="str">
        <f>SUBSTITUTE("Sp.mat: 0.00%",".",IF(VALUE("1.2")=1.2,".",","),2)</f>
        <v>Sp.mat: 0.00%</v>
      </c>
      <c r="F74" s="15" t="str">
        <f>SUBSTITUTE("Sp.man: 0.00%",".",IF(VALUE("1.2")=1.2,".",","),2)</f>
        <v>Sp.man: 0.00%</v>
      </c>
      <c r="G74" s="35" t="str">
        <f>SUBSTITUTE("Sp.uti: 0.00%",".",IF(VALUE("1.2")=1.2,".",","),2)</f>
        <v>Sp.uti: 0.00%</v>
      </c>
      <c r="H74" s="38">
        <f>27.15/G73</f>
        <v>13.574999999999999</v>
      </c>
      <c r="I74" s="29">
        <f>G73*H74</f>
        <v>27.15</v>
      </c>
      <c r="J74">
        <v>2</v>
      </c>
    </row>
    <row r="75" spans="1:19" x14ac:dyDescent="0.3">
      <c r="A75" s="88" t="s">
        <v>635</v>
      </c>
      <c r="B75" s="98"/>
      <c r="C75" s="98"/>
      <c r="D75" s="98"/>
      <c r="E75" s="98"/>
      <c r="F75" s="98"/>
      <c r="G75" s="98"/>
      <c r="H75" s="38">
        <f>(1+IF(OR(ISERR(FIND(":",G74)),ISERR(FIND("%",G74))),0,MID(G74,FIND(":",G74)+2,FIND("%",G74)-FIND(":",G74)-2)/100))*0</f>
        <v>0</v>
      </c>
      <c r="I75" s="29">
        <f>G73*H75</f>
        <v>0</v>
      </c>
      <c r="J75">
        <v>3</v>
      </c>
      <c r="K75" s="4">
        <v>0</v>
      </c>
      <c r="L75" s="4">
        <v>0</v>
      </c>
      <c r="M75" s="4">
        <f>I75-K75-L75</f>
        <v>0</v>
      </c>
    </row>
    <row r="76" spans="1:19" x14ac:dyDescent="0.3">
      <c r="A76" s="98"/>
      <c r="B76" s="98"/>
      <c r="C76" s="98"/>
      <c r="D76" s="98"/>
      <c r="E76" s="98"/>
      <c r="F76" s="98"/>
      <c r="G76" s="98"/>
      <c r="H76" s="38">
        <f>0</f>
        <v>0</v>
      </c>
      <c r="I76" s="29">
        <f>G73*H76</f>
        <v>0</v>
      </c>
      <c r="J76">
        <v>4</v>
      </c>
      <c r="N76" s="4">
        <f>IF(ISERR(SEARCH("TRA* 82",C73)),IF(Q76+R76+S76=0,0,I76*(Q76/(Q76+R76+S76))),I76)</f>
        <v>0</v>
      </c>
      <c r="O76" s="4">
        <f>IF(ISERR(SEARCH("TRA* 82",C73)),IF(Q76+R76+S76=0,0,I76*(R76/(Q76+R76+S76))),0)</f>
        <v>0</v>
      </c>
      <c r="P76" s="4">
        <f>IF(ISERR(SEARCH("TRA* 82",C73)),I76-N76-O76,0)</f>
        <v>0</v>
      </c>
      <c r="Q76" s="4">
        <v>0</v>
      </c>
      <c r="R76" s="4">
        <v>0</v>
      </c>
      <c r="S76" s="4">
        <v>0</v>
      </c>
    </row>
    <row r="77" spans="1:19" x14ac:dyDescent="0.3">
      <c r="A77" s="100" t="s">
        <v>87</v>
      </c>
      <c r="B77" s="101"/>
      <c r="C77" s="101"/>
      <c r="D77" s="101"/>
      <c r="E77" s="101"/>
      <c r="F77" s="101"/>
      <c r="G77" s="101"/>
      <c r="H77" s="33">
        <f>H73+H74+H75+H76</f>
        <v>692.04000000000008</v>
      </c>
      <c r="I77" s="37">
        <f>I73+I74+I75+I76</f>
        <v>1384.0800000000002</v>
      </c>
      <c r="J77">
        <v>5</v>
      </c>
    </row>
    <row r="78" spans="1:19" x14ac:dyDescent="0.3">
      <c r="A78" s="102" t="s">
        <v>636</v>
      </c>
      <c r="B78" s="102"/>
      <c r="C78" s="102"/>
      <c r="D78" s="102"/>
      <c r="E78" s="102"/>
      <c r="F78" s="102"/>
      <c r="G78" s="102"/>
      <c r="H78" s="102"/>
      <c r="I78" s="102"/>
    </row>
    <row r="79" spans="1:19" x14ac:dyDescent="0.3">
      <c r="A79" s="98" t="s">
        <v>996</v>
      </c>
      <c r="B79" s="98"/>
      <c r="C79" s="98"/>
      <c r="D79" s="98"/>
      <c r="E79" s="98"/>
      <c r="F79" s="98"/>
      <c r="G79" s="98"/>
      <c r="H79" s="98"/>
      <c r="I79" s="98"/>
    </row>
    <row r="80" spans="1:19" x14ac:dyDescent="0.3">
      <c r="A80" s="98" t="s">
        <v>649</v>
      </c>
      <c r="B80" s="98"/>
      <c r="C80" s="98"/>
      <c r="D80" s="98"/>
      <c r="E80" s="98"/>
      <c r="F80" s="98"/>
      <c r="G80" s="98"/>
      <c r="H80" s="98"/>
      <c r="I80" s="98"/>
    </row>
    <row r="81" spans="1:19" x14ac:dyDescent="0.3">
      <c r="A81" s="98" t="s">
        <v>650</v>
      </c>
      <c r="B81" s="98"/>
      <c r="C81" s="98"/>
      <c r="D81" s="98"/>
      <c r="E81" s="98"/>
      <c r="F81" s="98"/>
      <c r="G81" s="98"/>
      <c r="H81" s="98"/>
      <c r="I81" s="98"/>
    </row>
    <row r="82" spans="1:19" x14ac:dyDescent="0.3">
      <c r="A82" s="98" t="s">
        <v>651</v>
      </c>
      <c r="B82" s="98"/>
      <c r="C82" s="98"/>
      <c r="D82" s="98"/>
      <c r="E82" s="98"/>
      <c r="F82" s="98"/>
      <c r="G82" s="98"/>
      <c r="H82" s="98"/>
      <c r="I82" s="98"/>
    </row>
    <row r="83" spans="1:19" x14ac:dyDescent="0.3">
      <c r="A83" s="97" t="s">
        <v>652</v>
      </c>
      <c r="B83" s="97"/>
      <c r="C83" s="97"/>
      <c r="D83" s="97"/>
      <c r="E83" s="97"/>
      <c r="F83" s="97"/>
      <c r="G83" s="97"/>
      <c r="H83" s="97"/>
      <c r="I83" s="97"/>
    </row>
    <row r="84" spans="1:19" x14ac:dyDescent="0.3">
      <c r="B84" s="2">
        <v>8</v>
      </c>
      <c r="C84" s="3" t="s">
        <v>656</v>
      </c>
      <c r="D84" s="5" t="s">
        <v>25</v>
      </c>
      <c r="G84" s="30">
        <v>720</v>
      </c>
      <c r="H84" s="38">
        <f>1436.53/G84</f>
        <v>1.9951805555555555</v>
      </c>
      <c r="I84" s="29">
        <f>G84*H84</f>
        <v>1436.53</v>
      </c>
      <c r="J84">
        <v>1</v>
      </c>
    </row>
    <row r="85" spans="1:19" x14ac:dyDescent="0.3">
      <c r="D85" s="15" t="str">
        <f>SUBSTITUTE("Sp.mat: 0.00%",".",IF(VALUE("1.2")=1.2,".",","),2)</f>
        <v>Sp.mat: 0.00%</v>
      </c>
      <c r="F85" s="15" t="str">
        <f>SUBSTITUTE("Sp.man: 0.00%",".",IF(VALUE("1.2")=1.2,".",","),2)</f>
        <v>Sp.man: 0.00%</v>
      </c>
      <c r="G85" s="35" t="str">
        <f>SUBSTITUTE("Sp.uti: 0.00%",".",IF(VALUE("1.2")=1.2,".",","),2)</f>
        <v>Sp.uti: 0.00%</v>
      </c>
      <c r="H85" s="38">
        <f>230.64/G84</f>
        <v>0.3203333333333333</v>
      </c>
      <c r="I85" s="29">
        <f>G84*H85</f>
        <v>230.64</v>
      </c>
      <c r="J85">
        <v>2</v>
      </c>
    </row>
    <row r="86" spans="1:19" x14ac:dyDescent="0.3">
      <c r="A86" s="88" t="s">
        <v>997</v>
      </c>
      <c r="B86" s="98"/>
      <c r="C86" s="98"/>
      <c r="D86" s="98"/>
      <c r="E86" s="98"/>
      <c r="F86" s="98"/>
      <c r="G86" s="98"/>
      <c r="H86" s="38">
        <f>(1+IF(OR(ISERR(FIND(":",G85)),ISERR(FIND("%",G85))),0,MID(G85,FIND(":",G85)+2,FIND("%",G85)-FIND(":",G85)-2)/100))*0</f>
        <v>0</v>
      </c>
      <c r="I86" s="29">
        <f>G84*H86</f>
        <v>0</v>
      </c>
      <c r="J86">
        <v>3</v>
      </c>
      <c r="K86" s="4">
        <v>0</v>
      </c>
      <c r="L86" s="4">
        <v>0</v>
      </c>
      <c r="M86" s="4">
        <f>I86-K86-L86</f>
        <v>0</v>
      </c>
    </row>
    <row r="87" spans="1:19" x14ac:dyDescent="0.3">
      <c r="A87" s="98"/>
      <c r="B87" s="98"/>
      <c r="C87" s="98"/>
      <c r="D87" s="98"/>
      <c r="E87" s="98"/>
      <c r="F87" s="98"/>
      <c r="G87" s="98"/>
      <c r="H87" s="38">
        <f>0</f>
        <v>0</v>
      </c>
      <c r="I87" s="29">
        <f>G84*H87</f>
        <v>0</v>
      </c>
      <c r="J87">
        <v>4</v>
      </c>
      <c r="N87" s="4">
        <f>IF(ISERR(SEARCH("TRA* 82",C84)),IF(Q87+R87+S87=0,0,I87*(Q87/(Q87+R87+S87))),I87)</f>
        <v>0</v>
      </c>
      <c r="O87" s="4">
        <f>IF(ISERR(SEARCH("TRA* 82",C84)),IF(Q87+R87+S87=0,0,I87*(R87/(Q87+R87+S87))),0)</f>
        <v>0</v>
      </c>
      <c r="P87" s="4">
        <f>IF(ISERR(SEARCH("TRA* 82",C84)),I87-N87-O87,0)</f>
        <v>0</v>
      </c>
      <c r="Q87" s="4">
        <v>0</v>
      </c>
      <c r="R87" s="4">
        <v>0</v>
      </c>
      <c r="S87" s="4">
        <v>0</v>
      </c>
    </row>
    <row r="88" spans="1:19" x14ac:dyDescent="0.3">
      <c r="A88" s="96" t="s">
        <v>27</v>
      </c>
      <c r="B88" s="97"/>
      <c r="C88" s="97"/>
      <c r="D88" s="97"/>
      <c r="E88" s="97"/>
      <c r="F88" s="97"/>
      <c r="G88" s="97"/>
      <c r="H88" s="36">
        <f>H84+H85+H86+H87</f>
        <v>2.3155138888888889</v>
      </c>
      <c r="I88" s="74">
        <f>I84+I85+I86+I87</f>
        <v>1667.17</v>
      </c>
      <c r="J88">
        <v>5</v>
      </c>
    </row>
    <row r="89" spans="1:19" x14ac:dyDescent="0.3">
      <c r="B89" s="2">
        <v>9</v>
      </c>
      <c r="C89" s="3" t="s">
        <v>658</v>
      </c>
      <c r="D89" s="5" t="s">
        <v>40</v>
      </c>
      <c r="G89" s="30">
        <v>1900</v>
      </c>
      <c r="H89" s="38">
        <f>59946.66/G89</f>
        <v>31.550873684210529</v>
      </c>
      <c r="I89" s="29">
        <f>G89*H89</f>
        <v>59946.66</v>
      </c>
      <c r="J89">
        <v>1</v>
      </c>
    </row>
    <row r="90" spans="1:19" x14ac:dyDescent="0.3">
      <c r="D90" s="15" t="str">
        <f>SUBSTITUTE("Sp.mat: 0.00%",".",IF(VALUE("1.2")=1.2,".",","),2)</f>
        <v>Sp.mat: 0.00%</v>
      </c>
      <c r="F90" s="15" t="str">
        <f>SUBSTITUTE("Sp.man: 0.00%",".",IF(VALUE("1.2")=1.2,".",","),2)</f>
        <v>Sp.man: 0.00%</v>
      </c>
      <c r="G90" s="35" t="str">
        <f>SUBSTITUTE("Sp.uti: 0.00%",".",IF(VALUE("1.2")=1.2,".",","),2)</f>
        <v>Sp.uti: 0.00%</v>
      </c>
      <c r="H90" s="38">
        <f>4595.28/G89</f>
        <v>2.4185684210526315</v>
      </c>
      <c r="I90" s="29">
        <f>G89*H90</f>
        <v>4595.28</v>
      </c>
      <c r="J90">
        <v>2</v>
      </c>
    </row>
    <row r="91" spans="1:19" x14ac:dyDescent="0.3">
      <c r="A91" s="88" t="s">
        <v>998</v>
      </c>
      <c r="B91" s="98"/>
      <c r="C91" s="98"/>
      <c r="D91" s="98"/>
      <c r="E91" s="98"/>
      <c r="F91" s="98"/>
      <c r="G91" s="98"/>
      <c r="H91" s="38">
        <f>(1+IF(OR(ISERR(FIND(":",G90)),ISERR(FIND("%",G90))),0,MID(G90,FIND(":",G90)+2,FIND("%",G90)-FIND(":",G90)-2)/100))*0</f>
        <v>0</v>
      </c>
      <c r="I91" s="29">
        <f>G89*H91</f>
        <v>0</v>
      </c>
      <c r="J91">
        <v>3</v>
      </c>
      <c r="K91" s="4">
        <v>0</v>
      </c>
      <c r="L91" s="4">
        <v>0</v>
      </c>
      <c r="M91" s="4">
        <f>I91-K91-L91</f>
        <v>0</v>
      </c>
    </row>
    <row r="92" spans="1:19" x14ac:dyDescent="0.3">
      <c r="A92" s="98"/>
      <c r="B92" s="98"/>
      <c r="C92" s="98"/>
      <c r="D92" s="98"/>
      <c r="E92" s="98"/>
      <c r="F92" s="98"/>
      <c r="G92" s="98"/>
      <c r="H92" s="38">
        <f>0</f>
        <v>0</v>
      </c>
      <c r="I92" s="29">
        <f>G89*H92</f>
        <v>0</v>
      </c>
      <c r="J92">
        <v>4</v>
      </c>
      <c r="N92" s="4">
        <f>IF(ISERR(SEARCH("TRA* 82",C89)),IF(Q92+R92+S92=0,0,I92*(Q92/(Q92+R92+S92))),I92)</f>
        <v>0</v>
      </c>
      <c r="O92" s="4">
        <f>IF(ISERR(SEARCH("TRA* 82",C89)),IF(Q92+R92+S92=0,0,I92*(R92/(Q92+R92+S92))),0)</f>
        <v>0</v>
      </c>
      <c r="P92" s="4">
        <f>IF(ISERR(SEARCH("TRA* 82",C89)),I92-N92-O92,0)</f>
        <v>0</v>
      </c>
      <c r="Q92" s="4">
        <v>0</v>
      </c>
      <c r="R92" s="4">
        <v>0</v>
      </c>
      <c r="S92" s="4">
        <v>0</v>
      </c>
    </row>
    <row r="93" spans="1:19" x14ac:dyDescent="0.3">
      <c r="A93" s="96" t="s">
        <v>27</v>
      </c>
      <c r="B93" s="97"/>
      <c r="C93" s="97"/>
      <c r="D93" s="97"/>
      <c r="E93" s="97"/>
      <c r="F93" s="97"/>
      <c r="G93" s="97"/>
      <c r="H93" s="36">
        <f>H89+H90+H91+H92</f>
        <v>33.969442105263163</v>
      </c>
      <c r="I93" s="74">
        <f>I89+I90+I91+I92</f>
        <v>64541.94</v>
      </c>
      <c r="J93">
        <v>5</v>
      </c>
    </row>
    <row r="94" spans="1:19" x14ac:dyDescent="0.3">
      <c r="B94" s="2">
        <v>10</v>
      </c>
      <c r="C94" s="3" t="s">
        <v>393</v>
      </c>
      <c r="D94" s="5" t="s">
        <v>25</v>
      </c>
      <c r="G94" s="30">
        <v>20</v>
      </c>
      <c r="H94" s="38">
        <f>76.41/G94</f>
        <v>3.8205</v>
      </c>
      <c r="I94" s="29">
        <f>G94*H94</f>
        <v>76.41</v>
      </c>
      <c r="J94">
        <v>1</v>
      </c>
    </row>
    <row r="95" spans="1:19" x14ac:dyDescent="0.3">
      <c r="D95" s="15" t="str">
        <f>SUBSTITUTE("Sp.mat: 0.00%",".",IF(VALUE("1.2")=1.2,".",","),2)</f>
        <v>Sp.mat: 0.00%</v>
      </c>
      <c r="F95" s="15" t="str">
        <f>SUBSTITUTE("Sp.man: 0.00%",".",IF(VALUE("1.2")=1.2,".",","),2)</f>
        <v>Sp.man: 0.00%</v>
      </c>
      <c r="G95" s="35" t="str">
        <f>SUBSTITUTE("Sp.uti: 0.00%",".",IF(VALUE("1.2")=1.2,".",","),2)</f>
        <v>Sp.uti: 0.00%</v>
      </c>
      <c r="H95" s="38">
        <f>352.37/G94</f>
        <v>17.618500000000001</v>
      </c>
      <c r="I95" s="29">
        <f>G94*H95</f>
        <v>352.37</v>
      </c>
      <c r="J95">
        <v>2</v>
      </c>
    </row>
    <row r="96" spans="1:19" x14ac:dyDescent="0.3">
      <c r="A96" s="88" t="s">
        <v>394</v>
      </c>
      <c r="B96" s="98"/>
      <c r="C96" s="98"/>
      <c r="D96" s="98"/>
      <c r="E96" s="98"/>
      <c r="F96" s="98"/>
      <c r="G96" s="98"/>
      <c r="H96" s="38">
        <f>(1+IF(OR(ISERR(FIND(":",G95)),ISERR(FIND("%",G95))),0,MID(G95,FIND(":",G95)+2,FIND("%",G95)-FIND(":",G95)-2)/100))*0</f>
        <v>0</v>
      </c>
      <c r="I96" s="29">
        <f>G94*H96</f>
        <v>0</v>
      </c>
      <c r="J96">
        <v>3</v>
      </c>
      <c r="K96" s="4">
        <v>0</v>
      </c>
      <c r="L96" s="4">
        <v>0</v>
      </c>
      <c r="M96" s="4">
        <f>I96-K96-L96</f>
        <v>0</v>
      </c>
    </row>
    <row r="97" spans="1:19" x14ac:dyDescent="0.3">
      <c r="A97" s="98"/>
      <c r="B97" s="98"/>
      <c r="C97" s="98"/>
      <c r="D97" s="98"/>
      <c r="E97" s="98"/>
      <c r="F97" s="98"/>
      <c r="G97" s="98"/>
      <c r="H97" s="38">
        <f>0</f>
        <v>0</v>
      </c>
      <c r="I97" s="29">
        <f>G94*H97</f>
        <v>0</v>
      </c>
      <c r="J97">
        <v>4</v>
      </c>
      <c r="N97" s="4">
        <f>IF(ISERR(SEARCH("TRA* 82",C94)),IF(Q97+R97+S97=0,0,I97*(Q97/(Q97+R97+S97))),I97)</f>
        <v>0</v>
      </c>
      <c r="O97" s="4">
        <f>IF(ISERR(SEARCH("TRA* 82",C94)),IF(Q97+R97+S97=0,0,I97*(R97/(Q97+R97+S97))),0)</f>
        <v>0</v>
      </c>
      <c r="P97" s="4">
        <f>IF(ISERR(SEARCH("TRA* 82",C94)),I97-N97-O97,0)</f>
        <v>0</v>
      </c>
      <c r="Q97" s="4">
        <v>0</v>
      </c>
      <c r="R97" s="4">
        <v>0</v>
      </c>
      <c r="S97" s="4">
        <v>0</v>
      </c>
    </row>
    <row r="98" spans="1:19" x14ac:dyDescent="0.3">
      <c r="A98" s="100" t="s">
        <v>27</v>
      </c>
      <c r="B98" s="101"/>
      <c r="C98" s="101"/>
      <c r="D98" s="101"/>
      <c r="E98" s="101"/>
      <c r="F98" s="101"/>
      <c r="G98" s="101"/>
      <c r="H98" s="33">
        <f>H94+H95+H96+H97</f>
        <v>21.439</v>
      </c>
      <c r="I98" s="37">
        <f>I94+I95+I96+I97</f>
        <v>428.78</v>
      </c>
      <c r="J98">
        <v>5</v>
      </c>
    </row>
    <row r="99" spans="1:19" x14ac:dyDescent="0.3">
      <c r="A99" s="102" t="s">
        <v>926</v>
      </c>
      <c r="B99" s="102"/>
      <c r="C99" s="102"/>
      <c r="D99" s="102"/>
      <c r="E99" s="102"/>
      <c r="F99" s="102"/>
      <c r="G99" s="102"/>
      <c r="H99" s="102"/>
      <c r="I99" s="102"/>
    </row>
    <row r="100" spans="1:19" x14ac:dyDescent="0.3">
      <c r="A100" s="97" t="s">
        <v>397</v>
      </c>
      <c r="B100" s="97"/>
      <c r="C100" s="97"/>
      <c r="D100" s="97"/>
      <c r="E100" s="97"/>
      <c r="F100" s="97"/>
      <c r="G100" s="97"/>
      <c r="H100" s="97"/>
      <c r="I100" s="97"/>
    </row>
    <row r="101" spans="1:19" x14ac:dyDescent="0.3">
      <c r="B101" s="2">
        <v>11</v>
      </c>
      <c r="C101" s="3" t="s">
        <v>393</v>
      </c>
      <c r="D101" s="5" t="s">
        <v>25</v>
      </c>
      <c r="G101" s="30">
        <v>210</v>
      </c>
      <c r="H101" s="38">
        <f>966.47/G101</f>
        <v>4.6022380952380955</v>
      </c>
      <c r="I101" s="29">
        <f>G101*H101</f>
        <v>966.47</v>
      </c>
      <c r="J101">
        <v>1</v>
      </c>
    </row>
    <row r="102" spans="1:19" x14ac:dyDescent="0.3">
      <c r="D102" s="15" t="str">
        <f>SUBSTITUTE("Sp.mat: 0.00%",".",IF(VALUE("1.2")=1.2,".",","),2)</f>
        <v>Sp.mat: 0.00%</v>
      </c>
      <c r="F102" s="15" t="str">
        <f>SUBSTITUTE("Sp.man: 0.00%",".",IF(VALUE("1.2")=1.2,".",","),2)</f>
        <v>Sp.man: 0.00%</v>
      </c>
      <c r="G102" s="35" t="str">
        <f>SUBSTITUTE("Sp.uti: 0.00%",".",IF(VALUE("1.2")=1.2,".",","),2)</f>
        <v>Sp.uti: 0.00%</v>
      </c>
      <c r="H102" s="38">
        <f>3699.93/G101</f>
        <v>17.618714285714287</v>
      </c>
      <c r="I102" s="29">
        <f>G101*H102</f>
        <v>3699.9300000000003</v>
      </c>
      <c r="J102">
        <v>2</v>
      </c>
    </row>
    <row r="103" spans="1:19" x14ac:dyDescent="0.3">
      <c r="A103" s="88" t="s">
        <v>394</v>
      </c>
      <c r="B103" s="98"/>
      <c r="C103" s="98"/>
      <c r="D103" s="98"/>
      <c r="E103" s="98"/>
      <c r="F103" s="98"/>
      <c r="G103" s="98"/>
      <c r="H103" s="38">
        <f>(1+IF(OR(ISERR(FIND(":",G102)),ISERR(FIND("%",G102))),0,MID(G102,FIND(":",G102)+2,FIND("%",G102)-FIND(":",G102)-2)/100))*0</f>
        <v>0</v>
      </c>
      <c r="I103" s="29">
        <f>G101*H103</f>
        <v>0</v>
      </c>
      <c r="J103">
        <v>3</v>
      </c>
      <c r="K103" s="4">
        <v>0</v>
      </c>
      <c r="L103" s="4">
        <v>0</v>
      </c>
      <c r="M103" s="4">
        <f>I103-K103-L103</f>
        <v>0</v>
      </c>
    </row>
    <row r="104" spans="1:19" x14ac:dyDescent="0.3">
      <c r="A104" s="98"/>
      <c r="B104" s="98"/>
      <c r="C104" s="98"/>
      <c r="D104" s="98"/>
      <c r="E104" s="98"/>
      <c r="F104" s="98"/>
      <c r="G104" s="98"/>
      <c r="H104" s="38">
        <f>0</f>
        <v>0</v>
      </c>
      <c r="I104" s="29">
        <f>G101*H104</f>
        <v>0</v>
      </c>
      <c r="J104">
        <v>4</v>
      </c>
      <c r="N104" s="4">
        <f>IF(ISERR(SEARCH("TRA* 82",C101)),IF(Q104+R104+S104=0,0,I104*(Q104/(Q104+R104+S104))),I104)</f>
        <v>0</v>
      </c>
      <c r="O104" s="4">
        <f>IF(ISERR(SEARCH("TRA* 82",C101)),IF(Q104+R104+S104=0,0,I104*(R104/(Q104+R104+S104))),0)</f>
        <v>0</v>
      </c>
      <c r="P104" s="4">
        <f>IF(ISERR(SEARCH("TRA* 82",C101)),I104-N104-O104,0)</f>
        <v>0</v>
      </c>
      <c r="Q104" s="4">
        <v>0</v>
      </c>
      <c r="R104" s="4">
        <v>0</v>
      </c>
      <c r="S104" s="4">
        <v>0</v>
      </c>
    </row>
    <row r="105" spans="1:19" x14ac:dyDescent="0.3">
      <c r="A105" s="100" t="s">
        <v>27</v>
      </c>
      <c r="B105" s="101"/>
      <c r="C105" s="101"/>
      <c r="D105" s="101"/>
      <c r="E105" s="101"/>
      <c r="F105" s="101"/>
      <c r="G105" s="101"/>
      <c r="H105" s="33">
        <f>H101+H102+H103+H104</f>
        <v>22.220952380952383</v>
      </c>
      <c r="I105" s="37">
        <f>I101+I102+I103+I104</f>
        <v>4666.4000000000005</v>
      </c>
      <c r="J105">
        <v>5</v>
      </c>
    </row>
    <row r="106" spans="1:19" x14ac:dyDescent="0.3">
      <c r="A106" s="102" t="s">
        <v>396</v>
      </c>
      <c r="B106" s="102"/>
      <c r="C106" s="102"/>
      <c r="D106" s="102"/>
      <c r="E106" s="102"/>
      <c r="F106" s="102"/>
      <c r="G106" s="102"/>
      <c r="H106" s="102"/>
      <c r="I106" s="102"/>
    </row>
    <row r="107" spans="1:19" x14ac:dyDescent="0.3">
      <c r="A107" s="97" t="s">
        <v>927</v>
      </c>
      <c r="B107" s="97"/>
      <c r="C107" s="97"/>
      <c r="D107" s="97"/>
      <c r="E107" s="97"/>
      <c r="F107" s="97"/>
      <c r="G107" s="97"/>
      <c r="H107" s="97"/>
      <c r="I107" s="97"/>
    </row>
    <row r="108" spans="1:19" x14ac:dyDescent="0.3">
      <c r="B108" s="2">
        <v>12</v>
      </c>
      <c r="C108" s="3" t="s">
        <v>398</v>
      </c>
      <c r="D108" s="5" t="s">
        <v>25</v>
      </c>
      <c r="G108" s="30">
        <v>200</v>
      </c>
      <c r="H108" s="38">
        <f>1376.74/G108</f>
        <v>6.8837000000000002</v>
      </c>
      <c r="I108" s="29">
        <f>G108*H108</f>
        <v>1376.74</v>
      </c>
      <c r="J108">
        <v>1</v>
      </c>
    </row>
    <row r="109" spans="1:19" x14ac:dyDescent="0.3">
      <c r="D109" s="15" t="str">
        <f>SUBSTITUTE("Sp.mat: 0.00%",".",IF(VALUE("1.2")=1.2,".",","),2)</f>
        <v>Sp.mat: 0.00%</v>
      </c>
      <c r="F109" s="15" t="str">
        <f>SUBSTITUTE("Sp.man: 0.00%",".",IF(VALUE("1.2")=1.2,".",","),2)</f>
        <v>Sp.man: 0.00%</v>
      </c>
      <c r="G109" s="35" t="str">
        <f>SUBSTITUTE("Sp.uti: 0.00%",".",IF(VALUE("1.2")=1.2,".",","),2)</f>
        <v>Sp.uti: 0.00%</v>
      </c>
      <c r="H109" s="38">
        <f>3043.23/G108</f>
        <v>15.216150000000001</v>
      </c>
      <c r="I109" s="29">
        <f>G108*H109</f>
        <v>3043.23</v>
      </c>
      <c r="J109">
        <v>2</v>
      </c>
    </row>
    <row r="110" spans="1:19" x14ac:dyDescent="0.3">
      <c r="A110" s="88" t="s">
        <v>399</v>
      </c>
      <c r="B110" s="98"/>
      <c r="C110" s="98"/>
      <c r="D110" s="98"/>
      <c r="E110" s="98"/>
      <c r="F110" s="98"/>
      <c r="G110" s="98"/>
      <c r="H110" s="38">
        <f>(1+IF(OR(ISERR(FIND(":",G109)),ISERR(FIND("%",G109))),0,MID(G109,FIND(":",G109)+2,FIND("%",G109)-FIND(":",G109)-2)/100))*0</f>
        <v>0</v>
      </c>
      <c r="I110" s="29">
        <f>G108*H110</f>
        <v>0</v>
      </c>
      <c r="J110">
        <v>3</v>
      </c>
      <c r="K110" s="4">
        <v>0</v>
      </c>
      <c r="L110" s="4">
        <v>0</v>
      </c>
      <c r="M110" s="4">
        <f>I110-K110-L110</f>
        <v>0</v>
      </c>
    </row>
    <row r="111" spans="1:19" x14ac:dyDescent="0.3">
      <c r="A111" s="98"/>
      <c r="B111" s="98"/>
      <c r="C111" s="98"/>
      <c r="D111" s="98"/>
      <c r="E111" s="98"/>
      <c r="F111" s="98"/>
      <c r="G111" s="98"/>
      <c r="H111" s="38">
        <f>0</f>
        <v>0</v>
      </c>
      <c r="I111" s="29">
        <f>G108*H111</f>
        <v>0</v>
      </c>
      <c r="J111">
        <v>4</v>
      </c>
      <c r="N111" s="4">
        <f>IF(ISERR(SEARCH("TRA* 82",C108)),IF(Q111+R111+S111=0,0,I111*(Q111/(Q111+R111+S111))),I111)</f>
        <v>0</v>
      </c>
      <c r="O111" s="4">
        <f>IF(ISERR(SEARCH("TRA* 82",C108)),IF(Q111+R111+S111=0,0,I111*(R111/(Q111+R111+S111))),0)</f>
        <v>0</v>
      </c>
      <c r="P111" s="4">
        <f>IF(ISERR(SEARCH("TRA* 82",C108)),I111-N111-O111,0)</f>
        <v>0</v>
      </c>
      <c r="Q111" s="4">
        <v>0</v>
      </c>
      <c r="R111" s="4">
        <v>0</v>
      </c>
      <c r="S111" s="4">
        <v>0</v>
      </c>
    </row>
    <row r="112" spans="1:19" x14ac:dyDescent="0.3">
      <c r="A112" s="100" t="s">
        <v>27</v>
      </c>
      <c r="B112" s="101"/>
      <c r="C112" s="101"/>
      <c r="D112" s="101"/>
      <c r="E112" s="101"/>
      <c r="F112" s="101"/>
      <c r="G112" s="101"/>
      <c r="H112" s="33">
        <f>H108+H109+H110+H111</f>
        <v>22.09985</v>
      </c>
      <c r="I112" s="37">
        <f>I108+I109+I110+I111</f>
        <v>4419.97</v>
      </c>
      <c r="J112">
        <v>5</v>
      </c>
    </row>
    <row r="113" spans="1:19" x14ac:dyDescent="0.3">
      <c r="A113" s="102" t="s">
        <v>400</v>
      </c>
      <c r="B113" s="102"/>
      <c r="C113" s="102"/>
      <c r="D113" s="102"/>
      <c r="E113" s="102"/>
      <c r="F113" s="102"/>
      <c r="G113" s="102"/>
      <c r="H113" s="102"/>
      <c r="I113" s="102"/>
    </row>
    <row r="114" spans="1:19" x14ac:dyDescent="0.3">
      <c r="A114" s="97" t="s">
        <v>410</v>
      </c>
      <c r="B114" s="97"/>
      <c r="C114" s="97"/>
      <c r="D114" s="97"/>
      <c r="E114" s="97"/>
      <c r="F114" s="97"/>
      <c r="G114" s="97"/>
      <c r="H114" s="97"/>
      <c r="I114" s="97"/>
    </row>
    <row r="115" spans="1:19" x14ac:dyDescent="0.3">
      <c r="B115" s="2">
        <v>13</v>
      </c>
      <c r="C115" s="3" t="s">
        <v>398</v>
      </c>
      <c r="D115" s="5" t="s">
        <v>25</v>
      </c>
      <c r="G115" s="30">
        <v>40</v>
      </c>
      <c r="H115" s="38">
        <f>372.72/G115</f>
        <v>9.3180000000000014</v>
      </c>
      <c r="I115" s="29">
        <f>G115*H115</f>
        <v>372.72</v>
      </c>
      <c r="J115">
        <v>1</v>
      </c>
    </row>
    <row r="116" spans="1:19" x14ac:dyDescent="0.3">
      <c r="D116" s="15" t="str">
        <f>SUBSTITUTE("Sp.mat: 0.00%",".",IF(VALUE("1.2")=1.2,".",","),2)</f>
        <v>Sp.mat: 0.00%</v>
      </c>
      <c r="F116" s="15" t="str">
        <f>SUBSTITUTE("Sp.man: 0.00%",".",IF(VALUE("1.2")=1.2,".",","),2)</f>
        <v>Sp.man: 0.00%</v>
      </c>
      <c r="G116" s="35" t="str">
        <f>SUBSTITUTE("Sp.uti: 0.00%",".",IF(VALUE("1.2")=1.2,".",","),2)</f>
        <v>Sp.uti: 0.00%</v>
      </c>
      <c r="H116" s="38">
        <f>608.65/G115</f>
        <v>15.216249999999999</v>
      </c>
      <c r="I116" s="29">
        <f>G115*H116</f>
        <v>608.65</v>
      </c>
      <c r="J116">
        <v>2</v>
      </c>
    </row>
    <row r="117" spans="1:19" x14ac:dyDescent="0.3">
      <c r="A117" s="88" t="s">
        <v>399</v>
      </c>
      <c r="B117" s="98"/>
      <c r="C117" s="98"/>
      <c r="D117" s="98"/>
      <c r="E117" s="98"/>
      <c r="F117" s="98"/>
      <c r="G117" s="98"/>
      <c r="H117" s="38">
        <f>(1+IF(OR(ISERR(FIND(":",G116)),ISERR(FIND("%",G116))),0,MID(G116,FIND(":",G116)+2,FIND("%",G116)-FIND(":",G116)-2)/100))*0</f>
        <v>0</v>
      </c>
      <c r="I117" s="29">
        <f>G115*H117</f>
        <v>0</v>
      </c>
      <c r="J117">
        <v>3</v>
      </c>
      <c r="K117" s="4">
        <v>0</v>
      </c>
      <c r="L117" s="4">
        <v>0</v>
      </c>
      <c r="M117" s="4">
        <f>I117-K117-L117</f>
        <v>0</v>
      </c>
    </row>
    <row r="118" spans="1:19" x14ac:dyDescent="0.3">
      <c r="A118" s="98"/>
      <c r="B118" s="98"/>
      <c r="C118" s="98"/>
      <c r="D118" s="98"/>
      <c r="E118" s="98"/>
      <c r="F118" s="98"/>
      <c r="G118" s="98"/>
      <c r="H118" s="38">
        <f>0</f>
        <v>0</v>
      </c>
      <c r="I118" s="29">
        <f>G115*H118</f>
        <v>0</v>
      </c>
      <c r="J118">
        <v>4</v>
      </c>
      <c r="N118" s="4">
        <f>IF(ISERR(SEARCH("TRA* 82",C115)),IF(Q118+R118+S118=0,0,I118*(Q118/(Q118+R118+S118))),I118)</f>
        <v>0</v>
      </c>
      <c r="O118" s="4">
        <f>IF(ISERR(SEARCH("TRA* 82",C115)),IF(Q118+R118+S118=0,0,I118*(R118/(Q118+R118+S118))),0)</f>
        <v>0</v>
      </c>
      <c r="P118" s="4">
        <f>IF(ISERR(SEARCH("TRA* 82",C115)),I118-N118-O118,0)</f>
        <v>0</v>
      </c>
      <c r="Q118" s="4">
        <v>0</v>
      </c>
      <c r="R118" s="4">
        <v>0</v>
      </c>
      <c r="S118" s="4">
        <v>0</v>
      </c>
    </row>
    <row r="119" spans="1:19" x14ac:dyDescent="0.3">
      <c r="A119" s="100" t="s">
        <v>27</v>
      </c>
      <c r="B119" s="101"/>
      <c r="C119" s="101"/>
      <c r="D119" s="101"/>
      <c r="E119" s="101"/>
      <c r="F119" s="101"/>
      <c r="G119" s="101"/>
      <c r="H119" s="33">
        <f>H115+H116+H117+H118</f>
        <v>24.53425</v>
      </c>
      <c r="I119" s="37">
        <f>I115+I116+I117+I118</f>
        <v>981.37</v>
      </c>
      <c r="J119">
        <v>5</v>
      </c>
    </row>
    <row r="120" spans="1:19" x14ac:dyDescent="0.3">
      <c r="A120" s="102" t="s">
        <v>401</v>
      </c>
      <c r="B120" s="102"/>
      <c r="C120" s="102"/>
      <c r="D120" s="102"/>
      <c r="E120" s="102"/>
      <c r="F120" s="102"/>
      <c r="G120" s="102"/>
      <c r="H120" s="102"/>
      <c r="I120" s="102"/>
    </row>
    <row r="121" spans="1:19" x14ac:dyDescent="0.3">
      <c r="A121" s="97" t="s">
        <v>397</v>
      </c>
      <c r="B121" s="97"/>
      <c r="C121" s="97"/>
      <c r="D121" s="97"/>
      <c r="E121" s="97"/>
      <c r="F121" s="97"/>
      <c r="G121" s="97"/>
      <c r="H121" s="97"/>
      <c r="I121" s="97"/>
    </row>
    <row r="122" spans="1:19" x14ac:dyDescent="0.3">
      <c r="B122" s="2">
        <v>14</v>
      </c>
      <c r="C122" s="3" t="s">
        <v>404</v>
      </c>
      <c r="D122" s="5" t="s">
        <v>25</v>
      </c>
      <c r="G122" s="30">
        <v>25</v>
      </c>
      <c r="H122" s="38">
        <f>275.25/G122</f>
        <v>11.01</v>
      </c>
      <c r="I122" s="29">
        <f>G122*H122</f>
        <v>275.25</v>
      </c>
      <c r="J122">
        <v>1</v>
      </c>
    </row>
    <row r="123" spans="1:19" x14ac:dyDescent="0.3">
      <c r="D123" s="15" t="str">
        <f>SUBSTITUTE("Sp.mat: 0.00%",".",IF(VALUE("1.2")=1.2,".",","),2)</f>
        <v>Sp.mat: 0.00%</v>
      </c>
      <c r="F123" s="15" t="str">
        <f>SUBSTITUTE("Sp.man: 0.00%",".",IF(VALUE("1.2")=1.2,".",","),2)</f>
        <v>Sp.man: 0.00%</v>
      </c>
      <c r="G123" s="35" t="str">
        <f>SUBSTITUTE("Sp.uti: 0.00%",".",IF(VALUE("1.2")=1.2,".",","),2)</f>
        <v>Sp.uti: 0.00%</v>
      </c>
      <c r="H123" s="38">
        <f>420.45/G122</f>
        <v>16.817999999999998</v>
      </c>
      <c r="I123" s="29">
        <f>G122*H123</f>
        <v>420.44999999999993</v>
      </c>
      <c r="J123">
        <v>2</v>
      </c>
    </row>
    <row r="124" spans="1:19" x14ac:dyDescent="0.3">
      <c r="A124" s="88" t="s">
        <v>405</v>
      </c>
      <c r="B124" s="98"/>
      <c r="C124" s="98"/>
      <c r="D124" s="98"/>
      <c r="E124" s="98"/>
      <c r="F124" s="98"/>
      <c r="G124" s="98"/>
      <c r="H124" s="38">
        <f>(1+IF(OR(ISERR(FIND(":",G123)),ISERR(FIND("%",G123))),0,MID(G123,FIND(":",G123)+2,FIND("%",G123)-FIND(":",G123)-2)/100))*0</f>
        <v>0</v>
      </c>
      <c r="I124" s="29">
        <f>G122*H124</f>
        <v>0</v>
      </c>
      <c r="J124">
        <v>3</v>
      </c>
      <c r="K124" s="4">
        <v>0</v>
      </c>
      <c r="L124" s="4">
        <v>0</v>
      </c>
      <c r="M124" s="4">
        <f>I124-K124-L124</f>
        <v>0</v>
      </c>
    </row>
    <row r="125" spans="1:19" x14ac:dyDescent="0.3">
      <c r="A125" s="98"/>
      <c r="B125" s="98"/>
      <c r="C125" s="98"/>
      <c r="D125" s="98"/>
      <c r="E125" s="98"/>
      <c r="F125" s="98"/>
      <c r="G125" s="98"/>
      <c r="H125" s="38">
        <f>0</f>
        <v>0</v>
      </c>
      <c r="I125" s="29">
        <f>G122*H125</f>
        <v>0</v>
      </c>
      <c r="J125">
        <v>4</v>
      </c>
      <c r="N125" s="4">
        <f>IF(ISERR(SEARCH("TRA* 82",C122)),IF(Q125+R125+S125=0,0,I125*(Q125/(Q125+R125+S125))),I125)</f>
        <v>0</v>
      </c>
      <c r="O125" s="4">
        <f>IF(ISERR(SEARCH("TRA* 82",C122)),IF(Q125+R125+S125=0,0,I125*(R125/(Q125+R125+S125))),0)</f>
        <v>0</v>
      </c>
      <c r="P125" s="4">
        <f>IF(ISERR(SEARCH("TRA* 82",C122)),I125-N125-O125,0)</f>
        <v>0</v>
      </c>
      <c r="Q125" s="4">
        <v>0</v>
      </c>
      <c r="R125" s="4">
        <v>0</v>
      </c>
      <c r="S125" s="4">
        <v>0</v>
      </c>
    </row>
    <row r="126" spans="1:19" x14ac:dyDescent="0.3">
      <c r="A126" s="100" t="s">
        <v>27</v>
      </c>
      <c r="B126" s="101"/>
      <c r="C126" s="101"/>
      <c r="D126" s="101"/>
      <c r="E126" s="101"/>
      <c r="F126" s="101"/>
      <c r="G126" s="101"/>
      <c r="H126" s="33">
        <f>H122+H123+H124+H125</f>
        <v>27.827999999999996</v>
      </c>
      <c r="I126" s="37">
        <f>I122+I123+I124+I125</f>
        <v>695.69999999999993</v>
      </c>
      <c r="J126">
        <v>5</v>
      </c>
    </row>
    <row r="127" spans="1:19" x14ac:dyDescent="0.3">
      <c r="A127" s="102" t="s">
        <v>403</v>
      </c>
      <c r="B127" s="102"/>
      <c r="C127" s="102"/>
      <c r="D127" s="102"/>
      <c r="E127" s="102"/>
      <c r="F127" s="102"/>
      <c r="G127" s="102"/>
      <c r="H127" s="102"/>
      <c r="I127" s="102"/>
    </row>
    <row r="128" spans="1:19" x14ac:dyDescent="0.3">
      <c r="A128" s="97" t="s">
        <v>397</v>
      </c>
      <c r="B128" s="97"/>
      <c r="C128" s="97"/>
      <c r="D128" s="97"/>
      <c r="E128" s="97"/>
      <c r="F128" s="97"/>
      <c r="G128" s="97"/>
      <c r="H128" s="97"/>
      <c r="I128" s="97"/>
    </row>
    <row r="129" spans="1:19" x14ac:dyDescent="0.3">
      <c r="B129" s="2">
        <v>15</v>
      </c>
      <c r="C129" s="3" t="s">
        <v>404</v>
      </c>
      <c r="D129" s="5" t="s">
        <v>25</v>
      </c>
      <c r="G129" s="30">
        <v>20</v>
      </c>
      <c r="H129" s="38">
        <f>303/G129</f>
        <v>15.15</v>
      </c>
      <c r="I129" s="29">
        <f>G129*H129</f>
        <v>303</v>
      </c>
      <c r="J129">
        <v>1</v>
      </c>
    </row>
    <row r="130" spans="1:19" x14ac:dyDescent="0.3">
      <c r="D130" s="15" t="str">
        <f>SUBSTITUTE("Sp.mat: 0.00%",".",IF(VALUE("1.2")=1.2,".",","),2)</f>
        <v>Sp.mat: 0.00%</v>
      </c>
      <c r="F130" s="15" t="str">
        <f>SUBSTITUTE("Sp.man: 0.00%",".",IF(VALUE("1.2")=1.2,".",","),2)</f>
        <v>Sp.man: 0.00%</v>
      </c>
      <c r="G130" s="35" t="str">
        <f>SUBSTITUTE("Sp.uti: 0.00%",".",IF(VALUE("1.2")=1.2,".",","),2)</f>
        <v>Sp.uti: 0.00%</v>
      </c>
      <c r="H130" s="38">
        <f>336.36/G129</f>
        <v>16.818000000000001</v>
      </c>
      <c r="I130" s="29">
        <f>G129*H130</f>
        <v>336.36</v>
      </c>
      <c r="J130">
        <v>2</v>
      </c>
    </row>
    <row r="131" spans="1:19" x14ac:dyDescent="0.3">
      <c r="A131" s="88" t="s">
        <v>405</v>
      </c>
      <c r="B131" s="98"/>
      <c r="C131" s="98"/>
      <c r="D131" s="98"/>
      <c r="E131" s="98"/>
      <c r="F131" s="98"/>
      <c r="G131" s="98"/>
      <c r="H131" s="38">
        <f>(1+IF(OR(ISERR(FIND(":",G130)),ISERR(FIND("%",G130))),0,MID(G130,FIND(":",G130)+2,FIND("%",G130)-FIND(":",G130)-2)/100))*0</f>
        <v>0</v>
      </c>
      <c r="I131" s="29">
        <f>G129*H131</f>
        <v>0</v>
      </c>
      <c r="J131">
        <v>3</v>
      </c>
      <c r="K131" s="4">
        <v>0</v>
      </c>
      <c r="L131" s="4">
        <v>0</v>
      </c>
      <c r="M131" s="4">
        <f>I131-K131-L131</f>
        <v>0</v>
      </c>
    </row>
    <row r="132" spans="1:19" x14ac:dyDescent="0.3">
      <c r="A132" s="98"/>
      <c r="B132" s="98"/>
      <c r="C132" s="98"/>
      <c r="D132" s="98"/>
      <c r="E132" s="98"/>
      <c r="F132" s="98"/>
      <c r="G132" s="98"/>
      <c r="H132" s="38">
        <f>0</f>
        <v>0</v>
      </c>
      <c r="I132" s="29">
        <f>G129*H132</f>
        <v>0</v>
      </c>
      <c r="J132">
        <v>4</v>
      </c>
      <c r="N132" s="4">
        <f>IF(ISERR(SEARCH("TRA* 82",C129)),IF(Q132+R132+S132=0,0,I132*(Q132/(Q132+R132+S132))),I132)</f>
        <v>0</v>
      </c>
      <c r="O132" s="4">
        <f>IF(ISERR(SEARCH("TRA* 82",C129)),IF(Q132+R132+S132=0,0,I132*(R132/(Q132+R132+S132))),0)</f>
        <v>0</v>
      </c>
      <c r="P132" s="4">
        <f>IF(ISERR(SEARCH("TRA* 82",C129)),I132-N132-O132,0)</f>
        <v>0</v>
      </c>
      <c r="Q132" s="4">
        <v>0</v>
      </c>
      <c r="R132" s="4">
        <v>0</v>
      </c>
      <c r="S132" s="4">
        <v>0</v>
      </c>
    </row>
    <row r="133" spans="1:19" x14ac:dyDescent="0.3">
      <c r="A133" s="100" t="s">
        <v>27</v>
      </c>
      <c r="B133" s="101"/>
      <c r="C133" s="101"/>
      <c r="D133" s="101"/>
      <c r="E133" s="101"/>
      <c r="F133" s="101"/>
      <c r="G133" s="101"/>
      <c r="H133" s="33">
        <f>H129+H130+H131+H132</f>
        <v>31.968000000000004</v>
      </c>
      <c r="I133" s="37">
        <f>I129+I130+I131+I132</f>
        <v>639.36</v>
      </c>
      <c r="J133">
        <v>5</v>
      </c>
    </row>
    <row r="134" spans="1:19" x14ac:dyDescent="0.3">
      <c r="A134" s="102" t="s">
        <v>406</v>
      </c>
      <c r="B134" s="102"/>
      <c r="C134" s="102"/>
      <c r="D134" s="102"/>
      <c r="E134" s="102"/>
      <c r="F134" s="102"/>
      <c r="G134" s="102"/>
      <c r="H134" s="102"/>
      <c r="I134" s="102"/>
    </row>
    <row r="135" spans="1:19" x14ac:dyDescent="0.3">
      <c r="A135" s="97" t="s">
        <v>397</v>
      </c>
      <c r="B135" s="97"/>
      <c r="C135" s="97"/>
      <c r="D135" s="97"/>
      <c r="E135" s="97"/>
      <c r="F135" s="97"/>
      <c r="G135" s="97"/>
      <c r="H135" s="97"/>
      <c r="I135" s="97"/>
    </row>
    <row r="136" spans="1:19" x14ac:dyDescent="0.3">
      <c r="B136" s="2">
        <v>16</v>
      </c>
      <c r="C136" s="3" t="s">
        <v>238</v>
      </c>
      <c r="D136" s="5" t="s">
        <v>25</v>
      </c>
      <c r="G136" s="30">
        <v>515</v>
      </c>
      <c r="H136" s="38">
        <f>135.2/G136</f>
        <v>0.26252427184466015</v>
      </c>
      <c r="I136" s="29">
        <f>G136*H136</f>
        <v>135.19999999999999</v>
      </c>
      <c r="J136">
        <v>1</v>
      </c>
    </row>
    <row r="137" spans="1:19" x14ac:dyDescent="0.3">
      <c r="D137" s="15" t="str">
        <f>SUBSTITUTE("Sp.mat: 0.00%",".",IF(VALUE("1.2")=1.2,".",","),2)</f>
        <v>Sp.mat: 0.00%</v>
      </c>
      <c r="F137" s="15" t="str">
        <f>SUBSTITUTE("Sp.man: 0.00%",".",IF(VALUE("1.2")=1.2,".",","),2)</f>
        <v>Sp.man: 0.00%</v>
      </c>
      <c r="G137" s="35" t="str">
        <f>SUBSTITUTE("Sp.uti: 0.00%",".",IF(VALUE("1.2")=1.2,".",","),2)</f>
        <v>Sp.uti: 0.00%</v>
      </c>
      <c r="H137" s="38">
        <f>989.85/G136</f>
        <v>1.9220388349514563</v>
      </c>
      <c r="I137" s="29">
        <f>G136*H137</f>
        <v>989.85</v>
      </c>
      <c r="J137">
        <v>2</v>
      </c>
    </row>
    <row r="138" spans="1:19" x14ac:dyDescent="0.3">
      <c r="A138" s="88" t="s">
        <v>239</v>
      </c>
      <c r="B138" s="98"/>
      <c r="C138" s="98"/>
      <c r="D138" s="98"/>
      <c r="E138" s="98"/>
      <c r="F138" s="98"/>
      <c r="G138" s="98"/>
      <c r="H138" s="38">
        <f>16.09/G136</f>
        <v>3.1242718446601942E-2</v>
      </c>
      <c r="I138" s="29">
        <f>G136*H138</f>
        <v>16.09</v>
      </c>
      <c r="J138">
        <v>3</v>
      </c>
      <c r="K138" s="4">
        <v>0</v>
      </c>
      <c r="L138" s="4">
        <v>0</v>
      </c>
      <c r="M138" s="4">
        <f>I138-K138-L138</f>
        <v>16.09</v>
      </c>
    </row>
    <row r="139" spans="1:19" x14ac:dyDescent="0.3">
      <c r="A139" s="98"/>
      <c r="B139" s="98"/>
      <c r="C139" s="98"/>
      <c r="D139" s="98"/>
      <c r="E139" s="98"/>
      <c r="F139" s="98"/>
      <c r="G139" s="98"/>
      <c r="H139" s="38">
        <f>0</f>
        <v>0</v>
      </c>
      <c r="I139" s="29">
        <f>G136*H139</f>
        <v>0</v>
      </c>
      <c r="J139">
        <v>4</v>
      </c>
      <c r="N139" s="4">
        <f>IF(ISERR(SEARCH("TRA* 82",C136)),IF(Q139+R139+S139=0,0,I139*(Q139/(Q139+R139+S139))),I139)</f>
        <v>0</v>
      </c>
      <c r="O139" s="4">
        <f>IF(ISERR(SEARCH("TRA* 82",C136)),IF(Q139+R139+S139=0,0,I139*(R139/(Q139+R139+S139))),0)</f>
        <v>0</v>
      </c>
      <c r="P139" s="4">
        <f>IF(ISERR(SEARCH("TRA* 82",C136)),I139-N139-O139,0)</f>
        <v>0</v>
      </c>
      <c r="Q139" s="4">
        <v>0</v>
      </c>
      <c r="R139" s="4">
        <v>0</v>
      </c>
      <c r="S139" s="4">
        <v>0</v>
      </c>
    </row>
    <row r="140" spans="1:19" x14ac:dyDescent="0.3">
      <c r="A140" s="96" t="s">
        <v>240</v>
      </c>
      <c r="B140" s="97"/>
      <c r="C140" s="97"/>
      <c r="D140" s="97"/>
      <c r="E140" s="97"/>
      <c r="F140" s="97"/>
      <c r="G140" s="97"/>
      <c r="H140" s="36">
        <f>H136+H137+H138+H139</f>
        <v>2.2158058252427186</v>
      </c>
      <c r="I140" s="74">
        <f>I136+I137+I138+I139</f>
        <v>1141.1399999999999</v>
      </c>
      <c r="J140">
        <v>5</v>
      </c>
    </row>
    <row r="141" spans="1:19" x14ac:dyDescent="0.3">
      <c r="B141" s="2">
        <v>17</v>
      </c>
      <c r="C141" s="3" t="s">
        <v>565</v>
      </c>
      <c r="D141" s="5" t="s">
        <v>25</v>
      </c>
      <c r="G141" s="30">
        <v>20</v>
      </c>
      <c r="H141" s="38">
        <f>23.12/G141</f>
        <v>1.1560000000000001</v>
      </c>
      <c r="I141" s="29">
        <f>G141*H141</f>
        <v>23.120000000000005</v>
      </c>
      <c r="J141">
        <v>1</v>
      </c>
    </row>
    <row r="142" spans="1:19" x14ac:dyDescent="0.3">
      <c r="D142" s="15" t="str">
        <f>SUBSTITUTE("Sp.mat: 0.00%",".",IF(VALUE("1.2")=1.2,".",","),2)</f>
        <v>Sp.mat: 0.00%</v>
      </c>
      <c r="F142" s="15" t="str">
        <f>SUBSTITUTE("Sp.man: 0.00%",".",IF(VALUE("1.2")=1.2,".",","),2)</f>
        <v>Sp.man: 0.00%</v>
      </c>
      <c r="G142" s="35" t="str">
        <f>SUBSTITUTE("Sp.uti: 0.00%",".",IF(VALUE("1.2")=1.2,".",","),2)</f>
        <v>Sp.uti: 0.00%</v>
      </c>
      <c r="H142" s="38">
        <f>(1+IF(OR(ISERR(FIND(":",F142)),ISERR(FIND("%",F142))),0,MID(F142,FIND(":",F142)+2,FIND("%",F142)-FIND(":",F142)-2)/100))*0</f>
        <v>0</v>
      </c>
      <c r="I142" s="29">
        <f>G141*H142</f>
        <v>0</v>
      </c>
      <c r="J142">
        <v>2</v>
      </c>
    </row>
    <row r="143" spans="1:19" x14ac:dyDescent="0.3">
      <c r="A143" s="88" t="s">
        <v>566</v>
      </c>
      <c r="B143" s="98"/>
      <c r="C143" s="98"/>
      <c r="D143" s="98"/>
      <c r="E143" s="98"/>
      <c r="F143" s="98"/>
      <c r="G143" s="98"/>
      <c r="H143" s="38">
        <f>(1+IF(OR(ISERR(FIND(":",G142)),ISERR(FIND("%",G142))),0,MID(G142,FIND(":",G142)+2,FIND("%",G142)-FIND(":",G142)-2)/100))*0</f>
        <v>0</v>
      </c>
      <c r="I143" s="29">
        <f>G141*H143</f>
        <v>0</v>
      </c>
      <c r="J143">
        <v>3</v>
      </c>
      <c r="K143" s="4">
        <v>0</v>
      </c>
      <c r="L143" s="4">
        <v>0</v>
      </c>
      <c r="M143" s="4">
        <f>I143-K143-L143</f>
        <v>0</v>
      </c>
    </row>
    <row r="144" spans="1:19" x14ac:dyDescent="0.3">
      <c r="A144" s="98"/>
      <c r="B144" s="98"/>
      <c r="C144" s="98"/>
      <c r="D144" s="98"/>
      <c r="E144" s="98"/>
      <c r="F144" s="98"/>
      <c r="G144" s="98"/>
      <c r="H144" s="38">
        <f>0</f>
        <v>0</v>
      </c>
      <c r="I144" s="29">
        <f>G141*H144</f>
        <v>0</v>
      </c>
      <c r="J144">
        <v>4</v>
      </c>
      <c r="N144" s="4">
        <f>IF(ISERR(SEARCH("TRA* 82",C141)),IF(Q144+R144+S144=0,0,I144*(Q144/(Q144+R144+S144))),I144)</f>
        <v>0</v>
      </c>
      <c r="O144" s="4">
        <f>IF(ISERR(SEARCH("TRA* 82",C141)),IF(Q144+R144+S144=0,0,I144*(R144/(Q144+R144+S144))),0)</f>
        <v>0</v>
      </c>
      <c r="P144" s="4">
        <f>IF(ISERR(SEARCH("TRA* 82",C141)),I144-N144-O144,0)</f>
        <v>0</v>
      </c>
      <c r="Q144" s="4">
        <v>0</v>
      </c>
      <c r="R144" s="4">
        <v>0</v>
      </c>
      <c r="S144" s="4">
        <v>0</v>
      </c>
    </row>
    <row r="145" spans="1:19" x14ac:dyDescent="0.3">
      <c r="A145" s="96" t="s">
        <v>27</v>
      </c>
      <c r="B145" s="97"/>
      <c r="C145" s="97"/>
      <c r="D145" s="97"/>
      <c r="E145" s="97"/>
      <c r="F145" s="97"/>
      <c r="G145" s="97"/>
      <c r="H145" s="36">
        <f>H141+H142+H143+H144</f>
        <v>1.1560000000000001</v>
      </c>
      <c r="I145" s="74">
        <f>I141+I142+I143+I144</f>
        <v>23.120000000000005</v>
      </c>
      <c r="J145">
        <v>5</v>
      </c>
    </row>
    <row r="146" spans="1:19" x14ac:dyDescent="0.3">
      <c r="B146" s="2">
        <v>18</v>
      </c>
      <c r="C146" s="3" t="s">
        <v>619</v>
      </c>
      <c r="D146" s="5" t="s">
        <v>25</v>
      </c>
      <c r="G146" s="30">
        <v>210</v>
      </c>
      <c r="H146" s="38">
        <f>381.2/G146</f>
        <v>1.8152380952380951</v>
      </c>
      <c r="I146" s="29">
        <f>G146*H146</f>
        <v>381.2</v>
      </c>
      <c r="J146">
        <v>1</v>
      </c>
    </row>
    <row r="147" spans="1:19" x14ac:dyDescent="0.3">
      <c r="D147" s="15" t="str">
        <f>SUBSTITUTE("Sp.mat: 0.00%",".",IF(VALUE("1.2")=1.2,".",","),2)</f>
        <v>Sp.mat: 0.00%</v>
      </c>
      <c r="F147" s="15" t="str">
        <f>SUBSTITUTE("Sp.man: 0.00%",".",IF(VALUE("1.2")=1.2,".",","),2)</f>
        <v>Sp.man: 0.00%</v>
      </c>
      <c r="G147" s="35" t="str">
        <f>SUBSTITUTE("Sp.uti: 0.00%",".",IF(VALUE("1.2")=1.2,".",","),2)</f>
        <v>Sp.uti: 0.00%</v>
      </c>
      <c r="H147" s="38">
        <f>(1+IF(OR(ISERR(FIND(":",F147)),ISERR(FIND("%",F147))),0,MID(F147,FIND(":",F147)+2,FIND("%",F147)-FIND(":",F147)-2)/100))*0</f>
        <v>0</v>
      </c>
      <c r="I147" s="29">
        <f>G146*H147</f>
        <v>0</v>
      </c>
      <c r="J147">
        <v>2</v>
      </c>
    </row>
    <row r="148" spans="1:19" x14ac:dyDescent="0.3">
      <c r="A148" s="88" t="s">
        <v>620</v>
      </c>
      <c r="B148" s="98"/>
      <c r="C148" s="98"/>
      <c r="D148" s="98"/>
      <c r="E148" s="98"/>
      <c r="F148" s="98"/>
      <c r="G148" s="98"/>
      <c r="H148" s="38">
        <f>(1+IF(OR(ISERR(FIND(":",G147)),ISERR(FIND("%",G147))),0,MID(G147,FIND(":",G147)+2,FIND("%",G147)-FIND(":",G147)-2)/100))*0</f>
        <v>0</v>
      </c>
      <c r="I148" s="29">
        <f>G146*H148</f>
        <v>0</v>
      </c>
      <c r="J148">
        <v>3</v>
      </c>
      <c r="K148" s="4">
        <v>0</v>
      </c>
      <c r="L148" s="4">
        <v>0</v>
      </c>
      <c r="M148" s="4">
        <f>I148-K148-L148</f>
        <v>0</v>
      </c>
    </row>
    <row r="149" spans="1:19" x14ac:dyDescent="0.3">
      <c r="A149" s="98"/>
      <c r="B149" s="98"/>
      <c r="C149" s="98"/>
      <c r="D149" s="98"/>
      <c r="E149" s="98"/>
      <c r="F149" s="98"/>
      <c r="G149" s="98"/>
      <c r="H149" s="38">
        <f>0</f>
        <v>0</v>
      </c>
      <c r="I149" s="29">
        <f>G146*H149</f>
        <v>0</v>
      </c>
      <c r="J149">
        <v>4</v>
      </c>
      <c r="N149" s="4">
        <f>IF(ISERR(SEARCH("TRA* 82",C146)),IF(Q149+R149+S149=0,0,I149*(Q149/(Q149+R149+S149))),I149)</f>
        <v>0</v>
      </c>
      <c r="O149" s="4">
        <f>IF(ISERR(SEARCH("TRA* 82",C146)),IF(Q149+R149+S149=0,0,I149*(R149/(Q149+R149+S149))),0)</f>
        <v>0</v>
      </c>
      <c r="P149" s="4">
        <f>IF(ISERR(SEARCH("TRA* 82",C146)),I149-N149-O149,0)</f>
        <v>0</v>
      </c>
      <c r="Q149" s="4">
        <v>0</v>
      </c>
      <c r="R149" s="4">
        <v>0</v>
      </c>
      <c r="S149" s="4">
        <v>0</v>
      </c>
    </row>
    <row r="150" spans="1:19" x14ac:dyDescent="0.3">
      <c r="A150" s="96" t="s">
        <v>27</v>
      </c>
      <c r="B150" s="97"/>
      <c r="C150" s="97"/>
      <c r="D150" s="97"/>
      <c r="E150" s="97"/>
      <c r="F150" s="97"/>
      <c r="G150" s="97"/>
      <c r="H150" s="36">
        <f>H146+H147+H148+H149</f>
        <v>1.8152380952380951</v>
      </c>
      <c r="I150" s="74">
        <f>I146+I147+I148+I149</f>
        <v>381.2</v>
      </c>
      <c r="J150">
        <v>5</v>
      </c>
    </row>
    <row r="151" spans="1:19" x14ac:dyDescent="0.3">
      <c r="B151" s="2">
        <v>19</v>
      </c>
      <c r="C151" s="3" t="s">
        <v>621</v>
      </c>
      <c r="D151" s="5" t="s">
        <v>25</v>
      </c>
      <c r="G151" s="30">
        <v>200</v>
      </c>
      <c r="H151" s="38">
        <f>448.48/G151</f>
        <v>2.2423999999999999</v>
      </c>
      <c r="I151" s="29">
        <f>G151*H151</f>
        <v>448.48</v>
      </c>
      <c r="J151">
        <v>1</v>
      </c>
    </row>
    <row r="152" spans="1:19" x14ac:dyDescent="0.3">
      <c r="D152" s="15" t="str">
        <f>SUBSTITUTE("Sp.mat: 0.00%",".",IF(VALUE("1.2")=1.2,".",","),2)</f>
        <v>Sp.mat: 0.00%</v>
      </c>
      <c r="F152" s="15" t="str">
        <f>SUBSTITUTE("Sp.man: 0.00%",".",IF(VALUE("1.2")=1.2,".",","),2)</f>
        <v>Sp.man: 0.00%</v>
      </c>
      <c r="G152" s="35" t="str">
        <f>SUBSTITUTE("Sp.uti: 0.00%",".",IF(VALUE("1.2")=1.2,".",","),2)</f>
        <v>Sp.uti: 0.00%</v>
      </c>
      <c r="H152" s="38">
        <f>(1+IF(OR(ISERR(FIND(":",F152)),ISERR(FIND("%",F152))),0,MID(F152,FIND(":",F152)+2,FIND("%",F152)-FIND(":",F152)-2)/100))*0</f>
        <v>0</v>
      </c>
      <c r="I152" s="29">
        <f>G151*H152</f>
        <v>0</v>
      </c>
      <c r="J152">
        <v>2</v>
      </c>
    </row>
    <row r="153" spans="1:19" x14ac:dyDescent="0.3">
      <c r="A153" s="88" t="s">
        <v>622</v>
      </c>
      <c r="B153" s="98"/>
      <c r="C153" s="98"/>
      <c r="D153" s="98"/>
      <c r="E153" s="98"/>
      <c r="F153" s="98"/>
      <c r="G153" s="98"/>
      <c r="H153" s="38">
        <f>(1+IF(OR(ISERR(FIND(":",G152)),ISERR(FIND("%",G152))),0,MID(G152,FIND(":",G152)+2,FIND("%",G152)-FIND(":",G152)-2)/100))*0</f>
        <v>0</v>
      </c>
      <c r="I153" s="29">
        <f>G151*H153</f>
        <v>0</v>
      </c>
      <c r="J153">
        <v>3</v>
      </c>
      <c r="K153" s="4">
        <v>0</v>
      </c>
      <c r="L153" s="4">
        <v>0</v>
      </c>
      <c r="M153" s="4">
        <f>I153-K153-L153</f>
        <v>0</v>
      </c>
    </row>
    <row r="154" spans="1:19" x14ac:dyDescent="0.3">
      <c r="A154" s="98"/>
      <c r="B154" s="98"/>
      <c r="C154" s="98"/>
      <c r="D154" s="98"/>
      <c r="E154" s="98"/>
      <c r="F154" s="98"/>
      <c r="G154" s="98"/>
      <c r="H154" s="38">
        <f>0</f>
        <v>0</v>
      </c>
      <c r="I154" s="29">
        <f>G151*H154</f>
        <v>0</v>
      </c>
      <c r="J154">
        <v>4</v>
      </c>
      <c r="N154" s="4">
        <f>IF(ISERR(SEARCH("TRA* 82",C151)),IF(Q154+R154+S154=0,0,I154*(Q154/(Q154+R154+S154))),I154)</f>
        <v>0</v>
      </c>
      <c r="O154" s="4">
        <f>IF(ISERR(SEARCH("TRA* 82",C151)),IF(Q154+R154+S154=0,0,I154*(R154/(Q154+R154+S154))),0)</f>
        <v>0</v>
      </c>
      <c r="P154" s="4">
        <f>IF(ISERR(SEARCH("TRA* 82",C151)),I154-N154-O154,0)</f>
        <v>0</v>
      </c>
      <c r="Q154" s="4">
        <v>0</v>
      </c>
      <c r="R154" s="4">
        <v>0</v>
      </c>
      <c r="S154" s="4">
        <v>0</v>
      </c>
    </row>
    <row r="155" spans="1:19" x14ac:dyDescent="0.3">
      <c r="A155" s="96" t="s">
        <v>27</v>
      </c>
      <c r="B155" s="97"/>
      <c r="C155" s="97"/>
      <c r="D155" s="97"/>
      <c r="E155" s="97"/>
      <c r="F155" s="97"/>
      <c r="G155" s="97"/>
      <c r="H155" s="36">
        <f>H151+H152+H153+H154</f>
        <v>2.2423999999999999</v>
      </c>
      <c r="I155" s="74">
        <f>I151+I152+I153+I154</f>
        <v>448.48</v>
      </c>
      <c r="J155">
        <v>5</v>
      </c>
    </row>
    <row r="156" spans="1:19" x14ac:dyDescent="0.3">
      <c r="B156" s="2">
        <v>20</v>
      </c>
      <c r="C156" s="3" t="s">
        <v>623</v>
      </c>
      <c r="D156" s="5" t="s">
        <v>25</v>
      </c>
      <c r="G156" s="30">
        <v>40</v>
      </c>
      <c r="H156" s="38">
        <f>114.04/G156</f>
        <v>2.851</v>
      </c>
      <c r="I156" s="29">
        <f>G156*H156</f>
        <v>114.03999999999999</v>
      </c>
      <c r="J156">
        <v>1</v>
      </c>
    </row>
    <row r="157" spans="1:19" x14ac:dyDescent="0.3">
      <c r="D157" s="15" t="str">
        <f>SUBSTITUTE("Sp.mat: 0.00%",".",IF(VALUE("1.2")=1.2,".",","),2)</f>
        <v>Sp.mat: 0.00%</v>
      </c>
      <c r="F157" s="15" t="str">
        <f>SUBSTITUTE("Sp.man: 0.00%",".",IF(VALUE("1.2")=1.2,".",","),2)</f>
        <v>Sp.man: 0.00%</v>
      </c>
      <c r="G157" s="35" t="str">
        <f>SUBSTITUTE("Sp.uti: 0.00%",".",IF(VALUE("1.2")=1.2,".",","),2)</f>
        <v>Sp.uti: 0.00%</v>
      </c>
      <c r="H157" s="38">
        <f>(1+IF(OR(ISERR(FIND(":",F157)),ISERR(FIND("%",F157))),0,MID(F157,FIND(":",F157)+2,FIND("%",F157)-FIND(":",F157)-2)/100))*0</f>
        <v>0</v>
      </c>
      <c r="I157" s="29">
        <f>G156*H157</f>
        <v>0</v>
      </c>
      <c r="J157">
        <v>2</v>
      </c>
    </row>
    <row r="158" spans="1:19" x14ac:dyDescent="0.3">
      <c r="A158" s="88" t="s">
        <v>624</v>
      </c>
      <c r="B158" s="98"/>
      <c r="C158" s="98"/>
      <c r="D158" s="98"/>
      <c r="E158" s="98"/>
      <c r="F158" s="98"/>
      <c r="G158" s="98"/>
      <c r="H158" s="38">
        <f>(1+IF(OR(ISERR(FIND(":",G157)),ISERR(FIND("%",G157))),0,MID(G157,FIND(":",G157)+2,FIND("%",G157)-FIND(":",G157)-2)/100))*0</f>
        <v>0</v>
      </c>
      <c r="I158" s="29">
        <f>G156*H158</f>
        <v>0</v>
      </c>
      <c r="J158">
        <v>3</v>
      </c>
      <c r="K158" s="4">
        <v>0</v>
      </c>
      <c r="L158" s="4">
        <v>0</v>
      </c>
      <c r="M158" s="4">
        <f>I158-K158-L158</f>
        <v>0</v>
      </c>
    </row>
    <row r="159" spans="1:19" x14ac:dyDescent="0.3">
      <c r="A159" s="98"/>
      <c r="B159" s="98"/>
      <c r="C159" s="98"/>
      <c r="D159" s="98"/>
      <c r="E159" s="98"/>
      <c r="F159" s="98"/>
      <c r="G159" s="98"/>
      <c r="H159" s="38">
        <f>0</f>
        <v>0</v>
      </c>
      <c r="I159" s="29">
        <f>G156*H159</f>
        <v>0</v>
      </c>
      <c r="J159">
        <v>4</v>
      </c>
      <c r="N159" s="4">
        <f>IF(ISERR(SEARCH("TRA* 82",C156)),IF(Q159+R159+S159=0,0,I159*(Q159/(Q159+R159+S159))),I159)</f>
        <v>0</v>
      </c>
      <c r="O159" s="4">
        <f>IF(ISERR(SEARCH("TRA* 82",C156)),IF(Q159+R159+S159=0,0,I159*(R159/(Q159+R159+S159))),0)</f>
        <v>0</v>
      </c>
      <c r="P159" s="4">
        <f>IF(ISERR(SEARCH("TRA* 82",C156)),I159-N159-O159,0)</f>
        <v>0</v>
      </c>
      <c r="Q159" s="4">
        <v>0</v>
      </c>
      <c r="R159" s="4">
        <v>0</v>
      </c>
      <c r="S159" s="4">
        <v>0</v>
      </c>
    </row>
    <row r="160" spans="1:19" x14ac:dyDescent="0.3">
      <c r="A160" s="96" t="s">
        <v>27</v>
      </c>
      <c r="B160" s="97"/>
      <c r="C160" s="97"/>
      <c r="D160" s="97"/>
      <c r="E160" s="97"/>
      <c r="F160" s="97"/>
      <c r="G160" s="97"/>
      <c r="H160" s="36">
        <f>H156+H157+H158+H159</f>
        <v>2.851</v>
      </c>
      <c r="I160" s="74">
        <f>I156+I157+I158+I159</f>
        <v>114.03999999999999</v>
      </c>
      <c r="J160">
        <v>5</v>
      </c>
    </row>
    <row r="161" spans="1:19" x14ac:dyDescent="0.3">
      <c r="B161" s="2">
        <v>21</v>
      </c>
      <c r="C161" s="3" t="s">
        <v>625</v>
      </c>
      <c r="D161" s="5" t="s">
        <v>25</v>
      </c>
      <c r="G161" s="30">
        <v>25</v>
      </c>
      <c r="H161" s="38">
        <f>79.28/G161</f>
        <v>3.1712000000000002</v>
      </c>
      <c r="I161" s="29">
        <f>G161*H161</f>
        <v>79.28</v>
      </c>
      <c r="J161">
        <v>1</v>
      </c>
    </row>
    <row r="162" spans="1:19" x14ac:dyDescent="0.3">
      <c r="D162" s="15" t="str">
        <f>SUBSTITUTE("Sp.mat: 0.00%",".",IF(VALUE("1.2")=1.2,".",","),2)</f>
        <v>Sp.mat: 0.00%</v>
      </c>
      <c r="F162" s="15" t="str">
        <f>SUBSTITUTE("Sp.man: 0.00%",".",IF(VALUE("1.2")=1.2,".",","),2)</f>
        <v>Sp.man: 0.00%</v>
      </c>
      <c r="G162" s="35" t="str">
        <f>SUBSTITUTE("Sp.uti: 0.00%",".",IF(VALUE("1.2")=1.2,".",","),2)</f>
        <v>Sp.uti: 0.00%</v>
      </c>
      <c r="H162" s="38">
        <f>(1+IF(OR(ISERR(FIND(":",F162)),ISERR(FIND("%",F162))),0,MID(F162,FIND(":",F162)+2,FIND("%",F162)-FIND(":",F162)-2)/100))*0</f>
        <v>0</v>
      </c>
      <c r="I162" s="29">
        <f>G161*H162</f>
        <v>0</v>
      </c>
      <c r="J162">
        <v>2</v>
      </c>
    </row>
    <row r="163" spans="1:19" x14ac:dyDescent="0.3">
      <c r="A163" s="88" t="s">
        <v>626</v>
      </c>
      <c r="B163" s="98"/>
      <c r="C163" s="98"/>
      <c r="D163" s="98"/>
      <c r="E163" s="98"/>
      <c r="F163" s="98"/>
      <c r="G163" s="98"/>
      <c r="H163" s="38">
        <f>(1+IF(OR(ISERR(FIND(":",G162)),ISERR(FIND("%",G162))),0,MID(G162,FIND(":",G162)+2,FIND("%",G162)-FIND(":",G162)-2)/100))*0</f>
        <v>0</v>
      </c>
      <c r="I163" s="29">
        <f>G161*H163</f>
        <v>0</v>
      </c>
      <c r="J163">
        <v>3</v>
      </c>
      <c r="K163" s="4">
        <v>0</v>
      </c>
      <c r="L163" s="4">
        <v>0</v>
      </c>
      <c r="M163" s="4">
        <f>I163-K163-L163</f>
        <v>0</v>
      </c>
    </row>
    <row r="164" spans="1:19" x14ac:dyDescent="0.3">
      <c r="A164" s="98"/>
      <c r="B164" s="98"/>
      <c r="C164" s="98"/>
      <c r="D164" s="98"/>
      <c r="E164" s="98"/>
      <c r="F164" s="98"/>
      <c r="G164" s="98"/>
      <c r="H164" s="38">
        <f>0</f>
        <v>0</v>
      </c>
      <c r="I164" s="29">
        <f>G161*H164</f>
        <v>0</v>
      </c>
      <c r="J164">
        <v>4</v>
      </c>
      <c r="N164" s="4">
        <f>IF(ISERR(SEARCH("TRA* 82",C161)),IF(Q164+R164+S164=0,0,I164*(Q164/(Q164+R164+S164))),I164)</f>
        <v>0</v>
      </c>
      <c r="O164" s="4">
        <f>IF(ISERR(SEARCH("TRA* 82",C161)),IF(Q164+R164+S164=0,0,I164*(R164/(Q164+R164+S164))),0)</f>
        <v>0</v>
      </c>
      <c r="P164" s="4">
        <f>IF(ISERR(SEARCH("TRA* 82",C161)),I164-N164-O164,0)</f>
        <v>0</v>
      </c>
      <c r="Q164" s="4">
        <v>0</v>
      </c>
      <c r="R164" s="4">
        <v>0</v>
      </c>
      <c r="S164" s="4">
        <v>0</v>
      </c>
    </row>
    <row r="165" spans="1:19" x14ac:dyDescent="0.3">
      <c r="A165" s="96" t="s">
        <v>27</v>
      </c>
      <c r="B165" s="97"/>
      <c r="C165" s="97"/>
      <c r="D165" s="97"/>
      <c r="E165" s="97"/>
      <c r="F165" s="97"/>
      <c r="G165" s="97"/>
      <c r="H165" s="36">
        <f>H161+H162+H163+H164</f>
        <v>3.1712000000000002</v>
      </c>
      <c r="I165" s="74">
        <f>I161+I162+I163+I164</f>
        <v>79.28</v>
      </c>
      <c r="J165">
        <v>5</v>
      </c>
    </row>
    <row r="166" spans="1:19" x14ac:dyDescent="0.3">
      <c r="B166" s="2">
        <v>22</v>
      </c>
      <c r="C166" s="3" t="s">
        <v>660</v>
      </c>
      <c r="D166" s="5" t="s">
        <v>25</v>
      </c>
      <c r="G166" s="30">
        <v>20</v>
      </c>
      <c r="H166" s="38">
        <f>68.55/G166</f>
        <v>3.4274999999999998</v>
      </c>
      <c r="I166" s="29">
        <f>G166*H166</f>
        <v>68.55</v>
      </c>
      <c r="J166">
        <v>1</v>
      </c>
    </row>
    <row r="167" spans="1:19" x14ac:dyDescent="0.3">
      <c r="D167" s="15" t="str">
        <f>SUBSTITUTE("Sp.mat: 0.00%",".",IF(VALUE("1.2")=1.2,".",","),2)</f>
        <v>Sp.mat: 0.00%</v>
      </c>
      <c r="F167" s="15" t="str">
        <f>SUBSTITUTE("Sp.man: 0.00%",".",IF(VALUE("1.2")=1.2,".",","),2)</f>
        <v>Sp.man: 0.00%</v>
      </c>
      <c r="G167" s="35" t="str">
        <f>SUBSTITUTE("Sp.uti: 0.00%",".",IF(VALUE("1.2")=1.2,".",","),2)</f>
        <v>Sp.uti: 0.00%</v>
      </c>
      <c r="H167" s="38">
        <f>(1+IF(OR(ISERR(FIND(":",F167)),ISERR(FIND("%",F167))),0,MID(F167,FIND(":",F167)+2,FIND("%",F167)-FIND(":",F167)-2)/100))*0</f>
        <v>0</v>
      </c>
      <c r="I167" s="29">
        <f>G166*H167</f>
        <v>0</v>
      </c>
      <c r="J167">
        <v>2</v>
      </c>
    </row>
    <row r="168" spans="1:19" x14ac:dyDescent="0.3">
      <c r="A168" s="88" t="s">
        <v>661</v>
      </c>
      <c r="B168" s="98"/>
      <c r="C168" s="98"/>
      <c r="D168" s="98"/>
      <c r="E168" s="98"/>
      <c r="F168" s="98"/>
      <c r="G168" s="98"/>
      <c r="H168" s="38">
        <f>(1+IF(OR(ISERR(FIND(":",G167)),ISERR(FIND("%",G167))),0,MID(G167,FIND(":",G167)+2,FIND("%",G167)-FIND(":",G167)-2)/100))*0</f>
        <v>0</v>
      </c>
      <c r="I168" s="29">
        <f>G166*H168</f>
        <v>0</v>
      </c>
      <c r="J168">
        <v>3</v>
      </c>
      <c r="K168" s="4">
        <v>0</v>
      </c>
      <c r="L168" s="4">
        <v>0</v>
      </c>
      <c r="M168" s="4">
        <f>I168-K168-L168</f>
        <v>0</v>
      </c>
    </row>
    <row r="169" spans="1:19" x14ac:dyDescent="0.3">
      <c r="A169" s="98"/>
      <c r="B169" s="98"/>
      <c r="C169" s="98"/>
      <c r="D169" s="98"/>
      <c r="E169" s="98"/>
      <c r="F169" s="98"/>
      <c r="G169" s="98"/>
      <c r="H169" s="38">
        <f>0</f>
        <v>0</v>
      </c>
      <c r="I169" s="29">
        <f>G166*H169</f>
        <v>0</v>
      </c>
      <c r="J169">
        <v>4</v>
      </c>
      <c r="N169" s="4">
        <f>IF(ISERR(SEARCH("TRA* 82",C166)),IF(Q169+R169+S169=0,0,I169*(Q169/(Q169+R169+S169))),I169)</f>
        <v>0</v>
      </c>
      <c r="O169" s="4">
        <f>IF(ISERR(SEARCH("TRA* 82",C166)),IF(Q169+R169+S169=0,0,I169*(R169/(Q169+R169+S169))),0)</f>
        <v>0</v>
      </c>
      <c r="P169" s="4">
        <f>IF(ISERR(SEARCH("TRA* 82",C166)),I169-N169-O169,0)</f>
        <v>0</v>
      </c>
      <c r="Q169" s="4">
        <v>0</v>
      </c>
      <c r="R169" s="4">
        <v>0</v>
      </c>
      <c r="S169" s="4">
        <v>0</v>
      </c>
    </row>
    <row r="170" spans="1:19" x14ac:dyDescent="0.3">
      <c r="A170" s="96" t="s">
        <v>27</v>
      </c>
      <c r="B170" s="97"/>
      <c r="C170" s="97"/>
      <c r="D170" s="97"/>
      <c r="E170" s="97"/>
      <c r="F170" s="97"/>
      <c r="G170" s="97"/>
      <c r="H170" s="36">
        <f>H166+H167+H168+H169</f>
        <v>3.4274999999999998</v>
      </c>
      <c r="I170" s="74">
        <f>I166+I167+I168+I169</f>
        <v>68.55</v>
      </c>
      <c r="J170">
        <v>5</v>
      </c>
    </row>
    <row r="171" spans="1:19" x14ac:dyDescent="0.3">
      <c r="B171" s="2">
        <v>23</v>
      </c>
      <c r="C171" s="3" t="s">
        <v>331</v>
      </c>
      <c r="D171" s="5" t="s">
        <v>29</v>
      </c>
      <c r="G171" s="30">
        <v>40</v>
      </c>
      <c r="H171" s="38">
        <f>696.48/G171</f>
        <v>17.411999999999999</v>
      </c>
      <c r="I171" s="29">
        <f>G171*H171</f>
        <v>696.48</v>
      </c>
      <c r="J171">
        <v>1</v>
      </c>
    </row>
    <row r="172" spans="1:19" x14ac:dyDescent="0.3">
      <c r="D172" s="15" t="str">
        <f>SUBSTITUTE("Sp.mat: 0.00%",".",IF(VALUE("1.2")=1.2,".",","),2)</f>
        <v>Sp.mat: 0.00%</v>
      </c>
      <c r="F172" s="15" t="str">
        <f>SUBSTITUTE("Sp.man: 0.00%",".",IF(VALUE("1.2")=1.2,".",","),2)</f>
        <v>Sp.man: 0.00%</v>
      </c>
      <c r="G172" s="35" t="str">
        <f>SUBSTITUTE("Sp.uti: 0.00%",".",IF(VALUE("1.2")=1.2,".",","),2)</f>
        <v>Sp.uti: 0.00%</v>
      </c>
      <c r="H172" s="38">
        <f>160.17/G171</f>
        <v>4.0042499999999999</v>
      </c>
      <c r="I172" s="29">
        <f>G171*H172</f>
        <v>160.16999999999999</v>
      </c>
      <c r="J172">
        <v>2</v>
      </c>
    </row>
    <row r="173" spans="1:19" x14ac:dyDescent="0.3">
      <c r="A173" s="88" t="s">
        <v>999</v>
      </c>
      <c r="B173" s="98"/>
      <c r="C173" s="98"/>
      <c r="D173" s="98"/>
      <c r="E173" s="98"/>
      <c r="F173" s="98"/>
      <c r="G173" s="98"/>
      <c r="H173" s="38">
        <f>(1+IF(OR(ISERR(FIND(":",G172)),ISERR(FIND("%",G172))),0,MID(G172,FIND(":",G172)+2,FIND("%",G172)-FIND(":",G172)-2)/100))*0</f>
        <v>0</v>
      </c>
      <c r="I173" s="29">
        <f>G171*H173</f>
        <v>0</v>
      </c>
      <c r="J173">
        <v>3</v>
      </c>
      <c r="K173" s="4">
        <v>0</v>
      </c>
      <c r="L173" s="4">
        <v>0</v>
      </c>
      <c r="M173" s="4">
        <f>I173-K173-L173</f>
        <v>0</v>
      </c>
    </row>
    <row r="174" spans="1:19" x14ac:dyDescent="0.3">
      <c r="A174" s="98"/>
      <c r="B174" s="98"/>
      <c r="C174" s="98"/>
      <c r="D174" s="98"/>
      <c r="E174" s="98"/>
      <c r="F174" s="98"/>
      <c r="G174" s="98"/>
      <c r="H174" s="38">
        <f>0</f>
        <v>0</v>
      </c>
      <c r="I174" s="29">
        <f>G171*H174</f>
        <v>0</v>
      </c>
      <c r="J174">
        <v>4</v>
      </c>
      <c r="N174" s="4">
        <f>IF(ISERR(SEARCH("TRA* 82",C171)),IF(Q174+R174+S174=0,0,I174*(Q174/(Q174+R174+S174))),I174)</f>
        <v>0</v>
      </c>
      <c r="O174" s="4">
        <f>IF(ISERR(SEARCH("TRA* 82",C171)),IF(Q174+R174+S174=0,0,I174*(R174/(Q174+R174+S174))),0)</f>
        <v>0</v>
      </c>
      <c r="P174" s="4">
        <f>IF(ISERR(SEARCH("TRA* 82",C171)),I174-N174-O174,0)</f>
        <v>0</v>
      </c>
      <c r="Q174" s="4">
        <v>0</v>
      </c>
      <c r="R174" s="4">
        <v>0</v>
      </c>
      <c r="S174" s="4">
        <v>0</v>
      </c>
    </row>
    <row r="175" spans="1:19" x14ac:dyDescent="0.3">
      <c r="A175" s="100" t="s">
        <v>87</v>
      </c>
      <c r="B175" s="101"/>
      <c r="C175" s="101"/>
      <c r="D175" s="101"/>
      <c r="E175" s="101"/>
      <c r="F175" s="101"/>
      <c r="G175" s="101"/>
      <c r="H175" s="33">
        <f>H171+H172+H173+H174</f>
        <v>21.416249999999998</v>
      </c>
      <c r="I175" s="37">
        <f>I171+I172+I173+I174</f>
        <v>856.65</v>
      </c>
      <c r="J175">
        <v>5</v>
      </c>
    </row>
    <row r="176" spans="1:19" x14ac:dyDescent="0.3">
      <c r="A176" s="99" t="s">
        <v>370</v>
      </c>
      <c r="B176" s="99"/>
      <c r="C176" s="99"/>
      <c r="D176" s="99"/>
      <c r="E176" s="99"/>
      <c r="F176" s="99"/>
      <c r="G176" s="99"/>
      <c r="H176" s="99"/>
      <c r="I176" s="99"/>
    </row>
    <row r="177" spans="1:19" x14ac:dyDescent="0.3">
      <c r="B177" s="2">
        <v>24</v>
      </c>
      <c r="C177" s="3" t="s">
        <v>372</v>
      </c>
      <c r="D177" s="5" t="s">
        <v>29</v>
      </c>
      <c r="G177" s="30">
        <v>34</v>
      </c>
      <c r="H177" s="38">
        <f>680.38/G177</f>
        <v>20.011176470588236</v>
      </c>
      <c r="I177" s="29">
        <f>G177*H177</f>
        <v>680.38</v>
      </c>
      <c r="J177">
        <v>1</v>
      </c>
    </row>
    <row r="178" spans="1:19" x14ac:dyDescent="0.3">
      <c r="D178" s="15" t="str">
        <f>SUBSTITUTE("Sp.mat: 0.00%",".",IF(VALUE("1.2")=1.2,".",","),2)</f>
        <v>Sp.mat: 0.00%</v>
      </c>
      <c r="F178" s="15" t="str">
        <f>SUBSTITUTE("Sp.man: 0.00%",".",IF(VALUE("1.2")=1.2,".",","),2)</f>
        <v>Sp.man: 0.00%</v>
      </c>
      <c r="G178" s="35" t="str">
        <f>SUBSTITUTE("Sp.uti: 0.00%",".",IF(VALUE("1.2")=1.2,".",","),2)</f>
        <v>Sp.uti: 0.00%</v>
      </c>
      <c r="H178" s="38">
        <f>136.14/G177</f>
        <v>4.0041176470588233</v>
      </c>
      <c r="I178" s="29">
        <f>G177*H178</f>
        <v>136.13999999999999</v>
      </c>
      <c r="J178">
        <v>2</v>
      </c>
    </row>
    <row r="179" spans="1:19" x14ac:dyDescent="0.3">
      <c r="A179" s="88" t="s">
        <v>1000</v>
      </c>
      <c r="B179" s="98"/>
      <c r="C179" s="98"/>
      <c r="D179" s="98"/>
      <c r="E179" s="98"/>
      <c r="F179" s="98"/>
      <c r="G179" s="98"/>
      <c r="H179" s="38">
        <f>(1+IF(OR(ISERR(FIND(":",G178)),ISERR(FIND("%",G178))),0,MID(G178,FIND(":",G178)+2,FIND("%",G178)-FIND(":",G178)-2)/100))*0</f>
        <v>0</v>
      </c>
      <c r="I179" s="29">
        <f>G177*H179</f>
        <v>0</v>
      </c>
      <c r="J179">
        <v>3</v>
      </c>
      <c r="K179" s="4">
        <v>0</v>
      </c>
      <c r="L179" s="4">
        <v>0</v>
      </c>
      <c r="M179" s="4">
        <f>I179-K179-L179</f>
        <v>0</v>
      </c>
    </row>
    <row r="180" spans="1:19" x14ac:dyDescent="0.3">
      <c r="A180" s="98"/>
      <c r="B180" s="98"/>
      <c r="C180" s="98"/>
      <c r="D180" s="98"/>
      <c r="E180" s="98"/>
      <c r="F180" s="98"/>
      <c r="G180" s="98"/>
      <c r="H180" s="38">
        <f>0</f>
        <v>0</v>
      </c>
      <c r="I180" s="29">
        <f>G177*H180</f>
        <v>0</v>
      </c>
      <c r="J180">
        <v>4</v>
      </c>
      <c r="N180" s="4">
        <f>IF(ISERR(SEARCH("TRA* 82",C177)),IF(Q180+R180+S180=0,0,I180*(Q180/(Q180+R180+S180))),I180)</f>
        <v>0</v>
      </c>
      <c r="O180" s="4">
        <f>IF(ISERR(SEARCH("TRA* 82",C177)),IF(Q180+R180+S180=0,0,I180*(R180/(Q180+R180+S180))),0)</f>
        <v>0</v>
      </c>
      <c r="P180" s="4">
        <f>IF(ISERR(SEARCH("TRA* 82",C177)),I180-N180-O180,0)</f>
        <v>0</v>
      </c>
      <c r="Q180" s="4">
        <v>0</v>
      </c>
      <c r="R180" s="4">
        <v>0</v>
      </c>
      <c r="S180" s="4">
        <v>0</v>
      </c>
    </row>
    <row r="181" spans="1:19" x14ac:dyDescent="0.3">
      <c r="A181" s="100" t="s">
        <v>87</v>
      </c>
      <c r="B181" s="101"/>
      <c r="C181" s="101"/>
      <c r="D181" s="101"/>
      <c r="E181" s="101"/>
      <c r="F181" s="101"/>
      <c r="G181" s="101"/>
      <c r="H181" s="33">
        <f>H177+H178+H179+H180</f>
        <v>24.015294117647059</v>
      </c>
      <c r="I181" s="37">
        <f>I177+I178+I179+I180</f>
        <v>816.52</v>
      </c>
      <c r="J181">
        <v>5</v>
      </c>
    </row>
    <row r="182" spans="1:19" x14ac:dyDescent="0.3">
      <c r="A182" s="99" t="s">
        <v>374</v>
      </c>
      <c r="B182" s="99"/>
      <c r="C182" s="99"/>
      <c r="D182" s="99"/>
      <c r="E182" s="99"/>
      <c r="F182" s="99"/>
      <c r="G182" s="99"/>
      <c r="H182" s="99"/>
      <c r="I182" s="99"/>
    </row>
    <row r="183" spans="1:19" x14ac:dyDescent="0.3">
      <c r="B183" s="2">
        <v>25</v>
      </c>
      <c r="C183" s="3" t="s">
        <v>338</v>
      </c>
      <c r="D183" s="5" t="s">
        <v>29</v>
      </c>
      <c r="G183" s="30">
        <v>4</v>
      </c>
      <c r="H183" s="38">
        <f>204.09/G183</f>
        <v>51.022500000000001</v>
      </c>
      <c r="I183" s="29">
        <f>G183*H183</f>
        <v>204.09</v>
      </c>
      <c r="J183">
        <v>1</v>
      </c>
    </row>
    <row r="184" spans="1:19" x14ac:dyDescent="0.3">
      <c r="D184" s="15" t="str">
        <f>SUBSTITUTE("Sp.mat: 0.00%",".",IF(VALUE("1.2")=1.2,".",","),2)</f>
        <v>Sp.mat: 0.00%</v>
      </c>
      <c r="F184" s="15" t="str">
        <f>SUBSTITUTE("Sp.man: 0.00%",".",IF(VALUE("1.2")=1.2,".",","),2)</f>
        <v>Sp.man: 0.00%</v>
      </c>
      <c r="G184" s="35" t="str">
        <f>SUBSTITUTE("Sp.uti: 0.00%",".",IF(VALUE("1.2")=1.2,".",","),2)</f>
        <v>Sp.uti: 0.00%</v>
      </c>
      <c r="H184" s="38">
        <f>35.24/G183</f>
        <v>8.81</v>
      </c>
      <c r="I184" s="29">
        <f>G183*H184</f>
        <v>35.24</v>
      </c>
      <c r="J184">
        <v>2</v>
      </c>
    </row>
    <row r="185" spans="1:19" x14ac:dyDescent="0.3">
      <c r="A185" s="88" t="s">
        <v>339</v>
      </c>
      <c r="B185" s="98"/>
      <c r="C185" s="98"/>
      <c r="D185" s="98"/>
      <c r="E185" s="98"/>
      <c r="F185" s="98"/>
      <c r="G185" s="98"/>
      <c r="H185" s="38">
        <f>(1+IF(OR(ISERR(FIND(":",G184)),ISERR(FIND("%",G184))),0,MID(G184,FIND(":",G184)+2,FIND("%",G184)-FIND(":",G184)-2)/100))*0</f>
        <v>0</v>
      </c>
      <c r="I185" s="29">
        <f>G183*H185</f>
        <v>0</v>
      </c>
      <c r="J185">
        <v>3</v>
      </c>
      <c r="K185" s="4">
        <v>0</v>
      </c>
      <c r="L185" s="4">
        <v>0</v>
      </c>
      <c r="M185" s="4">
        <f>I185-K185-L185</f>
        <v>0</v>
      </c>
    </row>
    <row r="186" spans="1:19" x14ac:dyDescent="0.3">
      <c r="A186" s="98"/>
      <c r="B186" s="98"/>
      <c r="C186" s="98"/>
      <c r="D186" s="98"/>
      <c r="E186" s="98"/>
      <c r="F186" s="98"/>
      <c r="G186" s="98"/>
      <c r="H186" s="38">
        <f>0</f>
        <v>0</v>
      </c>
      <c r="I186" s="29">
        <f>G183*H186</f>
        <v>0</v>
      </c>
      <c r="J186">
        <v>4</v>
      </c>
      <c r="N186" s="4">
        <f>IF(ISERR(SEARCH("TRA* 82",C183)),IF(Q186+R186+S186=0,0,I186*(Q186/(Q186+R186+S186))),I186)</f>
        <v>0</v>
      </c>
      <c r="O186" s="4">
        <f>IF(ISERR(SEARCH("TRA* 82",C183)),IF(Q186+R186+S186=0,0,I186*(R186/(Q186+R186+S186))),0)</f>
        <v>0</v>
      </c>
      <c r="P186" s="4">
        <f>IF(ISERR(SEARCH("TRA* 82",C183)),I186-N186-O186,0)</f>
        <v>0</v>
      </c>
      <c r="Q186" s="4">
        <v>0</v>
      </c>
      <c r="R186" s="4">
        <v>0</v>
      </c>
      <c r="S186" s="4">
        <v>0</v>
      </c>
    </row>
    <row r="187" spans="1:19" x14ac:dyDescent="0.3">
      <c r="A187" s="100" t="s">
        <v>27</v>
      </c>
      <c r="B187" s="101"/>
      <c r="C187" s="101"/>
      <c r="D187" s="101"/>
      <c r="E187" s="101"/>
      <c r="F187" s="101"/>
      <c r="G187" s="101"/>
      <c r="H187" s="33">
        <f>H183+H184+H185+H186</f>
        <v>59.832500000000003</v>
      </c>
      <c r="I187" s="37">
        <f>I183+I184+I185+I186</f>
        <v>239.33</v>
      </c>
      <c r="J187">
        <v>5</v>
      </c>
    </row>
    <row r="188" spans="1:19" x14ac:dyDescent="0.3">
      <c r="A188" s="99" t="s">
        <v>341</v>
      </c>
      <c r="B188" s="99"/>
      <c r="C188" s="99"/>
      <c r="D188" s="99"/>
      <c r="E188" s="99"/>
      <c r="F188" s="99"/>
      <c r="G188" s="99"/>
      <c r="H188" s="99"/>
      <c r="I188" s="99"/>
    </row>
    <row r="189" spans="1:19" x14ac:dyDescent="0.3">
      <c r="B189" s="2">
        <v>26</v>
      </c>
      <c r="C189" s="3" t="s">
        <v>265</v>
      </c>
      <c r="D189" s="5" t="s">
        <v>133</v>
      </c>
      <c r="G189" s="30">
        <v>1250</v>
      </c>
      <c r="H189" s="38">
        <f>(1+IF(OR(ISERR(FIND(":",D190)),ISERR(FIND("%",D190))),0,MID(D190,FIND(":",D190)+2,FIND("%",D190)-FIND(":",D190)-2)/100))*0</f>
        <v>0</v>
      </c>
      <c r="I189" s="29">
        <f>G189*H189</f>
        <v>0</v>
      </c>
      <c r="J189">
        <v>1</v>
      </c>
    </row>
    <row r="190" spans="1:19" x14ac:dyDescent="0.3">
      <c r="D190" s="15" t="str">
        <f>SUBSTITUTE("Sp.mat: 0.00%",".",IF(VALUE("1.2")=1.2,".",","),2)</f>
        <v>Sp.mat: 0.00%</v>
      </c>
      <c r="F190" s="15" t="str">
        <f>SUBSTITUTE("Sp.man: 0.00%",".",IF(VALUE("1.2")=1.2,".",","),2)</f>
        <v>Sp.man: 0.00%</v>
      </c>
      <c r="G190" s="35" t="str">
        <f>SUBSTITUTE("Sp.uti: 0.00%",".",IF(VALUE("1.2")=1.2,".",","),2)</f>
        <v>Sp.uti: 0.00%</v>
      </c>
      <c r="H190" s="38">
        <f>2202.34/G189</f>
        <v>1.7618720000000001</v>
      </c>
      <c r="I190" s="29">
        <f>G189*H190</f>
        <v>2202.34</v>
      </c>
      <c r="J190">
        <v>2</v>
      </c>
    </row>
    <row r="191" spans="1:19" x14ac:dyDescent="0.3">
      <c r="A191" s="88" t="s">
        <v>266</v>
      </c>
      <c r="B191" s="98"/>
      <c r="C191" s="98"/>
      <c r="D191" s="98"/>
      <c r="E191" s="98"/>
      <c r="F191" s="98"/>
      <c r="G191" s="98"/>
      <c r="H191" s="38">
        <f>(1+IF(OR(ISERR(FIND(":",G190)),ISERR(FIND("%",G190))),0,MID(G190,FIND(":",G190)+2,FIND("%",G190)-FIND(":",G190)-2)/100))*0</f>
        <v>0</v>
      </c>
      <c r="I191" s="29">
        <f>G189*H191</f>
        <v>0</v>
      </c>
      <c r="J191">
        <v>3</v>
      </c>
      <c r="K191" s="4">
        <v>0</v>
      </c>
      <c r="L191" s="4">
        <v>0</v>
      </c>
      <c r="M191" s="4">
        <f>I191-K191-L191</f>
        <v>0</v>
      </c>
    </row>
    <row r="192" spans="1:19" x14ac:dyDescent="0.3">
      <c r="A192" s="98"/>
      <c r="B192" s="98"/>
      <c r="C192" s="98"/>
      <c r="D192" s="98"/>
      <c r="E192" s="98"/>
      <c r="F192" s="98"/>
      <c r="G192" s="98"/>
      <c r="H192" s="38">
        <f>0</f>
        <v>0</v>
      </c>
      <c r="I192" s="29">
        <f>G189*H192</f>
        <v>0</v>
      </c>
      <c r="J192">
        <v>4</v>
      </c>
      <c r="N192" s="4">
        <f>IF(ISERR(SEARCH("TRA* 82",C189)),IF(Q192+R192+S192=0,0,I192*(Q192/(Q192+R192+S192))),I192)</f>
        <v>0</v>
      </c>
      <c r="O192" s="4">
        <f>IF(ISERR(SEARCH("TRA* 82",C189)),IF(Q192+R192+S192=0,0,I192*(R192/(Q192+R192+S192))),0)</f>
        <v>0</v>
      </c>
      <c r="P192" s="4">
        <f>IF(ISERR(SEARCH("TRA* 82",C189)),I192-N192-O192,0)</f>
        <v>0</v>
      </c>
      <c r="Q192" s="4">
        <v>0</v>
      </c>
      <c r="R192" s="4">
        <v>0</v>
      </c>
      <c r="S192" s="4">
        <v>0</v>
      </c>
    </row>
    <row r="193" spans="1:19" x14ac:dyDescent="0.3">
      <c r="A193" s="100" t="s">
        <v>87</v>
      </c>
      <c r="B193" s="101"/>
      <c r="C193" s="101"/>
      <c r="D193" s="101"/>
      <c r="E193" s="101"/>
      <c r="F193" s="101"/>
      <c r="G193" s="101"/>
      <c r="H193" s="33">
        <f>H189+H190+H191+H192</f>
        <v>1.7618720000000001</v>
      </c>
      <c r="I193" s="37">
        <f>I189+I190+I191+I192</f>
        <v>2202.34</v>
      </c>
      <c r="J193">
        <v>5</v>
      </c>
    </row>
    <row r="194" spans="1:19" x14ac:dyDescent="0.3">
      <c r="A194" s="99" t="s">
        <v>447</v>
      </c>
      <c r="B194" s="99"/>
      <c r="C194" s="99"/>
      <c r="D194" s="99"/>
      <c r="E194" s="99"/>
      <c r="F194" s="99"/>
      <c r="G194" s="99"/>
      <c r="H194" s="99"/>
      <c r="I194" s="99"/>
    </row>
    <row r="195" spans="1:19" x14ac:dyDescent="0.3">
      <c r="B195" s="2">
        <v>27</v>
      </c>
      <c r="C195" s="3" t="s">
        <v>445</v>
      </c>
      <c r="D195" s="5" t="s">
        <v>133</v>
      </c>
      <c r="G195" s="30">
        <v>55.1</v>
      </c>
      <c r="H195" s="38">
        <f>(1+IF(OR(ISERR(FIND(":",D196)),ISERR(FIND("%",D196))),0,MID(D196,FIND(":",D196)+2,FIND("%",D196)-FIND(":",D196)-2)/100))*0</f>
        <v>0</v>
      </c>
      <c r="I195" s="29">
        <f>G195*H195</f>
        <v>0</v>
      </c>
      <c r="J195">
        <v>1</v>
      </c>
    </row>
    <row r="196" spans="1:19" x14ac:dyDescent="0.3">
      <c r="D196" s="15" t="str">
        <f>SUBSTITUTE("Sp.mat: 0.00%",".",IF(VALUE("1.2")=1.2,".",","),2)</f>
        <v>Sp.mat: 0.00%</v>
      </c>
      <c r="F196" s="15" t="str">
        <f>SUBSTITUTE("Sp.man: 0.00%",".",IF(VALUE("1.2")=1.2,".",","),2)</f>
        <v>Sp.man: 0.00%</v>
      </c>
      <c r="G196" s="35" t="str">
        <f>SUBSTITUTE("Sp.uti: 0.00%",".",IF(VALUE("1.2")=1.2,".",","),2)</f>
        <v>Sp.uti: 0.00%</v>
      </c>
      <c r="H196" s="38">
        <f>88.25/G195</f>
        <v>1.601633393829401</v>
      </c>
      <c r="I196" s="29">
        <f>G195*H196</f>
        <v>88.25</v>
      </c>
      <c r="J196">
        <v>2</v>
      </c>
    </row>
    <row r="197" spans="1:19" x14ac:dyDescent="0.3">
      <c r="A197" s="88" t="s">
        <v>1001</v>
      </c>
      <c r="B197" s="98"/>
      <c r="C197" s="98"/>
      <c r="D197" s="98"/>
      <c r="E197" s="98"/>
      <c r="F197" s="98"/>
      <c r="G197" s="98"/>
      <c r="H197" s="38">
        <f>(1+IF(OR(ISERR(FIND(":",G196)),ISERR(FIND("%",G196))),0,MID(G196,FIND(":",G196)+2,FIND("%",G196)-FIND(":",G196)-2)/100))*0</f>
        <v>0</v>
      </c>
      <c r="I197" s="29">
        <f>G195*H197</f>
        <v>0</v>
      </c>
      <c r="J197">
        <v>3</v>
      </c>
      <c r="K197" s="4">
        <v>0</v>
      </c>
      <c r="L197" s="4">
        <v>0</v>
      </c>
      <c r="M197" s="4">
        <f>I197-K197-L197</f>
        <v>0</v>
      </c>
    </row>
    <row r="198" spans="1:19" x14ac:dyDescent="0.3">
      <c r="A198" s="98"/>
      <c r="B198" s="98"/>
      <c r="C198" s="98"/>
      <c r="D198" s="98"/>
      <c r="E198" s="98"/>
      <c r="F198" s="98"/>
      <c r="G198" s="98"/>
      <c r="H198" s="38">
        <f>0</f>
        <v>0</v>
      </c>
      <c r="I198" s="29">
        <f>G195*H198</f>
        <v>0</v>
      </c>
      <c r="J198">
        <v>4</v>
      </c>
      <c r="N198" s="4">
        <f>IF(ISERR(SEARCH("TRA* 82",C195)),IF(Q198+R198+S198=0,0,I198*(Q198/(Q198+R198+S198))),I198)</f>
        <v>0</v>
      </c>
      <c r="O198" s="4">
        <f>IF(ISERR(SEARCH("TRA* 82",C195)),IF(Q198+R198+S198=0,0,I198*(R198/(Q198+R198+S198))),0)</f>
        <v>0</v>
      </c>
      <c r="P198" s="4">
        <f>IF(ISERR(SEARCH("TRA* 82",C195)),I198-N198-O198,0)</f>
        <v>0</v>
      </c>
      <c r="Q198" s="4">
        <v>0</v>
      </c>
      <c r="R198" s="4">
        <v>0</v>
      </c>
      <c r="S198" s="4">
        <v>0</v>
      </c>
    </row>
    <row r="199" spans="1:19" x14ac:dyDescent="0.3">
      <c r="A199" s="100" t="s">
        <v>87</v>
      </c>
      <c r="B199" s="101"/>
      <c r="C199" s="101"/>
      <c r="D199" s="101"/>
      <c r="E199" s="101"/>
      <c r="F199" s="101"/>
      <c r="G199" s="101"/>
      <c r="H199" s="33">
        <f>H195+H196+H197+H198</f>
        <v>1.601633393829401</v>
      </c>
      <c r="I199" s="37">
        <f>I195+I196+I197+I198</f>
        <v>88.25</v>
      </c>
      <c r="J199">
        <v>5</v>
      </c>
    </row>
    <row r="200" spans="1:19" x14ac:dyDescent="0.3">
      <c r="A200" s="99" t="s">
        <v>447</v>
      </c>
      <c r="B200" s="99"/>
      <c r="C200" s="99"/>
      <c r="D200" s="99"/>
      <c r="E200" s="99"/>
      <c r="F200" s="99"/>
      <c r="G200" s="99"/>
      <c r="H200" s="99"/>
      <c r="I200" s="99"/>
    </row>
    <row r="201" spans="1:19" x14ac:dyDescent="0.3">
      <c r="B201" s="2">
        <v>28</v>
      </c>
      <c r="C201" s="3" t="s">
        <v>450</v>
      </c>
      <c r="D201" s="5" t="s">
        <v>25</v>
      </c>
      <c r="G201" s="30">
        <v>12930</v>
      </c>
      <c r="H201" s="38">
        <f>(1+IF(OR(ISERR(FIND(":",D202)),ISERR(FIND("%",D202))),0,MID(D202,FIND(":",D202)+2,FIND("%",D202)-FIND(":",D202)-2)/100))*0</f>
        <v>0</v>
      </c>
      <c r="I201" s="29">
        <f>G201*H201</f>
        <v>0</v>
      </c>
      <c r="J201">
        <v>1</v>
      </c>
    </row>
    <row r="202" spans="1:19" x14ac:dyDescent="0.3">
      <c r="D202" s="15" t="str">
        <f>SUBSTITUTE("Sp.mat: 0.00%",".",IF(VALUE("1.2")=1.2,".",","),2)</f>
        <v>Sp.mat: 0.00%</v>
      </c>
      <c r="F202" s="15" t="str">
        <f>SUBSTITUTE("Sp.man: 0.00%",".",IF(VALUE("1.2")=1.2,".",","),2)</f>
        <v>Sp.man: 0.00%</v>
      </c>
      <c r="G202" s="35" t="str">
        <f>SUBSTITUTE("Sp.uti: 0.00%",".",IF(VALUE("1.2")=1.2,".",","),2)</f>
        <v>Sp.uti: 0.00%</v>
      </c>
      <c r="H202" s="38">
        <f>18638.98/G201</f>
        <v>1.4415297757153904</v>
      </c>
      <c r="I202" s="29">
        <f>G201*H202</f>
        <v>18638.98</v>
      </c>
      <c r="J202">
        <v>2</v>
      </c>
    </row>
    <row r="203" spans="1:19" x14ac:dyDescent="0.3">
      <c r="A203" s="88" t="s">
        <v>451</v>
      </c>
      <c r="B203" s="98"/>
      <c r="C203" s="98"/>
      <c r="D203" s="98"/>
      <c r="E203" s="98"/>
      <c r="F203" s="98"/>
      <c r="G203" s="98"/>
      <c r="H203" s="38">
        <f>3313.6/G201</f>
        <v>0.25627223511214231</v>
      </c>
      <c r="I203" s="29">
        <f>G201*H203</f>
        <v>3313.6</v>
      </c>
      <c r="J203">
        <v>3</v>
      </c>
      <c r="K203" s="4">
        <v>0</v>
      </c>
      <c r="L203" s="4">
        <v>6206.4</v>
      </c>
      <c r="M203" s="4">
        <f>I203-K203-L203</f>
        <v>-2892.7999999999997</v>
      </c>
    </row>
    <row r="204" spans="1:19" x14ac:dyDescent="0.3">
      <c r="A204" s="98"/>
      <c r="B204" s="98"/>
      <c r="C204" s="98"/>
      <c r="D204" s="98"/>
      <c r="E204" s="98"/>
      <c r="F204" s="98"/>
      <c r="G204" s="98"/>
      <c r="H204" s="38">
        <f>0</f>
        <v>0</v>
      </c>
      <c r="I204" s="29">
        <f>G201*H204</f>
        <v>0</v>
      </c>
      <c r="J204">
        <v>4</v>
      </c>
      <c r="N204" s="4">
        <f>IF(ISERR(SEARCH("TRA* 82",C201)),IF(Q204+R204+S204=0,0,I204*(Q204/(Q204+R204+S204))),I204)</f>
        <v>0</v>
      </c>
      <c r="O204" s="4">
        <f>IF(ISERR(SEARCH("TRA* 82",C201)),IF(Q204+R204+S204=0,0,I204*(R204/(Q204+R204+S204))),0)</f>
        <v>0</v>
      </c>
      <c r="P204" s="4">
        <f>IF(ISERR(SEARCH("TRA* 82",C201)),I204-N204-O204,0)</f>
        <v>0</v>
      </c>
      <c r="Q204" s="4">
        <v>0</v>
      </c>
      <c r="R204" s="4">
        <v>0</v>
      </c>
      <c r="S204" s="4">
        <v>0</v>
      </c>
    </row>
    <row r="205" spans="1:19" x14ac:dyDescent="0.3">
      <c r="A205" s="96" t="s">
        <v>27</v>
      </c>
      <c r="B205" s="97"/>
      <c r="C205" s="97"/>
      <c r="D205" s="97"/>
      <c r="E205" s="97"/>
      <c r="F205" s="97"/>
      <c r="G205" s="97"/>
      <c r="H205" s="36">
        <f>H201+H202+H203+H204</f>
        <v>1.6978020108275327</v>
      </c>
      <c r="I205" s="74">
        <f>I201+I202+I203+I204</f>
        <v>21952.579999999998</v>
      </c>
      <c r="J205">
        <v>5</v>
      </c>
    </row>
    <row r="206" spans="1:19" x14ac:dyDescent="0.3">
      <c r="B206" s="2">
        <v>29</v>
      </c>
      <c r="C206" s="3" t="s">
        <v>452</v>
      </c>
      <c r="D206" s="5" t="s">
        <v>25</v>
      </c>
      <c r="G206" s="30">
        <v>85</v>
      </c>
      <c r="H206" s="38">
        <f>(1+IF(OR(ISERR(FIND(":",D207)),ISERR(FIND("%",D207))),0,MID(D207,FIND(":",D207)+2,FIND("%",D207)-FIND(":",D207)-2)/100))*0</f>
        <v>0</v>
      </c>
      <c r="I206" s="29">
        <f>G206*H206</f>
        <v>0</v>
      </c>
      <c r="J206">
        <v>1</v>
      </c>
    </row>
    <row r="207" spans="1:19" x14ac:dyDescent="0.3">
      <c r="D207" s="15" t="str">
        <f>SUBSTITUTE("Sp.mat: 0.00%",".",IF(VALUE("1.2")=1.2,".",","),2)</f>
        <v>Sp.mat: 0.00%</v>
      </c>
      <c r="F207" s="15" t="str">
        <f>SUBSTITUTE("Sp.man: 0.00%",".",IF(VALUE("1.2")=1.2,".",","),2)</f>
        <v>Sp.man: 0.00%</v>
      </c>
      <c r="G207" s="35" t="str">
        <f>SUBSTITUTE("Sp.uti: 0.00%",".",IF(VALUE("1.2")=1.2,".",","),2)</f>
        <v>Sp.uti: 0.00%</v>
      </c>
      <c r="H207" s="38">
        <f>149.76/G206</f>
        <v>1.7618823529411765</v>
      </c>
      <c r="I207" s="29">
        <f>G206*H207</f>
        <v>149.76</v>
      </c>
      <c r="J207">
        <v>2</v>
      </c>
    </row>
    <row r="208" spans="1:19" x14ac:dyDescent="0.3">
      <c r="A208" s="88" t="s">
        <v>453</v>
      </c>
      <c r="B208" s="98"/>
      <c r="C208" s="98"/>
      <c r="D208" s="98"/>
      <c r="E208" s="98"/>
      <c r="F208" s="98"/>
      <c r="G208" s="98"/>
      <c r="H208" s="38">
        <f>27.23/G206</f>
        <v>0.32035294117647062</v>
      </c>
      <c r="I208" s="29">
        <f>G206*H208</f>
        <v>27.230000000000004</v>
      </c>
      <c r="J208">
        <v>3</v>
      </c>
      <c r="K208" s="4">
        <v>0</v>
      </c>
      <c r="L208" s="4">
        <v>51</v>
      </c>
      <c r="M208" s="4">
        <f>I208-K208-L208</f>
        <v>-23.769999999999996</v>
      </c>
    </row>
    <row r="209" spans="1:19" x14ac:dyDescent="0.3">
      <c r="A209" s="98"/>
      <c r="B209" s="98"/>
      <c r="C209" s="98"/>
      <c r="D209" s="98"/>
      <c r="E209" s="98"/>
      <c r="F209" s="98"/>
      <c r="G209" s="98"/>
      <c r="H209" s="38">
        <f>0</f>
        <v>0</v>
      </c>
      <c r="I209" s="29">
        <f>G206*H209</f>
        <v>0</v>
      </c>
      <c r="J209">
        <v>4</v>
      </c>
      <c r="N209" s="4">
        <f>IF(ISERR(SEARCH("TRA* 82",C206)),IF(Q209+R209+S209=0,0,I209*(Q209/(Q209+R209+S209))),I209)</f>
        <v>0</v>
      </c>
      <c r="O209" s="4">
        <f>IF(ISERR(SEARCH("TRA* 82",C206)),IF(Q209+R209+S209=0,0,I209*(R209/(Q209+R209+S209))),0)</f>
        <v>0</v>
      </c>
      <c r="P209" s="4">
        <f>IF(ISERR(SEARCH("TRA* 82",C206)),I209-N209-O209,0)</f>
        <v>0</v>
      </c>
      <c r="Q209" s="4">
        <v>0</v>
      </c>
      <c r="R209" s="4">
        <v>0</v>
      </c>
      <c r="S209" s="4">
        <v>0</v>
      </c>
    </row>
    <row r="210" spans="1:19" x14ac:dyDescent="0.3">
      <c r="A210" s="96" t="s">
        <v>27</v>
      </c>
      <c r="B210" s="97"/>
      <c r="C210" s="97"/>
      <c r="D210" s="97"/>
      <c r="E210" s="97"/>
      <c r="F210" s="97"/>
      <c r="G210" s="97"/>
      <c r="H210" s="36">
        <f>H206+H207+H208+H209</f>
        <v>2.082235294117647</v>
      </c>
      <c r="I210" s="74">
        <f>I206+I207+I208+I209</f>
        <v>176.99</v>
      </c>
      <c r="J210">
        <v>5</v>
      </c>
    </row>
    <row r="211" spans="1:19" x14ac:dyDescent="0.3">
      <c r="B211" s="2">
        <v>30</v>
      </c>
      <c r="C211" s="3" t="s">
        <v>460</v>
      </c>
      <c r="D211" s="5" t="s">
        <v>25</v>
      </c>
      <c r="G211" s="30">
        <v>12930</v>
      </c>
      <c r="H211" s="38">
        <f>(1+IF(OR(ISERR(FIND(":",D212)),ISERR(FIND("%",D212))),0,MID(D212,FIND(":",D212)+2,FIND("%",D212)-FIND(":",D212)-2)/100))*0</f>
        <v>0</v>
      </c>
      <c r="I211" s="29">
        <f>G211*H211</f>
        <v>0</v>
      </c>
      <c r="J211">
        <v>1</v>
      </c>
    </row>
    <row r="212" spans="1:19" x14ac:dyDescent="0.3">
      <c r="D212" s="15" t="str">
        <f>SUBSTITUTE("Sp.mat: 0.00%",".",IF(VALUE("1.2")=1.2,".",","),2)</f>
        <v>Sp.mat: 0.00%</v>
      </c>
      <c r="F212" s="15" t="str">
        <f>SUBSTITUTE("Sp.man: 0.00%",".",IF(VALUE("1.2")=1.2,".",","),2)</f>
        <v>Sp.man: 0.00%</v>
      </c>
      <c r="G212" s="35" t="str">
        <f>SUBSTITUTE("Sp.uti: 0.00%",".",IF(VALUE("1.2")=1.2,".",","),2)</f>
        <v>Sp.uti: 0.00%</v>
      </c>
      <c r="H212" s="38">
        <f>16567.98/G211</f>
        <v>1.2813596287703015</v>
      </c>
      <c r="I212" s="29">
        <f>G211*H212</f>
        <v>16567.98</v>
      </c>
      <c r="J212">
        <v>2</v>
      </c>
    </row>
    <row r="213" spans="1:19" x14ac:dyDescent="0.3">
      <c r="A213" s="88" t="s">
        <v>461</v>
      </c>
      <c r="B213" s="98"/>
      <c r="C213" s="98"/>
      <c r="D213" s="98"/>
      <c r="E213" s="98"/>
      <c r="F213" s="98"/>
      <c r="G213" s="98"/>
      <c r="H213" s="38">
        <f>(1+IF(OR(ISERR(FIND(":",G212)),ISERR(FIND("%",G212))),0,MID(G212,FIND(":",G212)+2,FIND("%",G212)-FIND(":",G212)-2)/100))*0</f>
        <v>0</v>
      </c>
      <c r="I213" s="29">
        <f>G211*H213</f>
        <v>0</v>
      </c>
      <c r="J213">
        <v>3</v>
      </c>
      <c r="K213" s="4">
        <v>0</v>
      </c>
      <c r="L213" s="4">
        <v>0</v>
      </c>
      <c r="M213" s="4">
        <f>I213-K213-L213</f>
        <v>0</v>
      </c>
    </row>
    <row r="214" spans="1:19" x14ac:dyDescent="0.3">
      <c r="A214" s="98"/>
      <c r="B214" s="98"/>
      <c r="C214" s="98"/>
      <c r="D214" s="98"/>
      <c r="E214" s="98"/>
      <c r="F214" s="98"/>
      <c r="G214" s="98"/>
      <c r="H214" s="38">
        <f>0</f>
        <v>0</v>
      </c>
      <c r="I214" s="29">
        <f>G211*H214</f>
        <v>0</v>
      </c>
      <c r="J214">
        <v>4</v>
      </c>
      <c r="N214" s="4">
        <f>IF(ISERR(SEARCH("TRA* 82",C211)),IF(Q214+R214+S214=0,0,I214*(Q214/(Q214+R214+S214))),I214)</f>
        <v>0</v>
      </c>
      <c r="O214" s="4">
        <f>IF(ISERR(SEARCH("TRA* 82",C211)),IF(Q214+R214+S214=0,0,I214*(R214/(Q214+R214+S214))),0)</f>
        <v>0</v>
      </c>
      <c r="P214" s="4">
        <f>IF(ISERR(SEARCH("TRA* 82",C211)),I214-N214-O214,0)</f>
        <v>0</v>
      </c>
      <c r="Q214" s="4">
        <v>0</v>
      </c>
      <c r="R214" s="4">
        <v>0</v>
      </c>
      <c r="S214" s="4">
        <v>0</v>
      </c>
    </row>
    <row r="215" spans="1:19" x14ac:dyDescent="0.3">
      <c r="A215" s="96" t="s">
        <v>27</v>
      </c>
      <c r="B215" s="97"/>
      <c r="C215" s="97"/>
      <c r="D215" s="97"/>
      <c r="E215" s="97"/>
      <c r="F215" s="97"/>
      <c r="G215" s="97"/>
      <c r="H215" s="36">
        <f>H211+H212+H213+H214</f>
        <v>1.2813596287703015</v>
      </c>
      <c r="I215" s="74">
        <f>I211+I212+I213+I214</f>
        <v>16567.98</v>
      </c>
      <c r="J215">
        <v>5</v>
      </c>
    </row>
    <row r="216" spans="1:19" x14ac:dyDescent="0.3">
      <c r="B216" s="2">
        <v>31</v>
      </c>
      <c r="C216" s="3" t="s">
        <v>462</v>
      </c>
      <c r="D216" s="5" t="s">
        <v>25</v>
      </c>
      <c r="G216" s="30">
        <v>85</v>
      </c>
      <c r="H216" s="38">
        <f>(1+IF(OR(ISERR(FIND(":",D217)),ISERR(FIND("%",D217))),0,MID(D217,FIND(":",D217)+2,FIND("%",D217)-FIND(":",D217)-2)/100))*0</f>
        <v>0</v>
      </c>
      <c r="I216" s="29">
        <f>G216*H216</f>
        <v>0</v>
      </c>
      <c r="J216">
        <v>1</v>
      </c>
    </row>
    <row r="217" spans="1:19" x14ac:dyDescent="0.3">
      <c r="D217" s="15" t="str">
        <f>SUBSTITUTE("Sp.mat: 0.00%",".",IF(VALUE("1.2")=1.2,".",","),2)</f>
        <v>Sp.mat: 0.00%</v>
      </c>
      <c r="F217" s="15" t="str">
        <f>SUBSTITUTE("Sp.man: 0.00%",".",IF(VALUE("1.2")=1.2,".",","),2)</f>
        <v>Sp.man: 0.00%</v>
      </c>
      <c r="G217" s="35" t="str">
        <f>SUBSTITUTE("Sp.uti: 0.00%",".",IF(VALUE("1.2")=1.2,".",","),2)</f>
        <v>Sp.uti: 0.00%</v>
      </c>
      <c r="H217" s="38">
        <f>136.14/G216</f>
        <v>1.6016470588235292</v>
      </c>
      <c r="I217" s="29">
        <f>G216*H217</f>
        <v>136.13999999999999</v>
      </c>
      <c r="J217">
        <v>2</v>
      </c>
    </row>
    <row r="218" spans="1:19" x14ac:dyDescent="0.3">
      <c r="A218" s="88" t="s">
        <v>463</v>
      </c>
      <c r="B218" s="98"/>
      <c r="C218" s="98"/>
      <c r="D218" s="98"/>
      <c r="E218" s="98"/>
      <c r="F218" s="98"/>
      <c r="G218" s="98"/>
      <c r="H218" s="38">
        <f>(1+IF(OR(ISERR(FIND(":",G217)),ISERR(FIND("%",G217))),0,MID(G217,FIND(":",G217)+2,FIND("%",G217)-FIND(":",G217)-2)/100))*0</f>
        <v>0</v>
      </c>
      <c r="I218" s="29">
        <f>G216*H218</f>
        <v>0</v>
      </c>
      <c r="J218">
        <v>3</v>
      </c>
      <c r="K218" s="4">
        <v>0</v>
      </c>
      <c r="L218" s="4">
        <v>0</v>
      </c>
      <c r="M218" s="4">
        <f>I218-K218-L218</f>
        <v>0</v>
      </c>
    </row>
    <row r="219" spans="1:19" x14ac:dyDescent="0.3">
      <c r="A219" s="98"/>
      <c r="B219" s="98"/>
      <c r="C219" s="98"/>
      <c r="D219" s="98"/>
      <c r="E219" s="98"/>
      <c r="F219" s="98"/>
      <c r="G219" s="98"/>
      <c r="H219" s="38">
        <f>0</f>
        <v>0</v>
      </c>
      <c r="I219" s="29">
        <f>G216*H219</f>
        <v>0</v>
      </c>
      <c r="J219">
        <v>4</v>
      </c>
      <c r="N219" s="4">
        <f>IF(ISERR(SEARCH("TRA* 82",C216)),IF(Q219+R219+S219=0,0,I219*(Q219/(Q219+R219+S219))),I219)</f>
        <v>0</v>
      </c>
      <c r="O219" s="4">
        <f>IF(ISERR(SEARCH("TRA* 82",C216)),IF(Q219+R219+S219=0,0,I219*(R219/(Q219+R219+S219))),0)</f>
        <v>0</v>
      </c>
      <c r="P219" s="4">
        <f>IF(ISERR(SEARCH("TRA* 82",C216)),I219-N219-O219,0)</f>
        <v>0</v>
      </c>
      <c r="Q219" s="4">
        <v>0</v>
      </c>
      <c r="R219" s="4">
        <v>0</v>
      </c>
      <c r="S219" s="4">
        <v>0</v>
      </c>
    </row>
    <row r="220" spans="1:19" x14ac:dyDescent="0.3">
      <c r="A220" s="96" t="s">
        <v>27</v>
      </c>
      <c r="B220" s="97"/>
      <c r="C220" s="97"/>
      <c r="D220" s="97"/>
      <c r="E220" s="97"/>
      <c r="F220" s="97"/>
      <c r="G220" s="97"/>
      <c r="H220" s="36">
        <f>H216+H217+H218+H219</f>
        <v>1.6016470588235292</v>
      </c>
      <c r="I220" s="74">
        <f>I216+I217+I218+I219</f>
        <v>136.13999999999999</v>
      </c>
      <c r="J220">
        <v>5</v>
      </c>
    </row>
    <row r="221" spans="1:19" x14ac:dyDescent="0.3">
      <c r="B221" s="2">
        <v>32</v>
      </c>
      <c r="C221" s="3" t="s">
        <v>470</v>
      </c>
      <c r="D221" s="5" t="s">
        <v>40</v>
      </c>
      <c r="G221" s="30">
        <v>60</v>
      </c>
      <c r="H221" s="38">
        <f>302.56/G221</f>
        <v>5.0426666666666664</v>
      </c>
      <c r="I221" s="29">
        <f>G221*H221</f>
        <v>302.56</v>
      </c>
      <c r="J221">
        <v>1</v>
      </c>
    </row>
    <row r="222" spans="1:19" x14ac:dyDescent="0.3">
      <c r="D222" s="15" t="str">
        <f>SUBSTITUTE("Sp.mat: 0.00%",".",IF(VALUE("1.2")=1.2,".",","),2)</f>
        <v>Sp.mat: 0.00%</v>
      </c>
      <c r="F222" s="15" t="str">
        <f>SUBSTITUTE("Sp.man: 0.00%",".",IF(VALUE("1.2")=1.2,".",","),2)</f>
        <v>Sp.man: 0.00%</v>
      </c>
      <c r="G222" s="35" t="str">
        <f>SUBSTITUTE("Sp.uti: 0.00%",".",IF(VALUE("1.2")=1.2,".",","),2)</f>
        <v>Sp.uti: 0.00%</v>
      </c>
      <c r="H222" s="38">
        <f>528.56/G221</f>
        <v>8.809333333333333</v>
      </c>
      <c r="I222" s="29">
        <f>G221*H222</f>
        <v>528.55999999999995</v>
      </c>
      <c r="J222">
        <v>2</v>
      </c>
    </row>
    <row r="223" spans="1:19" x14ac:dyDescent="0.3">
      <c r="A223" s="88" t="s">
        <v>471</v>
      </c>
      <c r="B223" s="98"/>
      <c r="C223" s="98"/>
      <c r="D223" s="98"/>
      <c r="E223" s="98"/>
      <c r="F223" s="98"/>
      <c r="G223" s="98"/>
      <c r="H223" s="38">
        <f>1.5/G221</f>
        <v>2.5000000000000001E-2</v>
      </c>
      <c r="I223" s="29">
        <f>G221*H223</f>
        <v>1.5</v>
      </c>
      <c r="J223">
        <v>3</v>
      </c>
      <c r="K223" s="4">
        <v>0</v>
      </c>
      <c r="L223" s="4">
        <v>0</v>
      </c>
      <c r="M223" s="4">
        <f>I223-K223-L223</f>
        <v>1.5</v>
      </c>
    </row>
    <row r="224" spans="1:19" x14ac:dyDescent="0.3">
      <c r="A224" s="98"/>
      <c r="B224" s="98"/>
      <c r="C224" s="98"/>
      <c r="D224" s="98"/>
      <c r="E224" s="98"/>
      <c r="F224" s="98"/>
      <c r="G224" s="98"/>
      <c r="H224" s="38">
        <f>0</f>
        <v>0</v>
      </c>
      <c r="I224" s="29">
        <f>G221*H224</f>
        <v>0</v>
      </c>
      <c r="J224">
        <v>4</v>
      </c>
      <c r="N224" s="4">
        <f>IF(ISERR(SEARCH("TRA* 82",C221)),IF(Q224+R224+S224=0,0,I224*(Q224/(Q224+R224+S224))),I224)</f>
        <v>0</v>
      </c>
      <c r="O224" s="4">
        <f>IF(ISERR(SEARCH("TRA* 82",C221)),IF(Q224+R224+S224=0,0,I224*(R224/(Q224+R224+S224))),0)</f>
        <v>0</v>
      </c>
      <c r="P224" s="4">
        <f>IF(ISERR(SEARCH("TRA* 82",C221)),I224-N224-O224,0)</f>
        <v>0</v>
      </c>
      <c r="Q224" s="4">
        <v>0</v>
      </c>
      <c r="R224" s="4">
        <v>0</v>
      </c>
      <c r="S224" s="4">
        <v>0</v>
      </c>
    </row>
    <row r="225" spans="1:19" x14ac:dyDescent="0.3">
      <c r="A225" s="96" t="s">
        <v>27</v>
      </c>
      <c r="B225" s="97"/>
      <c r="C225" s="97"/>
      <c r="D225" s="97"/>
      <c r="E225" s="97"/>
      <c r="F225" s="97"/>
      <c r="G225" s="97"/>
      <c r="H225" s="36">
        <f>H221+H222+H223+H224</f>
        <v>13.877000000000001</v>
      </c>
      <c r="I225" s="74">
        <f>I221+I222+I223+I224</f>
        <v>832.61999999999989</v>
      </c>
      <c r="J225">
        <v>5</v>
      </c>
    </row>
    <row r="226" spans="1:19" x14ac:dyDescent="0.3">
      <c r="B226" s="2">
        <v>33</v>
      </c>
      <c r="C226" s="3" t="s">
        <v>472</v>
      </c>
      <c r="D226" s="5" t="s">
        <v>40</v>
      </c>
      <c r="G226" s="30">
        <v>60</v>
      </c>
      <c r="H226" s="38">
        <f>(1+IF(OR(ISERR(FIND(":",D227)),ISERR(FIND("%",D227))),0,MID(D227,FIND(":",D227)+2,FIND("%",D227)-FIND(":",D227)-2)/100))*0</f>
        <v>0</v>
      </c>
      <c r="I226" s="29">
        <f>G226*H226</f>
        <v>0</v>
      </c>
      <c r="J226">
        <v>1</v>
      </c>
    </row>
    <row r="227" spans="1:19" x14ac:dyDescent="0.3">
      <c r="D227" s="15" t="str">
        <f>SUBSTITUTE("Sp.mat: 0.00%",".",IF(VALUE("1.2")=1.2,".",","),2)</f>
        <v>Sp.mat: 0.00%</v>
      </c>
      <c r="F227" s="15" t="str">
        <f>SUBSTITUTE("Sp.man: 0.00%",".",IF(VALUE("1.2")=1.2,".",","),2)</f>
        <v>Sp.man: 0.00%</v>
      </c>
      <c r="G227" s="35" t="str">
        <f>SUBSTITUTE("Sp.uti: 0.00%",".",IF(VALUE("1.2")=1.2,".",","),2)</f>
        <v>Sp.uti: 0.00%</v>
      </c>
      <c r="H227" s="38">
        <f>317.13/G226</f>
        <v>5.2854999999999999</v>
      </c>
      <c r="I227" s="29">
        <f>G226*H227</f>
        <v>317.13</v>
      </c>
      <c r="J227">
        <v>2</v>
      </c>
    </row>
    <row r="228" spans="1:19" x14ac:dyDescent="0.3">
      <c r="A228" s="88" t="s">
        <v>473</v>
      </c>
      <c r="B228" s="98"/>
      <c r="C228" s="98"/>
      <c r="D228" s="98"/>
      <c r="E228" s="98"/>
      <c r="F228" s="98"/>
      <c r="G228" s="98"/>
      <c r="H228" s="38">
        <f>96.1/G226</f>
        <v>1.6016666666666666</v>
      </c>
      <c r="I228" s="29">
        <f>G226*H228</f>
        <v>96.1</v>
      </c>
      <c r="J228">
        <v>3</v>
      </c>
      <c r="K228" s="4">
        <v>0</v>
      </c>
      <c r="L228" s="4">
        <v>180</v>
      </c>
      <c r="M228" s="4">
        <f>I228-K228-L228</f>
        <v>-83.9</v>
      </c>
    </row>
    <row r="229" spans="1:19" x14ac:dyDescent="0.3">
      <c r="A229" s="98"/>
      <c r="B229" s="98"/>
      <c r="C229" s="98"/>
      <c r="D229" s="98"/>
      <c r="E229" s="98"/>
      <c r="F229" s="98"/>
      <c r="G229" s="98"/>
      <c r="H229" s="38">
        <f>0</f>
        <v>0</v>
      </c>
      <c r="I229" s="29">
        <f>G226*H229</f>
        <v>0</v>
      </c>
      <c r="J229">
        <v>4</v>
      </c>
      <c r="N229" s="4">
        <f>IF(ISERR(SEARCH("TRA* 82",C226)),IF(Q229+R229+S229=0,0,I229*(Q229/(Q229+R229+S229))),I229)</f>
        <v>0</v>
      </c>
      <c r="O229" s="4">
        <f>IF(ISERR(SEARCH("TRA* 82",C226)),IF(Q229+R229+S229=0,0,I229*(R229/(Q229+R229+S229))),0)</f>
        <v>0</v>
      </c>
      <c r="P229" s="4">
        <f>IF(ISERR(SEARCH("TRA* 82",C226)),I229-N229-O229,0)</f>
        <v>0</v>
      </c>
      <c r="Q229" s="4">
        <v>0</v>
      </c>
      <c r="R229" s="4">
        <v>0</v>
      </c>
      <c r="S229" s="4">
        <v>0</v>
      </c>
    </row>
    <row r="230" spans="1:19" x14ac:dyDescent="0.3">
      <c r="A230" s="96" t="s">
        <v>27</v>
      </c>
      <c r="B230" s="97"/>
      <c r="C230" s="97"/>
      <c r="D230" s="97"/>
      <c r="E230" s="97"/>
      <c r="F230" s="97"/>
      <c r="G230" s="97"/>
      <c r="H230" s="36">
        <f>H226+H227+H228+H229</f>
        <v>6.8871666666666664</v>
      </c>
      <c r="I230" s="74">
        <f>I226+I227+I228+I229</f>
        <v>413.23</v>
      </c>
      <c r="J230">
        <v>5</v>
      </c>
    </row>
    <row r="231" spans="1:19" x14ac:dyDescent="0.3">
      <c r="B231" s="2">
        <v>34</v>
      </c>
      <c r="C231" s="3" t="s">
        <v>627</v>
      </c>
      <c r="D231" s="5" t="s">
        <v>29</v>
      </c>
      <c r="G231" s="30">
        <v>19</v>
      </c>
      <c r="H231" s="38">
        <f>9128.77/G231</f>
        <v>480.46157894736842</v>
      </c>
      <c r="I231" s="29">
        <f>G231*H231</f>
        <v>9128.77</v>
      </c>
      <c r="J231">
        <v>1</v>
      </c>
    </row>
    <row r="232" spans="1:19" x14ac:dyDescent="0.3">
      <c r="D232" s="15" t="str">
        <f>SUBSTITUTE("Sp.mat: 0.00%",".",IF(VALUE("1.2")=1.2,".",","),2)</f>
        <v>Sp.mat: 0.00%</v>
      </c>
      <c r="F232" s="15" t="str">
        <f>SUBSTITUTE("Sp.man: 0.00%",".",IF(VALUE("1.2")=1.2,".",","),2)</f>
        <v>Sp.man: 0.00%</v>
      </c>
      <c r="G232" s="35" t="str">
        <f>SUBSTITUTE("Sp.uti: 0.00%",".",IF(VALUE("1.2")=1.2,".",","),2)</f>
        <v>Sp.uti: 0.00%</v>
      </c>
      <c r="H232" s="38">
        <f>1126/G231</f>
        <v>59.263157894736842</v>
      </c>
      <c r="I232" s="29">
        <f>G231*H232</f>
        <v>1126</v>
      </c>
      <c r="J232">
        <v>2</v>
      </c>
    </row>
    <row r="233" spans="1:19" x14ac:dyDescent="0.3">
      <c r="A233" s="88" t="s">
        <v>628</v>
      </c>
      <c r="B233" s="98"/>
      <c r="C233" s="98"/>
      <c r="D233" s="98"/>
      <c r="E233" s="98"/>
      <c r="F233" s="98"/>
      <c r="G233" s="98"/>
      <c r="H233" s="38">
        <f>(1+IF(OR(ISERR(FIND(":",G232)),ISERR(FIND("%",G232))),0,MID(G232,FIND(":",G232)+2,FIND("%",G232)-FIND(":",G232)-2)/100))*0</f>
        <v>0</v>
      </c>
      <c r="I233" s="29">
        <f>G231*H233</f>
        <v>0</v>
      </c>
      <c r="J233">
        <v>3</v>
      </c>
      <c r="K233" s="4">
        <v>0</v>
      </c>
      <c r="L233" s="4">
        <v>0</v>
      </c>
      <c r="M233" s="4">
        <f>I233-K233-L233</f>
        <v>0</v>
      </c>
    </row>
    <row r="234" spans="1:19" x14ac:dyDescent="0.3">
      <c r="A234" s="98"/>
      <c r="B234" s="98"/>
      <c r="C234" s="98"/>
      <c r="D234" s="98"/>
      <c r="E234" s="98"/>
      <c r="F234" s="98"/>
      <c r="G234" s="98"/>
      <c r="H234" s="38">
        <f>0</f>
        <v>0</v>
      </c>
      <c r="I234" s="29">
        <f>G231*H234</f>
        <v>0</v>
      </c>
      <c r="J234">
        <v>4</v>
      </c>
      <c r="N234" s="4">
        <f>IF(ISERR(SEARCH("TRA* 82",C231)),IF(Q234+R234+S234=0,0,I234*(Q234/(Q234+R234+S234))),I234)</f>
        <v>0</v>
      </c>
      <c r="O234" s="4">
        <f>IF(ISERR(SEARCH("TRA* 82",C231)),IF(Q234+R234+S234=0,0,I234*(R234/(Q234+R234+S234))),0)</f>
        <v>0</v>
      </c>
      <c r="P234" s="4">
        <f>IF(ISERR(SEARCH("TRA* 82",C231)),I234-N234-O234,0)</f>
        <v>0</v>
      </c>
      <c r="Q234" s="4">
        <v>0</v>
      </c>
      <c r="R234" s="4">
        <v>0</v>
      </c>
      <c r="S234" s="4">
        <v>0</v>
      </c>
    </row>
    <row r="235" spans="1:19" x14ac:dyDescent="0.3">
      <c r="A235" s="100" t="s">
        <v>87</v>
      </c>
      <c r="B235" s="101"/>
      <c r="C235" s="101"/>
      <c r="D235" s="101"/>
      <c r="E235" s="101"/>
      <c r="F235" s="101"/>
      <c r="G235" s="101"/>
      <c r="H235" s="33">
        <f>H231+H232+H233+H234</f>
        <v>539.72473684210524</v>
      </c>
      <c r="I235" s="37">
        <f>I231+I232+I233+I234</f>
        <v>10254.77</v>
      </c>
      <c r="J235">
        <v>5</v>
      </c>
    </row>
    <row r="236" spans="1:19" x14ac:dyDescent="0.3">
      <c r="A236" s="99" t="s">
        <v>990</v>
      </c>
      <c r="B236" s="99"/>
      <c r="C236" s="99"/>
      <c r="D236" s="99"/>
      <c r="E236" s="99"/>
      <c r="F236" s="99"/>
      <c r="G236" s="99"/>
      <c r="H236" s="99"/>
      <c r="I236" s="99"/>
    </row>
    <row r="237" spans="1:19" x14ac:dyDescent="0.3">
      <c r="B237" s="16"/>
      <c r="E237" s="4">
        <f>SUMIF(J12:J235,"1",I12:I235)</f>
        <v>118176.37999999999</v>
      </c>
      <c r="F237" s="4">
        <f>SUMIF(J12:J235,"2",I12:I235)</f>
        <v>59552.549999999996</v>
      </c>
      <c r="G237" s="29">
        <f>SUMIF(J12:J235,"3",I12:I235)</f>
        <v>3454.52</v>
      </c>
      <c r="H237" s="29">
        <f>SUMIF(J12:J235,"4",I12:I235)</f>
        <v>0</v>
      </c>
      <c r="I237" s="29">
        <f>SUMIF(J12:J235,"5",I12:I235)</f>
        <v>181183.44999999998</v>
      </c>
      <c r="K237" s="4">
        <f>SUMIF(J12:J235,"3",K12:K235)</f>
        <v>0</v>
      </c>
      <c r="L237" s="4">
        <f>SUMIF(J12:J235,"3",L12:L235)</f>
        <v>6437.4</v>
      </c>
      <c r="M237" s="4">
        <f>SUMIF(J12:J235,"3",M12:M235)</f>
        <v>-2982.8799999999997</v>
      </c>
      <c r="N237" s="4">
        <f>SUMIF(J12:J235,"4",N12:N235)</f>
        <v>0</v>
      </c>
      <c r="O237" s="4">
        <f>SUMIF(J12:J235,"4",O12:O235)</f>
        <v>0</v>
      </c>
      <c r="P237" s="4">
        <f>SUMIF(J12:J235,"4",P12:P235)</f>
        <v>0</v>
      </c>
      <c r="Q237" s="4">
        <f>SUMIF(J12:J235,"4",Q12:Q235)</f>
        <v>0</v>
      </c>
      <c r="R237" s="4">
        <f>SUMIF(J12:J235,"4",R12:R235)</f>
        <v>0</v>
      </c>
      <c r="S237" s="4">
        <f>SUMIF(J12:J235,"4",S12:S235)</f>
        <v>0</v>
      </c>
    </row>
    <row r="238" spans="1:19" x14ac:dyDescent="0.3">
      <c r="B238" s="107" t="s">
        <v>1556</v>
      </c>
      <c r="C238" s="108"/>
      <c r="D238" s="26"/>
      <c r="E238" s="26"/>
      <c r="F238" s="26"/>
      <c r="G238" s="109"/>
      <c r="H238" s="36"/>
      <c r="I238" s="110">
        <f>I237</f>
        <v>181183.44999999998</v>
      </c>
    </row>
  </sheetData>
  <mergeCells count="128">
    <mergeCell ref="A1:D1"/>
    <mergeCell ref="A2:I2"/>
    <mergeCell ref="A3:I3"/>
    <mergeCell ref="A4:I4"/>
    <mergeCell ref="A5:H5"/>
    <mergeCell ref="A14:G15"/>
    <mergeCell ref="A25:I25"/>
    <mergeCell ref="A26:I26"/>
    <mergeCell ref="A27:I27"/>
    <mergeCell ref="A28:I28"/>
    <mergeCell ref="A31:G32"/>
    <mergeCell ref="A33:G33"/>
    <mergeCell ref="A16:G16"/>
    <mergeCell ref="A17:I17"/>
    <mergeCell ref="A20:G21"/>
    <mergeCell ref="A22:G22"/>
    <mergeCell ref="A23:I23"/>
    <mergeCell ref="A24:I24"/>
    <mergeCell ref="A42:G43"/>
    <mergeCell ref="A44:G44"/>
    <mergeCell ref="A45:I45"/>
    <mergeCell ref="A46:I46"/>
    <mergeCell ref="A47:I47"/>
    <mergeCell ref="A48:I48"/>
    <mergeCell ref="A34:I34"/>
    <mergeCell ref="A35:I35"/>
    <mergeCell ref="A36:I36"/>
    <mergeCell ref="A37:I37"/>
    <mergeCell ref="A38:I38"/>
    <mergeCell ref="A39:I39"/>
    <mergeCell ref="A58:I58"/>
    <mergeCell ref="A59:I59"/>
    <mergeCell ref="A60:I60"/>
    <mergeCell ref="A61:I61"/>
    <mergeCell ref="A64:G65"/>
    <mergeCell ref="A66:G66"/>
    <mergeCell ref="A49:I49"/>
    <mergeCell ref="A50:I50"/>
    <mergeCell ref="A53:G54"/>
    <mergeCell ref="A55:G55"/>
    <mergeCell ref="A56:I56"/>
    <mergeCell ref="A57:I57"/>
    <mergeCell ref="A75:G76"/>
    <mergeCell ref="A77:G77"/>
    <mergeCell ref="A78:I78"/>
    <mergeCell ref="A79:I79"/>
    <mergeCell ref="A80:I80"/>
    <mergeCell ref="A81:I81"/>
    <mergeCell ref="A67:I67"/>
    <mergeCell ref="A68:I68"/>
    <mergeCell ref="A69:I69"/>
    <mergeCell ref="A70:I70"/>
    <mergeCell ref="A71:I71"/>
    <mergeCell ref="A72:I72"/>
    <mergeCell ref="A96:G97"/>
    <mergeCell ref="A98:G98"/>
    <mergeCell ref="A99:I99"/>
    <mergeCell ref="A100:I100"/>
    <mergeCell ref="A103:G104"/>
    <mergeCell ref="A105:G105"/>
    <mergeCell ref="A82:I82"/>
    <mergeCell ref="A83:I83"/>
    <mergeCell ref="A86:G87"/>
    <mergeCell ref="A88:G88"/>
    <mergeCell ref="A91:G92"/>
    <mergeCell ref="A93:G93"/>
    <mergeCell ref="A117:G118"/>
    <mergeCell ref="A119:G119"/>
    <mergeCell ref="A120:I120"/>
    <mergeCell ref="A121:I121"/>
    <mergeCell ref="A124:G125"/>
    <mergeCell ref="A126:G126"/>
    <mergeCell ref="A106:I106"/>
    <mergeCell ref="A107:I107"/>
    <mergeCell ref="A110:G111"/>
    <mergeCell ref="A112:G112"/>
    <mergeCell ref="A113:I113"/>
    <mergeCell ref="A114:I114"/>
    <mergeCell ref="A138:G139"/>
    <mergeCell ref="A140:G140"/>
    <mergeCell ref="A143:G144"/>
    <mergeCell ref="A145:G145"/>
    <mergeCell ref="A148:G149"/>
    <mergeCell ref="A150:G150"/>
    <mergeCell ref="A127:I127"/>
    <mergeCell ref="A128:I128"/>
    <mergeCell ref="A131:G132"/>
    <mergeCell ref="A133:G133"/>
    <mergeCell ref="A134:I134"/>
    <mergeCell ref="A135:I135"/>
    <mergeCell ref="A168:G169"/>
    <mergeCell ref="A170:G170"/>
    <mergeCell ref="A173:G174"/>
    <mergeCell ref="A175:G175"/>
    <mergeCell ref="A176:I176"/>
    <mergeCell ref="A179:G180"/>
    <mergeCell ref="A153:G154"/>
    <mergeCell ref="A155:G155"/>
    <mergeCell ref="A158:G159"/>
    <mergeCell ref="A160:G160"/>
    <mergeCell ref="A163:G164"/>
    <mergeCell ref="A165:G165"/>
    <mergeCell ref="A193:G193"/>
    <mergeCell ref="A194:I194"/>
    <mergeCell ref="A197:G198"/>
    <mergeCell ref="A199:G199"/>
    <mergeCell ref="A200:I200"/>
    <mergeCell ref="A203:G204"/>
    <mergeCell ref="A181:G181"/>
    <mergeCell ref="A182:I182"/>
    <mergeCell ref="A185:G186"/>
    <mergeCell ref="A187:G187"/>
    <mergeCell ref="A188:I188"/>
    <mergeCell ref="A191:G192"/>
    <mergeCell ref="A235:G235"/>
    <mergeCell ref="A236:I236"/>
    <mergeCell ref="A220:G220"/>
    <mergeCell ref="A223:G224"/>
    <mergeCell ref="A225:G225"/>
    <mergeCell ref="A228:G229"/>
    <mergeCell ref="A230:G230"/>
    <mergeCell ref="A233:G234"/>
    <mergeCell ref="A205:G205"/>
    <mergeCell ref="A208:G209"/>
    <mergeCell ref="A210:G210"/>
    <mergeCell ref="A213:G214"/>
    <mergeCell ref="A215:G215"/>
    <mergeCell ref="A218:G219"/>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21" manualBreakCount="21">
    <brk id="39" max="16383" man="1"/>
    <brk id="83" max="16383" man="1"/>
    <brk id="135" max="16383" man="1"/>
    <brk id="140" max="16383" man="1"/>
    <brk id="145" max="16383" man="1"/>
    <brk id="150" max="16383" man="1"/>
    <brk id="155" max="16383" man="1"/>
    <brk id="160" max="16383" man="1"/>
    <brk id="165" max="16383" man="1"/>
    <brk id="170" max="16383" man="1"/>
    <brk id="176" max="16383" man="1"/>
    <brk id="182" max="16383" man="1"/>
    <brk id="188" max="16383" man="1"/>
    <brk id="194" max="16383" man="1"/>
    <brk id="200" max="16383" man="1"/>
    <brk id="205" max="16383" man="1"/>
    <brk id="210" max="16383" man="1"/>
    <brk id="215" max="16383" man="1"/>
    <brk id="220" max="16383" man="1"/>
    <brk id="225" max="16383" man="1"/>
    <brk id="236"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8143-9950-459E-A2B3-3497E2ADC9FE}">
  <sheetPr>
    <tabColor rgb="FF92D050"/>
  </sheetPr>
  <dimension ref="A1:T246"/>
  <sheetViews>
    <sheetView topLeftCell="A242" workbookViewId="0">
      <selection activeCell="E265" sqref="E265"/>
    </sheetView>
  </sheetViews>
  <sheetFormatPr defaultRowHeight="14.4" outlineLevelCol="1" x14ac:dyDescent="0.3"/>
  <cols>
    <col min="1" max="1" width="0.33203125" style="1" customWidth="1"/>
    <col min="2" max="2" width="5.77734375" style="2" customWidth="1"/>
    <col min="3" max="3" width="25.33203125" style="3" customWidth="1"/>
    <col min="4" max="4" width="9.77734375" style="5" customWidth="1"/>
    <col min="5" max="6" width="9.77734375" customWidth="1"/>
    <col min="7" max="7" width="9.77734375" style="30" customWidth="1"/>
    <col min="8" max="8" width="9.77734375" style="38" customWidth="1"/>
    <col min="9" max="9" width="9.777343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891</v>
      </c>
      <c r="B4" s="98"/>
      <c r="C4" s="98"/>
      <c r="D4" s="98"/>
      <c r="E4" s="98"/>
      <c r="F4" s="98"/>
      <c r="G4" s="98"/>
      <c r="H4" s="98"/>
      <c r="I4" s="98"/>
    </row>
    <row r="5" spans="1:19" ht="15" thickBot="1" x14ac:dyDescent="0.35">
      <c r="A5" s="82" t="s">
        <v>676</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677</v>
      </c>
      <c r="D12" s="13" t="s">
        <v>29</v>
      </c>
      <c r="E12" s="14"/>
      <c r="F12" s="14"/>
      <c r="G12" s="41">
        <v>54</v>
      </c>
      <c r="H12" s="71">
        <f>1403/G12</f>
        <v>25.981481481481481</v>
      </c>
      <c r="I12" s="32">
        <f>G12*H12</f>
        <v>1403</v>
      </c>
      <c r="J12">
        <v>1</v>
      </c>
    </row>
    <row r="13" spans="1:19" x14ac:dyDescent="0.3">
      <c r="D13" s="15" t="str">
        <f>SUBSTITUTE("Sp.mat: 0.00%",".",IF(VALUE("1.2")=1.2,".",","),2)</f>
        <v>Sp.mat: 0.00%</v>
      </c>
      <c r="F13" s="15" t="str">
        <f>SUBSTITUTE("Sp.man: 0.00%",".",IF(VALUE("1.2")=1.2,".",","),2)</f>
        <v>Sp.man: 0.00%</v>
      </c>
      <c r="G13" s="35" t="str">
        <f>SUBSTITUTE("Sp.uti: 0.00%",".",IF(VALUE("1.2")=1.2,".",","),2)</f>
        <v>Sp.uti: 0.00%</v>
      </c>
      <c r="H13" s="38">
        <f>1297.38/G12</f>
        <v>24.025555555555556</v>
      </c>
      <c r="I13" s="29">
        <f>G12*H13</f>
        <v>1297.3800000000001</v>
      </c>
      <c r="J13">
        <v>2</v>
      </c>
    </row>
    <row r="14" spans="1:19" x14ac:dyDescent="0.3">
      <c r="A14" s="88" t="s">
        <v>678</v>
      </c>
      <c r="B14" s="98"/>
      <c r="C14" s="98"/>
      <c r="D14" s="98"/>
      <c r="E14" s="98"/>
      <c r="F14" s="98"/>
      <c r="G14" s="98"/>
      <c r="H14" s="38">
        <f>3.72/G12</f>
        <v>6.8888888888888888E-2</v>
      </c>
      <c r="I14" s="29">
        <f>G12*H14</f>
        <v>3.7199999999999998</v>
      </c>
      <c r="J14">
        <v>3</v>
      </c>
      <c r="K14" s="4">
        <v>0</v>
      </c>
      <c r="L14" s="4">
        <v>6.9660000000000002</v>
      </c>
      <c r="M14" s="4">
        <f>I14-K14-L14</f>
        <v>-3.2460000000000004</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96" t="s">
        <v>1002</v>
      </c>
      <c r="B16" s="97"/>
      <c r="C16" s="97"/>
      <c r="D16" s="97"/>
      <c r="E16" s="97"/>
      <c r="F16" s="97"/>
      <c r="G16" s="97"/>
      <c r="H16" s="36">
        <f>H12+H13+H14+H15</f>
        <v>50.075925925925922</v>
      </c>
      <c r="I16" s="74">
        <f>I12+I13+I14+I15</f>
        <v>2704.1</v>
      </c>
      <c r="J16">
        <v>5</v>
      </c>
    </row>
    <row r="17" spans="1:19" x14ac:dyDescent="0.3">
      <c r="B17" s="2">
        <v>2</v>
      </c>
      <c r="C17" s="3" t="s">
        <v>680</v>
      </c>
      <c r="D17" s="5" t="s">
        <v>29</v>
      </c>
      <c r="G17" s="30">
        <v>4</v>
      </c>
      <c r="H17" s="38">
        <f>3380.64/G17</f>
        <v>845.16</v>
      </c>
      <c r="I17" s="29">
        <f>G17*H17</f>
        <v>3380.64</v>
      </c>
      <c r="J17">
        <v>1</v>
      </c>
    </row>
    <row r="18" spans="1:19" x14ac:dyDescent="0.3">
      <c r="D18" s="15" t="str">
        <f>SUBSTITUTE("Sp.mat: 0.00%",".",IF(VALUE("1.2")=1.2,".",","),2)</f>
        <v>Sp.mat: 0.00%</v>
      </c>
      <c r="F18" s="15" t="str">
        <f>SUBSTITUTE("Sp.man: 0.00%",".",IF(VALUE("1.2")=1.2,".",","),2)</f>
        <v>Sp.man: 0.00%</v>
      </c>
      <c r="G18" s="35" t="str">
        <f>SUBSTITUTE("Sp.uti: 0.00%",".",IF(VALUE("1.2")=1.2,".",","),2)</f>
        <v>Sp.uti: 0.00%</v>
      </c>
      <c r="H18" s="38">
        <f>(1+IF(OR(ISERR(FIND(":",F18)),ISERR(FIND("%",F18))),0,MID(F18,FIND(":",F18)+2,FIND("%",F18)-FIND(":",F18)-2)/100))*0</f>
        <v>0</v>
      </c>
      <c r="I18" s="29">
        <f>G17*H18</f>
        <v>0</v>
      </c>
      <c r="J18">
        <v>2</v>
      </c>
    </row>
    <row r="19" spans="1:19" x14ac:dyDescent="0.3">
      <c r="A19" s="88" t="s">
        <v>681</v>
      </c>
      <c r="B19" s="98"/>
      <c r="C19" s="98"/>
      <c r="D19" s="98"/>
      <c r="E19" s="98"/>
      <c r="F19" s="98"/>
      <c r="G19" s="98"/>
      <c r="H19" s="38">
        <f>(1+IF(OR(ISERR(FIND(":",G18)),ISERR(FIND("%",G18))),0,MID(G18,FIND(":",G18)+2,FIND("%",G18)-FIND(":",G18)-2)/100))*0</f>
        <v>0</v>
      </c>
      <c r="I19" s="29">
        <f>G17*H19</f>
        <v>0</v>
      </c>
      <c r="J19">
        <v>3</v>
      </c>
      <c r="K19" s="4">
        <v>0</v>
      </c>
      <c r="L19" s="4">
        <v>0</v>
      </c>
      <c r="M19" s="4">
        <f>I19-K19-L19</f>
        <v>0</v>
      </c>
    </row>
    <row r="20" spans="1:19" x14ac:dyDescent="0.3">
      <c r="A20" s="98"/>
      <c r="B20" s="98"/>
      <c r="C20" s="98"/>
      <c r="D20" s="98"/>
      <c r="E20" s="98"/>
      <c r="F20" s="98"/>
      <c r="G20" s="98"/>
      <c r="H20" s="38">
        <f>0</f>
        <v>0</v>
      </c>
      <c r="I20" s="29">
        <f>G17*H20</f>
        <v>0</v>
      </c>
      <c r="J20">
        <v>4</v>
      </c>
      <c r="N20" s="4">
        <f>IF(ISERR(SEARCH("TRA* 82",C17)),IF(Q20+R20+S20=0,0,I20*(Q20/(Q20+R20+S20))),I20)</f>
        <v>0</v>
      </c>
      <c r="O20" s="4">
        <f>IF(ISERR(SEARCH("TRA* 82",C17)),IF(Q20+R20+S20=0,0,I20*(R20/(Q20+R20+S20))),0)</f>
        <v>0</v>
      </c>
      <c r="P20" s="4">
        <f>IF(ISERR(SEARCH("TRA* 82",C17)),I20-N20-O20,0)</f>
        <v>0</v>
      </c>
      <c r="Q20" s="4">
        <v>0</v>
      </c>
      <c r="R20" s="4">
        <v>0</v>
      </c>
      <c r="S20" s="4">
        <v>0</v>
      </c>
    </row>
    <row r="21" spans="1:19" x14ac:dyDescent="0.3">
      <c r="A21" s="96" t="s">
        <v>27</v>
      </c>
      <c r="B21" s="97"/>
      <c r="C21" s="97"/>
      <c r="D21" s="97"/>
      <c r="E21" s="97"/>
      <c r="F21" s="97"/>
      <c r="G21" s="97"/>
      <c r="H21" s="36">
        <f>H17+H18+H19+H20</f>
        <v>845.16</v>
      </c>
      <c r="I21" s="74">
        <f>I17+I18+I19+I20</f>
        <v>3380.64</v>
      </c>
      <c r="J21">
        <v>5</v>
      </c>
    </row>
    <row r="22" spans="1:19" x14ac:dyDescent="0.3">
      <c r="B22" s="2">
        <v>3</v>
      </c>
      <c r="C22" s="3" t="s">
        <v>684</v>
      </c>
      <c r="D22" s="5" t="s">
        <v>29</v>
      </c>
      <c r="G22" s="30">
        <v>1</v>
      </c>
      <c r="H22" s="38">
        <v>1038.3699999999999</v>
      </c>
      <c r="I22" s="29">
        <f>G22*H22</f>
        <v>1038.3699999999999</v>
      </c>
      <c r="J22">
        <v>1</v>
      </c>
    </row>
    <row r="23" spans="1:19" x14ac:dyDescent="0.3">
      <c r="D23" s="15" t="str">
        <f>SUBSTITUTE("Sp.mat: 0.00%",".",IF(VALUE("1.2")=1.2,".",","),2)</f>
        <v>Sp.mat: 0.00%</v>
      </c>
      <c r="F23" s="15" t="str">
        <f>SUBSTITUTE("Sp.man: 0.00%",".",IF(VALUE("1.2")=1.2,".",","),2)</f>
        <v>Sp.man: 0.00%</v>
      </c>
      <c r="G23" s="35" t="str">
        <f>SUBSTITUTE("Sp.uti: 0.00%",".",IF(VALUE("1.2")=1.2,".",","),2)</f>
        <v>Sp.uti: 0.00%</v>
      </c>
      <c r="H23" s="38">
        <f>(1+IF(OR(ISERR(FIND(":",F23)),ISERR(FIND("%",F23))),0,MID(F23,FIND(":",F23)+2,FIND("%",F23)-FIND(":",F23)-2)/100))*0</f>
        <v>0</v>
      </c>
      <c r="I23" s="29">
        <f>G22*H23</f>
        <v>0</v>
      </c>
      <c r="J23">
        <v>2</v>
      </c>
    </row>
    <row r="24" spans="1:19" x14ac:dyDescent="0.3">
      <c r="A24" s="88" t="s">
        <v>1003</v>
      </c>
      <c r="B24" s="98"/>
      <c r="C24" s="98"/>
      <c r="D24" s="98"/>
      <c r="E24" s="98"/>
      <c r="F24" s="98"/>
      <c r="G24" s="98"/>
      <c r="H24" s="38">
        <f>(1+IF(OR(ISERR(FIND(":",G23)),ISERR(FIND("%",G23))),0,MID(G23,FIND(":",G23)+2,FIND("%",G23)-FIND(":",G23)-2)/100))*0</f>
        <v>0</v>
      </c>
      <c r="I24" s="29">
        <f>G22*H24</f>
        <v>0</v>
      </c>
      <c r="J24">
        <v>3</v>
      </c>
      <c r="K24" s="4">
        <v>0</v>
      </c>
      <c r="L24" s="4">
        <v>0</v>
      </c>
      <c r="M24" s="4">
        <f>I24-K24-L24</f>
        <v>0</v>
      </c>
    </row>
    <row r="25" spans="1:19" x14ac:dyDescent="0.3">
      <c r="A25" s="98"/>
      <c r="B25" s="98"/>
      <c r="C25" s="98"/>
      <c r="D25" s="98"/>
      <c r="E25" s="98"/>
      <c r="F25" s="98"/>
      <c r="G25" s="98"/>
      <c r="H25" s="38">
        <f>0</f>
        <v>0</v>
      </c>
      <c r="I25" s="29">
        <f>G22*H25</f>
        <v>0</v>
      </c>
      <c r="J25">
        <v>4</v>
      </c>
      <c r="N25" s="4">
        <f>IF(ISERR(SEARCH("TRA* 82",C22)),IF(Q25+R25+S25=0,0,I25*(Q25/(Q25+R25+S25))),I25)</f>
        <v>0</v>
      </c>
      <c r="O25" s="4">
        <f>IF(ISERR(SEARCH("TRA* 82",C22)),IF(Q25+R25+S25=0,0,I25*(R25/(Q25+R25+S25))),0)</f>
        <v>0</v>
      </c>
      <c r="P25" s="4">
        <f>IF(ISERR(SEARCH("TRA* 82",C22)),I25-N25-O25,0)</f>
        <v>0</v>
      </c>
      <c r="Q25" s="4">
        <v>0</v>
      </c>
      <c r="R25" s="4">
        <v>0</v>
      </c>
      <c r="S25" s="4">
        <v>0</v>
      </c>
    </row>
    <row r="26" spans="1:19" x14ac:dyDescent="0.3">
      <c r="A26" s="96" t="s">
        <v>27</v>
      </c>
      <c r="B26" s="97"/>
      <c r="C26" s="97"/>
      <c r="D26" s="97"/>
      <c r="E26" s="97"/>
      <c r="F26" s="97"/>
      <c r="G26" s="97"/>
      <c r="H26" s="36">
        <f>H22+H23+H24+H25</f>
        <v>1038.3699999999999</v>
      </c>
      <c r="I26" s="74">
        <f>I22+I23+I24+I25</f>
        <v>1038.3699999999999</v>
      </c>
      <c r="J26">
        <v>5</v>
      </c>
    </row>
    <row r="27" spans="1:19" x14ac:dyDescent="0.3">
      <c r="B27" s="2">
        <v>4</v>
      </c>
      <c r="C27" s="3" t="s">
        <v>686</v>
      </c>
      <c r="D27" s="5" t="s">
        <v>29</v>
      </c>
      <c r="G27" s="30">
        <v>19</v>
      </c>
      <c r="H27" s="38">
        <f>21995.91/G27</f>
        <v>1157.6794736842105</v>
      </c>
      <c r="I27" s="29">
        <f>G27*H27</f>
        <v>21995.91</v>
      </c>
      <c r="J27">
        <v>1</v>
      </c>
    </row>
    <row r="28" spans="1:19" x14ac:dyDescent="0.3">
      <c r="D28" s="15" t="str">
        <f>SUBSTITUTE("Sp.mat: 0.00%",".",IF(VALUE("1.2")=1.2,".",","),2)</f>
        <v>Sp.mat: 0.00%</v>
      </c>
      <c r="F28" s="15" t="str">
        <f>SUBSTITUTE("Sp.man: 0.00%",".",IF(VALUE("1.2")=1.2,".",","),2)</f>
        <v>Sp.man: 0.00%</v>
      </c>
      <c r="G28" s="35" t="str">
        <f>SUBSTITUTE("Sp.uti: 0.00%",".",IF(VALUE("1.2")=1.2,".",","),2)</f>
        <v>Sp.uti: 0.00%</v>
      </c>
      <c r="H28" s="38">
        <f>(1+IF(OR(ISERR(FIND(":",F28)),ISERR(FIND("%",F28))),0,MID(F28,FIND(":",F28)+2,FIND("%",F28)-FIND(":",F28)-2)/100))*0</f>
        <v>0</v>
      </c>
      <c r="I28" s="29">
        <f>G27*H28</f>
        <v>0</v>
      </c>
      <c r="J28">
        <v>2</v>
      </c>
    </row>
    <row r="29" spans="1:19" x14ac:dyDescent="0.3">
      <c r="A29" s="88" t="s">
        <v>1004</v>
      </c>
      <c r="B29" s="98"/>
      <c r="C29" s="98"/>
      <c r="D29" s="98"/>
      <c r="E29" s="98"/>
      <c r="F29" s="98"/>
      <c r="G29" s="98"/>
      <c r="H29" s="38">
        <f>(1+IF(OR(ISERR(FIND(":",G28)),ISERR(FIND("%",G28))),0,MID(G28,FIND(":",G28)+2,FIND("%",G28)-FIND(":",G28)-2)/100))*0</f>
        <v>0</v>
      </c>
      <c r="I29" s="29">
        <f>G27*H29</f>
        <v>0</v>
      </c>
      <c r="J29">
        <v>3</v>
      </c>
      <c r="K29" s="4">
        <v>0</v>
      </c>
      <c r="L29" s="4">
        <v>0</v>
      </c>
      <c r="M29" s="4">
        <f>I29-K29-L29</f>
        <v>0</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96" t="s">
        <v>27</v>
      </c>
      <c r="B31" s="97"/>
      <c r="C31" s="97"/>
      <c r="D31" s="97"/>
      <c r="E31" s="97"/>
      <c r="F31" s="97"/>
      <c r="G31" s="97"/>
      <c r="H31" s="36">
        <f>H27+H28+H29+H30</f>
        <v>1157.6794736842105</v>
      </c>
      <c r="I31" s="74">
        <f>I27+I28+I29+I30</f>
        <v>21995.91</v>
      </c>
      <c r="J31">
        <v>5</v>
      </c>
    </row>
    <row r="32" spans="1:19" x14ac:dyDescent="0.3">
      <c r="B32" s="2">
        <v>5</v>
      </c>
      <c r="C32" s="3" t="s">
        <v>1005</v>
      </c>
      <c r="D32" s="5" t="s">
        <v>29</v>
      </c>
      <c r="G32" s="30">
        <v>30</v>
      </c>
      <c r="H32" s="38">
        <f>25866.01/G32</f>
        <v>862.20033333333333</v>
      </c>
      <c r="I32" s="29">
        <f>G32*H32</f>
        <v>25866.01</v>
      </c>
      <c r="J32">
        <v>1</v>
      </c>
    </row>
    <row r="33" spans="1:19" x14ac:dyDescent="0.3">
      <c r="D33" s="15" t="str">
        <f>SUBSTITUTE("Sp.mat: 0.00%",".",IF(VALUE("1.2")=1.2,".",","),2)</f>
        <v>Sp.mat: 0.00%</v>
      </c>
      <c r="F33" s="15" t="str">
        <f>SUBSTITUTE("Sp.man: 0.00%",".",IF(VALUE("1.2")=1.2,".",","),2)</f>
        <v>Sp.man: 0.00%</v>
      </c>
      <c r="G33" s="35" t="str">
        <f>SUBSTITUTE("Sp.uti: 0.00%",".",IF(VALUE("1.2")=1.2,".",","),2)</f>
        <v>Sp.uti: 0.00%</v>
      </c>
      <c r="H33" s="38">
        <f>(1+IF(OR(ISERR(FIND(":",F33)),ISERR(FIND("%",F33))),0,MID(F33,FIND(":",F33)+2,FIND("%",F33)-FIND(":",F33)-2)/100))*0</f>
        <v>0</v>
      </c>
      <c r="I33" s="29">
        <f>G32*H33</f>
        <v>0</v>
      </c>
      <c r="J33">
        <v>2</v>
      </c>
    </row>
    <row r="34" spans="1:19" x14ac:dyDescent="0.3">
      <c r="A34" s="88" t="s">
        <v>683</v>
      </c>
      <c r="B34" s="98"/>
      <c r="C34" s="98"/>
      <c r="D34" s="98"/>
      <c r="E34" s="98"/>
      <c r="F34" s="98"/>
      <c r="G34" s="98"/>
      <c r="H34" s="38">
        <f>(1+IF(OR(ISERR(FIND(":",G33)),ISERR(FIND("%",G33))),0,MID(G33,FIND(":",G33)+2,FIND("%",G33)-FIND(":",G33)-2)/100))*0</f>
        <v>0</v>
      </c>
      <c r="I34" s="29">
        <f>G32*H34</f>
        <v>0</v>
      </c>
      <c r="J34">
        <v>3</v>
      </c>
      <c r="K34" s="4">
        <v>0</v>
      </c>
      <c r="L34" s="4">
        <v>0</v>
      </c>
      <c r="M34" s="4">
        <f>I34-K34-L34</f>
        <v>0</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96" t="s">
        <v>27</v>
      </c>
      <c r="B36" s="97"/>
      <c r="C36" s="97"/>
      <c r="D36" s="97"/>
      <c r="E36" s="97"/>
      <c r="F36" s="97"/>
      <c r="G36" s="97"/>
      <c r="H36" s="36">
        <f>H32+H33+H34+H35</f>
        <v>862.20033333333333</v>
      </c>
      <c r="I36" s="74">
        <f>I32+I33+I34+I35</f>
        <v>25866.01</v>
      </c>
      <c r="J36">
        <v>5</v>
      </c>
    </row>
    <row r="37" spans="1:19" x14ac:dyDescent="0.3">
      <c r="B37" s="2">
        <v>6</v>
      </c>
      <c r="C37" s="3" t="s">
        <v>393</v>
      </c>
      <c r="D37" s="5" t="s">
        <v>25</v>
      </c>
      <c r="G37" s="30">
        <v>180</v>
      </c>
      <c r="H37" s="38">
        <f>828.4/G37</f>
        <v>4.6022222222222222</v>
      </c>
      <c r="I37" s="29">
        <f>G37*H37</f>
        <v>828.4</v>
      </c>
      <c r="J37">
        <v>1</v>
      </c>
    </row>
    <row r="38" spans="1:19" x14ac:dyDescent="0.3">
      <c r="D38" s="15" t="str">
        <f>SUBSTITUTE("Sp.mat: 0.00%",".",IF(VALUE("1.2")=1.2,".",","),2)</f>
        <v>Sp.mat: 0.00%</v>
      </c>
      <c r="F38" s="15" t="str">
        <f>SUBSTITUTE("Sp.man: 0.00%",".",IF(VALUE("1.2")=1.2,".",","),2)</f>
        <v>Sp.man: 0.00%</v>
      </c>
      <c r="G38" s="35" t="str">
        <f>SUBSTITUTE("Sp.uti: 0.00%",".",IF(VALUE("1.2")=1.2,".",","),2)</f>
        <v>Sp.uti: 0.00%</v>
      </c>
      <c r="H38" s="38">
        <f>3171.37/G37</f>
        <v>17.618722222222221</v>
      </c>
      <c r="I38" s="29">
        <f>G37*H38</f>
        <v>3171.37</v>
      </c>
      <c r="J38">
        <v>2</v>
      </c>
    </row>
    <row r="39" spans="1:19" x14ac:dyDescent="0.3">
      <c r="A39" s="88" t="s">
        <v>394</v>
      </c>
      <c r="B39" s="98"/>
      <c r="C39" s="98"/>
      <c r="D39" s="98"/>
      <c r="E39" s="98"/>
      <c r="F39" s="98"/>
      <c r="G39" s="98"/>
      <c r="H39" s="38">
        <f>(1+IF(OR(ISERR(FIND(":",G38)),ISERR(FIND("%",G38))),0,MID(G38,FIND(":",G38)+2,FIND("%",G38)-FIND(":",G38)-2)/100))*0</f>
        <v>0</v>
      </c>
      <c r="I39" s="29">
        <f>G37*H39</f>
        <v>0</v>
      </c>
      <c r="J39">
        <v>3</v>
      </c>
      <c r="K39" s="4">
        <v>0</v>
      </c>
      <c r="L39" s="4">
        <v>0</v>
      </c>
      <c r="M39" s="4">
        <f>I39-K39-L39</f>
        <v>0</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96" t="s">
        <v>27</v>
      </c>
      <c r="B41" s="97"/>
      <c r="C41" s="97"/>
      <c r="D41" s="97"/>
      <c r="E41" s="97"/>
      <c r="F41" s="97"/>
      <c r="G41" s="97"/>
      <c r="H41" s="36">
        <f>H37+H38+H39+H40</f>
        <v>22.220944444444442</v>
      </c>
      <c r="I41" s="74">
        <f>I37+I38+I39+I40</f>
        <v>3999.77</v>
      </c>
      <c r="J41">
        <v>5</v>
      </c>
    </row>
    <row r="42" spans="1:19" x14ac:dyDescent="0.3">
      <c r="B42" s="2">
        <v>7</v>
      </c>
      <c r="C42" s="3" t="s">
        <v>398</v>
      </c>
      <c r="D42" s="5" t="s">
        <v>25</v>
      </c>
      <c r="G42" s="30">
        <v>135</v>
      </c>
      <c r="H42" s="38">
        <f>929.3/G42</f>
        <v>6.883703703703703</v>
      </c>
      <c r="I42" s="29">
        <f>G42*H42</f>
        <v>929.3</v>
      </c>
      <c r="J42">
        <v>1</v>
      </c>
    </row>
    <row r="43" spans="1:19" x14ac:dyDescent="0.3">
      <c r="D43" s="15" t="str">
        <f>SUBSTITUTE("Sp.mat: 0.00%",".",IF(VALUE("1.2")=1.2,".",","),2)</f>
        <v>Sp.mat: 0.00%</v>
      </c>
      <c r="F43" s="15" t="str">
        <f>SUBSTITUTE("Sp.man: 0.00%",".",IF(VALUE("1.2")=1.2,".",","),2)</f>
        <v>Sp.man: 0.00%</v>
      </c>
      <c r="G43" s="35" t="str">
        <f>SUBSTITUTE("Sp.uti: 0.00%",".",IF(VALUE("1.2")=1.2,".",","),2)</f>
        <v>Sp.uti: 0.00%</v>
      </c>
      <c r="H43" s="38">
        <f>2054.18/G42</f>
        <v>15.216148148148147</v>
      </c>
      <c r="I43" s="29">
        <f>G42*H43</f>
        <v>2054.1799999999998</v>
      </c>
      <c r="J43">
        <v>2</v>
      </c>
    </row>
    <row r="44" spans="1:19" x14ac:dyDescent="0.3">
      <c r="A44" s="88" t="s">
        <v>399</v>
      </c>
      <c r="B44" s="98"/>
      <c r="C44" s="98"/>
      <c r="D44" s="98"/>
      <c r="E44" s="98"/>
      <c r="F44" s="98"/>
      <c r="G44" s="98"/>
      <c r="H44" s="38">
        <f>(1+IF(OR(ISERR(FIND(":",G43)),ISERR(FIND("%",G43))),0,MID(G43,FIND(":",G43)+2,FIND("%",G43)-FIND(":",G43)-2)/100))*0</f>
        <v>0</v>
      </c>
      <c r="I44" s="29">
        <f>G42*H44</f>
        <v>0</v>
      </c>
      <c r="J44">
        <v>3</v>
      </c>
      <c r="K44" s="4">
        <v>0</v>
      </c>
      <c r="L44" s="4">
        <v>0</v>
      </c>
      <c r="M44" s="4">
        <f>I44-K44-L44</f>
        <v>0</v>
      </c>
    </row>
    <row r="45" spans="1:19" x14ac:dyDescent="0.3">
      <c r="A45" s="98"/>
      <c r="B45" s="98"/>
      <c r="C45" s="98"/>
      <c r="D45" s="98"/>
      <c r="E45" s="98"/>
      <c r="F45" s="98"/>
      <c r="G45" s="98"/>
      <c r="H45" s="38">
        <f>0</f>
        <v>0</v>
      </c>
      <c r="I45" s="29">
        <f>G42*H45</f>
        <v>0</v>
      </c>
      <c r="J45">
        <v>4</v>
      </c>
      <c r="N45" s="4">
        <f>IF(ISERR(SEARCH("TRA* 82",C42)),IF(Q45+R45+S45=0,0,I45*(Q45/(Q45+R45+S45))),I45)</f>
        <v>0</v>
      </c>
      <c r="O45" s="4">
        <f>IF(ISERR(SEARCH("TRA* 82",C42)),IF(Q45+R45+S45=0,0,I45*(R45/(Q45+R45+S45))),0)</f>
        <v>0</v>
      </c>
      <c r="P45" s="4">
        <f>IF(ISERR(SEARCH("TRA* 82",C42)),I45-N45-O45,0)</f>
        <v>0</v>
      </c>
      <c r="Q45" s="4">
        <v>0</v>
      </c>
      <c r="R45" s="4">
        <v>0</v>
      </c>
      <c r="S45" s="4">
        <v>0</v>
      </c>
    </row>
    <row r="46" spans="1:19" x14ac:dyDescent="0.3">
      <c r="A46" s="96" t="s">
        <v>27</v>
      </c>
      <c r="B46" s="97"/>
      <c r="C46" s="97"/>
      <c r="D46" s="97"/>
      <c r="E46" s="97"/>
      <c r="F46" s="97"/>
      <c r="G46" s="97"/>
      <c r="H46" s="36">
        <f>H42+H43+H44+H45</f>
        <v>22.099851851851849</v>
      </c>
      <c r="I46" s="74">
        <f>I42+I43+I44+I45</f>
        <v>2983.4799999999996</v>
      </c>
      <c r="J46">
        <v>5</v>
      </c>
    </row>
    <row r="47" spans="1:19" x14ac:dyDescent="0.3">
      <c r="B47" s="2">
        <v>8</v>
      </c>
      <c r="C47" s="3" t="s">
        <v>398</v>
      </c>
      <c r="D47" s="5" t="s">
        <v>25</v>
      </c>
      <c r="G47" s="30">
        <v>180</v>
      </c>
      <c r="H47" s="38">
        <f>1855.85/G47</f>
        <v>10.310277777777777</v>
      </c>
      <c r="I47" s="29">
        <f>G47*H47</f>
        <v>1855.85</v>
      </c>
      <c r="J47">
        <v>1</v>
      </c>
    </row>
    <row r="48" spans="1:19" x14ac:dyDescent="0.3">
      <c r="D48" s="15" t="str">
        <f>SUBSTITUTE("Sp.mat: 0.00%",".",IF(VALUE("1.2")=1.2,".",","),2)</f>
        <v>Sp.mat: 0.00%</v>
      </c>
      <c r="F48" s="15" t="str">
        <f>SUBSTITUTE("Sp.man: 0.00%",".",IF(VALUE("1.2")=1.2,".",","),2)</f>
        <v>Sp.man: 0.00%</v>
      </c>
      <c r="G48" s="35" t="str">
        <f>SUBSTITUTE("Sp.uti: 0.00%",".",IF(VALUE("1.2")=1.2,".",","),2)</f>
        <v>Sp.uti: 0.00%</v>
      </c>
      <c r="H48" s="38">
        <f>2738.91/G47</f>
        <v>15.216166666666666</v>
      </c>
      <c r="I48" s="29">
        <f>G47*H48</f>
        <v>2738.91</v>
      </c>
      <c r="J48">
        <v>2</v>
      </c>
    </row>
    <row r="49" spans="1:19" x14ac:dyDescent="0.3">
      <c r="A49" s="88" t="s">
        <v>399</v>
      </c>
      <c r="B49" s="98"/>
      <c r="C49" s="98"/>
      <c r="D49" s="98"/>
      <c r="E49" s="98"/>
      <c r="F49" s="98"/>
      <c r="G49" s="98"/>
      <c r="H49" s="38">
        <f>(1+IF(OR(ISERR(FIND(":",G48)),ISERR(FIND("%",G48))),0,MID(G48,FIND(":",G48)+2,FIND("%",G48)-FIND(":",G48)-2)/100))*0</f>
        <v>0</v>
      </c>
      <c r="I49" s="29">
        <f>G47*H49</f>
        <v>0</v>
      </c>
      <c r="J49">
        <v>3</v>
      </c>
      <c r="K49" s="4">
        <v>0</v>
      </c>
      <c r="L49" s="4">
        <v>0</v>
      </c>
      <c r="M49" s="4">
        <f>I49-K49-L49</f>
        <v>0</v>
      </c>
    </row>
    <row r="50" spans="1:19" x14ac:dyDescent="0.3">
      <c r="A50" s="98"/>
      <c r="B50" s="98"/>
      <c r="C50" s="98"/>
      <c r="D50" s="98"/>
      <c r="E50" s="98"/>
      <c r="F50" s="98"/>
      <c r="G50" s="98"/>
      <c r="H50" s="38">
        <f>0</f>
        <v>0</v>
      </c>
      <c r="I50" s="29">
        <f>G47*H50</f>
        <v>0</v>
      </c>
      <c r="J50">
        <v>4</v>
      </c>
      <c r="N50" s="4">
        <f>IF(ISERR(SEARCH("TRA* 82",C47)),IF(Q50+R50+S50=0,0,I50*(Q50/(Q50+R50+S50))),I50)</f>
        <v>0</v>
      </c>
      <c r="O50" s="4">
        <f>IF(ISERR(SEARCH("TRA* 82",C47)),IF(Q50+R50+S50=0,0,I50*(R50/(Q50+R50+S50))),0)</f>
        <v>0</v>
      </c>
      <c r="P50" s="4">
        <f>IF(ISERR(SEARCH("TRA* 82",C47)),I50-N50-O50,0)</f>
        <v>0</v>
      </c>
      <c r="Q50" s="4">
        <v>0</v>
      </c>
      <c r="R50" s="4">
        <v>0</v>
      </c>
      <c r="S50" s="4">
        <v>0</v>
      </c>
    </row>
    <row r="51" spans="1:19" x14ac:dyDescent="0.3">
      <c r="A51" s="96" t="s">
        <v>27</v>
      </c>
      <c r="B51" s="97"/>
      <c r="C51" s="97"/>
      <c r="D51" s="97"/>
      <c r="E51" s="97"/>
      <c r="F51" s="97"/>
      <c r="G51" s="97"/>
      <c r="H51" s="36">
        <f>H47+H48+H49+H50</f>
        <v>25.526444444444444</v>
      </c>
      <c r="I51" s="74">
        <f>I47+I48+I49+I50</f>
        <v>4594.76</v>
      </c>
      <c r="J51">
        <v>5</v>
      </c>
    </row>
    <row r="52" spans="1:19" x14ac:dyDescent="0.3">
      <c r="B52" s="2">
        <v>9</v>
      </c>
      <c r="C52" s="3" t="s">
        <v>404</v>
      </c>
      <c r="D52" s="5" t="s">
        <v>25</v>
      </c>
      <c r="G52" s="30">
        <v>130</v>
      </c>
      <c r="H52" s="38">
        <f>1260.5/G52</f>
        <v>9.6961538461538463</v>
      </c>
      <c r="I52" s="29">
        <f>G52*H52</f>
        <v>1260.5</v>
      </c>
      <c r="J52">
        <v>1</v>
      </c>
    </row>
    <row r="53" spans="1:19" x14ac:dyDescent="0.3">
      <c r="D53" s="15" t="str">
        <f>SUBSTITUTE("Sp.mat: 0.00%",".",IF(VALUE("1.2")=1.2,".",","),2)</f>
        <v>Sp.mat: 0.00%</v>
      </c>
      <c r="F53" s="15" t="str">
        <f>SUBSTITUTE("Sp.man: 0.00%",".",IF(VALUE("1.2")=1.2,".",","),2)</f>
        <v>Sp.man: 0.00%</v>
      </c>
      <c r="G53" s="35" t="str">
        <f>SUBSTITUTE("Sp.uti: 0.00%",".",IF(VALUE("1.2")=1.2,".",","),2)</f>
        <v>Sp.uti: 0.00%</v>
      </c>
      <c r="H53" s="38">
        <f>2186.03/G52</f>
        <v>16.815615384615388</v>
      </c>
      <c r="I53" s="29">
        <f>G52*H53</f>
        <v>2186.0300000000002</v>
      </c>
      <c r="J53">
        <v>2</v>
      </c>
    </row>
    <row r="54" spans="1:19" x14ac:dyDescent="0.3">
      <c r="A54" s="88" t="s">
        <v>405</v>
      </c>
      <c r="B54" s="98"/>
      <c r="C54" s="98"/>
      <c r="D54" s="98"/>
      <c r="E54" s="98"/>
      <c r="F54" s="98"/>
      <c r="G54" s="98"/>
      <c r="H54" s="38">
        <f>(1+IF(OR(ISERR(FIND(":",G53)),ISERR(FIND("%",G53))),0,MID(G53,FIND(":",G53)+2,FIND("%",G53)-FIND(":",G53)-2)/100))*0</f>
        <v>0</v>
      </c>
      <c r="I54" s="29">
        <f>G52*H54</f>
        <v>0</v>
      </c>
      <c r="J54">
        <v>3</v>
      </c>
      <c r="K54" s="4">
        <v>0</v>
      </c>
      <c r="L54" s="4">
        <v>0</v>
      </c>
      <c r="M54" s="4">
        <f>I54-K54-L54</f>
        <v>0</v>
      </c>
    </row>
    <row r="55" spans="1:19" x14ac:dyDescent="0.3">
      <c r="A55" s="98"/>
      <c r="B55" s="98"/>
      <c r="C55" s="98"/>
      <c r="D55" s="98"/>
      <c r="E55" s="98"/>
      <c r="F55" s="98"/>
      <c r="G55" s="98"/>
      <c r="H55" s="38">
        <f>0</f>
        <v>0</v>
      </c>
      <c r="I55" s="29">
        <f>G52*H55</f>
        <v>0</v>
      </c>
      <c r="J55">
        <v>4</v>
      </c>
      <c r="N55" s="4">
        <f>IF(ISERR(SEARCH("TRA* 82",C52)),IF(Q55+R55+S55=0,0,I55*(Q55/(Q55+R55+S55))),I55)</f>
        <v>0</v>
      </c>
      <c r="O55" s="4">
        <f>IF(ISERR(SEARCH("TRA* 82",C52)),IF(Q55+R55+S55=0,0,I55*(R55/(Q55+R55+S55))),0)</f>
        <v>0</v>
      </c>
      <c r="P55" s="4">
        <f>IF(ISERR(SEARCH("TRA* 82",C52)),I55-N55-O55,0)</f>
        <v>0</v>
      </c>
      <c r="Q55" s="4">
        <v>0</v>
      </c>
      <c r="R55" s="4">
        <v>0</v>
      </c>
      <c r="S55" s="4">
        <v>0</v>
      </c>
    </row>
    <row r="56" spans="1:19" x14ac:dyDescent="0.3">
      <c r="A56" s="96" t="s">
        <v>27</v>
      </c>
      <c r="B56" s="97"/>
      <c r="C56" s="97"/>
      <c r="D56" s="97"/>
      <c r="E56" s="97"/>
      <c r="F56" s="97"/>
      <c r="G56" s="97"/>
      <c r="H56" s="36">
        <f>H52+H53+H54+H55</f>
        <v>26.511769230769232</v>
      </c>
      <c r="I56" s="74">
        <f>I52+I53+I54+I55</f>
        <v>3446.53</v>
      </c>
      <c r="J56">
        <v>5</v>
      </c>
    </row>
    <row r="57" spans="1:19" x14ac:dyDescent="0.3">
      <c r="B57" s="2">
        <v>10</v>
      </c>
      <c r="C57" s="3" t="s">
        <v>404</v>
      </c>
      <c r="D57" s="5" t="s">
        <v>25</v>
      </c>
      <c r="G57" s="30">
        <v>170</v>
      </c>
      <c r="H57" s="38">
        <f>2575.53/G57</f>
        <v>15.150176470588237</v>
      </c>
      <c r="I57" s="29">
        <f>G57*H57</f>
        <v>2575.5300000000002</v>
      </c>
      <c r="J57">
        <v>1</v>
      </c>
    </row>
    <row r="58" spans="1:19" x14ac:dyDescent="0.3">
      <c r="D58" s="15" t="str">
        <f>SUBSTITUTE("Sp.mat: 0.00%",".",IF(VALUE("1.2")=1.2,".",","),2)</f>
        <v>Sp.mat: 0.00%</v>
      </c>
      <c r="F58" s="15" t="str">
        <f>SUBSTITUTE("Sp.man: 0.00%",".",IF(VALUE("1.2")=1.2,".",","),2)</f>
        <v>Sp.man: 0.00%</v>
      </c>
      <c r="G58" s="35" t="str">
        <f>SUBSTITUTE("Sp.uti: 0.00%",".",IF(VALUE("1.2")=1.2,".",","),2)</f>
        <v>Sp.uti: 0.00%</v>
      </c>
      <c r="H58" s="38">
        <f>2859.03/G57</f>
        <v>16.817823529411765</v>
      </c>
      <c r="I58" s="29">
        <f>G57*H58</f>
        <v>2859.03</v>
      </c>
      <c r="J58">
        <v>2</v>
      </c>
    </row>
    <row r="59" spans="1:19" x14ac:dyDescent="0.3">
      <c r="A59" s="88" t="s">
        <v>405</v>
      </c>
      <c r="B59" s="98"/>
      <c r="C59" s="98"/>
      <c r="D59" s="98"/>
      <c r="E59" s="98"/>
      <c r="F59" s="98"/>
      <c r="G59" s="98"/>
      <c r="H59" s="38">
        <f>(1+IF(OR(ISERR(FIND(":",G58)),ISERR(FIND("%",G58))),0,MID(G58,FIND(":",G58)+2,FIND("%",G58)-FIND(":",G58)-2)/100))*0</f>
        <v>0</v>
      </c>
      <c r="I59" s="29">
        <f>G57*H59</f>
        <v>0</v>
      </c>
      <c r="J59">
        <v>3</v>
      </c>
      <c r="K59" s="4">
        <v>0</v>
      </c>
      <c r="L59" s="4">
        <v>0</v>
      </c>
      <c r="M59" s="4">
        <f>I59-K59-L59</f>
        <v>0</v>
      </c>
    </row>
    <row r="60" spans="1:19" x14ac:dyDescent="0.3">
      <c r="A60" s="98"/>
      <c r="B60" s="98"/>
      <c r="C60" s="98"/>
      <c r="D60" s="98"/>
      <c r="E60" s="98"/>
      <c r="F60" s="98"/>
      <c r="G60" s="98"/>
      <c r="H60" s="38">
        <f>0</f>
        <v>0</v>
      </c>
      <c r="I60" s="29">
        <f>G57*H60</f>
        <v>0</v>
      </c>
      <c r="J60">
        <v>4</v>
      </c>
      <c r="N60" s="4">
        <f>IF(ISERR(SEARCH("TRA* 82",C57)),IF(Q60+R60+S60=0,0,I60*(Q60/(Q60+R60+S60))),I60)</f>
        <v>0</v>
      </c>
      <c r="O60" s="4">
        <f>IF(ISERR(SEARCH("TRA* 82",C57)),IF(Q60+R60+S60=0,0,I60*(R60/(Q60+R60+S60))),0)</f>
        <v>0</v>
      </c>
      <c r="P60" s="4">
        <f>IF(ISERR(SEARCH("TRA* 82",C57)),I60-N60-O60,0)</f>
        <v>0</v>
      </c>
      <c r="Q60" s="4">
        <v>0</v>
      </c>
      <c r="R60" s="4">
        <v>0</v>
      </c>
      <c r="S60" s="4">
        <v>0</v>
      </c>
    </row>
    <row r="61" spans="1:19" x14ac:dyDescent="0.3">
      <c r="A61" s="96" t="s">
        <v>27</v>
      </c>
      <c r="B61" s="97"/>
      <c r="C61" s="97"/>
      <c r="D61" s="97"/>
      <c r="E61" s="97"/>
      <c r="F61" s="97"/>
      <c r="G61" s="97"/>
      <c r="H61" s="36">
        <f>H57+H58+H59+H60</f>
        <v>31.968000000000004</v>
      </c>
      <c r="I61" s="74">
        <f>I57+I58+I59+I60</f>
        <v>5434.56</v>
      </c>
      <c r="J61">
        <v>5</v>
      </c>
    </row>
    <row r="62" spans="1:19" x14ac:dyDescent="0.3">
      <c r="B62" s="2">
        <v>11</v>
      </c>
      <c r="C62" s="3" t="s">
        <v>407</v>
      </c>
      <c r="D62" s="5" t="s">
        <v>25</v>
      </c>
      <c r="G62" s="30">
        <v>95</v>
      </c>
      <c r="H62" s="38">
        <f>1874.1/G62</f>
        <v>19.727368421052631</v>
      </c>
      <c r="I62" s="29">
        <f>G62*H62</f>
        <v>1874.1</v>
      </c>
      <c r="J62">
        <v>1</v>
      </c>
    </row>
    <row r="63" spans="1:19" x14ac:dyDescent="0.3">
      <c r="D63" s="15" t="str">
        <f>SUBSTITUTE("Sp.mat: 0.00%",".",IF(VALUE("1.2")=1.2,".",","),2)</f>
        <v>Sp.mat: 0.00%</v>
      </c>
      <c r="F63" s="15" t="str">
        <f>SUBSTITUTE("Sp.man: 0.00%",".",IF(VALUE("1.2")=1.2,".",","),2)</f>
        <v>Sp.man: 0.00%</v>
      </c>
      <c r="G63" s="35" t="str">
        <f>SUBSTITUTE("Sp.uti: 0.00%",".",IF(VALUE("1.2")=1.2,".",","),2)</f>
        <v>Sp.uti: 0.00%</v>
      </c>
      <c r="H63" s="38">
        <f>1749.86/G62</f>
        <v>18.419578947368421</v>
      </c>
      <c r="I63" s="29">
        <f>G62*H63</f>
        <v>1749.8600000000001</v>
      </c>
      <c r="J63">
        <v>2</v>
      </c>
    </row>
    <row r="64" spans="1:19" x14ac:dyDescent="0.3">
      <c r="A64" s="88" t="s">
        <v>408</v>
      </c>
      <c r="B64" s="98"/>
      <c r="C64" s="98"/>
      <c r="D64" s="98"/>
      <c r="E64" s="98"/>
      <c r="F64" s="98"/>
      <c r="G64" s="98"/>
      <c r="H64" s="38">
        <f>(1+IF(OR(ISERR(FIND(":",G63)),ISERR(FIND("%",G63))),0,MID(G63,FIND(":",G63)+2,FIND("%",G63)-FIND(":",G63)-2)/100))*0</f>
        <v>0</v>
      </c>
      <c r="I64" s="29">
        <f>G62*H64</f>
        <v>0</v>
      </c>
      <c r="J64">
        <v>3</v>
      </c>
      <c r="K64" s="4">
        <v>0</v>
      </c>
      <c r="L64" s="4">
        <v>0</v>
      </c>
      <c r="M64" s="4">
        <f>I64-K64-L64</f>
        <v>0</v>
      </c>
    </row>
    <row r="65" spans="1:19" x14ac:dyDescent="0.3">
      <c r="A65" s="98"/>
      <c r="B65" s="98"/>
      <c r="C65" s="98"/>
      <c r="D65" s="98"/>
      <c r="E65" s="98"/>
      <c r="F65" s="98"/>
      <c r="G65" s="98"/>
      <c r="H65" s="38">
        <f>0</f>
        <v>0</v>
      </c>
      <c r="I65" s="29">
        <f>G62*H65</f>
        <v>0</v>
      </c>
      <c r="J65">
        <v>4</v>
      </c>
      <c r="N65" s="4">
        <f>IF(ISERR(SEARCH("TRA* 82",C62)),IF(Q65+R65+S65=0,0,I65*(Q65/(Q65+R65+S65))),I65)</f>
        <v>0</v>
      </c>
      <c r="O65" s="4">
        <f>IF(ISERR(SEARCH("TRA* 82",C62)),IF(Q65+R65+S65=0,0,I65*(R65/(Q65+R65+S65))),0)</f>
        <v>0</v>
      </c>
      <c r="P65" s="4">
        <f>IF(ISERR(SEARCH("TRA* 82",C62)),I65-N65-O65,0)</f>
        <v>0</v>
      </c>
      <c r="Q65" s="4">
        <v>0</v>
      </c>
      <c r="R65" s="4">
        <v>0</v>
      </c>
      <c r="S65" s="4">
        <v>0</v>
      </c>
    </row>
    <row r="66" spans="1:19" x14ac:dyDescent="0.3">
      <c r="A66" s="96" t="s">
        <v>27</v>
      </c>
      <c r="B66" s="97"/>
      <c r="C66" s="97"/>
      <c r="D66" s="97"/>
      <c r="E66" s="97"/>
      <c r="F66" s="97"/>
      <c r="G66" s="97"/>
      <c r="H66" s="36">
        <f>H62+H63+H64+H65</f>
        <v>38.146947368421053</v>
      </c>
      <c r="I66" s="74">
        <f>I62+I63+I64+I65</f>
        <v>3623.96</v>
      </c>
      <c r="J66">
        <v>5</v>
      </c>
    </row>
    <row r="67" spans="1:19" x14ac:dyDescent="0.3">
      <c r="B67" s="2">
        <v>12</v>
      </c>
      <c r="C67" s="3" t="s">
        <v>407</v>
      </c>
      <c r="D67" s="5" t="s">
        <v>25</v>
      </c>
      <c r="G67" s="30">
        <v>45</v>
      </c>
      <c r="H67" s="38">
        <f>1140.67/G67</f>
        <v>25.348222222222223</v>
      </c>
      <c r="I67" s="29">
        <f>G67*H67</f>
        <v>1140.67</v>
      </c>
      <c r="J67">
        <v>1</v>
      </c>
    </row>
    <row r="68" spans="1:19" x14ac:dyDescent="0.3">
      <c r="D68" s="15" t="str">
        <f>SUBSTITUTE("Sp.mat: 0.00%",".",IF(VALUE("1.2")=1.2,".",","),2)</f>
        <v>Sp.mat: 0.00%</v>
      </c>
      <c r="F68" s="15" t="str">
        <f>SUBSTITUTE("Sp.man: 0.00%",".",IF(VALUE("1.2")=1.2,".",","),2)</f>
        <v>Sp.man: 0.00%</v>
      </c>
      <c r="G68" s="35" t="str">
        <f>SUBSTITUTE("Sp.uti: 0.00%",".",IF(VALUE("1.2")=1.2,".",","),2)</f>
        <v>Sp.uti: 0.00%</v>
      </c>
      <c r="H68" s="38">
        <f>828.88/G67</f>
        <v>18.419555555555554</v>
      </c>
      <c r="I68" s="29">
        <f>G67*H68</f>
        <v>828.88</v>
      </c>
      <c r="J68">
        <v>2</v>
      </c>
    </row>
    <row r="69" spans="1:19" x14ac:dyDescent="0.3">
      <c r="A69" s="88" t="s">
        <v>408</v>
      </c>
      <c r="B69" s="98"/>
      <c r="C69" s="98"/>
      <c r="D69" s="98"/>
      <c r="E69" s="98"/>
      <c r="F69" s="98"/>
      <c r="G69" s="98"/>
      <c r="H69" s="38">
        <f>(1+IF(OR(ISERR(FIND(":",G68)),ISERR(FIND("%",G68))),0,MID(G68,FIND(":",G68)+2,FIND("%",G68)-FIND(":",G68)-2)/100))*0</f>
        <v>0</v>
      </c>
      <c r="I69" s="29">
        <f>G67*H69</f>
        <v>0</v>
      </c>
      <c r="J69">
        <v>3</v>
      </c>
      <c r="K69" s="4">
        <v>0</v>
      </c>
      <c r="L69" s="4">
        <v>0</v>
      </c>
      <c r="M69" s="4">
        <f>I69-K69-L69</f>
        <v>0</v>
      </c>
    </row>
    <row r="70" spans="1:19" x14ac:dyDescent="0.3">
      <c r="A70" s="98"/>
      <c r="B70" s="98"/>
      <c r="C70" s="98"/>
      <c r="D70" s="98"/>
      <c r="E70" s="98"/>
      <c r="F70" s="98"/>
      <c r="G70" s="98"/>
      <c r="H70" s="38">
        <f>0</f>
        <v>0</v>
      </c>
      <c r="I70" s="29">
        <f>G67*H70</f>
        <v>0</v>
      </c>
      <c r="J70">
        <v>4</v>
      </c>
      <c r="N70" s="4">
        <f>IF(ISERR(SEARCH("TRA* 82",C67)),IF(Q70+R70+S70=0,0,I70*(Q70/(Q70+R70+S70))),I70)</f>
        <v>0</v>
      </c>
      <c r="O70" s="4">
        <f>IF(ISERR(SEARCH("TRA* 82",C67)),IF(Q70+R70+S70=0,0,I70*(R70/(Q70+R70+S70))),0)</f>
        <v>0</v>
      </c>
      <c r="P70" s="4">
        <f>IF(ISERR(SEARCH("TRA* 82",C67)),I70-N70-O70,0)</f>
        <v>0</v>
      </c>
      <c r="Q70" s="4">
        <v>0</v>
      </c>
      <c r="R70" s="4">
        <v>0</v>
      </c>
      <c r="S70" s="4">
        <v>0</v>
      </c>
    </row>
    <row r="71" spans="1:19" x14ac:dyDescent="0.3">
      <c r="A71" s="96" t="s">
        <v>27</v>
      </c>
      <c r="B71" s="97"/>
      <c r="C71" s="97"/>
      <c r="D71" s="97"/>
      <c r="E71" s="97"/>
      <c r="F71" s="97"/>
      <c r="G71" s="97"/>
      <c r="H71" s="36">
        <f>H67+H68+H69+H70</f>
        <v>43.767777777777781</v>
      </c>
      <c r="I71" s="74">
        <f>I67+I68+I69+I70</f>
        <v>1969.5500000000002</v>
      </c>
      <c r="J71">
        <v>5</v>
      </c>
    </row>
    <row r="72" spans="1:19" x14ac:dyDescent="0.3">
      <c r="B72" s="2">
        <v>13</v>
      </c>
      <c r="C72" s="3" t="s">
        <v>238</v>
      </c>
      <c r="D72" s="5" t="s">
        <v>25</v>
      </c>
      <c r="G72" s="30">
        <v>900</v>
      </c>
      <c r="H72" s="38">
        <f>236.27/G72</f>
        <v>0.26252222222222221</v>
      </c>
      <c r="I72" s="29">
        <f>G72*H72</f>
        <v>236.26999999999998</v>
      </c>
      <c r="J72">
        <v>1</v>
      </c>
    </row>
    <row r="73" spans="1:19" x14ac:dyDescent="0.3">
      <c r="D73" s="15" t="str">
        <f>SUBSTITUTE("Sp.mat: 0.00%",".",IF(VALUE("1.2")=1.2,".",","),2)</f>
        <v>Sp.mat: 0.00%</v>
      </c>
      <c r="F73" s="15" t="str">
        <f>SUBSTITUTE("Sp.man: 0.00%",".",IF(VALUE("1.2")=1.2,".",","),2)</f>
        <v>Sp.man: 0.00%</v>
      </c>
      <c r="G73" s="35" t="str">
        <f>SUBSTITUTE("Sp.uti: 0.00%",".",IF(VALUE("1.2")=1.2,".",","),2)</f>
        <v>Sp.uti: 0.00%</v>
      </c>
      <c r="H73" s="38">
        <f>1729.84/G72</f>
        <v>1.9220444444444444</v>
      </c>
      <c r="I73" s="29">
        <f>G72*H73</f>
        <v>1729.84</v>
      </c>
      <c r="J73">
        <v>2</v>
      </c>
    </row>
    <row r="74" spans="1:19" x14ac:dyDescent="0.3">
      <c r="A74" s="88" t="s">
        <v>239</v>
      </c>
      <c r="B74" s="98"/>
      <c r="C74" s="98"/>
      <c r="D74" s="98"/>
      <c r="E74" s="98"/>
      <c r="F74" s="98"/>
      <c r="G74" s="98"/>
      <c r="H74" s="38">
        <f>28.11/G72</f>
        <v>3.1233333333333332E-2</v>
      </c>
      <c r="I74" s="29">
        <f>G72*H74</f>
        <v>28.11</v>
      </c>
      <c r="J74">
        <v>3</v>
      </c>
      <c r="K74" s="4">
        <v>0</v>
      </c>
      <c r="L74" s="4">
        <v>0</v>
      </c>
      <c r="M74" s="4">
        <f>I74-K74-L74</f>
        <v>28.11</v>
      </c>
    </row>
    <row r="75" spans="1:19" x14ac:dyDescent="0.3">
      <c r="A75" s="98"/>
      <c r="B75" s="98"/>
      <c r="C75" s="98"/>
      <c r="D75" s="98"/>
      <c r="E75" s="98"/>
      <c r="F75" s="98"/>
      <c r="G75" s="98"/>
      <c r="H75" s="38">
        <f>0</f>
        <v>0</v>
      </c>
      <c r="I75" s="29">
        <f>G72*H75</f>
        <v>0</v>
      </c>
      <c r="J75">
        <v>4</v>
      </c>
      <c r="N75" s="4">
        <f>IF(ISERR(SEARCH("TRA* 82",C72)),IF(Q75+R75+S75=0,0,I75*(Q75/(Q75+R75+S75))),I75)</f>
        <v>0</v>
      </c>
      <c r="O75" s="4">
        <f>IF(ISERR(SEARCH("TRA* 82",C72)),IF(Q75+R75+S75=0,0,I75*(R75/(Q75+R75+S75))),0)</f>
        <v>0</v>
      </c>
      <c r="P75" s="4">
        <f>IF(ISERR(SEARCH("TRA* 82",C72)),I75-N75-O75,0)</f>
        <v>0</v>
      </c>
      <c r="Q75" s="4">
        <v>0</v>
      </c>
      <c r="R75" s="4">
        <v>0</v>
      </c>
      <c r="S75" s="4">
        <v>0</v>
      </c>
    </row>
    <row r="76" spans="1:19" x14ac:dyDescent="0.3">
      <c r="A76" s="96" t="s">
        <v>240</v>
      </c>
      <c r="B76" s="97"/>
      <c r="C76" s="97"/>
      <c r="D76" s="97"/>
      <c r="E76" s="97"/>
      <c r="F76" s="97"/>
      <c r="G76" s="97"/>
      <c r="H76" s="36">
        <f>H72+H73+H74+H75</f>
        <v>2.2157999999999998</v>
      </c>
      <c r="I76" s="74">
        <f>I72+I73+I74+I75</f>
        <v>1994.2199999999998</v>
      </c>
      <c r="J76">
        <v>5</v>
      </c>
    </row>
    <row r="77" spans="1:19" x14ac:dyDescent="0.3">
      <c r="B77" s="2">
        <v>14</v>
      </c>
      <c r="C77" s="3" t="s">
        <v>619</v>
      </c>
      <c r="D77" s="5" t="s">
        <v>25</v>
      </c>
      <c r="G77" s="30">
        <v>180</v>
      </c>
      <c r="H77" s="38">
        <f>326.75/G77</f>
        <v>1.8152777777777778</v>
      </c>
      <c r="I77" s="29">
        <f>G77*H77</f>
        <v>326.75</v>
      </c>
      <c r="J77">
        <v>1</v>
      </c>
    </row>
    <row r="78" spans="1:19" x14ac:dyDescent="0.3">
      <c r="D78" s="15" t="str">
        <f>SUBSTITUTE("Sp.mat: 0.00%",".",IF(VALUE("1.2")=1.2,".",","),2)</f>
        <v>Sp.mat: 0.00%</v>
      </c>
      <c r="F78" s="15" t="str">
        <f>SUBSTITUTE("Sp.man: 0.00%",".",IF(VALUE("1.2")=1.2,".",","),2)</f>
        <v>Sp.man: 0.00%</v>
      </c>
      <c r="G78" s="35" t="str">
        <f>SUBSTITUTE("Sp.uti: 0.00%",".",IF(VALUE("1.2")=1.2,".",","),2)</f>
        <v>Sp.uti: 0.00%</v>
      </c>
      <c r="H78" s="38">
        <f>(1+IF(OR(ISERR(FIND(":",F78)),ISERR(FIND("%",F78))),0,MID(F78,FIND(":",F78)+2,FIND("%",F78)-FIND(":",F78)-2)/100))*0</f>
        <v>0</v>
      </c>
      <c r="I78" s="29">
        <f>G77*H78</f>
        <v>0</v>
      </c>
      <c r="J78">
        <v>2</v>
      </c>
    </row>
    <row r="79" spans="1:19" x14ac:dyDescent="0.3">
      <c r="A79" s="88" t="s">
        <v>620</v>
      </c>
      <c r="B79" s="98"/>
      <c r="C79" s="98"/>
      <c r="D79" s="98"/>
      <c r="E79" s="98"/>
      <c r="F79" s="98"/>
      <c r="G79" s="98"/>
      <c r="H79" s="38">
        <f>(1+IF(OR(ISERR(FIND(":",G78)),ISERR(FIND("%",G78))),0,MID(G78,FIND(":",G78)+2,FIND("%",G78)-FIND(":",G78)-2)/100))*0</f>
        <v>0</v>
      </c>
      <c r="I79" s="29">
        <f>G77*H79</f>
        <v>0</v>
      </c>
      <c r="J79">
        <v>3</v>
      </c>
      <c r="K79" s="4">
        <v>0</v>
      </c>
      <c r="L79" s="4">
        <v>0</v>
      </c>
      <c r="M79" s="4">
        <f>I79-K79-L79</f>
        <v>0</v>
      </c>
    </row>
    <row r="80" spans="1:19" x14ac:dyDescent="0.3">
      <c r="A80" s="98"/>
      <c r="B80" s="98"/>
      <c r="C80" s="98"/>
      <c r="D80" s="98"/>
      <c r="E80" s="98"/>
      <c r="F80" s="98"/>
      <c r="G80" s="98"/>
      <c r="H80" s="38">
        <f>0</f>
        <v>0</v>
      </c>
      <c r="I80" s="29">
        <f>G77*H80</f>
        <v>0</v>
      </c>
      <c r="J80">
        <v>4</v>
      </c>
      <c r="N80" s="4">
        <f>IF(ISERR(SEARCH("TRA* 82",C77)),IF(Q80+R80+S80=0,0,I80*(Q80/(Q80+R80+S80))),I80)</f>
        <v>0</v>
      </c>
      <c r="O80" s="4">
        <f>IF(ISERR(SEARCH("TRA* 82",C77)),IF(Q80+R80+S80=0,0,I80*(R80/(Q80+R80+S80))),0)</f>
        <v>0</v>
      </c>
      <c r="P80" s="4">
        <f>IF(ISERR(SEARCH("TRA* 82",C77)),I80-N80-O80,0)</f>
        <v>0</v>
      </c>
      <c r="Q80" s="4">
        <v>0</v>
      </c>
      <c r="R80" s="4">
        <v>0</v>
      </c>
      <c r="S80" s="4">
        <v>0</v>
      </c>
    </row>
    <row r="81" spans="1:19" x14ac:dyDescent="0.3">
      <c r="A81" s="96" t="s">
        <v>27</v>
      </c>
      <c r="B81" s="97"/>
      <c r="C81" s="97"/>
      <c r="D81" s="97"/>
      <c r="E81" s="97"/>
      <c r="F81" s="97"/>
      <c r="G81" s="97"/>
      <c r="H81" s="36">
        <f>H77+H78+H79+H80</f>
        <v>1.8152777777777778</v>
      </c>
      <c r="I81" s="74">
        <f>I77+I78+I79+I80</f>
        <v>326.75</v>
      </c>
      <c r="J81">
        <v>5</v>
      </c>
    </row>
    <row r="82" spans="1:19" x14ac:dyDescent="0.3">
      <c r="B82" s="2">
        <v>15</v>
      </c>
      <c r="C82" s="3" t="s">
        <v>621</v>
      </c>
      <c r="D82" s="5" t="s">
        <v>25</v>
      </c>
      <c r="G82" s="30">
        <v>135</v>
      </c>
      <c r="H82" s="38">
        <f>302.72/G82</f>
        <v>2.2423703703703706</v>
      </c>
      <c r="I82" s="29">
        <f>G82*H82</f>
        <v>302.72000000000003</v>
      </c>
      <c r="J82">
        <v>1</v>
      </c>
    </row>
    <row r="83" spans="1:19" x14ac:dyDescent="0.3">
      <c r="D83" s="15" t="str">
        <f>SUBSTITUTE("Sp.mat: 0.00%",".",IF(VALUE("1.2")=1.2,".",","),2)</f>
        <v>Sp.mat: 0.00%</v>
      </c>
      <c r="F83" s="15" t="str">
        <f>SUBSTITUTE("Sp.man: 0.00%",".",IF(VALUE("1.2")=1.2,".",","),2)</f>
        <v>Sp.man: 0.00%</v>
      </c>
      <c r="G83" s="35" t="str">
        <f>SUBSTITUTE("Sp.uti: 0.00%",".",IF(VALUE("1.2")=1.2,".",","),2)</f>
        <v>Sp.uti: 0.00%</v>
      </c>
      <c r="H83" s="38">
        <f>(1+IF(OR(ISERR(FIND(":",F83)),ISERR(FIND("%",F83))),0,MID(F83,FIND(":",F83)+2,FIND("%",F83)-FIND(":",F83)-2)/100))*0</f>
        <v>0</v>
      </c>
      <c r="I83" s="29">
        <f>G82*H83</f>
        <v>0</v>
      </c>
      <c r="J83">
        <v>2</v>
      </c>
    </row>
    <row r="84" spans="1:19" x14ac:dyDescent="0.3">
      <c r="A84" s="88" t="s">
        <v>622</v>
      </c>
      <c r="B84" s="98"/>
      <c r="C84" s="98"/>
      <c r="D84" s="98"/>
      <c r="E84" s="98"/>
      <c r="F84" s="98"/>
      <c r="G84" s="98"/>
      <c r="H84" s="38">
        <f>(1+IF(OR(ISERR(FIND(":",G83)),ISERR(FIND("%",G83))),0,MID(G83,FIND(":",G83)+2,FIND("%",G83)-FIND(":",G83)-2)/100))*0</f>
        <v>0</v>
      </c>
      <c r="I84" s="29">
        <f>G82*H84</f>
        <v>0</v>
      </c>
      <c r="J84">
        <v>3</v>
      </c>
      <c r="K84" s="4">
        <v>0</v>
      </c>
      <c r="L84" s="4">
        <v>0</v>
      </c>
      <c r="M84" s="4">
        <f>I84-K84-L84</f>
        <v>0</v>
      </c>
    </row>
    <row r="85" spans="1:19" x14ac:dyDescent="0.3">
      <c r="A85" s="98"/>
      <c r="B85" s="98"/>
      <c r="C85" s="98"/>
      <c r="D85" s="98"/>
      <c r="E85" s="98"/>
      <c r="F85" s="98"/>
      <c r="G85" s="98"/>
      <c r="H85" s="38">
        <f>0</f>
        <v>0</v>
      </c>
      <c r="I85" s="29">
        <f>G82*H85</f>
        <v>0</v>
      </c>
      <c r="J85">
        <v>4</v>
      </c>
      <c r="N85" s="4">
        <f>IF(ISERR(SEARCH("TRA* 82",C82)),IF(Q85+R85+S85=0,0,I85*(Q85/(Q85+R85+S85))),I85)</f>
        <v>0</v>
      </c>
      <c r="O85" s="4">
        <f>IF(ISERR(SEARCH("TRA* 82",C82)),IF(Q85+R85+S85=0,0,I85*(R85/(Q85+R85+S85))),0)</f>
        <v>0</v>
      </c>
      <c r="P85" s="4">
        <f>IF(ISERR(SEARCH("TRA* 82",C82)),I85-N85-O85,0)</f>
        <v>0</v>
      </c>
      <c r="Q85" s="4">
        <v>0</v>
      </c>
      <c r="R85" s="4">
        <v>0</v>
      </c>
      <c r="S85" s="4">
        <v>0</v>
      </c>
    </row>
    <row r="86" spans="1:19" x14ac:dyDescent="0.3">
      <c r="A86" s="96" t="s">
        <v>27</v>
      </c>
      <c r="B86" s="97"/>
      <c r="C86" s="97"/>
      <c r="D86" s="97"/>
      <c r="E86" s="97"/>
      <c r="F86" s="97"/>
      <c r="G86" s="97"/>
      <c r="H86" s="36">
        <f>H82+H83+H84+H85</f>
        <v>2.2423703703703706</v>
      </c>
      <c r="I86" s="74">
        <f>I82+I83+I84+I85</f>
        <v>302.72000000000003</v>
      </c>
      <c r="J86">
        <v>5</v>
      </c>
    </row>
    <row r="87" spans="1:19" x14ac:dyDescent="0.3">
      <c r="B87" s="2">
        <v>16</v>
      </c>
      <c r="C87" s="3" t="s">
        <v>623</v>
      </c>
      <c r="D87" s="5" t="s">
        <v>25</v>
      </c>
      <c r="G87" s="30">
        <v>180</v>
      </c>
      <c r="H87" s="38">
        <f>513.18/G87</f>
        <v>2.8509999999999995</v>
      </c>
      <c r="I87" s="29">
        <f>G87*H87</f>
        <v>513.17999999999995</v>
      </c>
      <c r="J87">
        <v>1</v>
      </c>
    </row>
    <row r="88" spans="1:19" x14ac:dyDescent="0.3">
      <c r="D88" s="15" t="str">
        <f>SUBSTITUTE("Sp.mat: 0.00%",".",IF(VALUE("1.2")=1.2,".",","),2)</f>
        <v>Sp.mat: 0.00%</v>
      </c>
      <c r="F88" s="15" t="str">
        <f>SUBSTITUTE("Sp.man: 0.00%",".",IF(VALUE("1.2")=1.2,".",","),2)</f>
        <v>Sp.man: 0.00%</v>
      </c>
      <c r="G88" s="35" t="str">
        <f>SUBSTITUTE("Sp.uti: 0.00%",".",IF(VALUE("1.2")=1.2,".",","),2)</f>
        <v>Sp.uti: 0.00%</v>
      </c>
      <c r="H88" s="38">
        <f>(1+IF(OR(ISERR(FIND(":",F88)),ISERR(FIND("%",F88))),0,MID(F88,FIND(":",F88)+2,FIND("%",F88)-FIND(":",F88)-2)/100))*0</f>
        <v>0</v>
      </c>
      <c r="I88" s="29">
        <f>G87*H88</f>
        <v>0</v>
      </c>
      <c r="J88">
        <v>2</v>
      </c>
    </row>
    <row r="89" spans="1:19" x14ac:dyDescent="0.3">
      <c r="A89" s="88" t="s">
        <v>624</v>
      </c>
      <c r="B89" s="98"/>
      <c r="C89" s="98"/>
      <c r="D89" s="98"/>
      <c r="E89" s="98"/>
      <c r="F89" s="98"/>
      <c r="G89" s="98"/>
      <c r="H89" s="38">
        <f>(1+IF(OR(ISERR(FIND(":",G88)),ISERR(FIND("%",G88))),0,MID(G88,FIND(":",G88)+2,FIND("%",G88)-FIND(":",G88)-2)/100))*0</f>
        <v>0</v>
      </c>
      <c r="I89" s="29">
        <f>G87*H89</f>
        <v>0</v>
      </c>
      <c r="J89">
        <v>3</v>
      </c>
      <c r="K89" s="4">
        <v>0</v>
      </c>
      <c r="L89" s="4">
        <v>0</v>
      </c>
      <c r="M89" s="4">
        <f>I89-K89-L89</f>
        <v>0</v>
      </c>
    </row>
    <row r="90" spans="1:19" x14ac:dyDescent="0.3">
      <c r="A90" s="98"/>
      <c r="B90" s="98"/>
      <c r="C90" s="98"/>
      <c r="D90" s="98"/>
      <c r="E90" s="98"/>
      <c r="F90" s="98"/>
      <c r="G90" s="98"/>
      <c r="H90" s="38">
        <f>0</f>
        <v>0</v>
      </c>
      <c r="I90" s="29">
        <f>G87*H90</f>
        <v>0</v>
      </c>
      <c r="J90">
        <v>4</v>
      </c>
      <c r="N90" s="4">
        <f>IF(ISERR(SEARCH("TRA* 82",C87)),IF(Q90+R90+S90=0,0,I90*(Q90/(Q90+R90+S90))),I90)</f>
        <v>0</v>
      </c>
      <c r="O90" s="4">
        <f>IF(ISERR(SEARCH("TRA* 82",C87)),IF(Q90+R90+S90=0,0,I90*(R90/(Q90+R90+S90))),0)</f>
        <v>0</v>
      </c>
      <c r="P90" s="4">
        <f>IF(ISERR(SEARCH("TRA* 82",C87)),I90-N90-O90,0)</f>
        <v>0</v>
      </c>
      <c r="Q90" s="4">
        <v>0</v>
      </c>
      <c r="R90" s="4">
        <v>0</v>
      </c>
      <c r="S90" s="4">
        <v>0</v>
      </c>
    </row>
    <row r="91" spans="1:19" x14ac:dyDescent="0.3">
      <c r="A91" s="96" t="s">
        <v>27</v>
      </c>
      <c r="B91" s="97"/>
      <c r="C91" s="97"/>
      <c r="D91" s="97"/>
      <c r="E91" s="97"/>
      <c r="F91" s="97"/>
      <c r="G91" s="97"/>
      <c r="H91" s="36">
        <f>H87+H88+H89+H90</f>
        <v>2.8509999999999995</v>
      </c>
      <c r="I91" s="74">
        <f>I87+I88+I89+I90</f>
        <v>513.17999999999995</v>
      </c>
      <c r="J91">
        <v>5</v>
      </c>
    </row>
    <row r="92" spans="1:19" x14ac:dyDescent="0.3">
      <c r="B92" s="2">
        <v>17</v>
      </c>
      <c r="C92" s="3" t="s">
        <v>625</v>
      </c>
      <c r="D92" s="5" t="s">
        <v>25</v>
      </c>
      <c r="G92" s="30">
        <v>130</v>
      </c>
      <c r="H92" s="38">
        <f>412.28/G92</f>
        <v>3.171384615384615</v>
      </c>
      <c r="I92" s="29">
        <f>G92*H92</f>
        <v>412.28</v>
      </c>
      <c r="J92">
        <v>1</v>
      </c>
    </row>
    <row r="93" spans="1:19" x14ac:dyDescent="0.3">
      <c r="D93" s="15" t="str">
        <f>SUBSTITUTE("Sp.mat: 0.00%",".",IF(VALUE("1.2")=1.2,".",","),2)</f>
        <v>Sp.mat: 0.00%</v>
      </c>
      <c r="F93" s="15" t="str">
        <f>SUBSTITUTE("Sp.man: 0.00%",".",IF(VALUE("1.2")=1.2,".",","),2)</f>
        <v>Sp.man: 0.00%</v>
      </c>
      <c r="G93" s="35" t="str">
        <f>SUBSTITUTE("Sp.uti: 0.00%",".",IF(VALUE("1.2")=1.2,".",","),2)</f>
        <v>Sp.uti: 0.00%</v>
      </c>
      <c r="H93" s="38">
        <f>(1+IF(OR(ISERR(FIND(":",F93)),ISERR(FIND("%",F93))),0,MID(F93,FIND(":",F93)+2,FIND("%",F93)-FIND(":",F93)-2)/100))*0</f>
        <v>0</v>
      </c>
      <c r="I93" s="29">
        <f>G92*H93</f>
        <v>0</v>
      </c>
      <c r="J93">
        <v>2</v>
      </c>
    </row>
    <row r="94" spans="1:19" x14ac:dyDescent="0.3">
      <c r="A94" s="88" t="s">
        <v>626</v>
      </c>
      <c r="B94" s="98"/>
      <c r="C94" s="98"/>
      <c r="D94" s="98"/>
      <c r="E94" s="98"/>
      <c r="F94" s="98"/>
      <c r="G94" s="98"/>
      <c r="H94" s="38">
        <f>(1+IF(OR(ISERR(FIND(":",G93)),ISERR(FIND("%",G93))),0,MID(G93,FIND(":",G93)+2,FIND("%",G93)-FIND(":",G93)-2)/100))*0</f>
        <v>0</v>
      </c>
      <c r="I94" s="29">
        <f>G92*H94</f>
        <v>0</v>
      </c>
      <c r="J94">
        <v>3</v>
      </c>
      <c r="K94" s="4">
        <v>0</v>
      </c>
      <c r="L94" s="4">
        <v>0</v>
      </c>
      <c r="M94" s="4">
        <f>I94-K94-L94</f>
        <v>0</v>
      </c>
    </row>
    <row r="95" spans="1:19" x14ac:dyDescent="0.3">
      <c r="A95" s="98"/>
      <c r="B95" s="98"/>
      <c r="C95" s="98"/>
      <c r="D95" s="98"/>
      <c r="E95" s="98"/>
      <c r="F95" s="98"/>
      <c r="G95" s="98"/>
      <c r="H95" s="38">
        <f>0</f>
        <v>0</v>
      </c>
      <c r="I95" s="29">
        <f>G92*H95</f>
        <v>0</v>
      </c>
      <c r="J95">
        <v>4</v>
      </c>
      <c r="N95" s="4">
        <f>IF(ISERR(SEARCH("TRA* 82",C92)),IF(Q95+R95+S95=0,0,I95*(Q95/(Q95+R95+S95))),I95)</f>
        <v>0</v>
      </c>
      <c r="O95" s="4">
        <f>IF(ISERR(SEARCH("TRA* 82",C92)),IF(Q95+R95+S95=0,0,I95*(R95/(Q95+R95+S95))),0)</f>
        <v>0</v>
      </c>
      <c r="P95" s="4">
        <f>IF(ISERR(SEARCH("TRA* 82",C92)),I95-N95-O95,0)</f>
        <v>0</v>
      </c>
      <c r="Q95" s="4">
        <v>0</v>
      </c>
      <c r="R95" s="4">
        <v>0</v>
      </c>
      <c r="S95" s="4">
        <v>0</v>
      </c>
    </row>
    <row r="96" spans="1:19" x14ac:dyDescent="0.3">
      <c r="A96" s="96" t="s">
        <v>27</v>
      </c>
      <c r="B96" s="97"/>
      <c r="C96" s="97"/>
      <c r="D96" s="97"/>
      <c r="E96" s="97"/>
      <c r="F96" s="97"/>
      <c r="G96" s="97"/>
      <c r="H96" s="36">
        <f>H92+H93+H94+H95</f>
        <v>3.171384615384615</v>
      </c>
      <c r="I96" s="74">
        <f>I92+I93+I94+I95</f>
        <v>412.28</v>
      </c>
      <c r="J96">
        <v>5</v>
      </c>
    </row>
    <row r="97" spans="1:19" x14ac:dyDescent="0.3">
      <c r="B97" s="2">
        <v>18</v>
      </c>
      <c r="C97" s="3" t="s">
        <v>660</v>
      </c>
      <c r="D97" s="5" t="s">
        <v>25</v>
      </c>
      <c r="G97" s="30">
        <v>170</v>
      </c>
      <c r="H97" s="38">
        <f>582.7/G97</f>
        <v>3.4276470588235295</v>
      </c>
      <c r="I97" s="29">
        <f>G97*H97</f>
        <v>582.70000000000005</v>
      </c>
      <c r="J97">
        <v>1</v>
      </c>
    </row>
    <row r="98" spans="1:19" x14ac:dyDescent="0.3">
      <c r="D98" s="15" t="str">
        <f>SUBSTITUTE("Sp.mat: 0.00%",".",IF(VALUE("1.2")=1.2,".",","),2)</f>
        <v>Sp.mat: 0.00%</v>
      </c>
      <c r="F98" s="15" t="str">
        <f>SUBSTITUTE("Sp.man: 0.00%",".",IF(VALUE("1.2")=1.2,".",","),2)</f>
        <v>Sp.man: 0.00%</v>
      </c>
      <c r="G98" s="35" t="str">
        <f>SUBSTITUTE("Sp.uti: 0.00%",".",IF(VALUE("1.2")=1.2,".",","),2)</f>
        <v>Sp.uti: 0.00%</v>
      </c>
      <c r="H98" s="38">
        <f>(1+IF(OR(ISERR(FIND(":",F98)),ISERR(FIND("%",F98))),0,MID(F98,FIND(":",F98)+2,FIND("%",F98)-FIND(":",F98)-2)/100))*0</f>
        <v>0</v>
      </c>
      <c r="I98" s="29">
        <f>G97*H98</f>
        <v>0</v>
      </c>
      <c r="J98">
        <v>2</v>
      </c>
    </row>
    <row r="99" spans="1:19" x14ac:dyDescent="0.3">
      <c r="A99" s="88" t="s">
        <v>661</v>
      </c>
      <c r="B99" s="98"/>
      <c r="C99" s="98"/>
      <c r="D99" s="98"/>
      <c r="E99" s="98"/>
      <c r="F99" s="98"/>
      <c r="G99" s="98"/>
      <c r="H99" s="38">
        <f>(1+IF(OR(ISERR(FIND(":",G98)),ISERR(FIND("%",G98))),0,MID(G98,FIND(":",G98)+2,FIND("%",G98)-FIND(":",G98)-2)/100))*0</f>
        <v>0</v>
      </c>
      <c r="I99" s="29">
        <f>G97*H99</f>
        <v>0</v>
      </c>
      <c r="J99">
        <v>3</v>
      </c>
      <c r="K99" s="4">
        <v>0</v>
      </c>
      <c r="L99" s="4">
        <v>0</v>
      </c>
      <c r="M99" s="4">
        <f>I99-K99-L99</f>
        <v>0</v>
      </c>
    </row>
    <row r="100" spans="1:19" x14ac:dyDescent="0.3">
      <c r="A100" s="98"/>
      <c r="B100" s="98"/>
      <c r="C100" s="98"/>
      <c r="D100" s="98"/>
      <c r="E100" s="98"/>
      <c r="F100" s="98"/>
      <c r="G100" s="98"/>
      <c r="H100" s="38">
        <f>0</f>
        <v>0</v>
      </c>
      <c r="I100" s="29">
        <f>G97*H100</f>
        <v>0</v>
      </c>
      <c r="J100">
        <v>4</v>
      </c>
      <c r="N100" s="4">
        <f>IF(ISERR(SEARCH("TRA* 82",C97)),IF(Q100+R100+S100=0,0,I100*(Q100/(Q100+R100+S100))),I100)</f>
        <v>0</v>
      </c>
      <c r="O100" s="4">
        <f>IF(ISERR(SEARCH("TRA* 82",C97)),IF(Q100+R100+S100=0,0,I100*(R100/(Q100+R100+S100))),0)</f>
        <v>0</v>
      </c>
      <c r="P100" s="4">
        <f>IF(ISERR(SEARCH("TRA* 82",C97)),I100-N100-O100,0)</f>
        <v>0</v>
      </c>
      <c r="Q100" s="4">
        <v>0</v>
      </c>
      <c r="R100" s="4">
        <v>0</v>
      </c>
      <c r="S100" s="4">
        <v>0</v>
      </c>
    </row>
    <row r="101" spans="1:19" x14ac:dyDescent="0.3">
      <c r="A101" s="96" t="s">
        <v>27</v>
      </c>
      <c r="B101" s="97"/>
      <c r="C101" s="97"/>
      <c r="D101" s="97"/>
      <c r="E101" s="97"/>
      <c r="F101" s="97"/>
      <c r="G101" s="97"/>
      <c r="H101" s="36">
        <f>H97+H98+H99+H100</f>
        <v>3.4276470588235295</v>
      </c>
      <c r="I101" s="74">
        <f>I97+I98+I99+I100</f>
        <v>582.70000000000005</v>
      </c>
      <c r="J101">
        <v>5</v>
      </c>
    </row>
    <row r="102" spans="1:19" x14ac:dyDescent="0.3">
      <c r="B102" s="2">
        <v>19</v>
      </c>
      <c r="C102" s="3" t="s">
        <v>662</v>
      </c>
      <c r="D102" s="5" t="s">
        <v>25</v>
      </c>
      <c r="G102" s="30">
        <v>95</v>
      </c>
      <c r="H102" s="38">
        <f>365.19/G102</f>
        <v>3.8441052631578949</v>
      </c>
      <c r="I102" s="29">
        <f>G102*H102</f>
        <v>365.19</v>
      </c>
      <c r="J102">
        <v>1</v>
      </c>
    </row>
    <row r="103" spans="1:19" x14ac:dyDescent="0.3">
      <c r="D103" s="15" t="str">
        <f>SUBSTITUTE("Sp.mat: 0.00%",".",IF(VALUE("1.2")=1.2,".",","),2)</f>
        <v>Sp.mat: 0.00%</v>
      </c>
      <c r="F103" s="15" t="str">
        <f>SUBSTITUTE("Sp.man: 0.00%",".",IF(VALUE("1.2")=1.2,".",","),2)</f>
        <v>Sp.man: 0.00%</v>
      </c>
      <c r="G103" s="35" t="str">
        <f>SUBSTITUTE("Sp.uti: 0.00%",".",IF(VALUE("1.2")=1.2,".",","),2)</f>
        <v>Sp.uti: 0.00%</v>
      </c>
      <c r="H103" s="38">
        <f>(1+IF(OR(ISERR(FIND(":",F103)),ISERR(FIND("%",F103))),0,MID(F103,FIND(":",F103)+2,FIND("%",F103)-FIND(":",F103)-2)/100))*0</f>
        <v>0</v>
      </c>
      <c r="I103" s="29">
        <f>G102*H103</f>
        <v>0</v>
      </c>
      <c r="J103">
        <v>2</v>
      </c>
    </row>
    <row r="104" spans="1:19" x14ac:dyDescent="0.3">
      <c r="A104" s="88" t="s">
        <v>663</v>
      </c>
      <c r="B104" s="98"/>
      <c r="C104" s="98"/>
      <c r="D104" s="98"/>
      <c r="E104" s="98"/>
      <c r="F104" s="98"/>
      <c r="G104" s="98"/>
      <c r="H104" s="38">
        <f>(1+IF(OR(ISERR(FIND(":",G103)),ISERR(FIND("%",G103))),0,MID(G103,FIND(":",G103)+2,FIND("%",G103)-FIND(":",G103)-2)/100))*0</f>
        <v>0</v>
      </c>
      <c r="I104" s="29">
        <f>G102*H104</f>
        <v>0</v>
      </c>
      <c r="J104">
        <v>3</v>
      </c>
      <c r="K104" s="4">
        <v>0</v>
      </c>
      <c r="L104" s="4">
        <v>0</v>
      </c>
      <c r="M104" s="4">
        <f>I104-K104-L104</f>
        <v>0</v>
      </c>
    </row>
    <row r="105" spans="1:19" x14ac:dyDescent="0.3">
      <c r="A105" s="98"/>
      <c r="B105" s="98"/>
      <c r="C105" s="98"/>
      <c r="D105" s="98"/>
      <c r="E105" s="98"/>
      <c r="F105" s="98"/>
      <c r="G105" s="98"/>
      <c r="H105" s="38">
        <f>0</f>
        <v>0</v>
      </c>
      <c r="I105" s="29">
        <f>G102*H105</f>
        <v>0</v>
      </c>
      <c r="J105">
        <v>4</v>
      </c>
      <c r="N105" s="4">
        <f>IF(ISERR(SEARCH("TRA* 82",C102)),IF(Q105+R105+S105=0,0,I105*(Q105/(Q105+R105+S105))),I105)</f>
        <v>0</v>
      </c>
      <c r="O105" s="4">
        <f>IF(ISERR(SEARCH("TRA* 82",C102)),IF(Q105+R105+S105=0,0,I105*(R105/(Q105+R105+S105))),0)</f>
        <v>0</v>
      </c>
      <c r="P105" s="4">
        <f>IF(ISERR(SEARCH("TRA* 82",C102)),I105-N105-O105,0)</f>
        <v>0</v>
      </c>
      <c r="Q105" s="4">
        <v>0</v>
      </c>
      <c r="R105" s="4">
        <v>0</v>
      </c>
      <c r="S105" s="4">
        <v>0</v>
      </c>
    </row>
    <row r="106" spans="1:19" x14ac:dyDescent="0.3">
      <c r="A106" s="96" t="s">
        <v>27</v>
      </c>
      <c r="B106" s="97"/>
      <c r="C106" s="97"/>
      <c r="D106" s="97"/>
      <c r="E106" s="97"/>
      <c r="F106" s="97"/>
      <c r="G106" s="97"/>
      <c r="H106" s="36">
        <f>H102+H103+H104+H105</f>
        <v>3.8441052631578949</v>
      </c>
      <c r="I106" s="74">
        <f>I102+I103+I104+I105</f>
        <v>365.19</v>
      </c>
      <c r="J106">
        <v>5</v>
      </c>
    </row>
    <row r="107" spans="1:19" x14ac:dyDescent="0.3">
      <c r="B107" s="2">
        <v>20</v>
      </c>
      <c r="C107" s="3" t="s">
        <v>696</v>
      </c>
      <c r="D107" s="5" t="s">
        <v>25</v>
      </c>
      <c r="G107" s="30">
        <v>45</v>
      </c>
      <c r="H107" s="38">
        <f>204.46/G107</f>
        <v>4.5435555555555558</v>
      </c>
      <c r="I107" s="29">
        <f>G107*H107</f>
        <v>204.46</v>
      </c>
      <c r="J107">
        <v>1</v>
      </c>
    </row>
    <row r="108" spans="1:19" x14ac:dyDescent="0.3">
      <c r="D108" s="15" t="str">
        <f>SUBSTITUTE("Sp.mat: 0.00%",".",IF(VALUE("1.2")=1.2,".",","),2)</f>
        <v>Sp.mat: 0.00%</v>
      </c>
      <c r="F108" s="15" t="str">
        <f>SUBSTITUTE("Sp.man: 0.00%",".",IF(VALUE("1.2")=1.2,".",","),2)</f>
        <v>Sp.man: 0.00%</v>
      </c>
      <c r="G108" s="35" t="str">
        <f>SUBSTITUTE("Sp.uti: 0.00%",".",IF(VALUE("1.2")=1.2,".",","),2)</f>
        <v>Sp.uti: 0.00%</v>
      </c>
      <c r="H108" s="38">
        <f>(1+IF(OR(ISERR(FIND(":",F108)),ISERR(FIND("%",F108))),0,MID(F108,FIND(":",F108)+2,FIND("%",F108)-FIND(":",F108)-2)/100))*0</f>
        <v>0</v>
      </c>
      <c r="I108" s="29">
        <f>G107*H108</f>
        <v>0</v>
      </c>
      <c r="J108">
        <v>2</v>
      </c>
    </row>
    <row r="109" spans="1:19" x14ac:dyDescent="0.3">
      <c r="A109" s="88" t="s">
        <v>1006</v>
      </c>
      <c r="B109" s="98"/>
      <c r="C109" s="98"/>
      <c r="D109" s="98"/>
      <c r="E109" s="98"/>
      <c r="F109" s="98"/>
      <c r="G109" s="98"/>
      <c r="H109" s="38">
        <f>(1+IF(OR(ISERR(FIND(":",G108)),ISERR(FIND("%",G108))),0,MID(G108,FIND(":",G108)+2,FIND("%",G108)-FIND(":",G108)-2)/100))*0</f>
        <v>0</v>
      </c>
      <c r="I109" s="29">
        <f>G107*H109</f>
        <v>0</v>
      </c>
      <c r="J109">
        <v>3</v>
      </c>
      <c r="K109" s="4">
        <v>0</v>
      </c>
      <c r="L109" s="4">
        <v>0</v>
      </c>
      <c r="M109" s="4">
        <f>I109-K109-L109</f>
        <v>0</v>
      </c>
    </row>
    <row r="110" spans="1:19" x14ac:dyDescent="0.3">
      <c r="A110" s="98"/>
      <c r="B110" s="98"/>
      <c r="C110" s="98"/>
      <c r="D110" s="98"/>
      <c r="E110" s="98"/>
      <c r="F110" s="98"/>
      <c r="G110" s="98"/>
      <c r="H110" s="38">
        <f>0</f>
        <v>0</v>
      </c>
      <c r="I110" s="29">
        <f>G107*H110</f>
        <v>0</v>
      </c>
      <c r="J110">
        <v>4</v>
      </c>
      <c r="N110" s="4">
        <f>IF(ISERR(SEARCH("TRA* 82",C107)),IF(Q110+R110+S110=0,0,I110*(Q110/(Q110+R110+S110))),I110)</f>
        <v>0</v>
      </c>
      <c r="O110" s="4">
        <f>IF(ISERR(SEARCH("TRA* 82",C107)),IF(Q110+R110+S110=0,0,I110*(R110/(Q110+R110+S110))),0)</f>
        <v>0</v>
      </c>
      <c r="P110" s="4">
        <f>IF(ISERR(SEARCH("TRA* 82",C107)),I110-N110-O110,0)</f>
        <v>0</v>
      </c>
      <c r="Q110" s="4">
        <v>0</v>
      </c>
      <c r="R110" s="4">
        <v>0</v>
      </c>
      <c r="S110" s="4">
        <v>0</v>
      </c>
    </row>
    <row r="111" spans="1:19" x14ac:dyDescent="0.3">
      <c r="A111" s="96" t="s">
        <v>27</v>
      </c>
      <c r="B111" s="97"/>
      <c r="C111" s="97"/>
      <c r="D111" s="97"/>
      <c r="E111" s="97"/>
      <c r="F111" s="97"/>
      <c r="G111" s="97"/>
      <c r="H111" s="36">
        <f>H107+H108+H109+H110</f>
        <v>4.5435555555555558</v>
      </c>
      <c r="I111" s="74">
        <f>I107+I108+I109+I110</f>
        <v>204.46</v>
      </c>
      <c r="J111">
        <v>5</v>
      </c>
    </row>
    <row r="112" spans="1:19" x14ac:dyDescent="0.3">
      <c r="B112" s="2">
        <v>21</v>
      </c>
      <c r="C112" s="3" t="s">
        <v>664</v>
      </c>
      <c r="D112" s="5" t="s">
        <v>40</v>
      </c>
      <c r="G112" s="30">
        <v>7.15</v>
      </c>
      <c r="H112" s="38">
        <f>239.51/G112</f>
        <v>33.497902097902092</v>
      </c>
      <c r="I112" s="29">
        <f>G112*H112</f>
        <v>239.50999999999996</v>
      </c>
      <c r="J112">
        <v>1</v>
      </c>
    </row>
    <row r="113" spans="1:19" x14ac:dyDescent="0.3">
      <c r="D113" s="15" t="str">
        <f>SUBSTITUTE("Sp.mat: 0.00%",".",IF(VALUE("1.2")=1.2,".",","),2)</f>
        <v>Sp.mat: 0.00%</v>
      </c>
      <c r="F113" s="15" t="str">
        <f>SUBSTITUTE("Sp.man: 0.00%",".",IF(VALUE("1.2")=1.2,".",","),2)</f>
        <v>Sp.man: 0.00%</v>
      </c>
      <c r="G113" s="35" t="str">
        <f>SUBSTITUTE("Sp.uti: 0.00%",".",IF(VALUE("1.2")=1.2,".",","),2)</f>
        <v>Sp.uti: 0.00%</v>
      </c>
      <c r="H113" s="38">
        <f>99.64/G112</f>
        <v>13.935664335664335</v>
      </c>
      <c r="I113" s="29">
        <f>G112*H113</f>
        <v>99.64</v>
      </c>
      <c r="J113">
        <v>2</v>
      </c>
    </row>
    <row r="114" spans="1:19" x14ac:dyDescent="0.3">
      <c r="A114" s="88" t="s">
        <v>665</v>
      </c>
      <c r="B114" s="98"/>
      <c r="C114" s="98"/>
      <c r="D114" s="98"/>
      <c r="E114" s="98"/>
      <c r="F114" s="98"/>
      <c r="G114" s="98"/>
      <c r="H114" s="38">
        <f>(1+IF(OR(ISERR(FIND(":",G113)),ISERR(FIND("%",G113))),0,MID(G113,FIND(":",G113)+2,FIND("%",G113)-FIND(":",G113)-2)/100))*0</f>
        <v>0</v>
      </c>
      <c r="I114" s="29">
        <f>G112*H114</f>
        <v>0</v>
      </c>
      <c r="J114">
        <v>3</v>
      </c>
      <c r="K114" s="4">
        <v>0</v>
      </c>
      <c r="L114" s="4">
        <v>0</v>
      </c>
      <c r="M114" s="4">
        <f>I114-K114-L114</f>
        <v>0</v>
      </c>
    </row>
    <row r="115" spans="1:19" x14ac:dyDescent="0.3">
      <c r="A115" s="98"/>
      <c r="B115" s="98"/>
      <c r="C115" s="98"/>
      <c r="D115" s="98"/>
      <c r="E115" s="98"/>
      <c r="F115" s="98"/>
      <c r="G115" s="98"/>
      <c r="H115" s="38">
        <f>0</f>
        <v>0</v>
      </c>
      <c r="I115" s="29">
        <f>G112*H115</f>
        <v>0</v>
      </c>
      <c r="J115">
        <v>4</v>
      </c>
      <c r="N115" s="4">
        <f>IF(ISERR(SEARCH("TRA* 82",C112)),IF(Q115+R115+S115=0,0,I115*(Q115/(Q115+R115+S115))),I115)</f>
        <v>0</v>
      </c>
      <c r="O115" s="4">
        <f>IF(ISERR(SEARCH("TRA* 82",C112)),IF(Q115+R115+S115=0,0,I115*(R115/(Q115+R115+S115))),0)</f>
        <v>0</v>
      </c>
      <c r="P115" s="4">
        <f>IF(ISERR(SEARCH("TRA* 82",C112)),I115-N115-O115,0)</f>
        <v>0</v>
      </c>
      <c r="Q115" s="4">
        <v>0</v>
      </c>
      <c r="R115" s="4">
        <v>0</v>
      </c>
      <c r="S115" s="4">
        <v>0</v>
      </c>
    </row>
    <row r="116" spans="1:19" x14ac:dyDescent="0.3">
      <c r="A116" s="100" t="s">
        <v>87</v>
      </c>
      <c r="B116" s="101"/>
      <c r="C116" s="101"/>
      <c r="D116" s="101"/>
      <c r="E116" s="101"/>
      <c r="F116" s="101"/>
      <c r="G116" s="101"/>
      <c r="H116" s="33">
        <f>H112+H113+H114+H115</f>
        <v>47.433566433566426</v>
      </c>
      <c r="I116" s="37">
        <f>I112+I113+I114+I115</f>
        <v>339.15</v>
      </c>
      <c r="J116">
        <v>5</v>
      </c>
    </row>
    <row r="117" spans="1:19" x14ac:dyDescent="0.3">
      <c r="A117" s="99" t="s">
        <v>1007</v>
      </c>
      <c r="B117" s="99"/>
      <c r="C117" s="99"/>
      <c r="D117" s="99"/>
      <c r="E117" s="99"/>
      <c r="F117" s="99"/>
      <c r="G117" s="99"/>
      <c r="H117" s="99"/>
      <c r="I117" s="99"/>
    </row>
    <row r="118" spans="1:19" x14ac:dyDescent="0.3">
      <c r="B118" s="2">
        <v>22</v>
      </c>
      <c r="C118" s="3" t="s">
        <v>910</v>
      </c>
      <c r="D118" s="5" t="s">
        <v>29</v>
      </c>
      <c r="G118" s="30">
        <v>6</v>
      </c>
      <c r="H118" s="38">
        <f>1150.95/G118</f>
        <v>191.82500000000002</v>
      </c>
      <c r="I118" s="29">
        <f>G118*H118</f>
        <v>1150.95</v>
      </c>
      <c r="J118">
        <v>1</v>
      </c>
    </row>
    <row r="119" spans="1:19" x14ac:dyDescent="0.3">
      <c r="D119" s="15" t="str">
        <f>SUBSTITUTE("Sp.mat: 0.00%",".",IF(VALUE("1.2")=1.2,".",","),2)</f>
        <v>Sp.mat: 0.00%</v>
      </c>
      <c r="F119" s="15" t="str">
        <f>SUBSTITUTE("Sp.man: 0.00%",".",IF(VALUE("1.2")=1.2,".",","),2)</f>
        <v>Sp.man: 0.00%</v>
      </c>
      <c r="G119" s="35" t="str">
        <f>SUBSTITUTE("Sp.uti: 0.00%",".",IF(VALUE("1.2")=1.2,".",","),2)</f>
        <v>Sp.uti: 0.00%</v>
      </c>
      <c r="H119" s="38">
        <f>105.71/G118</f>
        <v>17.618333333333332</v>
      </c>
      <c r="I119" s="29">
        <f>G118*H119</f>
        <v>105.71</v>
      </c>
      <c r="J119">
        <v>2</v>
      </c>
    </row>
    <row r="120" spans="1:19" x14ac:dyDescent="0.3">
      <c r="A120" s="88" t="s">
        <v>911</v>
      </c>
      <c r="B120" s="98"/>
      <c r="C120" s="98"/>
      <c r="D120" s="98"/>
      <c r="E120" s="98"/>
      <c r="F120" s="98"/>
      <c r="G120" s="98"/>
      <c r="H120" s="38">
        <f>(1+IF(OR(ISERR(FIND(":",G119)),ISERR(FIND("%",G119))),0,MID(G119,FIND(":",G119)+2,FIND("%",G119)-FIND(":",G119)-2)/100))*0</f>
        <v>0</v>
      </c>
      <c r="I120" s="29">
        <f>G118*H120</f>
        <v>0</v>
      </c>
      <c r="J120">
        <v>3</v>
      </c>
      <c r="K120" s="4">
        <v>0</v>
      </c>
      <c r="L120" s="4">
        <v>0</v>
      </c>
      <c r="M120" s="4">
        <f>I120-K120-L120</f>
        <v>0</v>
      </c>
    </row>
    <row r="121" spans="1:19" x14ac:dyDescent="0.3">
      <c r="A121" s="98"/>
      <c r="B121" s="98"/>
      <c r="C121" s="98"/>
      <c r="D121" s="98"/>
      <c r="E121" s="98"/>
      <c r="F121" s="98"/>
      <c r="G121" s="98"/>
      <c r="H121" s="38">
        <f>0</f>
        <v>0</v>
      </c>
      <c r="I121" s="29">
        <f>G118*H121</f>
        <v>0</v>
      </c>
      <c r="J121">
        <v>4</v>
      </c>
      <c r="N121" s="4">
        <f>IF(ISERR(SEARCH("TRA* 82",C118)),IF(Q121+R121+S121=0,0,I121*(Q121/(Q121+R121+S121))),I121)</f>
        <v>0</v>
      </c>
      <c r="O121" s="4">
        <f>IF(ISERR(SEARCH("TRA* 82",C118)),IF(Q121+R121+S121=0,0,I121*(R121/(Q121+R121+S121))),0)</f>
        <v>0</v>
      </c>
      <c r="P121" s="4">
        <f>IF(ISERR(SEARCH("TRA* 82",C118)),I121-N121-O121,0)</f>
        <v>0</v>
      </c>
      <c r="Q121" s="4">
        <v>0</v>
      </c>
      <c r="R121" s="4">
        <v>0</v>
      </c>
      <c r="S121" s="4">
        <v>0</v>
      </c>
    </row>
    <row r="122" spans="1:19" x14ac:dyDescent="0.3">
      <c r="A122" s="96" t="s">
        <v>27</v>
      </c>
      <c r="B122" s="97"/>
      <c r="C122" s="97"/>
      <c r="D122" s="97"/>
      <c r="E122" s="97"/>
      <c r="F122" s="97"/>
      <c r="G122" s="97"/>
      <c r="H122" s="36">
        <f>H118+H119+H120+H121</f>
        <v>209.44333333333336</v>
      </c>
      <c r="I122" s="74">
        <f>I118+I119+I120+I121</f>
        <v>1256.6600000000001</v>
      </c>
      <c r="J122">
        <v>5</v>
      </c>
    </row>
    <row r="123" spans="1:19" x14ac:dyDescent="0.3">
      <c r="B123" s="2">
        <v>23</v>
      </c>
      <c r="C123" s="3" t="s">
        <v>1008</v>
      </c>
      <c r="D123" s="5" t="s">
        <v>29</v>
      </c>
      <c r="G123" s="30">
        <v>2</v>
      </c>
      <c r="H123" s="38">
        <f>912.09/G123</f>
        <v>456.04500000000002</v>
      </c>
      <c r="I123" s="29">
        <f>G123*H123</f>
        <v>912.09</v>
      </c>
      <c r="J123">
        <v>1</v>
      </c>
    </row>
    <row r="124" spans="1:19" x14ac:dyDescent="0.3">
      <c r="D124" s="15" t="str">
        <f>SUBSTITUTE("Sp.mat: 0.00%",".",IF(VALUE("1.2")=1.2,".",","),2)</f>
        <v>Sp.mat: 0.00%</v>
      </c>
      <c r="F124" s="15" t="str">
        <f>SUBSTITUTE("Sp.man: 0.00%",".",IF(VALUE("1.2")=1.2,".",","),2)</f>
        <v>Sp.man: 0.00%</v>
      </c>
      <c r="G124" s="35" t="str">
        <f>SUBSTITUTE("Sp.uti: 0.00%",".",IF(VALUE("1.2")=1.2,".",","),2)</f>
        <v>Sp.uti: 0.00%</v>
      </c>
      <c r="H124" s="38">
        <f>23.06/G123</f>
        <v>11.53</v>
      </c>
      <c r="I124" s="29">
        <f>G123*H124</f>
        <v>23.06</v>
      </c>
      <c r="J124">
        <v>2</v>
      </c>
    </row>
    <row r="125" spans="1:19" x14ac:dyDescent="0.3">
      <c r="A125" s="88" t="s">
        <v>1009</v>
      </c>
      <c r="B125" s="98"/>
      <c r="C125" s="98"/>
      <c r="D125" s="98"/>
      <c r="E125" s="98"/>
      <c r="F125" s="98"/>
      <c r="G125" s="98"/>
      <c r="H125" s="38">
        <f>(1+IF(OR(ISERR(FIND(":",G124)),ISERR(FIND("%",G124))),0,MID(G124,FIND(":",G124)+2,FIND("%",G124)-FIND(":",G124)-2)/100))*0</f>
        <v>0</v>
      </c>
      <c r="I125" s="29">
        <f>G123*H125</f>
        <v>0</v>
      </c>
      <c r="J125">
        <v>3</v>
      </c>
      <c r="K125" s="4">
        <v>0</v>
      </c>
      <c r="L125" s="4">
        <v>0</v>
      </c>
      <c r="M125" s="4">
        <f>I125-K125-L125</f>
        <v>0</v>
      </c>
    </row>
    <row r="126" spans="1:19" x14ac:dyDescent="0.3">
      <c r="A126" s="98"/>
      <c r="B126" s="98"/>
      <c r="C126" s="98"/>
      <c r="D126" s="98"/>
      <c r="E126" s="98"/>
      <c r="F126" s="98"/>
      <c r="G126" s="98"/>
      <c r="H126" s="38">
        <f>0</f>
        <v>0</v>
      </c>
      <c r="I126" s="29">
        <f>G123*H126</f>
        <v>0</v>
      </c>
      <c r="J126">
        <v>4</v>
      </c>
      <c r="N126" s="4">
        <f>IF(ISERR(SEARCH("TRA* 82",C123)),IF(Q126+R126+S126=0,0,I126*(Q126/(Q126+R126+S126))),I126)</f>
        <v>0</v>
      </c>
      <c r="O126" s="4">
        <f>IF(ISERR(SEARCH("TRA* 82",C123)),IF(Q126+R126+S126=0,0,I126*(R126/(Q126+R126+S126))),0)</f>
        <v>0</v>
      </c>
      <c r="P126" s="4">
        <f>IF(ISERR(SEARCH("TRA* 82",C123)),I126-N126-O126,0)</f>
        <v>0</v>
      </c>
      <c r="Q126" s="4">
        <v>0</v>
      </c>
      <c r="R126" s="4">
        <v>0</v>
      </c>
      <c r="S126" s="4">
        <v>0</v>
      </c>
    </row>
    <row r="127" spans="1:19" x14ac:dyDescent="0.3">
      <c r="A127" s="96" t="s">
        <v>27</v>
      </c>
      <c r="B127" s="97"/>
      <c r="C127" s="97"/>
      <c r="D127" s="97"/>
      <c r="E127" s="97"/>
      <c r="F127" s="97"/>
      <c r="G127" s="97"/>
      <c r="H127" s="36">
        <f>H123+H124+H125+H126</f>
        <v>467.57499999999999</v>
      </c>
      <c r="I127" s="74">
        <f>I123+I124+I125+I126</f>
        <v>935.15</v>
      </c>
      <c r="J127">
        <v>5</v>
      </c>
    </row>
    <row r="128" spans="1:19" x14ac:dyDescent="0.3">
      <c r="B128" s="2">
        <v>24</v>
      </c>
      <c r="C128" s="3" t="s">
        <v>445</v>
      </c>
      <c r="D128" s="5" t="s">
        <v>133</v>
      </c>
      <c r="G128" s="30">
        <v>79.5</v>
      </c>
      <c r="H128" s="38">
        <f>(1+IF(OR(ISERR(FIND(":",D129)),ISERR(FIND("%",D129))),0,MID(D129,FIND(":",D129)+2,FIND("%",D129)-FIND(":",D129)-2)/100))*0</f>
        <v>0</v>
      </c>
      <c r="I128" s="29">
        <f>G128*H128</f>
        <v>0</v>
      </c>
      <c r="J128">
        <v>1</v>
      </c>
    </row>
    <row r="129" spans="1:19" x14ac:dyDescent="0.3">
      <c r="D129" s="15" t="str">
        <f>SUBSTITUTE("Sp.mat: 0.00%",".",IF(VALUE("1.2")=1.2,".",","),2)</f>
        <v>Sp.mat: 0.00%</v>
      </c>
      <c r="F129" s="15" t="str">
        <f>SUBSTITUTE("Sp.man: 0.00%",".",IF(VALUE("1.2")=1.2,".",","),2)</f>
        <v>Sp.man: 0.00%</v>
      </c>
      <c r="G129" s="35" t="str">
        <f>SUBSTITUTE("Sp.uti: 0.00%",".",IF(VALUE("1.2")=1.2,".",","),2)</f>
        <v>Sp.uti: 0.00%</v>
      </c>
      <c r="H129" s="38">
        <f>127.34/G128</f>
        <v>1.6017610062893082</v>
      </c>
      <c r="I129" s="29">
        <f>G128*H129</f>
        <v>127.34</v>
      </c>
      <c r="J129">
        <v>2</v>
      </c>
    </row>
    <row r="130" spans="1:19" x14ac:dyDescent="0.3">
      <c r="A130" s="88" t="s">
        <v>446</v>
      </c>
      <c r="B130" s="98"/>
      <c r="C130" s="98"/>
      <c r="D130" s="98"/>
      <c r="E130" s="98"/>
      <c r="F130" s="98"/>
      <c r="G130" s="98"/>
      <c r="H130" s="38">
        <f>(1+IF(OR(ISERR(FIND(":",G129)),ISERR(FIND("%",G129))),0,MID(G129,FIND(":",G129)+2,FIND("%",G129)-FIND(":",G129)-2)/100))*0</f>
        <v>0</v>
      </c>
      <c r="I130" s="29">
        <f>G128*H130</f>
        <v>0</v>
      </c>
      <c r="J130">
        <v>3</v>
      </c>
      <c r="K130" s="4">
        <v>0</v>
      </c>
      <c r="L130" s="4">
        <v>0</v>
      </c>
      <c r="M130" s="4">
        <f>I130-K130-L130</f>
        <v>0</v>
      </c>
    </row>
    <row r="131" spans="1:19" x14ac:dyDescent="0.3">
      <c r="A131" s="98"/>
      <c r="B131" s="98"/>
      <c r="C131" s="98"/>
      <c r="D131" s="98"/>
      <c r="E131" s="98"/>
      <c r="F131" s="98"/>
      <c r="G131" s="98"/>
      <c r="H131" s="38">
        <f>0</f>
        <v>0</v>
      </c>
      <c r="I131" s="29">
        <f>G128*H131</f>
        <v>0</v>
      </c>
      <c r="J131">
        <v>4</v>
      </c>
      <c r="N131" s="4">
        <f>IF(ISERR(SEARCH("TRA* 82",C128)),IF(Q131+R131+S131=0,0,I131*(Q131/(Q131+R131+S131))),I131)</f>
        <v>0</v>
      </c>
      <c r="O131" s="4">
        <f>IF(ISERR(SEARCH("TRA* 82",C128)),IF(Q131+R131+S131=0,0,I131*(R131/(Q131+R131+S131))),0)</f>
        <v>0</v>
      </c>
      <c r="P131" s="4">
        <f>IF(ISERR(SEARCH("TRA* 82",C128)),I131-N131-O131,0)</f>
        <v>0</v>
      </c>
      <c r="Q131" s="4">
        <v>0</v>
      </c>
      <c r="R131" s="4">
        <v>0</v>
      </c>
      <c r="S131" s="4">
        <v>0</v>
      </c>
    </row>
    <row r="132" spans="1:19" x14ac:dyDescent="0.3">
      <c r="A132" s="100" t="s">
        <v>87</v>
      </c>
      <c r="B132" s="101"/>
      <c r="C132" s="101"/>
      <c r="D132" s="101"/>
      <c r="E132" s="101"/>
      <c r="F132" s="101"/>
      <c r="G132" s="101"/>
      <c r="H132" s="33">
        <f>H128+H129+H130+H131</f>
        <v>1.6017610062893082</v>
      </c>
      <c r="I132" s="37">
        <f>I128+I129+I130+I131</f>
        <v>127.34</v>
      </c>
      <c r="J132">
        <v>5</v>
      </c>
    </row>
    <row r="133" spans="1:19" x14ac:dyDescent="0.3">
      <c r="A133" s="99" t="s">
        <v>447</v>
      </c>
      <c r="B133" s="99"/>
      <c r="C133" s="99"/>
      <c r="D133" s="99"/>
      <c r="E133" s="99"/>
      <c r="F133" s="99"/>
      <c r="G133" s="99"/>
      <c r="H133" s="99"/>
      <c r="I133" s="99"/>
    </row>
    <row r="134" spans="1:19" x14ac:dyDescent="0.3">
      <c r="B134" s="2">
        <v>25</v>
      </c>
      <c r="C134" s="3" t="s">
        <v>448</v>
      </c>
      <c r="D134" s="5" t="s">
        <v>133</v>
      </c>
      <c r="G134" s="30">
        <v>14</v>
      </c>
      <c r="H134" s="38">
        <f>(1+IF(OR(ISERR(FIND(":",D135)),ISERR(FIND("%",D135))),0,MID(D135,FIND(":",D135)+2,FIND("%",D135)-FIND(":",D135)-2)/100))*0</f>
        <v>0</v>
      </c>
      <c r="I134" s="29">
        <f>G134*H134</f>
        <v>0</v>
      </c>
      <c r="J134">
        <v>1</v>
      </c>
    </row>
    <row r="135" spans="1:19" x14ac:dyDescent="0.3">
      <c r="D135" s="15" t="str">
        <f>SUBSTITUTE("Sp.mat: 0.00%",".",IF(VALUE("1.2")=1.2,".",","),2)</f>
        <v>Sp.mat: 0.00%</v>
      </c>
      <c r="F135" s="15" t="str">
        <f>SUBSTITUTE("Sp.man: 0.00%",".",IF(VALUE("1.2")=1.2,".",","),2)</f>
        <v>Sp.man: 0.00%</v>
      </c>
      <c r="G135" s="35" t="str">
        <f>SUBSTITUTE("Sp.uti: 0.00%",".",IF(VALUE("1.2")=1.2,".",","),2)</f>
        <v>Sp.uti: 0.00%</v>
      </c>
      <c r="H135" s="38">
        <f>33.64/G134</f>
        <v>2.402857142857143</v>
      </c>
      <c r="I135" s="29">
        <f>G134*H135</f>
        <v>33.64</v>
      </c>
      <c r="J135">
        <v>2</v>
      </c>
    </row>
    <row r="136" spans="1:19" x14ac:dyDescent="0.3">
      <c r="A136" s="88" t="s">
        <v>449</v>
      </c>
      <c r="B136" s="98"/>
      <c r="C136" s="98"/>
      <c r="D136" s="98"/>
      <c r="E136" s="98"/>
      <c r="F136" s="98"/>
      <c r="G136" s="98"/>
      <c r="H136" s="38">
        <f>(1+IF(OR(ISERR(FIND(":",G135)),ISERR(FIND("%",G135))),0,MID(G135,FIND(":",G135)+2,FIND("%",G135)-FIND(":",G135)-2)/100))*0</f>
        <v>0</v>
      </c>
      <c r="I136" s="29">
        <f>G134*H136</f>
        <v>0</v>
      </c>
      <c r="J136">
        <v>3</v>
      </c>
      <c r="K136" s="4">
        <v>0</v>
      </c>
      <c r="L136" s="4">
        <v>0</v>
      </c>
      <c r="M136" s="4">
        <f>I136-K136-L136</f>
        <v>0</v>
      </c>
    </row>
    <row r="137" spans="1:19" x14ac:dyDescent="0.3">
      <c r="A137" s="98"/>
      <c r="B137" s="98"/>
      <c r="C137" s="98"/>
      <c r="D137" s="98"/>
      <c r="E137" s="98"/>
      <c r="F137" s="98"/>
      <c r="G137" s="98"/>
      <c r="H137" s="38">
        <f>0</f>
        <v>0</v>
      </c>
      <c r="I137" s="29">
        <f>G134*H137</f>
        <v>0</v>
      </c>
      <c r="J137">
        <v>4</v>
      </c>
      <c r="N137" s="4">
        <f>IF(ISERR(SEARCH("TRA* 82",C134)),IF(Q137+R137+S137=0,0,I137*(Q137/(Q137+R137+S137))),I137)</f>
        <v>0</v>
      </c>
      <c r="O137" s="4">
        <f>IF(ISERR(SEARCH("TRA* 82",C134)),IF(Q137+R137+S137=0,0,I137*(R137/(Q137+R137+S137))),0)</f>
        <v>0</v>
      </c>
      <c r="P137" s="4">
        <f>IF(ISERR(SEARCH("TRA* 82",C134)),I137-N137-O137,0)</f>
        <v>0</v>
      </c>
      <c r="Q137" s="4">
        <v>0</v>
      </c>
      <c r="R137" s="4">
        <v>0</v>
      </c>
      <c r="S137" s="4">
        <v>0</v>
      </c>
    </row>
    <row r="138" spans="1:19" x14ac:dyDescent="0.3">
      <c r="A138" s="100" t="s">
        <v>87</v>
      </c>
      <c r="B138" s="101"/>
      <c r="C138" s="101"/>
      <c r="D138" s="101"/>
      <c r="E138" s="101"/>
      <c r="F138" s="101"/>
      <c r="G138" s="101"/>
      <c r="H138" s="33">
        <f>H134+H135+H136+H137</f>
        <v>2.402857142857143</v>
      </c>
      <c r="I138" s="37">
        <f>I134+I135+I136+I137</f>
        <v>33.64</v>
      </c>
      <c r="J138">
        <v>5</v>
      </c>
    </row>
    <row r="139" spans="1:19" x14ac:dyDescent="0.3">
      <c r="A139" s="99" t="s">
        <v>447</v>
      </c>
      <c r="B139" s="99"/>
      <c r="C139" s="99"/>
      <c r="D139" s="99"/>
      <c r="E139" s="99"/>
      <c r="F139" s="99"/>
      <c r="G139" s="99"/>
      <c r="H139" s="99"/>
      <c r="I139" s="99"/>
    </row>
    <row r="140" spans="1:19" x14ac:dyDescent="0.3">
      <c r="B140" s="2">
        <v>26</v>
      </c>
      <c r="C140" s="3" t="s">
        <v>450</v>
      </c>
      <c r="D140" s="5" t="s">
        <v>25</v>
      </c>
      <c r="G140" s="30">
        <v>315</v>
      </c>
      <c r="H140" s="38">
        <f>(1+IF(OR(ISERR(FIND(":",D141)),ISERR(FIND("%",D141))),0,MID(D141,FIND(":",D141)+2,FIND("%",D141)-FIND(":",D141)-2)/100))*0</f>
        <v>0</v>
      </c>
      <c r="I140" s="29">
        <f>G140*H140</f>
        <v>0</v>
      </c>
      <c r="J140">
        <v>1</v>
      </c>
    </row>
    <row r="141" spans="1:19" x14ac:dyDescent="0.3">
      <c r="D141" s="15" t="str">
        <f>SUBSTITUTE("Sp.mat: 0.00%",".",IF(VALUE("1.2")=1.2,".",","),2)</f>
        <v>Sp.mat: 0.00%</v>
      </c>
      <c r="F141" s="15" t="str">
        <f>SUBSTITUTE("Sp.man: 0.00%",".",IF(VALUE("1.2")=1.2,".",","),2)</f>
        <v>Sp.man: 0.00%</v>
      </c>
      <c r="G141" s="35" t="str">
        <f>SUBSTITUTE("Sp.uti: 0.00%",".",IF(VALUE("1.2")=1.2,".",","),2)</f>
        <v>Sp.uti: 0.00%</v>
      </c>
      <c r="H141" s="38">
        <f>454.08/G140</f>
        <v>1.4415238095238094</v>
      </c>
      <c r="I141" s="29">
        <f>G140*H141</f>
        <v>454.08</v>
      </c>
      <c r="J141">
        <v>2</v>
      </c>
    </row>
    <row r="142" spans="1:19" x14ac:dyDescent="0.3">
      <c r="A142" s="88" t="s">
        <v>451</v>
      </c>
      <c r="B142" s="98"/>
      <c r="C142" s="98"/>
      <c r="D142" s="98"/>
      <c r="E142" s="98"/>
      <c r="F142" s="98"/>
      <c r="G142" s="98"/>
      <c r="H142" s="38">
        <f>80.73/G140</f>
        <v>0.25628571428571428</v>
      </c>
      <c r="I142" s="29">
        <f>G140*H142</f>
        <v>80.73</v>
      </c>
      <c r="J142">
        <v>3</v>
      </c>
      <c r="K142" s="4">
        <v>0</v>
      </c>
      <c r="L142" s="4">
        <v>151.19999999999999</v>
      </c>
      <c r="M142" s="4">
        <f>I142-K142-L142</f>
        <v>-70.469999999999985</v>
      </c>
    </row>
    <row r="143" spans="1:19" x14ac:dyDescent="0.3">
      <c r="A143" s="98"/>
      <c r="B143" s="98"/>
      <c r="C143" s="98"/>
      <c r="D143" s="98"/>
      <c r="E143" s="98"/>
      <c r="F143" s="98"/>
      <c r="G143" s="98"/>
      <c r="H143" s="38">
        <f>0</f>
        <v>0</v>
      </c>
      <c r="I143" s="29">
        <f>G140*H143</f>
        <v>0</v>
      </c>
      <c r="J143">
        <v>4</v>
      </c>
      <c r="N143" s="4">
        <f>IF(ISERR(SEARCH("TRA* 82",C140)),IF(Q143+R143+S143=0,0,I143*(Q143/(Q143+R143+S143))),I143)</f>
        <v>0</v>
      </c>
      <c r="O143" s="4">
        <f>IF(ISERR(SEARCH("TRA* 82",C140)),IF(Q143+R143+S143=0,0,I143*(R143/(Q143+R143+S143))),0)</f>
        <v>0</v>
      </c>
      <c r="P143" s="4">
        <f>IF(ISERR(SEARCH("TRA* 82",C140)),I143-N143-O143,0)</f>
        <v>0</v>
      </c>
      <c r="Q143" s="4">
        <v>0</v>
      </c>
      <c r="R143" s="4">
        <v>0</v>
      </c>
      <c r="S143" s="4">
        <v>0</v>
      </c>
    </row>
    <row r="144" spans="1:19" x14ac:dyDescent="0.3">
      <c r="A144" s="96" t="s">
        <v>27</v>
      </c>
      <c r="B144" s="97"/>
      <c r="C144" s="97"/>
      <c r="D144" s="97"/>
      <c r="E144" s="97"/>
      <c r="F144" s="97"/>
      <c r="G144" s="97"/>
      <c r="H144" s="36">
        <f>H140+H141+H142+H143</f>
        <v>1.6978095238095237</v>
      </c>
      <c r="I144" s="74">
        <f>I140+I141+I142+I143</f>
        <v>534.80999999999995</v>
      </c>
      <c r="J144">
        <v>5</v>
      </c>
    </row>
    <row r="145" spans="1:19" x14ac:dyDescent="0.3">
      <c r="B145" s="2">
        <v>27</v>
      </c>
      <c r="C145" s="3" t="s">
        <v>452</v>
      </c>
      <c r="D145" s="5" t="s">
        <v>25</v>
      </c>
      <c r="G145" s="30">
        <v>480</v>
      </c>
      <c r="H145" s="38">
        <f>(1+IF(OR(ISERR(FIND(":",D146)),ISERR(FIND("%",D146))),0,MID(D146,FIND(":",D146)+2,FIND("%",D146)-FIND(":",D146)-2)/100))*0</f>
        <v>0</v>
      </c>
      <c r="I145" s="29">
        <f>G145*H145</f>
        <v>0</v>
      </c>
      <c r="J145">
        <v>1</v>
      </c>
    </row>
    <row r="146" spans="1:19" x14ac:dyDescent="0.3">
      <c r="D146" s="15" t="str">
        <f>SUBSTITUTE("Sp.mat: 0.00%",".",IF(VALUE("1.2")=1.2,".",","),2)</f>
        <v>Sp.mat: 0.00%</v>
      </c>
      <c r="F146" s="15" t="str">
        <f>SUBSTITUTE("Sp.man: 0.00%",".",IF(VALUE("1.2")=1.2,".",","),2)</f>
        <v>Sp.man: 0.00%</v>
      </c>
      <c r="G146" s="35" t="str">
        <f>SUBSTITUTE("Sp.uti: 0.00%",".",IF(VALUE("1.2")=1.2,".",","),2)</f>
        <v>Sp.uti: 0.00%</v>
      </c>
      <c r="H146" s="38">
        <f>845.7/G145</f>
        <v>1.7618750000000001</v>
      </c>
      <c r="I146" s="29">
        <f>G145*H146</f>
        <v>845.7</v>
      </c>
      <c r="J146">
        <v>2</v>
      </c>
    </row>
    <row r="147" spans="1:19" x14ac:dyDescent="0.3">
      <c r="A147" s="88" t="s">
        <v>453</v>
      </c>
      <c r="B147" s="98"/>
      <c r="C147" s="98"/>
      <c r="D147" s="98"/>
      <c r="E147" s="98"/>
      <c r="F147" s="98"/>
      <c r="G147" s="98"/>
      <c r="H147" s="38">
        <f>153.76/G145</f>
        <v>0.3203333333333333</v>
      </c>
      <c r="I147" s="29">
        <f>G145*H147</f>
        <v>153.76</v>
      </c>
      <c r="J147">
        <v>3</v>
      </c>
      <c r="K147" s="4">
        <v>0</v>
      </c>
      <c r="L147" s="4">
        <v>288</v>
      </c>
      <c r="M147" s="4">
        <f>I147-K147-L147</f>
        <v>-134.24</v>
      </c>
    </row>
    <row r="148" spans="1:19" x14ac:dyDescent="0.3">
      <c r="A148" s="98"/>
      <c r="B148" s="98"/>
      <c r="C148" s="98"/>
      <c r="D148" s="98"/>
      <c r="E148" s="98"/>
      <c r="F148" s="98"/>
      <c r="G148" s="98"/>
      <c r="H148" s="38">
        <f>0</f>
        <v>0</v>
      </c>
      <c r="I148" s="29">
        <f>G145*H148</f>
        <v>0</v>
      </c>
      <c r="J148">
        <v>4</v>
      </c>
      <c r="N148" s="4">
        <f>IF(ISERR(SEARCH("TRA* 82",C145)),IF(Q148+R148+S148=0,0,I148*(Q148/(Q148+R148+S148))),I148)</f>
        <v>0</v>
      </c>
      <c r="O148" s="4">
        <f>IF(ISERR(SEARCH("TRA* 82",C145)),IF(Q148+R148+S148=0,0,I148*(R148/(Q148+R148+S148))),0)</f>
        <v>0</v>
      </c>
      <c r="P148" s="4">
        <f>IF(ISERR(SEARCH("TRA* 82",C145)),I148-N148-O148,0)</f>
        <v>0</v>
      </c>
      <c r="Q148" s="4">
        <v>0</v>
      </c>
      <c r="R148" s="4">
        <v>0</v>
      </c>
      <c r="S148" s="4">
        <v>0</v>
      </c>
    </row>
    <row r="149" spans="1:19" x14ac:dyDescent="0.3">
      <c r="A149" s="96" t="s">
        <v>27</v>
      </c>
      <c r="B149" s="97"/>
      <c r="C149" s="97"/>
      <c r="D149" s="97"/>
      <c r="E149" s="97"/>
      <c r="F149" s="97"/>
      <c r="G149" s="97"/>
      <c r="H149" s="36">
        <f>H145+H146+H147+H148</f>
        <v>2.0822083333333334</v>
      </c>
      <c r="I149" s="74">
        <f>I145+I146+I147+I148</f>
        <v>999.46</v>
      </c>
      <c r="J149">
        <v>5</v>
      </c>
    </row>
    <row r="150" spans="1:19" x14ac:dyDescent="0.3">
      <c r="B150" s="2">
        <v>28</v>
      </c>
      <c r="C150" s="3" t="s">
        <v>454</v>
      </c>
      <c r="D150" s="5" t="s">
        <v>25</v>
      </c>
      <c r="G150" s="30">
        <v>140</v>
      </c>
      <c r="H150" s="38">
        <f>(1+IF(OR(ISERR(FIND(":",D151)),ISERR(FIND("%",D151))),0,MID(D151,FIND(":",D151)+2,FIND("%",D151)-FIND(":",D151)-2)/100))*0</f>
        <v>0</v>
      </c>
      <c r="I150" s="29">
        <f>G150*H150</f>
        <v>0</v>
      </c>
      <c r="J150">
        <v>1</v>
      </c>
    </row>
    <row r="151" spans="1:19" x14ac:dyDescent="0.3">
      <c r="D151" s="15" t="str">
        <f>SUBSTITUTE("Sp.mat: 0.00%",".",IF(VALUE("1.2")=1.2,".",","),2)</f>
        <v>Sp.mat: 0.00%</v>
      </c>
      <c r="F151" s="15" t="str">
        <f>SUBSTITUTE("Sp.man: 0.00%",".",IF(VALUE("1.2")=1.2,".",","),2)</f>
        <v>Sp.man: 0.00%</v>
      </c>
      <c r="G151" s="35" t="str">
        <f>SUBSTITUTE("Sp.uti: 0.00%",".",IF(VALUE("1.2")=1.2,".",","),2)</f>
        <v>Sp.uti: 0.00%</v>
      </c>
      <c r="H151" s="38">
        <f>291.51/G150</f>
        <v>2.0822142857142856</v>
      </c>
      <c r="I151" s="29">
        <f>G150*H151</f>
        <v>291.51</v>
      </c>
      <c r="J151">
        <v>2</v>
      </c>
    </row>
    <row r="152" spans="1:19" x14ac:dyDescent="0.3">
      <c r="A152" s="88" t="s">
        <v>455</v>
      </c>
      <c r="B152" s="98"/>
      <c r="C152" s="98"/>
      <c r="D152" s="98"/>
      <c r="E152" s="98"/>
      <c r="F152" s="98"/>
      <c r="G152" s="98"/>
      <c r="H152" s="38">
        <f>53.82/G150</f>
        <v>0.38442857142857145</v>
      </c>
      <c r="I152" s="29">
        <f>G150*H152</f>
        <v>53.82</v>
      </c>
      <c r="J152">
        <v>3</v>
      </c>
      <c r="K152" s="4">
        <v>0</v>
      </c>
      <c r="L152" s="4">
        <v>100.8</v>
      </c>
      <c r="M152" s="4">
        <f>I152-K152-L152</f>
        <v>-46.98</v>
      </c>
    </row>
    <row r="153" spans="1:19" x14ac:dyDescent="0.3">
      <c r="A153" s="98"/>
      <c r="B153" s="98"/>
      <c r="C153" s="98"/>
      <c r="D153" s="98"/>
      <c r="E153" s="98"/>
      <c r="F153" s="98"/>
      <c r="G153" s="98"/>
      <c r="H153" s="38">
        <f>0</f>
        <v>0</v>
      </c>
      <c r="I153" s="29">
        <f>G150*H153</f>
        <v>0</v>
      </c>
      <c r="J153">
        <v>4</v>
      </c>
      <c r="N153" s="4">
        <f>IF(ISERR(SEARCH("TRA* 82",C150)),IF(Q153+R153+S153=0,0,I153*(Q153/(Q153+R153+S153))),I153)</f>
        <v>0</v>
      </c>
      <c r="O153" s="4">
        <f>IF(ISERR(SEARCH("TRA* 82",C150)),IF(Q153+R153+S153=0,0,I153*(R153/(Q153+R153+S153))),0)</f>
        <v>0</v>
      </c>
      <c r="P153" s="4">
        <f>IF(ISERR(SEARCH("TRA* 82",C150)),I153-N153-O153,0)</f>
        <v>0</v>
      </c>
      <c r="Q153" s="4">
        <v>0</v>
      </c>
      <c r="R153" s="4">
        <v>0</v>
      </c>
      <c r="S153" s="4">
        <v>0</v>
      </c>
    </row>
    <row r="154" spans="1:19" x14ac:dyDescent="0.3">
      <c r="A154" s="96" t="s">
        <v>27</v>
      </c>
      <c r="B154" s="97"/>
      <c r="C154" s="97"/>
      <c r="D154" s="97"/>
      <c r="E154" s="97"/>
      <c r="F154" s="97"/>
      <c r="G154" s="97"/>
      <c r="H154" s="36">
        <f>H150+H151+H152+H153</f>
        <v>2.4666428571428569</v>
      </c>
      <c r="I154" s="74">
        <f>I150+I151+I152+I153</f>
        <v>345.33</v>
      </c>
      <c r="J154">
        <v>5</v>
      </c>
    </row>
    <row r="155" spans="1:19" x14ac:dyDescent="0.3">
      <c r="B155" s="2">
        <v>29</v>
      </c>
      <c r="C155" s="3" t="s">
        <v>460</v>
      </c>
      <c r="D155" s="5" t="s">
        <v>25</v>
      </c>
      <c r="G155" s="30">
        <v>315</v>
      </c>
      <c r="H155" s="38">
        <f>(1+IF(OR(ISERR(FIND(":",D156)),ISERR(FIND("%",D156))),0,MID(D156,FIND(":",D156)+2,FIND("%",D156)-FIND(":",D156)-2)/100))*0</f>
        <v>0</v>
      </c>
      <c r="I155" s="29">
        <f>G155*H155</f>
        <v>0</v>
      </c>
      <c r="J155">
        <v>1</v>
      </c>
    </row>
    <row r="156" spans="1:19" x14ac:dyDescent="0.3">
      <c r="D156" s="15" t="str">
        <f>SUBSTITUTE("Sp.mat: 0.00%",".",IF(VALUE("1.2")=1.2,".",","),2)</f>
        <v>Sp.mat: 0.00%</v>
      </c>
      <c r="F156" s="15" t="str">
        <f>SUBSTITUTE("Sp.man: 0.00%",".",IF(VALUE("1.2")=1.2,".",","),2)</f>
        <v>Sp.man: 0.00%</v>
      </c>
      <c r="G156" s="35" t="str">
        <f>SUBSTITUTE("Sp.uti: 0.00%",".",IF(VALUE("1.2")=1.2,".",","),2)</f>
        <v>Sp.uti: 0.00%</v>
      </c>
      <c r="H156" s="38">
        <f>403.63/G155</f>
        <v>1.2813650793650793</v>
      </c>
      <c r="I156" s="29">
        <f>G155*H156</f>
        <v>403.63</v>
      </c>
      <c r="J156">
        <v>2</v>
      </c>
    </row>
    <row r="157" spans="1:19" x14ac:dyDescent="0.3">
      <c r="A157" s="88" t="s">
        <v>461</v>
      </c>
      <c r="B157" s="98"/>
      <c r="C157" s="98"/>
      <c r="D157" s="98"/>
      <c r="E157" s="98"/>
      <c r="F157" s="98"/>
      <c r="G157" s="98"/>
      <c r="H157" s="38">
        <f>(1+IF(OR(ISERR(FIND(":",G156)),ISERR(FIND("%",G156))),0,MID(G156,FIND(":",G156)+2,FIND("%",G156)-FIND(":",G156)-2)/100))*0</f>
        <v>0</v>
      </c>
      <c r="I157" s="29">
        <f>G155*H157</f>
        <v>0</v>
      </c>
      <c r="J157">
        <v>3</v>
      </c>
      <c r="K157" s="4">
        <v>0</v>
      </c>
      <c r="L157" s="4">
        <v>0</v>
      </c>
      <c r="M157" s="4">
        <f>I157-K157-L157</f>
        <v>0</v>
      </c>
    </row>
    <row r="158" spans="1:19" x14ac:dyDescent="0.3">
      <c r="A158" s="98"/>
      <c r="B158" s="98"/>
      <c r="C158" s="98"/>
      <c r="D158" s="98"/>
      <c r="E158" s="98"/>
      <c r="F158" s="98"/>
      <c r="G158" s="98"/>
      <c r="H158" s="38">
        <f>0</f>
        <v>0</v>
      </c>
      <c r="I158" s="29">
        <f>G155*H158</f>
        <v>0</v>
      </c>
      <c r="J158">
        <v>4</v>
      </c>
      <c r="N158" s="4">
        <f>IF(ISERR(SEARCH("TRA* 82",C155)),IF(Q158+R158+S158=0,0,I158*(Q158/(Q158+R158+S158))),I158)</f>
        <v>0</v>
      </c>
      <c r="O158" s="4">
        <f>IF(ISERR(SEARCH("TRA* 82",C155)),IF(Q158+R158+S158=0,0,I158*(R158/(Q158+R158+S158))),0)</f>
        <v>0</v>
      </c>
      <c r="P158" s="4">
        <f>IF(ISERR(SEARCH("TRA* 82",C155)),I158-N158-O158,0)</f>
        <v>0</v>
      </c>
      <c r="Q158" s="4">
        <v>0</v>
      </c>
      <c r="R158" s="4">
        <v>0</v>
      </c>
      <c r="S158" s="4">
        <v>0</v>
      </c>
    </row>
    <row r="159" spans="1:19" x14ac:dyDescent="0.3">
      <c r="A159" s="96" t="s">
        <v>27</v>
      </c>
      <c r="B159" s="97"/>
      <c r="C159" s="97"/>
      <c r="D159" s="97"/>
      <c r="E159" s="97"/>
      <c r="F159" s="97"/>
      <c r="G159" s="97"/>
      <c r="H159" s="36">
        <f>H155+H156+H157+H158</f>
        <v>1.2813650793650793</v>
      </c>
      <c r="I159" s="74">
        <f>I155+I156+I157+I158</f>
        <v>403.63</v>
      </c>
      <c r="J159">
        <v>5</v>
      </c>
    </row>
    <row r="160" spans="1:19" x14ac:dyDescent="0.3">
      <c r="B160" s="2">
        <v>30</v>
      </c>
      <c r="C160" s="3" t="s">
        <v>462</v>
      </c>
      <c r="D160" s="5" t="s">
        <v>25</v>
      </c>
      <c r="G160" s="30">
        <v>480</v>
      </c>
      <c r="H160" s="38">
        <f>(1+IF(OR(ISERR(FIND(":",D161)),ISERR(FIND("%",D161))),0,MID(D161,FIND(":",D161)+2,FIND("%",D161)-FIND(":",D161)-2)/100))*0</f>
        <v>0</v>
      </c>
      <c r="I160" s="29">
        <f>G160*H160</f>
        <v>0</v>
      </c>
      <c r="J160">
        <v>1</v>
      </c>
    </row>
    <row r="161" spans="1:19" x14ac:dyDescent="0.3">
      <c r="D161" s="15" t="str">
        <f>SUBSTITUTE("Sp.mat: 0.00%",".",IF(VALUE("1.2")=1.2,".",","),2)</f>
        <v>Sp.mat: 0.00%</v>
      </c>
      <c r="F161" s="15" t="str">
        <f>SUBSTITUTE("Sp.man: 0.00%",".",IF(VALUE("1.2")=1.2,".",","),2)</f>
        <v>Sp.man: 0.00%</v>
      </c>
      <c r="G161" s="35" t="str">
        <f>SUBSTITUTE("Sp.uti: 0.00%",".",IF(VALUE("1.2")=1.2,".",","),2)</f>
        <v>Sp.uti: 0.00%</v>
      </c>
      <c r="H161" s="38">
        <f>768.82/G160</f>
        <v>1.6017083333333335</v>
      </c>
      <c r="I161" s="29">
        <f>G160*H161</f>
        <v>768.82</v>
      </c>
      <c r="J161">
        <v>2</v>
      </c>
    </row>
    <row r="162" spans="1:19" x14ac:dyDescent="0.3">
      <c r="A162" s="88" t="s">
        <v>463</v>
      </c>
      <c r="B162" s="98"/>
      <c r="C162" s="98"/>
      <c r="D162" s="98"/>
      <c r="E162" s="98"/>
      <c r="F162" s="98"/>
      <c r="G162" s="98"/>
      <c r="H162" s="38">
        <f>(1+IF(OR(ISERR(FIND(":",G161)),ISERR(FIND("%",G161))),0,MID(G161,FIND(":",G161)+2,FIND("%",G161)-FIND(":",G161)-2)/100))*0</f>
        <v>0</v>
      </c>
      <c r="I162" s="29">
        <f>G160*H162</f>
        <v>0</v>
      </c>
      <c r="J162">
        <v>3</v>
      </c>
      <c r="K162" s="4">
        <v>0</v>
      </c>
      <c r="L162" s="4">
        <v>0</v>
      </c>
      <c r="M162" s="4">
        <f>I162-K162-L162</f>
        <v>0</v>
      </c>
    </row>
    <row r="163" spans="1:19" x14ac:dyDescent="0.3">
      <c r="A163" s="98"/>
      <c r="B163" s="98"/>
      <c r="C163" s="98"/>
      <c r="D163" s="98"/>
      <c r="E163" s="98"/>
      <c r="F163" s="98"/>
      <c r="G163" s="98"/>
      <c r="H163" s="38">
        <f>0</f>
        <v>0</v>
      </c>
      <c r="I163" s="29">
        <f>G160*H163</f>
        <v>0</v>
      </c>
      <c r="J163">
        <v>4</v>
      </c>
      <c r="N163" s="4">
        <f>IF(ISERR(SEARCH("TRA* 82",C160)),IF(Q163+R163+S163=0,0,I163*(Q163/(Q163+R163+S163))),I163)</f>
        <v>0</v>
      </c>
      <c r="O163" s="4">
        <f>IF(ISERR(SEARCH("TRA* 82",C160)),IF(Q163+R163+S163=0,0,I163*(R163/(Q163+R163+S163))),0)</f>
        <v>0</v>
      </c>
      <c r="P163" s="4">
        <f>IF(ISERR(SEARCH("TRA* 82",C160)),I163-N163-O163,0)</f>
        <v>0</v>
      </c>
      <c r="Q163" s="4">
        <v>0</v>
      </c>
      <c r="R163" s="4">
        <v>0</v>
      </c>
      <c r="S163" s="4">
        <v>0</v>
      </c>
    </row>
    <row r="164" spans="1:19" x14ac:dyDescent="0.3">
      <c r="A164" s="96" t="s">
        <v>27</v>
      </c>
      <c r="B164" s="97"/>
      <c r="C164" s="97"/>
      <c r="D164" s="97"/>
      <c r="E164" s="97"/>
      <c r="F164" s="97"/>
      <c r="G164" s="97"/>
      <c r="H164" s="36">
        <f>H160+H161+H162+H163</f>
        <v>1.6017083333333335</v>
      </c>
      <c r="I164" s="74">
        <f>I160+I161+I162+I163</f>
        <v>768.82</v>
      </c>
      <c r="J164">
        <v>5</v>
      </c>
    </row>
    <row r="165" spans="1:19" x14ac:dyDescent="0.3">
      <c r="B165" s="2">
        <v>31</v>
      </c>
      <c r="C165" s="3" t="s">
        <v>464</v>
      </c>
      <c r="D165" s="5" t="s">
        <v>25</v>
      </c>
      <c r="G165" s="30">
        <v>140</v>
      </c>
      <c r="H165" s="38">
        <f>(1+IF(OR(ISERR(FIND(":",D166)),ISERR(FIND("%",D166))),0,MID(D166,FIND(":",D166)+2,FIND("%",D166)-FIND(":",D166)-2)/100))*0</f>
        <v>0</v>
      </c>
      <c r="I165" s="29">
        <f>G165*H165</f>
        <v>0</v>
      </c>
      <c r="J165">
        <v>1</v>
      </c>
    </row>
    <row r="166" spans="1:19" x14ac:dyDescent="0.3">
      <c r="D166" s="15" t="str">
        <f>SUBSTITUTE("Sp.mat: 0.00%",".",IF(VALUE("1.2")=1.2,".",","),2)</f>
        <v>Sp.mat: 0.00%</v>
      </c>
      <c r="F166" s="15" t="str">
        <f>SUBSTITUTE("Sp.man: 0.00%",".",IF(VALUE("1.2")=1.2,".",","),2)</f>
        <v>Sp.man: 0.00%</v>
      </c>
      <c r="G166" s="35" t="str">
        <f>SUBSTITUTE("Sp.uti: 0.00%",".",IF(VALUE("1.2")=1.2,".",","),2)</f>
        <v>Sp.uti: 0.00%</v>
      </c>
      <c r="H166" s="38">
        <f>269.09/G165</f>
        <v>1.9220714285714284</v>
      </c>
      <c r="I166" s="29">
        <f>G165*H166</f>
        <v>269.08999999999997</v>
      </c>
      <c r="J166">
        <v>2</v>
      </c>
    </row>
    <row r="167" spans="1:19" x14ac:dyDescent="0.3">
      <c r="A167" s="88" t="s">
        <v>465</v>
      </c>
      <c r="B167" s="98"/>
      <c r="C167" s="98"/>
      <c r="D167" s="98"/>
      <c r="E167" s="98"/>
      <c r="F167" s="98"/>
      <c r="G167" s="98"/>
      <c r="H167" s="38">
        <f>(1+IF(OR(ISERR(FIND(":",G166)),ISERR(FIND("%",G166))),0,MID(G166,FIND(":",G166)+2,FIND("%",G166)-FIND(":",G166)-2)/100))*0</f>
        <v>0</v>
      </c>
      <c r="I167" s="29">
        <f>G165*H167</f>
        <v>0</v>
      </c>
      <c r="J167">
        <v>3</v>
      </c>
      <c r="K167" s="4">
        <v>0</v>
      </c>
      <c r="L167" s="4">
        <v>0</v>
      </c>
      <c r="M167" s="4">
        <f>I167-K167-L167</f>
        <v>0</v>
      </c>
    </row>
    <row r="168" spans="1:19" x14ac:dyDescent="0.3">
      <c r="A168" s="98"/>
      <c r="B168" s="98"/>
      <c r="C168" s="98"/>
      <c r="D168" s="98"/>
      <c r="E168" s="98"/>
      <c r="F168" s="98"/>
      <c r="G168" s="98"/>
      <c r="H168" s="38">
        <f>0</f>
        <v>0</v>
      </c>
      <c r="I168" s="29">
        <f>G165*H168</f>
        <v>0</v>
      </c>
      <c r="J168">
        <v>4</v>
      </c>
      <c r="N168" s="4">
        <f>IF(ISERR(SEARCH("TRA* 82",C165)),IF(Q168+R168+S168=0,0,I168*(Q168/(Q168+R168+S168))),I168)</f>
        <v>0</v>
      </c>
      <c r="O168" s="4">
        <f>IF(ISERR(SEARCH("TRA* 82",C165)),IF(Q168+R168+S168=0,0,I168*(R168/(Q168+R168+S168))),0)</f>
        <v>0</v>
      </c>
      <c r="P168" s="4">
        <f>IF(ISERR(SEARCH("TRA* 82",C165)),I168-N168-O168,0)</f>
        <v>0</v>
      </c>
      <c r="Q168" s="4">
        <v>0</v>
      </c>
      <c r="R168" s="4">
        <v>0</v>
      </c>
      <c r="S168" s="4">
        <v>0</v>
      </c>
    </row>
    <row r="169" spans="1:19" x14ac:dyDescent="0.3">
      <c r="A169" s="96" t="s">
        <v>27</v>
      </c>
      <c r="B169" s="97"/>
      <c r="C169" s="97"/>
      <c r="D169" s="97"/>
      <c r="E169" s="97"/>
      <c r="F169" s="97"/>
      <c r="G169" s="97"/>
      <c r="H169" s="36">
        <f>H165+H166+H167+H168</f>
        <v>1.9220714285714284</v>
      </c>
      <c r="I169" s="74">
        <f>I165+I166+I167+I168</f>
        <v>269.08999999999997</v>
      </c>
      <c r="J169">
        <v>5</v>
      </c>
    </row>
    <row r="170" spans="1:19" x14ac:dyDescent="0.3">
      <c r="B170" s="2">
        <v>32</v>
      </c>
      <c r="C170" s="3" t="s">
        <v>474</v>
      </c>
      <c r="D170" s="5" t="s">
        <v>29</v>
      </c>
      <c r="G170" s="30">
        <v>65</v>
      </c>
      <c r="H170" s="38">
        <f>(1+IF(OR(ISERR(FIND(":",D171)),ISERR(FIND("%",D171))),0,MID(D171,FIND(":",D171)+2,FIND("%",D171)-FIND(":",D171)-2)/100))*0</f>
        <v>0</v>
      </c>
      <c r="I170" s="29">
        <f>G170*H170</f>
        <v>0</v>
      </c>
      <c r="J170">
        <v>1</v>
      </c>
    </row>
    <row r="171" spans="1:19" x14ac:dyDescent="0.3">
      <c r="D171" s="15" t="str">
        <f>SUBSTITUTE("Sp.mat: 0.00%",".",IF(VALUE("1.2")=1.2,".",","),2)</f>
        <v>Sp.mat: 0.00%</v>
      </c>
      <c r="F171" s="15" t="str">
        <f>SUBSTITUTE("Sp.man: 0.00%",".",IF(VALUE("1.2")=1.2,".",","),2)</f>
        <v>Sp.man: 0.00%</v>
      </c>
      <c r="G171" s="35" t="str">
        <f>SUBSTITUTE("Sp.uti: 0.00%",".",IF(VALUE("1.2")=1.2,".",","),2)</f>
        <v>Sp.uti: 0.00%</v>
      </c>
      <c r="H171" s="38">
        <f>2498.63/G170</f>
        <v>38.440461538461541</v>
      </c>
      <c r="I171" s="29">
        <f>G170*H171</f>
        <v>2498.63</v>
      </c>
      <c r="J171">
        <v>2</v>
      </c>
    </row>
    <row r="172" spans="1:19" x14ac:dyDescent="0.3">
      <c r="A172" s="88" t="s">
        <v>475</v>
      </c>
      <c r="B172" s="98"/>
      <c r="C172" s="98"/>
      <c r="D172" s="98"/>
      <c r="E172" s="98"/>
      <c r="F172" s="98"/>
      <c r="G172" s="98"/>
      <c r="H172" s="38">
        <f>1249.33/G170</f>
        <v>19.220461538461539</v>
      </c>
      <c r="I172" s="29">
        <f>G170*H172</f>
        <v>1249.33</v>
      </c>
      <c r="J172">
        <v>3</v>
      </c>
      <c r="K172" s="4">
        <v>2340</v>
      </c>
      <c r="L172" s="4">
        <v>0</v>
      </c>
      <c r="M172" s="4">
        <f>I172-K172-L172</f>
        <v>-1090.67</v>
      </c>
    </row>
    <row r="173" spans="1:19" x14ac:dyDescent="0.3">
      <c r="A173" s="98"/>
      <c r="B173" s="98"/>
      <c r="C173" s="98"/>
      <c r="D173" s="98"/>
      <c r="E173" s="98"/>
      <c r="F173" s="98"/>
      <c r="G173" s="98"/>
      <c r="H173" s="38">
        <f>0</f>
        <v>0</v>
      </c>
      <c r="I173" s="29">
        <f>G170*H173</f>
        <v>0</v>
      </c>
      <c r="J173">
        <v>4</v>
      </c>
      <c r="N173" s="4">
        <f>IF(ISERR(SEARCH("TRA* 82",C170)),IF(Q173+R173+S173=0,0,I173*(Q173/(Q173+R173+S173))),I173)</f>
        <v>0</v>
      </c>
      <c r="O173" s="4">
        <f>IF(ISERR(SEARCH("TRA* 82",C170)),IF(Q173+R173+S173=0,0,I173*(R173/(Q173+R173+S173))),0)</f>
        <v>0</v>
      </c>
      <c r="P173" s="4">
        <f>IF(ISERR(SEARCH("TRA* 82",C170)),I173-N173-O173,0)</f>
        <v>0</v>
      </c>
      <c r="Q173" s="4">
        <v>0</v>
      </c>
      <c r="R173" s="4">
        <v>0</v>
      </c>
      <c r="S173" s="4">
        <v>0</v>
      </c>
    </row>
    <row r="174" spans="1:19" x14ac:dyDescent="0.3">
      <c r="A174" s="96" t="s">
        <v>476</v>
      </c>
      <c r="B174" s="97"/>
      <c r="C174" s="97"/>
      <c r="D174" s="97"/>
      <c r="E174" s="97"/>
      <c r="F174" s="97"/>
      <c r="G174" s="97"/>
      <c r="H174" s="36">
        <f>H170+H171+H172+H173</f>
        <v>57.660923076923083</v>
      </c>
      <c r="I174" s="74">
        <f>I170+I171+I172+I173</f>
        <v>3747.96</v>
      </c>
      <c r="J174">
        <v>5</v>
      </c>
    </row>
    <row r="175" spans="1:19" x14ac:dyDescent="0.3">
      <c r="B175" s="2">
        <v>33</v>
      </c>
      <c r="C175" s="3" t="s">
        <v>470</v>
      </c>
      <c r="D175" s="5" t="s">
        <v>40</v>
      </c>
      <c r="G175" s="30">
        <v>150</v>
      </c>
      <c r="H175" s="38">
        <f>756.4/G175</f>
        <v>5.0426666666666664</v>
      </c>
      <c r="I175" s="29">
        <f>G175*H175</f>
        <v>756.4</v>
      </c>
      <c r="J175">
        <v>1</v>
      </c>
    </row>
    <row r="176" spans="1:19" x14ac:dyDescent="0.3">
      <c r="D176" s="15" t="str">
        <f>SUBSTITUTE("Sp.mat: 0.00%",".",IF(VALUE("1.2")=1.2,".",","),2)</f>
        <v>Sp.mat: 0.00%</v>
      </c>
      <c r="F176" s="15" t="str">
        <f>SUBSTITUTE("Sp.man: 0.00%",".",IF(VALUE("1.2")=1.2,".",","),2)</f>
        <v>Sp.man: 0.00%</v>
      </c>
      <c r="G176" s="35" t="str">
        <f>SUBSTITUTE("Sp.uti: 0.00%",".",IF(VALUE("1.2")=1.2,".",","),2)</f>
        <v>Sp.uti: 0.00%</v>
      </c>
      <c r="H176" s="38">
        <f>1321.4/G175</f>
        <v>8.8093333333333348</v>
      </c>
      <c r="I176" s="29">
        <f>G175*H176</f>
        <v>1321.4000000000003</v>
      </c>
      <c r="J176">
        <v>2</v>
      </c>
    </row>
    <row r="177" spans="1:19" x14ac:dyDescent="0.3">
      <c r="A177" s="88" t="s">
        <v>471</v>
      </c>
      <c r="B177" s="98"/>
      <c r="C177" s="98"/>
      <c r="D177" s="98"/>
      <c r="E177" s="98"/>
      <c r="F177" s="98"/>
      <c r="G177" s="98"/>
      <c r="H177" s="38">
        <f>3.75/G175</f>
        <v>2.5000000000000001E-2</v>
      </c>
      <c r="I177" s="29">
        <f>G175*H177</f>
        <v>3.75</v>
      </c>
      <c r="J177">
        <v>3</v>
      </c>
      <c r="K177" s="4">
        <v>0</v>
      </c>
      <c r="L177" s="4">
        <v>0</v>
      </c>
      <c r="M177" s="4">
        <f>I177-K177-L177</f>
        <v>3.75</v>
      </c>
    </row>
    <row r="178" spans="1:19" x14ac:dyDescent="0.3">
      <c r="A178" s="98"/>
      <c r="B178" s="98"/>
      <c r="C178" s="98"/>
      <c r="D178" s="98"/>
      <c r="E178" s="98"/>
      <c r="F178" s="98"/>
      <c r="G178" s="98"/>
      <c r="H178" s="38">
        <f>0</f>
        <v>0</v>
      </c>
      <c r="I178" s="29">
        <f>G175*H178</f>
        <v>0</v>
      </c>
      <c r="J178">
        <v>4</v>
      </c>
      <c r="N178" s="4">
        <f>IF(ISERR(SEARCH("TRA* 82",C175)),IF(Q178+R178+S178=0,0,I178*(Q178/(Q178+R178+S178))),I178)</f>
        <v>0</v>
      </c>
      <c r="O178" s="4">
        <f>IF(ISERR(SEARCH("TRA* 82",C175)),IF(Q178+R178+S178=0,0,I178*(R178/(Q178+R178+S178))),0)</f>
        <v>0</v>
      </c>
      <c r="P178" s="4">
        <f>IF(ISERR(SEARCH("TRA* 82",C175)),I178-N178-O178,0)</f>
        <v>0</v>
      </c>
      <c r="Q178" s="4">
        <v>0</v>
      </c>
      <c r="R178" s="4">
        <v>0</v>
      </c>
      <c r="S178" s="4">
        <v>0</v>
      </c>
    </row>
    <row r="179" spans="1:19" x14ac:dyDescent="0.3">
      <c r="A179" s="96" t="s">
        <v>27</v>
      </c>
      <c r="B179" s="97"/>
      <c r="C179" s="97"/>
      <c r="D179" s="97"/>
      <c r="E179" s="97"/>
      <c r="F179" s="97"/>
      <c r="G179" s="97"/>
      <c r="H179" s="36">
        <f>H175+H176+H177+H178</f>
        <v>13.877000000000001</v>
      </c>
      <c r="I179" s="74">
        <f>I175+I176+I177+I178</f>
        <v>2081.5500000000002</v>
      </c>
      <c r="J179">
        <v>5</v>
      </c>
    </row>
    <row r="180" spans="1:19" x14ac:dyDescent="0.3">
      <c r="B180" s="2">
        <v>34</v>
      </c>
      <c r="C180" s="3" t="s">
        <v>703</v>
      </c>
      <c r="D180" s="5" t="s">
        <v>40</v>
      </c>
      <c r="G180" s="30">
        <v>150</v>
      </c>
      <c r="H180" s="38">
        <f>(1+IF(OR(ISERR(FIND(":",D181)),ISERR(FIND("%",D181))),0,MID(D181,FIND(":",D181)+2,FIND("%",D181)-FIND(":",D181)-2)/100))*0</f>
        <v>0</v>
      </c>
      <c r="I180" s="29">
        <f>G180*H180</f>
        <v>0</v>
      </c>
      <c r="J180">
        <v>1</v>
      </c>
    </row>
    <row r="181" spans="1:19" x14ac:dyDescent="0.3">
      <c r="D181" s="15" t="str">
        <f>SUBSTITUTE("Sp.mat: 0.00%",".",IF(VALUE("1.2")=1.2,".",","),2)</f>
        <v>Sp.mat: 0.00%</v>
      </c>
      <c r="F181" s="15" t="str">
        <f>SUBSTITUTE("Sp.man: 0.00%",".",IF(VALUE("1.2")=1.2,".",","),2)</f>
        <v>Sp.man: 0.00%</v>
      </c>
      <c r="G181" s="35" t="str">
        <f>SUBSTITUTE("Sp.uti: 0.00%",".",IF(VALUE("1.2")=1.2,".",","),2)</f>
        <v>Sp.uti: 0.00%</v>
      </c>
      <c r="H181" s="38">
        <f>624.66/G180</f>
        <v>4.1643999999999997</v>
      </c>
      <c r="I181" s="29">
        <f>G180*H181</f>
        <v>624.66</v>
      </c>
      <c r="J181">
        <v>2</v>
      </c>
    </row>
    <row r="182" spans="1:19" x14ac:dyDescent="0.3">
      <c r="A182" s="88" t="s">
        <v>704</v>
      </c>
      <c r="B182" s="98"/>
      <c r="C182" s="98"/>
      <c r="D182" s="98"/>
      <c r="E182" s="98"/>
      <c r="F182" s="98"/>
      <c r="G182" s="98"/>
      <c r="H182" s="38">
        <f>192.2/G180</f>
        <v>1.2813333333333332</v>
      </c>
      <c r="I182" s="29">
        <f>G180*H182</f>
        <v>192.2</v>
      </c>
      <c r="J182">
        <v>3</v>
      </c>
      <c r="K182" s="4">
        <v>0</v>
      </c>
      <c r="L182" s="4">
        <v>360</v>
      </c>
      <c r="M182" s="4">
        <f>I182-K182-L182</f>
        <v>-167.8</v>
      </c>
    </row>
    <row r="183" spans="1:19" x14ac:dyDescent="0.3">
      <c r="A183" s="98"/>
      <c r="B183" s="98"/>
      <c r="C183" s="98"/>
      <c r="D183" s="98"/>
      <c r="E183" s="98"/>
      <c r="F183" s="98"/>
      <c r="G183" s="98"/>
      <c r="H183" s="38">
        <f>0</f>
        <v>0</v>
      </c>
      <c r="I183" s="29">
        <f>G180*H183</f>
        <v>0</v>
      </c>
      <c r="J183">
        <v>4</v>
      </c>
      <c r="N183" s="4">
        <f>IF(ISERR(SEARCH("TRA* 82",C180)),IF(Q183+R183+S183=0,0,I183*(Q183/(Q183+R183+S183))),I183)</f>
        <v>0</v>
      </c>
      <c r="O183" s="4">
        <f>IF(ISERR(SEARCH("TRA* 82",C180)),IF(Q183+R183+S183=0,0,I183*(R183/(Q183+R183+S183))),0)</f>
        <v>0</v>
      </c>
      <c r="P183" s="4">
        <f>IF(ISERR(SEARCH("TRA* 82",C180)),I183-N183-O183,0)</f>
        <v>0</v>
      </c>
      <c r="Q183" s="4">
        <v>0</v>
      </c>
      <c r="R183" s="4">
        <v>0</v>
      </c>
      <c r="S183" s="4">
        <v>0</v>
      </c>
    </row>
    <row r="184" spans="1:19" x14ac:dyDescent="0.3">
      <c r="A184" s="96" t="s">
        <v>27</v>
      </c>
      <c r="B184" s="97"/>
      <c r="C184" s="97"/>
      <c r="D184" s="97"/>
      <c r="E184" s="97"/>
      <c r="F184" s="97"/>
      <c r="G184" s="97"/>
      <c r="H184" s="36">
        <f>H180+H181+H182+H183</f>
        <v>5.4457333333333331</v>
      </c>
      <c r="I184" s="74">
        <f>I180+I181+I182+I183</f>
        <v>816.8599999999999</v>
      </c>
      <c r="J184">
        <v>5</v>
      </c>
    </row>
    <row r="185" spans="1:19" x14ac:dyDescent="0.3">
      <c r="B185" s="2">
        <v>35</v>
      </c>
      <c r="C185" s="3" t="s">
        <v>705</v>
      </c>
      <c r="D185" s="5" t="s">
        <v>29</v>
      </c>
      <c r="G185" s="30">
        <v>2</v>
      </c>
      <c r="H185" s="38">
        <f>51.02/G185</f>
        <v>25.51</v>
      </c>
      <c r="I185" s="29">
        <f>G185*H185</f>
        <v>51.02</v>
      </c>
      <c r="J185">
        <v>1</v>
      </c>
    </row>
    <row r="186" spans="1:19" x14ac:dyDescent="0.3">
      <c r="D186" s="15" t="str">
        <f>SUBSTITUTE("Sp.mat: 0.00%",".",IF(VALUE("1.2")=1.2,".",","),2)</f>
        <v>Sp.mat: 0.00%</v>
      </c>
      <c r="F186" s="15" t="str">
        <f>SUBSTITUTE("Sp.man: 0.00%",".",IF(VALUE("1.2")=1.2,".",","),2)</f>
        <v>Sp.man: 0.00%</v>
      </c>
      <c r="G186" s="35" t="str">
        <f>SUBSTITUTE("Sp.uti: 0.00%",".",IF(VALUE("1.2")=1.2,".",","),2)</f>
        <v>Sp.uti: 0.00%</v>
      </c>
      <c r="H186" s="38">
        <f>184.04/G185</f>
        <v>92.02</v>
      </c>
      <c r="I186" s="29">
        <f>G185*H186</f>
        <v>184.04</v>
      </c>
      <c r="J186">
        <v>2</v>
      </c>
    </row>
    <row r="187" spans="1:19" x14ac:dyDescent="0.3">
      <c r="A187" s="88" t="s">
        <v>1010</v>
      </c>
      <c r="B187" s="98"/>
      <c r="C187" s="98"/>
      <c r="D187" s="98"/>
      <c r="E187" s="98"/>
      <c r="F187" s="98"/>
      <c r="G187" s="98"/>
      <c r="H187" s="38">
        <f>43.73/G185</f>
        <v>21.864999999999998</v>
      </c>
      <c r="I187" s="29">
        <f>G185*H187</f>
        <v>43.73</v>
      </c>
      <c r="J187">
        <v>3</v>
      </c>
      <c r="K187" s="4">
        <v>0</v>
      </c>
      <c r="L187" s="4">
        <v>0</v>
      </c>
      <c r="M187" s="4">
        <f>I187-K187-L187</f>
        <v>43.73</v>
      </c>
    </row>
    <row r="188" spans="1:19" x14ac:dyDescent="0.3">
      <c r="A188" s="98"/>
      <c r="B188" s="98"/>
      <c r="C188" s="98"/>
      <c r="D188" s="98"/>
      <c r="E188" s="98"/>
      <c r="F188" s="98"/>
      <c r="G188" s="98"/>
      <c r="H188" s="38">
        <f>0</f>
        <v>0</v>
      </c>
      <c r="I188" s="29">
        <f>G185*H188</f>
        <v>0</v>
      </c>
      <c r="J188">
        <v>4</v>
      </c>
      <c r="N188" s="4">
        <f>IF(ISERR(SEARCH("TRA* 82",C185)),IF(Q188+R188+S188=0,0,I188*(Q188/(Q188+R188+S188))),I188)</f>
        <v>0</v>
      </c>
      <c r="O188" s="4">
        <f>IF(ISERR(SEARCH("TRA* 82",C185)),IF(Q188+R188+S188=0,0,I188*(R188/(Q188+R188+S188))),0)</f>
        <v>0</v>
      </c>
      <c r="P188" s="4">
        <f>IF(ISERR(SEARCH("TRA* 82",C185)),I188-N188-O188,0)</f>
        <v>0</v>
      </c>
      <c r="Q188" s="4">
        <v>0</v>
      </c>
      <c r="R188" s="4">
        <v>0</v>
      </c>
      <c r="S188" s="4">
        <v>0</v>
      </c>
    </row>
    <row r="189" spans="1:19" x14ac:dyDescent="0.3">
      <c r="A189" s="96" t="s">
        <v>1011</v>
      </c>
      <c r="B189" s="97"/>
      <c r="C189" s="97"/>
      <c r="D189" s="97"/>
      <c r="E189" s="97"/>
      <c r="F189" s="97"/>
      <c r="G189" s="97"/>
      <c r="H189" s="36">
        <f>H185+H186+H187+H188</f>
        <v>139.39500000000001</v>
      </c>
      <c r="I189" s="74">
        <f>I185+I186+I187+I188</f>
        <v>278.79000000000002</v>
      </c>
      <c r="J189">
        <v>5</v>
      </c>
    </row>
    <row r="190" spans="1:19" x14ac:dyDescent="0.3">
      <c r="B190" s="2">
        <v>36</v>
      </c>
      <c r="C190" s="3" t="s">
        <v>707</v>
      </c>
      <c r="D190" s="5" t="s">
        <v>29</v>
      </c>
      <c r="G190" s="30">
        <v>1</v>
      </c>
      <c r="H190" s="38">
        <v>1568.82</v>
      </c>
      <c r="I190" s="29">
        <f>G190*H190</f>
        <v>1568.82</v>
      </c>
      <c r="J190">
        <v>1</v>
      </c>
    </row>
    <row r="191" spans="1:19" x14ac:dyDescent="0.3">
      <c r="D191" s="15" t="str">
        <f>SUBSTITUTE("Sp.mat: 0.00%",".",IF(VALUE("1.2")=1.2,".",","),2)</f>
        <v>Sp.mat: 0.00%</v>
      </c>
      <c r="F191" s="15" t="str">
        <f>SUBSTITUTE("Sp.man: 0.00%",".",IF(VALUE("1.2")=1.2,".",","),2)</f>
        <v>Sp.man: 0.00%</v>
      </c>
      <c r="G191" s="35" t="str">
        <f>SUBSTITUTE("Sp.uti: 0.00%",".",IF(VALUE("1.2")=1.2,".",","),2)</f>
        <v>Sp.uti: 0.00%</v>
      </c>
      <c r="H191" s="38">
        <f>(1+IF(OR(ISERR(FIND(":",F191)),ISERR(FIND("%",F191))),0,MID(F191,FIND(":",F191)+2,FIND("%",F191)-FIND(":",F191)-2)/100))*0</f>
        <v>0</v>
      </c>
      <c r="I191" s="29">
        <f>G190*H191</f>
        <v>0</v>
      </c>
      <c r="J191">
        <v>2</v>
      </c>
    </row>
    <row r="192" spans="1:19" x14ac:dyDescent="0.3">
      <c r="A192" s="88" t="s">
        <v>1012</v>
      </c>
      <c r="B192" s="98"/>
      <c r="C192" s="98"/>
      <c r="D192" s="98"/>
      <c r="E192" s="98"/>
      <c r="F192" s="98"/>
      <c r="G192" s="98"/>
      <c r="H192" s="38">
        <f>(1+IF(OR(ISERR(FIND(":",G191)),ISERR(FIND("%",G191))),0,MID(G191,FIND(":",G191)+2,FIND("%",G191)-FIND(":",G191)-2)/100))*0</f>
        <v>0</v>
      </c>
      <c r="I192" s="29">
        <f>G190*H192</f>
        <v>0</v>
      </c>
      <c r="J192">
        <v>3</v>
      </c>
      <c r="K192" s="4">
        <v>0</v>
      </c>
      <c r="L192" s="4">
        <v>0</v>
      </c>
      <c r="M192" s="4">
        <f>I192-K192-L192</f>
        <v>0</v>
      </c>
    </row>
    <row r="193" spans="1:19" x14ac:dyDescent="0.3">
      <c r="A193" s="98"/>
      <c r="B193" s="98"/>
      <c r="C193" s="98"/>
      <c r="D193" s="98"/>
      <c r="E193" s="98"/>
      <c r="F193" s="98"/>
      <c r="G193" s="98"/>
      <c r="H193" s="38">
        <f>0</f>
        <v>0</v>
      </c>
      <c r="I193" s="29">
        <f>G190*H193</f>
        <v>0</v>
      </c>
      <c r="J193">
        <v>4</v>
      </c>
      <c r="N193" s="4">
        <f>IF(ISERR(SEARCH("TRA* 82",C190)),IF(Q193+R193+S193=0,0,I193*(Q193/(Q193+R193+S193))),I193)</f>
        <v>0</v>
      </c>
      <c r="O193" s="4">
        <f>IF(ISERR(SEARCH("TRA* 82",C190)),IF(Q193+R193+S193=0,0,I193*(R193/(Q193+R193+S193))),0)</f>
        <v>0</v>
      </c>
      <c r="P193" s="4">
        <f>IF(ISERR(SEARCH("TRA* 82",C190)),I193-N193-O193,0)</f>
        <v>0</v>
      </c>
      <c r="Q193" s="4">
        <v>0</v>
      </c>
      <c r="R193" s="4">
        <v>0</v>
      </c>
      <c r="S193" s="4">
        <v>0</v>
      </c>
    </row>
    <row r="194" spans="1:19" x14ac:dyDescent="0.3">
      <c r="A194" s="96" t="s">
        <v>27</v>
      </c>
      <c r="B194" s="97"/>
      <c r="C194" s="97"/>
      <c r="D194" s="97"/>
      <c r="E194" s="97"/>
      <c r="F194" s="97"/>
      <c r="G194" s="97"/>
      <c r="H194" s="36">
        <f>H190+H191+H192+H193</f>
        <v>1568.82</v>
      </c>
      <c r="I194" s="74">
        <f>I190+I191+I192+I193</f>
        <v>1568.82</v>
      </c>
      <c r="J194">
        <v>5</v>
      </c>
    </row>
    <row r="195" spans="1:19" x14ac:dyDescent="0.3">
      <c r="B195" s="2">
        <v>37</v>
      </c>
      <c r="C195" s="3" t="s">
        <v>709</v>
      </c>
      <c r="D195" s="5" t="s">
        <v>29</v>
      </c>
      <c r="G195" s="30">
        <v>1</v>
      </c>
      <c r="H195" s="38">
        <v>2837.8</v>
      </c>
      <c r="I195" s="29">
        <f>G195*H195</f>
        <v>2837.8</v>
      </c>
      <c r="J195">
        <v>1</v>
      </c>
    </row>
    <row r="196" spans="1:19" x14ac:dyDescent="0.3">
      <c r="D196" s="15" t="str">
        <f>SUBSTITUTE("Sp.mat: 0.00%",".",IF(VALUE("1.2")=1.2,".",","),2)</f>
        <v>Sp.mat: 0.00%</v>
      </c>
      <c r="F196" s="15" t="str">
        <f>SUBSTITUTE("Sp.man: 0.00%",".",IF(VALUE("1.2")=1.2,".",","),2)</f>
        <v>Sp.man: 0.00%</v>
      </c>
      <c r="G196" s="35" t="str">
        <f>SUBSTITUTE("Sp.uti: 0.00%",".",IF(VALUE("1.2")=1.2,".",","),2)</f>
        <v>Sp.uti: 0.00%</v>
      </c>
      <c r="H196" s="38">
        <f>(1+IF(OR(ISERR(FIND(":",F196)),ISERR(FIND("%",F196))),0,MID(F196,FIND(":",F196)+2,FIND("%",F196)-FIND(":",F196)-2)/100))*0</f>
        <v>0</v>
      </c>
      <c r="I196" s="29">
        <f>G195*H196</f>
        <v>0</v>
      </c>
      <c r="J196">
        <v>2</v>
      </c>
    </row>
    <row r="197" spans="1:19" x14ac:dyDescent="0.3">
      <c r="A197" s="88" t="s">
        <v>1013</v>
      </c>
      <c r="B197" s="98"/>
      <c r="C197" s="98"/>
      <c r="D197" s="98"/>
      <c r="E197" s="98"/>
      <c r="F197" s="98"/>
      <c r="G197" s="98"/>
      <c r="H197" s="38">
        <f>(1+IF(OR(ISERR(FIND(":",G196)),ISERR(FIND("%",G196))),0,MID(G196,FIND(":",G196)+2,FIND("%",G196)-FIND(":",G196)-2)/100))*0</f>
        <v>0</v>
      </c>
      <c r="I197" s="29">
        <f>G195*H197</f>
        <v>0</v>
      </c>
      <c r="J197">
        <v>3</v>
      </c>
      <c r="K197" s="4">
        <v>0</v>
      </c>
      <c r="L197" s="4">
        <v>0</v>
      </c>
      <c r="M197" s="4">
        <f>I197-K197-L197</f>
        <v>0</v>
      </c>
    </row>
    <row r="198" spans="1:19" x14ac:dyDescent="0.3">
      <c r="A198" s="98"/>
      <c r="B198" s="98"/>
      <c r="C198" s="98"/>
      <c r="D198" s="98"/>
      <c r="E198" s="98"/>
      <c r="F198" s="98"/>
      <c r="G198" s="98"/>
      <c r="H198" s="38">
        <f>0</f>
        <v>0</v>
      </c>
      <c r="I198" s="29">
        <f>G195*H198</f>
        <v>0</v>
      </c>
      <c r="J198">
        <v>4</v>
      </c>
      <c r="N198" s="4">
        <f>IF(ISERR(SEARCH("TRA* 82",C195)),IF(Q198+R198+S198=0,0,I198*(Q198/(Q198+R198+S198))),I198)</f>
        <v>0</v>
      </c>
      <c r="O198" s="4">
        <f>IF(ISERR(SEARCH("TRA* 82",C195)),IF(Q198+R198+S198=0,0,I198*(R198/(Q198+R198+S198))),0)</f>
        <v>0</v>
      </c>
      <c r="P198" s="4">
        <f>IF(ISERR(SEARCH("TRA* 82",C195)),I198-N198-O198,0)</f>
        <v>0</v>
      </c>
      <c r="Q198" s="4">
        <v>0</v>
      </c>
      <c r="R198" s="4">
        <v>0</v>
      </c>
      <c r="S198" s="4">
        <v>0</v>
      </c>
    </row>
    <row r="199" spans="1:19" x14ac:dyDescent="0.3">
      <c r="A199" s="96" t="s">
        <v>27</v>
      </c>
      <c r="B199" s="97"/>
      <c r="C199" s="97"/>
      <c r="D199" s="97"/>
      <c r="E199" s="97"/>
      <c r="F199" s="97"/>
      <c r="G199" s="97"/>
      <c r="H199" s="36">
        <f>H195+H196+H197+H198</f>
        <v>2837.8</v>
      </c>
      <c r="I199" s="74">
        <f>I195+I196+I197+I198</f>
        <v>2837.8</v>
      </c>
      <c r="J199">
        <v>5</v>
      </c>
    </row>
    <row r="200" spans="1:19" x14ac:dyDescent="0.3">
      <c r="B200" s="2">
        <v>38</v>
      </c>
      <c r="C200" s="3" t="s">
        <v>711</v>
      </c>
      <c r="D200" s="5" t="s">
        <v>25</v>
      </c>
      <c r="G200" s="30">
        <v>10</v>
      </c>
      <c r="H200" s="38">
        <v>23.97</v>
      </c>
      <c r="I200" s="29">
        <f>G200*H200</f>
        <v>239.7</v>
      </c>
      <c r="J200">
        <v>1</v>
      </c>
    </row>
    <row r="201" spans="1:19" x14ac:dyDescent="0.3">
      <c r="D201" s="15" t="str">
        <f>SUBSTITUTE("Sp.mat: 0.00%",".",IF(VALUE("1.2")=1.2,".",","),2)</f>
        <v>Sp.mat: 0.00%</v>
      </c>
      <c r="F201" s="15" t="str">
        <f>SUBSTITUTE("Sp.man: 0.00%",".",IF(VALUE("1.2")=1.2,".",","),2)</f>
        <v>Sp.man: 0.00%</v>
      </c>
      <c r="G201" s="35" t="str">
        <f>SUBSTITUTE("Sp.uti: 0.00%",".",IF(VALUE("1.2")=1.2,".",","),2)</f>
        <v>Sp.uti: 0.00%</v>
      </c>
      <c r="H201" s="38">
        <v>21.31</v>
      </c>
      <c r="I201" s="29">
        <f>G200*H201</f>
        <v>213.1</v>
      </c>
      <c r="J201">
        <v>2</v>
      </c>
    </row>
    <row r="202" spans="1:19" x14ac:dyDescent="0.3">
      <c r="A202" s="88" t="s">
        <v>712</v>
      </c>
      <c r="B202" s="98"/>
      <c r="C202" s="98"/>
      <c r="D202" s="98"/>
      <c r="E202" s="98"/>
      <c r="F202" s="98"/>
      <c r="G202" s="98"/>
      <c r="H202" s="38">
        <f>(1+IF(OR(ISERR(FIND(":",G201)),ISERR(FIND("%",G201))),0,MID(G201,FIND(":",G201)+2,FIND("%",G201)-FIND(":",G201)-2)/100))*0</f>
        <v>0</v>
      </c>
      <c r="I202" s="29">
        <f>G200*H202</f>
        <v>0</v>
      </c>
      <c r="J202">
        <v>3</v>
      </c>
      <c r="K202" s="4">
        <v>0</v>
      </c>
      <c r="L202" s="4">
        <v>0</v>
      </c>
      <c r="M202" s="4">
        <f>I202-K202-L202</f>
        <v>0</v>
      </c>
    </row>
    <row r="203" spans="1:19" x14ac:dyDescent="0.3">
      <c r="A203" s="98"/>
      <c r="B203" s="98"/>
      <c r="C203" s="98"/>
      <c r="D203" s="98"/>
      <c r="E203" s="98"/>
      <c r="F203" s="98"/>
      <c r="G203" s="98"/>
      <c r="H203" s="38">
        <f>0</f>
        <v>0</v>
      </c>
      <c r="I203" s="29">
        <f>G200*H203</f>
        <v>0</v>
      </c>
      <c r="J203">
        <v>4</v>
      </c>
      <c r="N203" s="4">
        <f>IF(ISERR(SEARCH("TRA* 82",C200)),IF(Q203+R203+S203=0,0,I203*(Q203/(Q203+R203+S203))),I203)</f>
        <v>0</v>
      </c>
      <c r="O203" s="4">
        <f>IF(ISERR(SEARCH("TRA* 82",C200)),IF(Q203+R203+S203=0,0,I203*(R203/(Q203+R203+S203))),0)</f>
        <v>0</v>
      </c>
      <c r="P203" s="4">
        <f>IF(ISERR(SEARCH("TRA* 82",C200)),I203-N203-O203,0)</f>
        <v>0</v>
      </c>
      <c r="Q203" s="4">
        <v>0</v>
      </c>
      <c r="R203" s="4">
        <v>0</v>
      </c>
      <c r="S203" s="4">
        <v>0</v>
      </c>
    </row>
    <row r="204" spans="1:19" x14ac:dyDescent="0.3">
      <c r="A204" s="100" t="s">
        <v>87</v>
      </c>
      <c r="B204" s="101"/>
      <c r="C204" s="101"/>
      <c r="D204" s="101"/>
      <c r="E204" s="101"/>
      <c r="F204" s="101"/>
      <c r="G204" s="101"/>
      <c r="H204" s="33">
        <f>H200+H201+H202+H203</f>
        <v>45.28</v>
      </c>
      <c r="I204" s="37">
        <f>I200+I201+I202+I203</f>
        <v>452.79999999999995</v>
      </c>
      <c r="J204">
        <v>5</v>
      </c>
    </row>
    <row r="205" spans="1:19" x14ac:dyDescent="0.3">
      <c r="A205" s="102" t="s">
        <v>713</v>
      </c>
      <c r="B205" s="102"/>
      <c r="C205" s="102"/>
      <c r="D205" s="102"/>
      <c r="E205" s="102"/>
      <c r="F205" s="102"/>
      <c r="G205" s="102"/>
      <c r="H205" s="102"/>
      <c r="I205" s="102"/>
    </row>
    <row r="206" spans="1:19" x14ac:dyDescent="0.3">
      <c r="A206" s="97" t="s">
        <v>1014</v>
      </c>
      <c r="B206" s="97"/>
      <c r="C206" s="97"/>
      <c r="D206" s="97"/>
      <c r="E206" s="97"/>
      <c r="F206" s="97"/>
      <c r="G206" s="97"/>
      <c r="H206" s="97"/>
      <c r="I206" s="97"/>
    </row>
    <row r="207" spans="1:19" x14ac:dyDescent="0.3">
      <c r="B207" s="2">
        <v>39</v>
      </c>
      <c r="C207" s="3" t="s">
        <v>715</v>
      </c>
      <c r="D207" s="5" t="s">
        <v>25</v>
      </c>
      <c r="G207" s="30">
        <v>10</v>
      </c>
      <c r="H207" s="38">
        <v>32.67</v>
      </c>
      <c r="I207" s="29">
        <f>G207*H207</f>
        <v>326.70000000000005</v>
      </c>
      <c r="J207">
        <v>1</v>
      </c>
    </row>
    <row r="208" spans="1:19" x14ac:dyDescent="0.3">
      <c r="D208" s="15" t="str">
        <f>SUBSTITUTE("Sp.mat: 0.00%",".",IF(VALUE("1.2")=1.2,".",","),2)</f>
        <v>Sp.mat: 0.00%</v>
      </c>
      <c r="F208" s="15" t="str">
        <f>SUBSTITUTE("Sp.man: 0.00%",".",IF(VALUE("1.2")=1.2,".",","),2)</f>
        <v>Sp.man: 0.00%</v>
      </c>
      <c r="G208" s="35" t="str">
        <f>SUBSTITUTE("Sp.uti: 0.00%",".",IF(VALUE("1.2")=1.2,".",","),2)</f>
        <v>Sp.uti: 0.00%</v>
      </c>
      <c r="H208" s="38">
        <v>22.13</v>
      </c>
      <c r="I208" s="29">
        <f>G207*H208</f>
        <v>221.29999999999998</v>
      </c>
      <c r="J208">
        <v>2</v>
      </c>
    </row>
    <row r="209" spans="1:19" x14ac:dyDescent="0.3">
      <c r="A209" s="88" t="s">
        <v>716</v>
      </c>
      <c r="B209" s="98"/>
      <c r="C209" s="98"/>
      <c r="D209" s="98"/>
      <c r="E209" s="98"/>
      <c r="F209" s="98"/>
      <c r="G209" s="98"/>
      <c r="H209" s="38">
        <f>(1+IF(OR(ISERR(FIND(":",G208)),ISERR(FIND("%",G208))),0,MID(G208,FIND(":",G208)+2,FIND("%",G208)-FIND(":",G208)-2)/100))*0</f>
        <v>0</v>
      </c>
      <c r="I209" s="29">
        <f>G207*H209</f>
        <v>0</v>
      </c>
      <c r="J209">
        <v>3</v>
      </c>
      <c r="K209" s="4">
        <v>0</v>
      </c>
      <c r="L209" s="4">
        <v>0</v>
      </c>
      <c r="M209" s="4">
        <f>I209-K209-L209</f>
        <v>0</v>
      </c>
    </row>
    <row r="210" spans="1:19" x14ac:dyDescent="0.3">
      <c r="A210" s="98"/>
      <c r="B210" s="98"/>
      <c r="C210" s="98"/>
      <c r="D210" s="98"/>
      <c r="E210" s="98"/>
      <c r="F210" s="98"/>
      <c r="G210" s="98"/>
      <c r="H210" s="38">
        <f>0</f>
        <v>0</v>
      </c>
      <c r="I210" s="29">
        <f>G207*H210</f>
        <v>0</v>
      </c>
      <c r="J210">
        <v>4</v>
      </c>
      <c r="N210" s="4">
        <f>IF(ISERR(SEARCH("TRA* 82",C207)),IF(Q210+R210+S210=0,0,I210*(Q210/(Q210+R210+S210))),I210)</f>
        <v>0</v>
      </c>
      <c r="O210" s="4">
        <f>IF(ISERR(SEARCH("TRA* 82",C207)),IF(Q210+R210+S210=0,0,I210*(R210/(Q210+R210+S210))),0)</f>
        <v>0</v>
      </c>
      <c r="P210" s="4">
        <f>IF(ISERR(SEARCH("TRA* 82",C207)),I210-N210-O210,0)</f>
        <v>0</v>
      </c>
      <c r="Q210" s="4">
        <v>0</v>
      </c>
      <c r="R210" s="4">
        <v>0</v>
      </c>
      <c r="S210" s="4">
        <v>0</v>
      </c>
    </row>
    <row r="211" spans="1:19" x14ac:dyDescent="0.3">
      <c r="A211" s="100" t="s">
        <v>87</v>
      </c>
      <c r="B211" s="101"/>
      <c r="C211" s="101"/>
      <c r="D211" s="101"/>
      <c r="E211" s="101"/>
      <c r="F211" s="101"/>
      <c r="G211" s="101"/>
      <c r="H211" s="33">
        <f>H207+H208+H209+H210</f>
        <v>54.8</v>
      </c>
      <c r="I211" s="37">
        <f>I207+I208+I209+I210</f>
        <v>548</v>
      </c>
      <c r="J211">
        <v>5</v>
      </c>
    </row>
    <row r="212" spans="1:19" x14ac:dyDescent="0.3">
      <c r="A212" s="102" t="s">
        <v>717</v>
      </c>
      <c r="B212" s="102"/>
      <c r="C212" s="102"/>
      <c r="D212" s="102"/>
      <c r="E212" s="102"/>
      <c r="F212" s="102"/>
      <c r="G212" s="102"/>
      <c r="H212" s="102"/>
      <c r="I212" s="102"/>
    </row>
    <row r="213" spans="1:19" x14ac:dyDescent="0.3">
      <c r="A213" s="97" t="s">
        <v>714</v>
      </c>
      <c r="B213" s="97"/>
      <c r="C213" s="97"/>
      <c r="D213" s="97"/>
      <c r="E213" s="97"/>
      <c r="F213" s="97"/>
      <c r="G213" s="97"/>
      <c r="H213" s="97"/>
      <c r="I213" s="97"/>
    </row>
    <row r="214" spans="1:19" x14ac:dyDescent="0.3">
      <c r="B214" s="2">
        <v>40</v>
      </c>
      <c r="C214" s="3" t="s">
        <v>718</v>
      </c>
      <c r="D214" s="5" t="s">
        <v>25</v>
      </c>
      <c r="G214" s="30">
        <v>20</v>
      </c>
      <c r="H214" s="38">
        <f>(1+IF(OR(ISERR(FIND(":",D215)),ISERR(FIND("%",D215))),0,MID(D215,FIND(":",D215)+2,FIND("%",D215)-FIND(":",D215)-2)/100))*0</f>
        <v>0</v>
      </c>
      <c r="I214" s="29">
        <f>G214*H214</f>
        <v>0</v>
      </c>
      <c r="J214">
        <v>1</v>
      </c>
    </row>
    <row r="215" spans="1:19" x14ac:dyDescent="0.3">
      <c r="D215" s="15" t="str">
        <f>SUBSTITUTE("Sp.mat: 0.00%",".",IF(VALUE("1.2")=1.2,".",","),2)</f>
        <v>Sp.mat: 0.00%</v>
      </c>
      <c r="F215" s="15" t="str">
        <f>SUBSTITUTE("Sp.man: 0.00%",".",IF(VALUE("1.2")=1.2,".",","),2)</f>
        <v>Sp.man: 0.00%</v>
      </c>
      <c r="G215" s="35" t="str">
        <f>SUBSTITUTE("Sp.uti: 0.00%",".",IF(VALUE("1.2")=1.2,".",","),2)</f>
        <v>Sp.uti: 0.00%</v>
      </c>
      <c r="H215" s="38">
        <v>0.66</v>
      </c>
      <c r="I215" s="29">
        <f>G214*H215</f>
        <v>13.200000000000001</v>
      </c>
      <c r="J215">
        <v>2</v>
      </c>
    </row>
    <row r="216" spans="1:19" x14ac:dyDescent="0.3">
      <c r="A216" s="88" t="s">
        <v>1015</v>
      </c>
      <c r="B216" s="98"/>
      <c r="C216" s="98"/>
      <c r="D216" s="98"/>
      <c r="E216" s="98"/>
      <c r="F216" s="98"/>
      <c r="G216" s="98"/>
      <c r="H216" s="38">
        <f>(1+IF(OR(ISERR(FIND(":",G215)),ISERR(FIND("%",G215))),0,MID(G215,FIND(":",G215)+2,FIND("%",G215)-FIND(":",G215)-2)/100))*0</f>
        <v>0</v>
      </c>
      <c r="I216" s="29">
        <f>G214*H216</f>
        <v>0</v>
      </c>
      <c r="J216">
        <v>3</v>
      </c>
      <c r="K216" s="4">
        <v>0</v>
      </c>
      <c r="L216" s="4">
        <v>0</v>
      </c>
      <c r="M216" s="4">
        <f>I216-K216-L216</f>
        <v>0</v>
      </c>
    </row>
    <row r="217" spans="1:19" x14ac:dyDescent="0.3">
      <c r="A217" s="98"/>
      <c r="B217" s="98"/>
      <c r="C217" s="98"/>
      <c r="D217" s="98"/>
      <c r="E217" s="98"/>
      <c r="F217" s="98"/>
      <c r="G217" s="98"/>
      <c r="H217" s="38">
        <f>0</f>
        <v>0</v>
      </c>
      <c r="I217" s="29">
        <f>G214*H217</f>
        <v>0</v>
      </c>
      <c r="J217">
        <v>4</v>
      </c>
      <c r="N217" s="4">
        <f>IF(ISERR(SEARCH("TRA* 82",C214)),IF(Q217+R217+S217=0,0,I217*(Q217/(Q217+R217+S217))),I217)</f>
        <v>0</v>
      </c>
      <c r="O217" s="4">
        <f>IF(ISERR(SEARCH("TRA* 82",C214)),IF(Q217+R217+S217=0,0,I217*(R217/(Q217+R217+S217))),0)</f>
        <v>0</v>
      </c>
      <c r="P217" s="4">
        <f>IF(ISERR(SEARCH("TRA* 82",C214)),I217-N217-O217,0)</f>
        <v>0</v>
      </c>
      <c r="Q217" s="4">
        <v>0</v>
      </c>
      <c r="R217" s="4">
        <v>0</v>
      </c>
      <c r="S217" s="4">
        <v>0</v>
      </c>
    </row>
    <row r="218" spans="1:19" x14ac:dyDescent="0.3">
      <c r="A218" s="100" t="s">
        <v>87</v>
      </c>
      <c r="B218" s="101"/>
      <c r="C218" s="101"/>
      <c r="D218" s="101"/>
      <c r="E218" s="101"/>
      <c r="F218" s="101"/>
      <c r="G218" s="101"/>
      <c r="H218" s="33">
        <f>H214+H215+H216+H217</f>
        <v>0.66</v>
      </c>
      <c r="I218" s="37">
        <f>I214+I215+I216+I217</f>
        <v>13.200000000000001</v>
      </c>
      <c r="J218">
        <v>5</v>
      </c>
    </row>
    <row r="219" spans="1:19" x14ac:dyDescent="0.3">
      <c r="A219" s="99" t="s">
        <v>1016</v>
      </c>
      <c r="B219" s="99"/>
      <c r="C219" s="99"/>
      <c r="D219" s="99"/>
      <c r="E219" s="99"/>
      <c r="F219" s="99"/>
      <c r="G219" s="99"/>
      <c r="H219" s="99"/>
      <c r="I219" s="99"/>
    </row>
    <row r="220" spans="1:19" x14ac:dyDescent="0.3">
      <c r="B220" s="2">
        <v>41</v>
      </c>
      <c r="C220" s="3" t="s">
        <v>722</v>
      </c>
      <c r="D220" s="5" t="s">
        <v>25</v>
      </c>
      <c r="G220" s="30">
        <v>10</v>
      </c>
      <c r="H220" s="38">
        <v>22.57</v>
      </c>
      <c r="I220" s="29">
        <f>G220*H220</f>
        <v>225.7</v>
      </c>
      <c r="J220">
        <v>1</v>
      </c>
    </row>
    <row r="221" spans="1:19" x14ac:dyDescent="0.3">
      <c r="D221" s="15" t="str">
        <f>SUBSTITUTE("Sp.mat: 0.00%",".",IF(VALUE("1.2")=1.2,".",","),2)</f>
        <v>Sp.mat: 0.00%</v>
      </c>
      <c r="F221" s="15" t="str">
        <f>SUBSTITUTE("Sp.man: 0.00%",".",IF(VALUE("1.2")=1.2,".",","),2)</f>
        <v>Sp.man: 0.00%</v>
      </c>
      <c r="G221" s="35" t="str">
        <f>SUBSTITUTE("Sp.uti: 0.00%",".",IF(VALUE("1.2")=1.2,".",","),2)</f>
        <v>Sp.uti: 0.00%</v>
      </c>
      <c r="H221" s="38">
        <f>(1+IF(OR(ISERR(FIND(":",F221)),ISERR(FIND("%",F221))),0,MID(F221,FIND(":",F221)+2,FIND("%",F221)-FIND(":",F221)-2)/100))*0</f>
        <v>0</v>
      </c>
      <c r="I221" s="29">
        <f>G220*H221</f>
        <v>0</v>
      </c>
      <c r="J221">
        <v>2</v>
      </c>
    </row>
    <row r="222" spans="1:19" x14ac:dyDescent="0.3">
      <c r="A222" s="88" t="s">
        <v>1017</v>
      </c>
      <c r="B222" s="98"/>
      <c r="C222" s="98"/>
      <c r="D222" s="98"/>
      <c r="E222" s="98"/>
      <c r="F222" s="98"/>
      <c r="G222" s="98"/>
      <c r="H222" s="38">
        <f>(1+IF(OR(ISERR(FIND(":",G221)),ISERR(FIND("%",G221))),0,MID(G221,FIND(":",G221)+2,FIND("%",G221)-FIND(":",G221)-2)/100))*0</f>
        <v>0</v>
      </c>
      <c r="I222" s="29">
        <f>G220*H222</f>
        <v>0</v>
      </c>
      <c r="J222">
        <v>3</v>
      </c>
      <c r="K222" s="4">
        <v>0</v>
      </c>
      <c r="L222" s="4">
        <v>0</v>
      </c>
      <c r="M222" s="4">
        <f>I222-K222-L222</f>
        <v>0</v>
      </c>
    </row>
    <row r="223" spans="1:19" x14ac:dyDescent="0.3">
      <c r="A223" s="98"/>
      <c r="B223" s="98"/>
      <c r="C223" s="98"/>
      <c r="D223" s="98"/>
      <c r="E223" s="98"/>
      <c r="F223" s="98"/>
      <c r="G223" s="98"/>
      <c r="H223" s="38">
        <f>0</f>
        <v>0</v>
      </c>
      <c r="I223" s="29">
        <f>G220*H223</f>
        <v>0</v>
      </c>
      <c r="J223">
        <v>4</v>
      </c>
      <c r="N223" s="4">
        <f>IF(ISERR(SEARCH("TRA* 82",C220)),IF(Q223+R223+S223=0,0,I223*(Q223/(Q223+R223+S223))),I223)</f>
        <v>0</v>
      </c>
      <c r="O223" s="4">
        <f>IF(ISERR(SEARCH("TRA* 82",C220)),IF(Q223+R223+S223=0,0,I223*(R223/(Q223+R223+S223))),0)</f>
        <v>0</v>
      </c>
      <c r="P223" s="4">
        <f>IF(ISERR(SEARCH("TRA* 82",C220)),I223-N223-O223,0)</f>
        <v>0</v>
      </c>
      <c r="Q223" s="4">
        <v>0</v>
      </c>
      <c r="R223" s="4">
        <v>0</v>
      </c>
      <c r="S223" s="4">
        <v>0</v>
      </c>
    </row>
    <row r="224" spans="1:19" x14ac:dyDescent="0.3">
      <c r="A224" s="96" t="s">
        <v>27</v>
      </c>
      <c r="B224" s="97"/>
      <c r="C224" s="97"/>
      <c r="D224" s="97"/>
      <c r="E224" s="97"/>
      <c r="F224" s="97"/>
      <c r="G224" s="97"/>
      <c r="H224" s="36">
        <f>H220+H221+H222+H223</f>
        <v>22.57</v>
      </c>
      <c r="I224" s="74">
        <f>I220+I221+I222+I223</f>
        <v>225.7</v>
      </c>
      <c r="J224">
        <v>5</v>
      </c>
    </row>
    <row r="225" spans="1:19" x14ac:dyDescent="0.3">
      <c r="B225" s="2">
        <v>42</v>
      </c>
      <c r="C225" s="3" t="s">
        <v>724</v>
      </c>
      <c r="D225" s="5" t="s">
        <v>25</v>
      </c>
      <c r="G225" s="30">
        <v>10</v>
      </c>
      <c r="H225" s="38">
        <v>22.57</v>
      </c>
      <c r="I225" s="29">
        <f>G225*H225</f>
        <v>225.7</v>
      </c>
      <c r="J225">
        <v>1</v>
      </c>
    </row>
    <row r="226" spans="1:19" x14ac:dyDescent="0.3">
      <c r="D226" s="15" t="str">
        <f>SUBSTITUTE("Sp.mat: 0.00%",".",IF(VALUE("1.2")=1.2,".",","),2)</f>
        <v>Sp.mat: 0.00%</v>
      </c>
      <c r="F226" s="15" t="str">
        <f>SUBSTITUTE("Sp.man: 0.00%",".",IF(VALUE("1.2")=1.2,".",","),2)</f>
        <v>Sp.man: 0.00%</v>
      </c>
      <c r="G226" s="35" t="str">
        <f>SUBSTITUTE("Sp.uti: 0.00%",".",IF(VALUE("1.2")=1.2,".",","),2)</f>
        <v>Sp.uti: 0.00%</v>
      </c>
      <c r="H226" s="38">
        <f>(1+IF(OR(ISERR(FIND(":",F226)),ISERR(FIND("%",F226))),0,MID(F226,FIND(":",F226)+2,FIND("%",F226)-FIND(":",F226)-2)/100))*0</f>
        <v>0</v>
      </c>
      <c r="I226" s="29">
        <f>G225*H226</f>
        <v>0</v>
      </c>
      <c r="J226">
        <v>2</v>
      </c>
    </row>
    <row r="227" spans="1:19" x14ac:dyDescent="0.3">
      <c r="A227" s="88" t="s">
        <v>725</v>
      </c>
      <c r="B227" s="98"/>
      <c r="C227" s="98"/>
      <c r="D227" s="98"/>
      <c r="E227" s="98"/>
      <c r="F227" s="98"/>
      <c r="G227" s="98"/>
      <c r="H227" s="38">
        <f>(1+IF(OR(ISERR(FIND(":",G226)),ISERR(FIND("%",G226))),0,MID(G226,FIND(":",G226)+2,FIND("%",G226)-FIND(":",G226)-2)/100))*0</f>
        <v>0</v>
      </c>
      <c r="I227" s="29">
        <f>G225*H227</f>
        <v>0</v>
      </c>
      <c r="J227">
        <v>3</v>
      </c>
      <c r="K227" s="4">
        <v>0</v>
      </c>
      <c r="L227" s="4">
        <v>0</v>
      </c>
      <c r="M227" s="4">
        <f>I227-K227-L227</f>
        <v>0</v>
      </c>
    </row>
    <row r="228" spans="1:19" x14ac:dyDescent="0.3">
      <c r="A228" s="98"/>
      <c r="B228" s="98"/>
      <c r="C228" s="98"/>
      <c r="D228" s="98"/>
      <c r="E228" s="98"/>
      <c r="F228" s="98"/>
      <c r="G228" s="98"/>
      <c r="H228" s="38">
        <f>0</f>
        <v>0</v>
      </c>
      <c r="I228" s="29">
        <f>G225*H228</f>
        <v>0</v>
      </c>
      <c r="J228">
        <v>4</v>
      </c>
      <c r="N228" s="4">
        <f>IF(ISERR(SEARCH("TRA* 82",C225)),IF(Q228+R228+S228=0,0,I228*(Q228/(Q228+R228+S228))),I228)</f>
        <v>0</v>
      </c>
      <c r="O228" s="4">
        <f>IF(ISERR(SEARCH("TRA* 82",C225)),IF(Q228+R228+S228=0,0,I228*(R228/(Q228+R228+S228))),0)</f>
        <v>0</v>
      </c>
      <c r="P228" s="4">
        <f>IF(ISERR(SEARCH("TRA* 82",C225)),I228-N228-O228,0)</f>
        <v>0</v>
      </c>
      <c r="Q228" s="4">
        <v>0</v>
      </c>
      <c r="R228" s="4">
        <v>0</v>
      </c>
      <c r="S228" s="4">
        <v>0</v>
      </c>
    </row>
    <row r="229" spans="1:19" x14ac:dyDescent="0.3">
      <c r="A229" s="96" t="s">
        <v>27</v>
      </c>
      <c r="B229" s="97"/>
      <c r="C229" s="97"/>
      <c r="D229" s="97"/>
      <c r="E229" s="97"/>
      <c r="F229" s="97"/>
      <c r="G229" s="97"/>
      <c r="H229" s="36">
        <f>H225+H226+H227+H228</f>
        <v>22.57</v>
      </c>
      <c r="I229" s="74">
        <f>I225+I226+I227+I228</f>
        <v>225.7</v>
      </c>
      <c r="J229">
        <v>5</v>
      </c>
    </row>
    <row r="230" spans="1:19" x14ac:dyDescent="0.3">
      <c r="B230" s="2">
        <v>43</v>
      </c>
      <c r="C230" s="3" t="s">
        <v>726</v>
      </c>
      <c r="D230" s="5" t="s">
        <v>25</v>
      </c>
      <c r="G230" s="30">
        <v>20</v>
      </c>
      <c r="H230" s="38">
        <v>2.4</v>
      </c>
      <c r="I230" s="29">
        <f>G230*H230</f>
        <v>48</v>
      </c>
      <c r="J230">
        <v>1</v>
      </c>
    </row>
    <row r="231" spans="1:19" x14ac:dyDescent="0.3">
      <c r="D231" s="15" t="str">
        <f>SUBSTITUTE("Sp.mat: 0.00%",".",IF(VALUE("1.2")=1.2,".",","),2)</f>
        <v>Sp.mat: 0.00%</v>
      </c>
      <c r="F231" s="15" t="str">
        <f>SUBSTITUTE("Sp.man: 0.00%",".",IF(VALUE("1.2")=1.2,".",","),2)</f>
        <v>Sp.man: 0.00%</v>
      </c>
      <c r="G231" s="35" t="str">
        <f>SUBSTITUTE("Sp.uti: 0.00%",".",IF(VALUE("1.2")=1.2,".",","),2)</f>
        <v>Sp.uti: 0.00%</v>
      </c>
      <c r="H231" s="38">
        <v>0.99</v>
      </c>
      <c r="I231" s="29">
        <f>G230*H231</f>
        <v>19.8</v>
      </c>
      <c r="J231">
        <v>2</v>
      </c>
    </row>
    <row r="232" spans="1:19" x14ac:dyDescent="0.3">
      <c r="A232" s="88" t="s">
        <v>727</v>
      </c>
      <c r="B232" s="98"/>
      <c r="C232" s="98"/>
      <c r="D232" s="98"/>
      <c r="E232" s="98"/>
      <c r="F232" s="98"/>
      <c r="G232" s="98"/>
      <c r="H232" s="38">
        <f>(1+IF(OR(ISERR(FIND(":",G231)),ISERR(FIND("%",G231))),0,MID(G231,FIND(":",G231)+2,FIND("%",G231)-FIND(":",G231)-2)/100))*0</f>
        <v>0</v>
      </c>
      <c r="I232" s="29">
        <f>G230*H232</f>
        <v>0</v>
      </c>
      <c r="J232">
        <v>3</v>
      </c>
      <c r="K232" s="4">
        <v>0</v>
      </c>
      <c r="L232" s="4">
        <v>0</v>
      </c>
      <c r="M232" s="4">
        <f>I232-K232-L232</f>
        <v>0</v>
      </c>
    </row>
    <row r="233" spans="1:19" x14ac:dyDescent="0.3">
      <c r="A233" s="98"/>
      <c r="B233" s="98"/>
      <c r="C233" s="98"/>
      <c r="D233" s="98"/>
      <c r="E233" s="98"/>
      <c r="F233" s="98"/>
      <c r="G233" s="98"/>
      <c r="H233" s="38">
        <f>0</f>
        <v>0</v>
      </c>
      <c r="I233" s="29">
        <f>G230*H233</f>
        <v>0</v>
      </c>
      <c r="J233">
        <v>4</v>
      </c>
      <c r="N233" s="4">
        <f>IF(ISERR(SEARCH("TRA* 82",C230)),IF(Q233+R233+S233=0,0,I233*(Q233/(Q233+R233+S233))),I233)</f>
        <v>0</v>
      </c>
      <c r="O233" s="4">
        <f>IF(ISERR(SEARCH("TRA* 82",C230)),IF(Q233+R233+S233=0,0,I233*(R233/(Q233+R233+S233))),0)</f>
        <v>0</v>
      </c>
      <c r="P233" s="4">
        <f>IF(ISERR(SEARCH("TRA* 82",C230)),I233-N233-O233,0)</f>
        <v>0</v>
      </c>
      <c r="Q233" s="4">
        <v>0</v>
      </c>
      <c r="R233" s="4">
        <v>0</v>
      </c>
      <c r="S233" s="4">
        <v>0</v>
      </c>
    </row>
    <row r="234" spans="1:19" x14ac:dyDescent="0.3">
      <c r="A234" s="96" t="s">
        <v>27</v>
      </c>
      <c r="B234" s="97"/>
      <c r="C234" s="97"/>
      <c r="D234" s="97"/>
      <c r="E234" s="97"/>
      <c r="F234" s="97"/>
      <c r="G234" s="97"/>
      <c r="H234" s="36">
        <f>H230+H231+H232+H233</f>
        <v>3.3899999999999997</v>
      </c>
      <c r="I234" s="74">
        <f>I230+I231+I232+I233</f>
        <v>67.8</v>
      </c>
      <c r="J234">
        <v>5</v>
      </c>
    </row>
    <row r="235" spans="1:19" x14ac:dyDescent="0.3">
      <c r="B235" s="2">
        <v>44</v>
      </c>
      <c r="C235" s="3" t="s">
        <v>728</v>
      </c>
      <c r="D235" s="5" t="s">
        <v>25</v>
      </c>
      <c r="G235" s="30">
        <v>20</v>
      </c>
      <c r="H235" s="38">
        <f>(1+IF(OR(ISERR(FIND(":",D236)),ISERR(FIND("%",D236))),0,MID(D236,FIND(":",D236)+2,FIND("%",D236)-FIND(":",D236)-2)/100))*0</f>
        <v>0</v>
      </c>
      <c r="I235" s="29">
        <f>G235*H235</f>
        <v>0</v>
      </c>
      <c r="J235">
        <v>1</v>
      </c>
    </row>
    <row r="236" spans="1:19" x14ac:dyDescent="0.3">
      <c r="D236" s="15" t="str">
        <f>SUBSTITUTE("Sp.mat: -100.00%",".",IF(VALUE("1.2")=1.2,".",","),2)</f>
        <v>Sp.mat: -100.00%</v>
      </c>
      <c r="F236" s="15" t="str">
        <f>SUBSTITUTE("Sp.man: 0.00%",".",IF(VALUE("1.2")=1.2,".",","),2)</f>
        <v>Sp.man: 0.00%</v>
      </c>
      <c r="G236" s="35" t="str">
        <f>SUBSTITUTE("Sp.uti: 0.00%",".",IF(VALUE("1.2")=1.2,".",","),2)</f>
        <v>Sp.uti: 0.00%</v>
      </c>
      <c r="H236" s="38">
        <v>1.28</v>
      </c>
      <c r="I236" s="29">
        <f>G235*H236</f>
        <v>25.6</v>
      </c>
      <c r="J236">
        <v>2</v>
      </c>
    </row>
    <row r="237" spans="1:19" x14ac:dyDescent="0.3">
      <c r="A237" s="88" t="s">
        <v>1018</v>
      </c>
      <c r="B237" s="98"/>
      <c r="C237" s="98"/>
      <c r="D237" s="98"/>
      <c r="E237" s="98"/>
      <c r="F237" s="98"/>
      <c r="G237" s="98"/>
      <c r="H237" s="38">
        <f>(1+IF(OR(ISERR(FIND(":",G236)),ISERR(FIND("%",G236))),0,MID(G236,FIND(":",G236)+2,FIND("%",G236)-FIND(":",G236)-2)/100))*0</f>
        <v>0</v>
      </c>
      <c r="I237" s="29">
        <f>G235*H237</f>
        <v>0</v>
      </c>
      <c r="J237">
        <v>3</v>
      </c>
      <c r="K237" s="4">
        <v>0</v>
      </c>
      <c r="L237" s="4">
        <v>0</v>
      </c>
      <c r="M237" s="4">
        <f>I237-K237-L237</f>
        <v>0</v>
      </c>
    </row>
    <row r="238" spans="1:19" x14ac:dyDescent="0.3">
      <c r="A238" s="98"/>
      <c r="B238" s="98"/>
      <c r="C238" s="98"/>
      <c r="D238" s="98"/>
      <c r="E238" s="98"/>
      <c r="F238" s="98"/>
      <c r="G238" s="98"/>
      <c r="H238" s="38">
        <f>0</f>
        <v>0</v>
      </c>
      <c r="I238" s="29">
        <f>G235*H238</f>
        <v>0</v>
      </c>
      <c r="J238">
        <v>4</v>
      </c>
      <c r="N238" s="4">
        <f>IF(ISERR(SEARCH("TRA* 82",C235)),IF(Q238+R238+S238=0,0,I238*(Q238/(Q238+R238+S238))),I238)</f>
        <v>0</v>
      </c>
      <c r="O238" s="4">
        <f>IF(ISERR(SEARCH("TRA* 82",C235)),IF(Q238+R238+S238=0,0,I238*(R238/(Q238+R238+S238))),0)</f>
        <v>0</v>
      </c>
      <c r="P238" s="4">
        <f>IF(ISERR(SEARCH("TRA* 82",C235)),I238-N238-O238,0)</f>
        <v>0</v>
      </c>
      <c r="Q238" s="4">
        <v>0</v>
      </c>
      <c r="R238" s="4">
        <v>0</v>
      </c>
      <c r="S238" s="4">
        <v>0</v>
      </c>
    </row>
    <row r="239" spans="1:19" x14ac:dyDescent="0.3">
      <c r="A239" s="96" t="s">
        <v>730</v>
      </c>
      <c r="B239" s="97"/>
      <c r="C239" s="97"/>
      <c r="D239" s="97"/>
      <c r="E239" s="97"/>
      <c r="F239" s="97"/>
      <c r="G239" s="97"/>
      <c r="H239" s="36">
        <f>H235+H236+H237+H238</f>
        <v>1.28</v>
      </c>
      <c r="I239" s="74">
        <f>I235+I236+I237+I238</f>
        <v>25.6</v>
      </c>
      <c r="J239">
        <v>5</v>
      </c>
    </row>
    <row r="240" spans="1:19" x14ac:dyDescent="0.3">
      <c r="B240" s="2">
        <v>45</v>
      </c>
      <c r="C240" s="3" t="s">
        <v>474</v>
      </c>
      <c r="D240" s="5" t="s">
        <v>29</v>
      </c>
      <c r="G240" s="30">
        <v>2</v>
      </c>
      <c r="H240" s="38">
        <f>(1+IF(OR(ISERR(FIND(":",D241)),ISERR(FIND("%",D241))),0,MID(D241,FIND(":",D241)+2,FIND("%",D241)-FIND(":",D241)-2)/100))*0</f>
        <v>0</v>
      </c>
      <c r="I240" s="29">
        <f>G240*H240</f>
        <v>0</v>
      </c>
      <c r="J240">
        <v>1</v>
      </c>
    </row>
    <row r="241" spans="1:19" x14ac:dyDescent="0.3">
      <c r="D241" s="15" t="str">
        <f>SUBSTITUTE("Sp.mat: 0.00%",".",IF(VALUE("1.2")=1.2,".",","),2)</f>
        <v>Sp.mat: 0.00%</v>
      </c>
      <c r="F241" s="15" t="str">
        <f>SUBSTITUTE("Sp.man: 0.00%",".",IF(VALUE("1.2")=1.2,".",","),2)</f>
        <v>Sp.man: 0.00%</v>
      </c>
      <c r="G241" s="35" t="str">
        <f>SUBSTITUTE("Sp.uti: 0.00%",".",IF(VALUE("1.2")=1.2,".",","),2)</f>
        <v>Sp.uti: 0.00%</v>
      </c>
      <c r="H241" s="38">
        <v>38.44</v>
      </c>
      <c r="I241" s="29">
        <f>G240*H241</f>
        <v>76.88</v>
      </c>
      <c r="J241">
        <v>2</v>
      </c>
    </row>
    <row r="242" spans="1:19" x14ac:dyDescent="0.3">
      <c r="A242" s="88" t="s">
        <v>475</v>
      </c>
      <c r="B242" s="98"/>
      <c r="C242" s="98"/>
      <c r="D242" s="98"/>
      <c r="E242" s="98"/>
      <c r="F242" s="98"/>
      <c r="G242" s="98"/>
      <c r="H242" s="38">
        <v>19.22</v>
      </c>
      <c r="I242" s="29">
        <f>G240*H242</f>
        <v>38.44</v>
      </c>
      <c r="J242">
        <v>3</v>
      </c>
      <c r="K242" s="4">
        <v>72</v>
      </c>
      <c r="L242" s="4">
        <v>0</v>
      </c>
      <c r="M242" s="4">
        <f>I242-K242-L242</f>
        <v>-33.56</v>
      </c>
    </row>
    <row r="243" spans="1:19" x14ac:dyDescent="0.3">
      <c r="A243" s="98"/>
      <c r="B243" s="98"/>
      <c r="C243" s="98"/>
      <c r="D243" s="98"/>
      <c r="E243" s="98"/>
      <c r="F243" s="98"/>
      <c r="G243" s="98"/>
      <c r="H243" s="38">
        <f>0</f>
        <v>0</v>
      </c>
      <c r="I243" s="29">
        <f>G240*H243</f>
        <v>0</v>
      </c>
      <c r="J243">
        <v>4</v>
      </c>
      <c r="N243" s="4">
        <f>IF(ISERR(SEARCH("TRA* 82",C240)),IF(Q243+R243+S243=0,0,I243*(Q243/(Q243+R243+S243))),I243)</f>
        <v>0</v>
      </c>
      <c r="O243" s="4">
        <f>IF(ISERR(SEARCH("TRA* 82",C240)),IF(Q243+R243+S243=0,0,I243*(R243/(Q243+R243+S243))),0)</f>
        <v>0</v>
      </c>
      <c r="P243" s="4">
        <f>IF(ISERR(SEARCH("TRA* 82",C240)),I243-N243-O243,0)</f>
        <v>0</v>
      </c>
      <c r="Q243" s="4">
        <v>0</v>
      </c>
      <c r="R243" s="4">
        <v>0</v>
      </c>
      <c r="S243" s="4">
        <v>0</v>
      </c>
    </row>
    <row r="244" spans="1:19" x14ac:dyDescent="0.3">
      <c r="A244" s="96" t="s">
        <v>1019</v>
      </c>
      <c r="B244" s="97"/>
      <c r="C244" s="97"/>
      <c r="D244" s="97"/>
      <c r="E244" s="97"/>
      <c r="F244" s="97"/>
      <c r="G244" s="97"/>
      <c r="H244" s="36">
        <f>H240+H241+H242+H243</f>
        <v>57.66</v>
      </c>
      <c r="I244" s="74">
        <f>I240+I241+I242+I243</f>
        <v>115.32</v>
      </c>
      <c r="J244">
        <v>5</v>
      </c>
    </row>
    <row r="245" spans="1:19" x14ac:dyDescent="0.3">
      <c r="B245" s="16" t="s">
        <v>58</v>
      </c>
      <c r="E245" s="4">
        <f>SUMIF(J12:J244,"1",I12:I244)</f>
        <v>75674.219999999987</v>
      </c>
      <c r="F245" s="4">
        <f>SUMIF(J12:J244,"2",I12:I244)</f>
        <v>27236.310000000005</v>
      </c>
      <c r="G245" s="29">
        <f>SUMIF(J12:J244,"3",I12:I244)</f>
        <v>1847.59</v>
      </c>
      <c r="H245" s="29">
        <f>SUMIF(J12:J244,"4",I12:I244)</f>
        <v>0</v>
      </c>
      <c r="I245" s="29">
        <f>SUMIF(J12:J244,"5",I12:I244)</f>
        <v>104758.12000000002</v>
      </c>
      <c r="K245" s="4">
        <f>SUMIF(J12:J244,"3",K12:K244)</f>
        <v>2412</v>
      </c>
      <c r="L245" s="4">
        <f>SUMIF(J12:J244,"3",L12:L244)</f>
        <v>906.96600000000001</v>
      </c>
      <c r="M245" s="4">
        <f>SUMIF(J12:J244,"3",M12:M244)</f>
        <v>-1471.376</v>
      </c>
      <c r="N245" s="4">
        <f>SUMIF(J12:J244,"4",N12:N244)</f>
        <v>0</v>
      </c>
      <c r="O245" s="4">
        <f>SUMIF(J12:J244,"4",O12:O244)</f>
        <v>0</v>
      </c>
      <c r="P245" s="4">
        <f>SUMIF(J12:J244,"4",P12:P244)</f>
        <v>0</v>
      </c>
      <c r="Q245" s="4">
        <f>SUMIF(J12:J244,"4",Q12:Q244)</f>
        <v>0</v>
      </c>
      <c r="R245" s="4">
        <f>SUMIF(J12:J244,"4",R12:R244)</f>
        <v>0</v>
      </c>
      <c r="S245" s="4">
        <f>SUMIF(J12:J244,"4",S12:S244)</f>
        <v>0</v>
      </c>
    </row>
    <row r="246" spans="1:19" x14ac:dyDescent="0.3">
      <c r="B246" s="107" t="s">
        <v>72</v>
      </c>
      <c r="C246" s="108"/>
      <c r="D246" s="26" t="s">
        <v>73</v>
      </c>
      <c r="E246" s="26"/>
      <c r="F246" s="26"/>
      <c r="G246" s="109"/>
      <c r="H246" s="36"/>
      <c r="I246" s="110">
        <f>I245</f>
        <v>104758.12000000002</v>
      </c>
    </row>
  </sheetData>
  <mergeCells count="103">
    <mergeCell ref="A1:D1"/>
    <mergeCell ref="A2:I2"/>
    <mergeCell ref="A3:I3"/>
    <mergeCell ref="A4:I4"/>
    <mergeCell ref="A5:H5"/>
    <mergeCell ref="A14:G15"/>
    <mergeCell ref="A31:G31"/>
    <mergeCell ref="A34:G35"/>
    <mergeCell ref="A36:G36"/>
    <mergeCell ref="A39:G40"/>
    <mergeCell ref="A41:G41"/>
    <mergeCell ref="A44:G45"/>
    <mergeCell ref="A16:G16"/>
    <mergeCell ref="A19:G20"/>
    <mergeCell ref="A21:G21"/>
    <mergeCell ref="A24:G25"/>
    <mergeCell ref="A26:G26"/>
    <mergeCell ref="A29:G30"/>
    <mergeCell ref="A61:G61"/>
    <mergeCell ref="A64:G65"/>
    <mergeCell ref="A66:G66"/>
    <mergeCell ref="A69:G70"/>
    <mergeCell ref="A71:G71"/>
    <mergeCell ref="A74:G75"/>
    <mergeCell ref="A46:G46"/>
    <mergeCell ref="A49:G50"/>
    <mergeCell ref="A51:G51"/>
    <mergeCell ref="A54:G55"/>
    <mergeCell ref="A56:G56"/>
    <mergeCell ref="A59:G60"/>
    <mergeCell ref="A91:G91"/>
    <mergeCell ref="A94:G95"/>
    <mergeCell ref="A96:G96"/>
    <mergeCell ref="A99:G100"/>
    <mergeCell ref="A101:G101"/>
    <mergeCell ref="A104:G105"/>
    <mergeCell ref="A76:G76"/>
    <mergeCell ref="A79:G80"/>
    <mergeCell ref="A81:G81"/>
    <mergeCell ref="A84:G85"/>
    <mergeCell ref="A86:G86"/>
    <mergeCell ref="A89:G90"/>
    <mergeCell ref="A120:G121"/>
    <mergeCell ref="A122:G122"/>
    <mergeCell ref="A125:G126"/>
    <mergeCell ref="A127:G127"/>
    <mergeCell ref="A130:G131"/>
    <mergeCell ref="A132:G132"/>
    <mergeCell ref="A106:G106"/>
    <mergeCell ref="A109:G110"/>
    <mergeCell ref="A111:G111"/>
    <mergeCell ref="A114:G115"/>
    <mergeCell ref="A116:G116"/>
    <mergeCell ref="A117:I117"/>
    <mergeCell ref="A147:G148"/>
    <mergeCell ref="A149:G149"/>
    <mergeCell ref="A152:G153"/>
    <mergeCell ref="A154:G154"/>
    <mergeCell ref="A157:G158"/>
    <mergeCell ref="A159:G159"/>
    <mergeCell ref="A133:I133"/>
    <mergeCell ref="A136:G137"/>
    <mergeCell ref="A138:G138"/>
    <mergeCell ref="A139:I139"/>
    <mergeCell ref="A142:G143"/>
    <mergeCell ref="A144:G144"/>
    <mergeCell ref="A177:G178"/>
    <mergeCell ref="A179:G179"/>
    <mergeCell ref="A182:G183"/>
    <mergeCell ref="A184:G184"/>
    <mergeCell ref="A187:G188"/>
    <mergeCell ref="A189:G189"/>
    <mergeCell ref="A162:G163"/>
    <mergeCell ref="A164:G164"/>
    <mergeCell ref="A167:G168"/>
    <mergeCell ref="A169:G169"/>
    <mergeCell ref="A172:G173"/>
    <mergeCell ref="A174:G174"/>
    <mergeCell ref="A205:I205"/>
    <mergeCell ref="A206:I206"/>
    <mergeCell ref="A209:G210"/>
    <mergeCell ref="A211:G211"/>
    <mergeCell ref="A212:I212"/>
    <mergeCell ref="A213:I213"/>
    <mergeCell ref="A192:G193"/>
    <mergeCell ref="A194:G194"/>
    <mergeCell ref="A197:G198"/>
    <mergeCell ref="A199:G199"/>
    <mergeCell ref="A202:G203"/>
    <mergeCell ref="A204:G204"/>
    <mergeCell ref="A244:G244"/>
    <mergeCell ref="A229:G229"/>
    <mergeCell ref="A232:G233"/>
    <mergeCell ref="A234:G234"/>
    <mergeCell ref="A237:G238"/>
    <mergeCell ref="A239:G239"/>
    <mergeCell ref="A242:G243"/>
    <mergeCell ref="A216:G217"/>
    <mergeCell ref="A218:G218"/>
    <mergeCell ref="A219:I219"/>
    <mergeCell ref="A222:G223"/>
    <mergeCell ref="A224:G224"/>
    <mergeCell ref="A227:G228"/>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5" manualBreakCount="5">
    <brk id="46" max="16383" man="1"/>
    <brk id="91" max="16383" man="1"/>
    <brk id="133" max="16383" man="1"/>
    <brk id="174" max="16383" man="1"/>
    <brk id="219"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2C47C-41FD-4A18-9B61-E7020FE437B6}">
  <sheetPr>
    <tabColor rgb="FF92D050"/>
  </sheetPr>
  <dimension ref="A1:U319"/>
  <sheetViews>
    <sheetView topLeftCell="A309" workbookViewId="0">
      <selection activeCell="D338" sqref="D338"/>
    </sheetView>
  </sheetViews>
  <sheetFormatPr defaultRowHeight="14.4" outlineLevelCol="1" x14ac:dyDescent="0.3"/>
  <cols>
    <col min="1" max="1" width="0.33203125" style="1" customWidth="1"/>
    <col min="2" max="2" width="5.77734375" style="2" customWidth="1"/>
    <col min="3" max="3" width="25.33203125" style="3" customWidth="1"/>
    <col min="4" max="4" width="11.6640625" style="5" customWidth="1"/>
    <col min="5" max="6" width="11.6640625" customWidth="1"/>
    <col min="7" max="7" width="11.6640625" style="30" customWidth="1"/>
    <col min="8" max="8" width="11.6640625" style="38" customWidth="1"/>
    <col min="9" max="9" width="14.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891</v>
      </c>
      <c r="B4" s="98"/>
      <c r="C4" s="98"/>
      <c r="D4" s="98"/>
      <c r="E4" s="98"/>
      <c r="F4" s="98"/>
      <c r="G4" s="98"/>
      <c r="H4" s="98"/>
      <c r="I4" s="98"/>
    </row>
    <row r="5" spans="1:19" ht="15" thickBot="1" x14ac:dyDescent="0.35">
      <c r="A5" s="82" t="s">
        <v>731</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732</v>
      </c>
      <c r="D12" s="13" t="s">
        <v>40</v>
      </c>
      <c r="E12" s="14"/>
      <c r="F12" s="14"/>
      <c r="G12" s="41">
        <v>27</v>
      </c>
      <c r="H12" s="71">
        <f>1412.89/G12</f>
        <v>52.32925925925926</v>
      </c>
      <c r="I12" s="32">
        <f>G12*H12</f>
        <v>1412.89</v>
      </c>
      <c r="J12">
        <v>1</v>
      </c>
    </row>
    <row r="13" spans="1:19" x14ac:dyDescent="0.3">
      <c r="D13" s="15" t="str">
        <f>SUBSTITUTE("Sp.mat: 0.00%",".",IF(VALUE("1.2")=1.2,".",","),2)</f>
        <v>Sp.mat: 0.00%</v>
      </c>
      <c r="F13" s="15" t="str">
        <f>SUBSTITUTE("Sp.man: 0.00%",".",IF(VALUE("1.2")=1.2,".",","),2)</f>
        <v>Sp.man: 0.00%</v>
      </c>
      <c r="G13" s="35" t="str">
        <f>SUBSTITUTE("Sp.uti: 0.00%",".",IF(VALUE("1.2")=1.2,".",","),2)</f>
        <v>Sp.uti: 0.00%</v>
      </c>
      <c r="H13" s="38">
        <f>1885.52/G12</f>
        <v>69.834074074074067</v>
      </c>
      <c r="I13" s="29">
        <f>G12*H13</f>
        <v>1885.5199999999998</v>
      </c>
      <c r="J13">
        <v>2</v>
      </c>
    </row>
    <row r="14" spans="1:19" x14ac:dyDescent="0.3">
      <c r="A14" s="88" t="s">
        <v>733</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27</v>
      </c>
      <c r="B16" s="101"/>
      <c r="C16" s="101"/>
      <c r="D16" s="101"/>
      <c r="E16" s="101"/>
      <c r="F16" s="101"/>
      <c r="G16" s="101"/>
      <c r="H16" s="33">
        <f>H12+H13+H14+H15</f>
        <v>122.16333333333333</v>
      </c>
      <c r="I16" s="37">
        <f>I12+I13+I14+I15</f>
        <v>3298.41</v>
      </c>
      <c r="J16">
        <v>5</v>
      </c>
    </row>
    <row r="17" spans="1:19" x14ac:dyDescent="0.3">
      <c r="A17" s="102" t="s">
        <v>1020</v>
      </c>
      <c r="B17" s="102"/>
      <c r="C17" s="102"/>
      <c r="D17" s="102"/>
      <c r="E17" s="102"/>
      <c r="F17" s="102"/>
      <c r="G17" s="102"/>
      <c r="H17" s="102"/>
      <c r="I17" s="102"/>
    </row>
    <row r="18" spans="1:19" x14ac:dyDescent="0.3">
      <c r="A18" s="98" t="s">
        <v>735</v>
      </c>
      <c r="B18" s="98"/>
      <c r="C18" s="98"/>
      <c r="D18" s="98"/>
      <c r="E18" s="98"/>
      <c r="F18" s="98"/>
      <c r="G18" s="98"/>
      <c r="H18" s="98"/>
      <c r="I18" s="98"/>
    </row>
    <row r="19" spans="1:19" x14ac:dyDescent="0.3">
      <c r="A19" s="97" t="s">
        <v>736</v>
      </c>
      <c r="B19" s="97"/>
      <c r="C19" s="97"/>
      <c r="D19" s="97"/>
      <c r="E19" s="97"/>
      <c r="F19" s="97"/>
      <c r="G19" s="97"/>
      <c r="H19" s="97"/>
      <c r="I19" s="97"/>
    </row>
    <row r="20" spans="1:19" x14ac:dyDescent="0.3">
      <c r="B20" s="2">
        <v>2</v>
      </c>
      <c r="C20" s="3" t="s">
        <v>732</v>
      </c>
      <c r="D20" s="5" t="s">
        <v>40</v>
      </c>
      <c r="G20" s="30">
        <v>15</v>
      </c>
      <c r="H20" s="38">
        <f>784.93/G20</f>
        <v>52.328666666666663</v>
      </c>
      <c r="I20" s="29">
        <f>G20*H20</f>
        <v>784.93</v>
      </c>
      <c r="J20">
        <v>1</v>
      </c>
    </row>
    <row r="21" spans="1:19" x14ac:dyDescent="0.3">
      <c r="D21" s="15" t="str">
        <f>SUBSTITUTE("Sp.mat: 0.00%",".",IF(VALUE("1.2")=1.2,".",","),2)</f>
        <v>Sp.mat: 0.00%</v>
      </c>
      <c r="F21" s="15" t="str">
        <f>SUBSTITUTE("Sp.man: 0.00%",".",IF(VALUE("1.2")=1.2,".",","),2)</f>
        <v>Sp.man: 0.00%</v>
      </c>
      <c r="G21" s="35" t="str">
        <f>SUBSTITUTE("Sp.uti: 0.00%",".",IF(VALUE("1.2")=1.2,".",","),2)</f>
        <v>Sp.uti: 0.00%</v>
      </c>
      <c r="H21" s="38">
        <f>1047.51/G20</f>
        <v>69.834000000000003</v>
      </c>
      <c r="I21" s="29">
        <f>G20*H21</f>
        <v>1047.51</v>
      </c>
      <c r="J21">
        <v>2</v>
      </c>
    </row>
    <row r="22" spans="1:19" x14ac:dyDescent="0.3">
      <c r="A22" s="88" t="s">
        <v>733</v>
      </c>
      <c r="B22" s="98"/>
      <c r="C22" s="98"/>
      <c r="D22" s="98"/>
      <c r="E22" s="98"/>
      <c r="F22" s="98"/>
      <c r="G22" s="98"/>
      <c r="H22" s="38">
        <f>(1+IF(OR(ISERR(FIND(":",G21)),ISERR(FIND("%",G21))),0,MID(G21,FIND(":",G21)+2,FIND("%",G21)-FIND(":",G21)-2)/100))*0</f>
        <v>0</v>
      </c>
      <c r="I22" s="29">
        <f>G20*H22</f>
        <v>0</v>
      </c>
      <c r="J22">
        <v>3</v>
      </c>
      <c r="K22" s="4">
        <v>0</v>
      </c>
      <c r="L22" s="4">
        <v>0</v>
      </c>
      <c r="M22" s="4">
        <f>I22-K22-L22</f>
        <v>0</v>
      </c>
    </row>
    <row r="23" spans="1:19" x14ac:dyDescent="0.3">
      <c r="A23" s="98"/>
      <c r="B23" s="98"/>
      <c r="C23" s="98"/>
      <c r="D23" s="98"/>
      <c r="E23" s="98"/>
      <c r="F23" s="98"/>
      <c r="G23" s="98"/>
      <c r="H23" s="38">
        <f>0</f>
        <v>0</v>
      </c>
      <c r="I23" s="29">
        <f>G20*H23</f>
        <v>0</v>
      </c>
      <c r="J23">
        <v>4</v>
      </c>
      <c r="N23" s="4">
        <f>IF(ISERR(SEARCH("TRA* 82",C20)),IF(Q23+R23+S23=0,0,I23*(Q23/(Q23+R23+S23))),I23)</f>
        <v>0</v>
      </c>
      <c r="O23" s="4">
        <f>IF(ISERR(SEARCH("TRA* 82",C20)),IF(Q23+R23+S23=0,0,I23*(R23/(Q23+R23+S23))),0)</f>
        <v>0</v>
      </c>
      <c r="P23" s="4">
        <f>IF(ISERR(SEARCH("TRA* 82",C20)),I23-N23-O23,0)</f>
        <v>0</v>
      </c>
      <c r="Q23" s="4">
        <v>0</v>
      </c>
      <c r="R23" s="4">
        <v>0</v>
      </c>
      <c r="S23" s="4">
        <v>0</v>
      </c>
    </row>
    <row r="24" spans="1:19" x14ac:dyDescent="0.3">
      <c r="A24" s="100" t="s">
        <v>27</v>
      </c>
      <c r="B24" s="101"/>
      <c r="C24" s="101"/>
      <c r="D24" s="101"/>
      <c r="E24" s="101"/>
      <c r="F24" s="101"/>
      <c r="G24" s="101"/>
      <c r="H24" s="33">
        <f>H20+H21+H22+H23</f>
        <v>122.16266666666667</v>
      </c>
      <c r="I24" s="37">
        <f>I20+I21+I22+I23</f>
        <v>1832.44</v>
      </c>
      <c r="J24">
        <v>5</v>
      </c>
    </row>
    <row r="25" spans="1:19" x14ac:dyDescent="0.3">
      <c r="A25" s="102" t="s">
        <v>1021</v>
      </c>
      <c r="B25" s="102"/>
      <c r="C25" s="102"/>
      <c r="D25" s="102"/>
      <c r="E25" s="102"/>
      <c r="F25" s="102"/>
      <c r="G25" s="102"/>
      <c r="H25" s="102"/>
      <c r="I25" s="102"/>
    </row>
    <row r="26" spans="1:19" x14ac:dyDescent="0.3">
      <c r="A26" s="98" t="s">
        <v>752</v>
      </c>
      <c r="B26" s="98"/>
      <c r="C26" s="98"/>
      <c r="D26" s="98"/>
      <c r="E26" s="98"/>
      <c r="F26" s="98"/>
      <c r="G26" s="98"/>
      <c r="H26" s="98"/>
      <c r="I26" s="98"/>
    </row>
    <row r="27" spans="1:19" x14ac:dyDescent="0.3">
      <c r="A27" s="97" t="s">
        <v>1022</v>
      </c>
      <c r="B27" s="97"/>
      <c r="C27" s="97"/>
      <c r="D27" s="97"/>
      <c r="E27" s="97"/>
      <c r="F27" s="97"/>
      <c r="G27" s="97"/>
      <c r="H27" s="97"/>
      <c r="I27" s="97"/>
    </row>
    <row r="28" spans="1:19" x14ac:dyDescent="0.3">
      <c r="B28" s="2">
        <v>3</v>
      </c>
      <c r="C28" s="3" t="s">
        <v>732</v>
      </c>
      <c r="D28" s="5" t="s">
        <v>40</v>
      </c>
      <c r="G28" s="30">
        <v>60</v>
      </c>
      <c r="H28" s="38">
        <f>3139.74/G28</f>
        <v>52.328999999999994</v>
      </c>
      <c r="I28" s="29">
        <f>G28*H28</f>
        <v>3139.74</v>
      </c>
      <c r="J28">
        <v>1</v>
      </c>
    </row>
    <row r="29" spans="1:19" x14ac:dyDescent="0.3">
      <c r="D29" s="15" t="str">
        <f>SUBSTITUTE("Sp.mat: 0.00%",".",IF(VALUE("1.2")=1.2,".",","),2)</f>
        <v>Sp.mat: 0.00%</v>
      </c>
      <c r="F29" s="15" t="str">
        <f>SUBSTITUTE("Sp.man: 0.00%",".",IF(VALUE("1.2")=1.2,".",","),2)</f>
        <v>Sp.man: 0.00%</v>
      </c>
      <c r="G29" s="35" t="str">
        <f>SUBSTITUTE("Sp.uti: 0.00%",".",IF(VALUE("1.2")=1.2,".",","),2)</f>
        <v>Sp.uti: 0.00%</v>
      </c>
      <c r="H29" s="38">
        <f>4190.05/G28</f>
        <v>69.834166666666675</v>
      </c>
      <c r="I29" s="29">
        <f>G28*H29</f>
        <v>4190.05</v>
      </c>
      <c r="J29">
        <v>2</v>
      </c>
    </row>
    <row r="30" spans="1:19" x14ac:dyDescent="0.3">
      <c r="A30" s="88" t="s">
        <v>733</v>
      </c>
      <c r="B30" s="98"/>
      <c r="C30" s="98"/>
      <c r="D30" s="98"/>
      <c r="E30" s="98"/>
      <c r="F30" s="98"/>
      <c r="G30" s="98"/>
      <c r="H30" s="38">
        <f>(1+IF(OR(ISERR(FIND(":",G29)),ISERR(FIND("%",G29))),0,MID(G29,FIND(":",G29)+2,FIND("%",G29)-FIND(":",G29)-2)/100))*0</f>
        <v>0</v>
      </c>
      <c r="I30" s="29">
        <f>G28*H30</f>
        <v>0</v>
      </c>
      <c r="J30">
        <v>3</v>
      </c>
      <c r="K30" s="4">
        <v>0</v>
      </c>
      <c r="L30" s="4">
        <v>0</v>
      </c>
      <c r="M30" s="4">
        <f>I30-K30-L30</f>
        <v>0</v>
      </c>
    </row>
    <row r="31" spans="1:19" x14ac:dyDescent="0.3">
      <c r="A31" s="98"/>
      <c r="B31" s="98"/>
      <c r="C31" s="98"/>
      <c r="D31" s="98"/>
      <c r="E31" s="98"/>
      <c r="F31" s="98"/>
      <c r="G31" s="98"/>
      <c r="H31" s="38">
        <f>0</f>
        <v>0</v>
      </c>
      <c r="I31" s="29">
        <f>G28*H31</f>
        <v>0</v>
      </c>
      <c r="J31">
        <v>4</v>
      </c>
      <c r="N31" s="4">
        <f>IF(ISERR(SEARCH("TRA* 82",C28)),IF(Q31+R31+S31=0,0,I31*(Q31/(Q31+R31+S31))),I31)</f>
        <v>0</v>
      </c>
      <c r="O31" s="4">
        <f>IF(ISERR(SEARCH("TRA* 82",C28)),IF(Q31+R31+S31=0,0,I31*(R31/(Q31+R31+S31))),0)</f>
        <v>0</v>
      </c>
      <c r="P31" s="4">
        <f>IF(ISERR(SEARCH("TRA* 82",C28)),I31-N31-O31,0)</f>
        <v>0</v>
      </c>
      <c r="Q31" s="4">
        <v>0</v>
      </c>
      <c r="R31" s="4">
        <v>0</v>
      </c>
      <c r="S31" s="4">
        <v>0</v>
      </c>
    </row>
    <row r="32" spans="1:19" x14ac:dyDescent="0.3">
      <c r="A32" s="100" t="s">
        <v>27</v>
      </c>
      <c r="B32" s="101"/>
      <c r="C32" s="101"/>
      <c r="D32" s="101"/>
      <c r="E32" s="101"/>
      <c r="F32" s="101"/>
      <c r="G32" s="101"/>
      <c r="H32" s="33">
        <f>H28+H29+H30+H31</f>
        <v>122.16316666666667</v>
      </c>
      <c r="I32" s="37">
        <f>I28+I29+I30+I31</f>
        <v>7329.79</v>
      </c>
      <c r="J32">
        <v>5</v>
      </c>
    </row>
    <row r="33" spans="1:19" x14ac:dyDescent="0.3">
      <c r="A33" s="102" t="s">
        <v>1023</v>
      </c>
      <c r="B33" s="102"/>
      <c r="C33" s="102"/>
      <c r="D33" s="102"/>
      <c r="E33" s="102"/>
      <c r="F33" s="102"/>
      <c r="G33" s="102"/>
      <c r="H33" s="102"/>
      <c r="I33" s="102"/>
    </row>
    <row r="34" spans="1:19" x14ac:dyDescent="0.3">
      <c r="A34" s="98" t="s">
        <v>752</v>
      </c>
      <c r="B34" s="98"/>
      <c r="C34" s="98"/>
      <c r="D34" s="98"/>
      <c r="E34" s="98"/>
      <c r="F34" s="98"/>
      <c r="G34" s="98"/>
      <c r="H34" s="98"/>
      <c r="I34" s="98"/>
    </row>
    <row r="35" spans="1:19" x14ac:dyDescent="0.3">
      <c r="A35" s="97" t="s">
        <v>1022</v>
      </c>
      <c r="B35" s="97"/>
      <c r="C35" s="97"/>
      <c r="D35" s="97"/>
      <c r="E35" s="97"/>
      <c r="F35" s="97"/>
      <c r="G35" s="97"/>
      <c r="H35" s="97"/>
      <c r="I35" s="97"/>
    </row>
    <row r="36" spans="1:19" x14ac:dyDescent="0.3">
      <c r="B36" s="2">
        <v>4</v>
      </c>
      <c r="C36" s="3" t="s">
        <v>732</v>
      </c>
      <c r="D36" s="5" t="s">
        <v>40</v>
      </c>
      <c r="G36" s="30">
        <v>70</v>
      </c>
      <c r="H36" s="38">
        <f>3663.03/G36</f>
        <v>52.329000000000001</v>
      </c>
      <c r="I36" s="29">
        <f>G36*H36</f>
        <v>3663.03</v>
      </c>
      <c r="J36">
        <v>1</v>
      </c>
    </row>
    <row r="37" spans="1:19" x14ac:dyDescent="0.3">
      <c r="D37" s="15" t="str">
        <f>SUBSTITUTE("Sp.mat: 0.00%",".",IF(VALUE("1.2")=1.2,".",","),2)</f>
        <v>Sp.mat: 0.00%</v>
      </c>
      <c r="F37" s="15" t="str">
        <f>SUBSTITUTE("Sp.man: 0.00%",".",IF(VALUE("1.2")=1.2,".",","),2)</f>
        <v>Sp.man: 0.00%</v>
      </c>
      <c r="G37" s="35" t="str">
        <f>SUBSTITUTE("Sp.uti: 0.00%",".",IF(VALUE("1.2")=1.2,".",","),2)</f>
        <v>Sp.uti: 0.00%</v>
      </c>
      <c r="H37" s="38">
        <f>4888.39/G36</f>
        <v>69.834142857142865</v>
      </c>
      <c r="I37" s="29">
        <f>G36*H37</f>
        <v>4888.3900000000003</v>
      </c>
      <c r="J37">
        <v>2</v>
      </c>
    </row>
    <row r="38" spans="1:19" x14ac:dyDescent="0.3">
      <c r="A38" s="88" t="s">
        <v>733</v>
      </c>
      <c r="B38" s="98"/>
      <c r="C38" s="98"/>
      <c r="D38" s="98"/>
      <c r="E38" s="98"/>
      <c r="F38" s="98"/>
      <c r="G38" s="98"/>
      <c r="H38" s="38">
        <f>(1+IF(OR(ISERR(FIND(":",G37)),ISERR(FIND("%",G37))),0,MID(G37,FIND(":",G37)+2,FIND("%",G37)-FIND(":",G37)-2)/100))*0</f>
        <v>0</v>
      </c>
      <c r="I38" s="29">
        <f>G36*H38</f>
        <v>0</v>
      </c>
      <c r="J38">
        <v>3</v>
      </c>
      <c r="K38" s="4">
        <v>0</v>
      </c>
      <c r="L38" s="4">
        <v>0</v>
      </c>
      <c r="M38" s="4">
        <f>I38-K38-L38</f>
        <v>0</v>
      </c>
    </row>
    <row r="39" spans="1:19" x14ac:dyDescent="0.3">
      <c r="A39" s="98"/>
      <c r="B39" s="98"/>
      <c r="C39" s="98"/>
      <c r="D39" s="98"/>
      <c r="E39" s="98"/>
      <c r="F39" s="98"/>
      <c r="G39" s="98"/>
      <c r="H39" s="38">
        <f>0</f>
        <v>0</v>
      </c>
      <c r="I39" s="29">
        <f>G36*H39</f>
        <v>0</v>
      </c>
      <c r="J39">
        <v>4</v>
      </c>
      <c r="N39" s="4">
        <f>IF(ISERR(SEARCH("TRA* 82",C36)),IF(Q39+R39+S39=0,0,I39*(Q39/(Q39+R39+S39))),I39)</f>
        <v>0</v>
      </c>
      <c r="O39" s="4">
        <f>IF(ISERR(SEARCH("TRA* 82",C36)),IF(Q39+R39+S39=0,0,I39*(R39/(Q39+R39+S39))),0)</f>
        <v>0</v>
      </c>
      <c r="P39" s="4">
        <f>IF(ISERR(SEARCH("TRA* 82",C36)),I39-N39-O39,0)</f>
        <v>0</v>
      </c>
      <c r="Q39" s="4">
        <v>0</v>
      </c>
      <c r="R39" s="4">
        <v>0</v>
      </c>
      <c r="S39" s="4">
        <v>0</v>
      </c>
    </row>
    <row r="40" spans="1:19" x14ac:dyDescent="0.3">
      <c r="A40" s="100" t="s">
        <v>27</v>
      </c>
      <c r="B40" s="101"/>
      <c r="C40" s="101"/>
      <c r="D40" s="101"/>
      <c r="E40" s="101"/>
      <c r="F40" s="101"/>
      <c r="G40" s="101"/>
      <c r="H40" s="33">
        <f>H36+H37+H38+H39</f>
        <v>122.16314285714287</v>
      </c>
      <c r="I40" s="37">
        <f>I36+I37+I38+I39</f>
        <v>8551.42</v>
      </c>
      <c r="J40">
        <v>5</v>
      </c>
    </row>
    <row r="41" spans="1:19" x14ac:dyDescent="0.3">
      <c r="A41" s="102" t="s">
        <v>1024</v>
      </c>
      <c r="B41" s="102"/>
      <c r="C41" s="102"/>
      <c r="D41" s="102"/>
      <c r="E41" s="102"/>
      <c r="F41" s="102"/>
      <c r="G41" s="102"/>
      <c r="H41" s="102"/>
      <c r="I41" s="102"/>
    </row>
    <row r="42" spans="1:19" x14ac:dyDescent="0.3">
      <c r="A42" s="98" t="s">
        <v>752</v>
      </c>
      <c r="B42" s="98"/>
      <c r="C42" s="98"/>
      <c r="D42" s="98"/>
      <c r="E42" s="98"/>
      <c r="F42" s="98"/>
      <c r="G42" s="98"/>
      <c r="H42" s="98"/>
      <c r="I42" s="98"/>
    </row>
    <row r="43" spans="1:19" x14ac:dyDescent="0.3">
      <c r="A43" s="97" t="s">
        <v>1022</v>
      </c>
      <c r="B43" s="97"/>
      <c r="C43" s="97"/>
      <c r="D43" s="97"/>
      <c r="E43" s="97"/>
      <c r="F43" s="97"/>
      <c r="G43" s="97"/>
      <c r="H43" s="97"/>
      <c r="I43" s="97"/>
    </row>
    <row r="44" spans="1:19" x14ac:dyDescent="0.3">
      <c r="B44" s="2">
        <v>5</v>
      </c>
      <c r="C44" s="3" t="s">
        <v>732</v>
      </c>
      <c r="D44" s="5" t="s">
        <v>40</v>
      </c>
      <c r="G44" s="30">
        <v>37.5</v>
      </c>
      <c r="H44" s="38">
        <f>1962.34/G44</f>
        <v>52.329066666666662</v>
      </c>
      <c r="I44" s="29">
        <f>G44*H44</f>
        <v>1962.34</v>
      </c>
      <c r="J44">
        <v>1</v>
      </c>
    </row>
    <row r="45" spans="1:19" x14ac:dyDescent="0.3">
      <c r="D45" s="15" t="str">
        <f>SUBSTITUTE("Sp.mat: 0.00%",".",IF(VALUE("1.2")=1.2,".",","),2)</f>
        <v>Sp.mat: 0.00%</v>
      </c>
      <c r="F45" s="15" t="str">
        <f>SUBSTITUTE("Sp.man: 0.00%",".",IF(VALUE("1.2")=1.2,".",","),2)</f>
        <v>Sp.man: 0.00%</v>
      </c>
      <c r="G45" s="35" t="str">
        <f>SUBSTITUTE("Sp.uti: 0.00%",".",IF(VALUE("1.2")=1.2,".",","),2)</f>
        <v>Sp.uti: 0.00%</v>
      </c>
      <c r="H45" s="38">
        <f>2618.78/G44</f>
        <v>69.834133333333341</v>
      </c>
      <c r="I45" s="29">
        <f>G44*H45</f>
        <v>2618.7800000000002</v>
      </c>
      <c r="J45">
        <v>2</v>
      </c>
    </row>
    <row r="46" spans="1:19" x14ac:dyDescent="0.3">
      <c r="A46" s="88" t="s">
        <v>733</v>
      </c>
      <c r="B46" s="98"/>
      <c r="C46" s="98"/>
      <c r="D46" s="98"/>
      <c r="E46" s="98"/>
      <c r="F46" s="98"/>
      <c r="G46" s="98"/>
      <c r="H46" s="38">
        <f>(1+IF(OR(ISERR(FIND(":",G45)),ISERR(FIND("%",G45))),0,MID(G45,FIND(":",G45)+2,FIND("%",G45)-FIND(":",G45)-2)/100))*0</f>
        <v>0</v>
      </c>
      <c r="I46" s="29">
        <f>G44*H46</f>
        <v>0</v>
      </c>
      <c r="J46">
        <v>3</v>
      </c>
      <c r="K46" s="4">
        <v>0</v>
      </c>
      <c r="L46" s="4">
        <v>0</v>
      </c>
      <c r="M46" s="4">
        <f>I46-K46-L46</f>
        <v>0</v>
      </c>
    </row>
    <row r="47" spans="1:19" x14ac:dyDescent="0.3">
      <c r="A47" s="98"/>
      <c r="B47" s="98"/>
      <c r="C47" s="98"/>
      <c r="D47" s="98"/>
      <c r="E47" s="98"/>
      <c r="F47" s="98"/>
      <c r="G47" s="98"/>
      <c r="H47" s="38">
        <f>0</f>
        <v>0</v>
      </c>
      <c r="I47" s="29">
        <f>G44*H47</f>
        <v>0</v>
      </c>
      <c r="J47">
        <v>4</v>
      </c>
      <c r="N47" s="4">
        <f>IF(ISERR(SEARCH("TRA* 82",C44)),IF(Q47+R47+S47=0,0,I47*(Q47/(Q47+R47+S47))),I47)</f>
        <v>0</v>
      </c>
      <c r="O47" s="4">
        <f>IF(ISERR(SEARCH("TRA* 82",C44)),IF(Q47+R47+S47=0,0,I47*(R47/(Q47+R47+S47))),0)</f>
        <v>0</v>
      </c>
      <c r="P47" s="4">
        <f>IF(ISERR(SEARCH("TRA* 82",C44)),I47-N47-O47,0)</f>
        <v>0</v>
      </c>
      <c r="Q47" s="4">
        <v>0</v>
      </c>
      <c r="R47" s="4">
        <v>0</v>
      </c>
      <c r="S47" s="4">
        <v>0</v>
      </c>
    </row>
    <row r="48" spans="1:19" x14ac:dyDescent="0.3">
      <c r="A48" s="100" t="s">
        <v>27</v>
      </c>
      <c r="B48" s="101"/>
      <c r="C48" s="101"/>
      <c r="D48" s="101"/>
      <c r="E48" s="101"/>
      <c r="F48" s="101"/>
      <c r="G48" s="101"/>
      <c r="H48" s="33">
        <f>H44+H45+H46+H47</f>
        <v>122.1632</v>
      </c>
      <c r="I48" s="37">
        <f>I44+I45+I46+I47</f>
        <v>4581.12</v>
      </c>
      <c r="J48">
        <v>5</v>
      </c>
    </row>
    <row r="49" spans="1:19" x14ac:dyDescent="0.3">
      <c r="A49" s="102" t="s">
        <v>1025</v>
      </c>
      <c r="B49" s="102"/>
      <c r="C49" s="102"/>
      <c r="D49" s="102"/>
      <c r="E49" s="102"/>
      <c r="F49" s="102"/>
      <c r="G49" s="102"/>
      <c r="H49" s="102"/>
      <c r="I49" s="102"/>
    </row>
    <row r="50" spans="1:19" x14ac:dyDescent="0.3">
      <c r="A50" s="98" t="s">
        <v>752</v>
      </c>
      <c r="B50" s="98"/>
      <c r="C50" s="98"/>
      <c r="D50" s="98"/>
      <c r="E50" s="98"/>
      <c r="F50" s="98"/>
      <c r="G50" s="98"/>
      <c r="H50" s="98"/>
      <c r="I50" s="98"/>
    </row>
    <row r="51" spans="1:19" x14ac:dyDescent="0.3">
      <c r="A51" s="97" t="s">
        <v>1022</v>
      </c>
      <c r="B51" s="97"/>
      <c r="C51" s="97"/>
      <c r="D51" s="97"/>
      <c r="E51" s="97"/>
      <c r="F51" s="97"/>
      <c r="G51" s="97"/>
      <c r="H51" s="97"/>
      <c r="I51" s="97"/>
    </row>
    <row r="52" spans="1:19" x14ac:dyDescent="0.3">
      <c r="B52" s="2">
        <v>6</v>
      </c>
      <c r="C52" s="3" t="s">
        <v>732</v>
      </c>
      <c r="D52" s="5" t="s">
        <v>40</v>
      </c>
      <c r="G52" s="30">
        <v>56</v>
      </c>
      <c r="H52" s="38">
        <f>2930.43/G52</f>
        <v>52.32910714285714</v>
      </c>
      <c r="I52" s="29">
        <f>G52*H52</f>
        <v>2930.43</v>
      </c>
      <c r="J52">
        <v>1</v>
      </c>
    </row>
    <row r="53" spans="1:19" x14ac:dyDescent="0.3">
      <c r="D53" s="15" t="str">
        <f>SUBSTITUTE("Sp.mat: 0.00%",".",IF(VALUE("1.2")=1.2,".",","),2)</f>
        <v>Sp.mat: 0.00%</v>
      </c>
      <c r="F53" s="15" t="str">
        <f>SUBSTITUTE("Sp.man: 0.00%",".",IF(VALUE("1.2")=1.2,".",","),2)</f>
        <v>Sp.man: 0.00%</v>
      </c>
      <c r="G53" s="35" t="str">
        <f>SUBSTITUTE("Sp.uti: 0.00%",".",IF(VALUE("1.2")=1.2,".",","),2)</f>
        <v>Sp.uti: 0.00%</v>
      </c>
      <c r="H53" s="38">
        <f>3910.71/G52</f>
        <v>69.83410714285715</v>
      </c>
      <c r="I53" s="29">
        <f>G52*H53</f>
        <v>3910.7100000000005</v>
      </c>
      <c r="J53">
        <v>2</v>
      </c>
    </row>
    <row r="54" spans="1:19" x14ac:dyDescent="0.3">
      <c r="A54" s="88" t="s">
        <v>733</v>
      </c>
      <c r="B54" s="98"/>
      <c r="C54" s="98"/>
      <c r="D54" s="98"/>
      <c r="E54" s="98"/>
      <c r="F54" s="98"/>
      <c r="G54" s="98"/>
      <c r="H54" s="38">
        <f>(1+IF(OR(ISERR(FIND(":",G53)),ISERR(FIND("%",G53))),0,MID(G53,FIND(":",G53)+2,FIND("%",G53)-FIND(":",G53)-2)/100))*0</f>
        <v>0</v>
      </c>
      <c r="I54" s="29">
        <f>G52*H54</f>
        <v>0</v>
      </c>
      <c r="J54">
        <v>3</v>
      </c>
      <c r="K54" s="4">
        <v>0</v>
      </c>
      <c r="L54" s="4">
        <v>0</v>
      </c>
      <c r="M54" s="4">
        <f>I54-K54-L54</f>
        <v>0</v>
      </c>
    </row>
    <row r="55" spans="1:19" x14ac:dyDescent="0.3">
      <c r="A55" s="98"/>
      <c r="B55" s="98"/>
      <c r="C55" s="98"/>
      <c r="D55" s="98"/>
      <c r="E55" s="98"/>
      <c r="F55" s="98"/>
      <c r="G55" s="98"/>
      <c r="H55" s="38">
        <f>0</f>
        <v>0</v>
      </c>
      <c r="I55" s="29">
        <f>G52*H55</f>
        <v>0</v>
      </c>
      <c r="J55">
        <v>4</v>
      </c>
      <c r="N55" s="4">
        <f>IF(ISERR(SEARCH("TRA* 82",C52)),IF(Q55+R55+S55=0,0,I55*(Q55/(Q55+R55+S55))),I55)</f>
        <v>0</v>
      </c>
      <c r="O55" s="4">
        <f>IF(ISERR(SEARCH("TRA* 82",C52)),IF(Q55+R55+S55=0,0,I55*(R55/(Q55+R55+S55))),0)</f>
        <v>0</v>
      </c>
      <c r="P55" s="4">
        <f>IF(ISERR(SEARCH("TRA* 82",C52)),I55-N55-O55,0)</f>
        <v>0</v>
      </c>
      <c r="Q55" s="4">
        <v>0</v>
      </c>
      <c r="R55" s="4">
        <v>0</v>
      </c>
      <c r="S55" s="4">
        <v>0</v>
      </c>
    </row>
    <row r="56" spans="1:19" x14ac:dyDescent="0.3">
      <c r="A56" s="100" t="s">
        <v>27</v>
      </c>
      <c r="B56" s="101"/>
      <c r="C56" s="101"/>
      <c r="D56" s="101"/>
      <c r="E56" s="101"/>
      <c r="F56" s="101"/>
      <c r="G56" s="101"/>
      <c r="H56" s="33">
        <f>H52+H53+H54+H55</f>
        <v>122.16321428571429</v>
      </c>
      <c r="I56" s="37">
        <f>I52+I53+I54+I55</f>
        <v>6841.14</v>
      </c>
      <c r="J56">
        <v>5</v>
      </c>
    </row>
    <row r="57" spans="1:19" x14ac:dyDescent="0.3">
      <c r="A57" s="102" t="s">
        <v>1026</v>
      </c>
      <c r="B57" s="102"/>
      <c r="C57" s="102"/>
      <c r="D57" s="102"/>
      <c r="E57" s="102"/>
      <c r="F57" s="102"/>
      <c r="G57" s="102"/>
      <c r="H57" s="102"/>
      <c r="I57" s="102"/>
    </row>
    <row r="58" spans="1:19" x14ac:dyDescent="0.3">
      <c r="A58" s="98" t="s">
        <v>752</v>
      </c>
      <c r="B58" s="98"/>
      <c r="C58" s="98"/>
      <c r="D58" s="98"/>
      <c r="E58" s="98"/>
      <c r="F58" s="98"/>
      <c r="G58" s="98"/>
      <c r="H58" s="98"/>
      <c r="I58" s="98"/>
    </row>
    <row r="59" spans="1:19" x14ac:dyDescent="0.3">
      <c r="A59" s="97" t="s">
        <v>1022</v>
      </c>
      <c r="B59" s="97"/>
      <c r="C59" s="97"/>
      <c r="D59" s="97"/>
      <c r="E59" s="97"/>
      <c r="F59" s="97"/>
      <c r="G59" s="97"/>
      <c r="H59" s="97"/>
      <c r="I59" s="97"/>
    </row>
    <row r="60" spans="1:19" x14ac:dyDescent="0.3">
      <c r="B60" s="2">
        <v>7</v>
      </c>
      <c r="C60" s="3" t="s">
        <v>737</v>
      </c>
      <c r="D60" s="5" t="s">
        <v>40</v>
      </c>
      <c r="G60" s="30">
        <v>85</v>
      </c>
      <c r="H60" s="38">
        <f>6111.51/G60</f>
        <v>71.900117647058821</v>
      </c>
      <c r="I60" s="29">
        <f>G60*H60</f>
        <v>6111.5099999999993</v>
      </c>
      <c r="J60">
        <v>1</v>
      </c>
    </row>
    <row r="61" spans="1:19" x14ac:dyDescent="0.3">
      <c r="D61" s="15" t="str">
        <f>SUBSTITUTE("Sp.mat: 0.00%",".",IF(VALUE("1.2")=1.2,".",","),2)</f>
        <v>Sp.mat: 0.00%</v>
      </c>
      <c r="F61" s="15" t="str">
        <f>SUBSTITUTE("Sp.man: 0.00%",".",IF(VALUE("1.2")=1.2,".",","),2)</f>
        <v>Sp.man: 0.00%</v>
      </c>
      <c r="G61" s="35" t="str">
        <f>SUBSTITUTE("Sp.uti: 0.00%",".",IF(VALUE("1.2")=1.2,".",","),2)</f>
        <v>Sp.uti: 0.00%</v>
      </c>
      <c r="H61" s="38">
        <f>5336.86/G60</f>
        <v>62.786588235294111</v>
      </c>
      <c r="I61" s="29">
        <f>G60*H61</f>
        <v>5336.86</v>
      </c>
      <c r="J61">
        <v>2</v>
      </c>
    </row>
    <row r="62" spans="1:19" x14ac:dyDescent="0.3">
      <c r="A62" s="88" t="s">
        <v>738</v>
      </c>
      <c r="B62" s="98"/>
      <c r="C62" s="98"/>
      <c r="D62" s="98"/>
      <c r="E62" s="98"/>
      <c r="F62" s="98"/>
      <c r="G62" s="98"/>
      <c r="H62" s="38">
        <f>(1+IF(OR(ISERR(FIND(":",G61)),ISERR(FIND("%",G61))),0,MID(G61,FIND(":",G61)+2,FIND("%",G61)-FIND(":",G61)-2)/100))*0</f>
        <v>0</v>
      </c>
      <c r="I62" s="29">
        <f>G60*H62</f>
        <v>0</v>
      </c>
      <c r="J62">
        <v>3</v>
      </c>
      <c r="K62" s="4">
        <v>0</v>
      </c>
      <c r="L62" s="4">
        <v>0</v>
      </c>
      <c r="M62" s="4">
        <f>I62-K62-L62</f>
        <v>0</v>
      </c>
    </row>
    <row r="63" spans="1:19" x14ac:dyDescent="0.3">
      <c r="A63" s="98"/>
      <c r="B63" s="98"/>
      <c r="C63" s="98"/>
      <c r="D63" s="98"/>
      <c r="E63" s="98"/>
      <c r="F63" s="98"/>
      <c r="G63" s="98"/>
      <c r="H63" s="38">
        <f>0</f>
        <v>0</v>
      </c>
      <c r="I63" s="29">
        <f>G60*H63</f>
        <v>0</v>
      </c>
      <c r="J63">
        <v>4</v>
      </c>
      <c r="N63" s="4">
        <f>IF(ISERR(SEARCH("TRA* 82",C60)),IF(Q63+R63+S63=0,0,I63*(Q63/(Q63+R63+S63))),I63)</f>
        <v>0</v>
      </c>
      <c r="O63" s="4">
        <f>IF(ISERR(SEARCH("TRA* 82",C60)),IF(Q63+R63+S63=0,0,I63*(R63/(Q63+R63+S63))),0)</f>
        <v>0</v>
      </c>
      <c r="P63" s="4">
        <f>IF(ISERR(SEARCH("TRA* 82",C60)),I63-N63-O63,0)</f>
        <v>0</v>
      </c>
      <c r="Q63" s="4">
        <v>0</v>
      </c>
      <c r="R63" s="4">
        <v>0</v>
      </c>
      <c r="S63" s="4">
        <v>0</v>
      </c>
    </row>
    <row r="64" spans="1:19" x14ac:dyDescent="0.3">
      <c r="A64" s="100" t="s">
        <v>27</v>
      </c>
      <c r="B64" s="101"/>
      <c r="C64" s="101"/>
      <c r="D64" s="101"/>
      <c r="E64" s="101"/>
      <c r="F64" s="101"/>
      <c r="G64" s="101"/>
      <c r="H64" s="33">
        <f>H60+H61+H62+H63</f>
        <v>134.68670588235292</v>
      </c>
      <c r="I64" s="37">
        <f>I60+I61+I62+I63</f>
        <v>11448.369999999999</v>
      </c>
      <c r="J64">
        <v>5</v>
      </c>
    </row>
    <row r="65" spans="1:19" x14ac:dyDescent="0.3">
      <c r="A65" s="102" t="s">
        <v>1027</v>
      </c>
      <c r="B65" s="102"/>
      <c r="C65" s="102"/>
      <c r="D65" s="102"/>
      <c r="E65" s="102"/>
      <c r="F65" s="102"/>
      <c r="G65" s="102"/>
      <c r="H65" s="102"/>
      <c r="I65" s="102"/>
    </row>
    <row r="66" spans="1:19" x14ac:dyDescent="0.3">
      <c r="A66" s="98" t="s">
        <v>752</v>
      </c>
      <c r="B66" s="98"/>
      <c r="C66" s="98"/>
      <c r="D66" s="98"/>
      <c r="E66" s="98"/>
      <c r="F66" s="98"/>
      <c r="G66" s="98"/>
      <c r="H66" s="98"/>
      <c r="I66" s="98"/>
    </row>
    <row r="67" spans="1:19" x14ac:dyDescent="0.3">
      <c r="A67" s="97" t="s">
        <v>1022</v>
      </c>
      <c r="B67" s="97"/>
      <c r="C67" s="97"/>
      <c r="D67" s="97"/>
      <c r="E67" s="97"/>
      <c r="F67" s="97"/>
      <c r="G67" s="97"/>
      <c r="H67" s="97"/>
      <c r="I67" s="97"/>
    </row>
    <row r="68" spans="1:19" x14ac:dyDescent="0.3">
      <c r="B68" s="2">
        <v>8</v>
      </c>
      <c r="C68" s="3" t="s">
        <v>737</v>
      </c>
      <c r="D68" s="5" t="s">
        <v>40</v>
      </c>
      <c r="G68" s="30">
        <v>90</v>
      </c>
      <c r="H68" s="38">
        <f>6471/G68</f>
        <v>71.900000000000006</v>
      </c>
      <c r="I68" s="29">
        <f>G68*H68</f>
        <v>6471.0000000000009</v>
      </c>
      <c r="J68">
        <v>1</v>
      </c>
    </row>
    <row r="69" spans="1:19" x14ac:dyDescent="0.3">
      <c r="D69" s="15" t="str">
        <f>SUBSTITUTE("Sp.mat: 0.00%",".",IF(VALUE("1.2")=1.2,".",","),2)</f>
        <v>Sp.mat: 0.00%</v>
      </c>
      <c r="F69" s="15" t="str">
        <f>SUBSTITUTE("Sp.man: 0.00%",".",IF(VALUE("1.2")=1.2,".",","),2)</f>
        <v>Sp.man: 0.00%</v>
      </c>
      <c r="G69" s="35" t="str">
        <f>SUBSTITUTE("Sp.uti: 0.00%",".",IF(VALUE("1.2")=1.2,".",","),2)</f>
        <v>Sp.uti: 0.00%</v>
      </c>
      <c r="H69" s="38">
        <f>5650.8/G68</f>
        <v>62.786666666666669</v>
      </c>
      <c r="I69" s="29">
        <f>G68*H69</f>
        <v>5650.8</v>
      </c>
      <c r="J69">
        <v>2</v>
      </c>
    </row>
    <row r="70" spans="1:19" x14ac:dyDescent="0.3">
      <c r="A70" s="88" t="s">
        <v>738</v>
      </c>
      <c r="B70" s="98"/>
      <c r="C70" s="98"/>
      <c r="D70" s="98"/>
      <c r="E70" s="98"/>
      <c r="F70" s="98"/>
      <c r="G70" s="98"/>
      <c r="H70" s="38">
        <f>(1+IF(OR(ISERR(FIND(":",G69)),ISERR(FIND("%",G69))),0,MID(G69,FIND(":",G69)+2,FIND("%",G69)-FIND(":",G69)-2)/100))*0</f>
        <v>0</v>
      </c>
      <c r="I70" s="29">
        <f>G68*H70</f>
        <v>0</v>
      </c>
      <c r="J70">
        <v>3</v>
      </c>
      <c r="K70" s="4">
        <v>0</v>
      </c>
      <c r="L70" s="4">
        <v>0</v>
      </c>
      <c r="M70" s="4">
        <f>I70-K70-L70</f>
        <v>0</v>
      </c>
    </row>
    <row r="71" spans="1:19" x14ac:dyDescent="0.3">
      <c r="A71" s="98"/>
      <c r="B71" s="98"/>
      <c r="C71" s="98"/>
      <c r="D71" s="98"/>
      <c r="E71" s="98"/>
      <c r="F71" s="98"/>
      <c r="G71" s="98"/>
      <c r="H71" s="38">
        <f>0</f>
        <v>0</v>
      </c>
      <c r="I71" s="29">
        <f>G68*H71</f>
        <v>0</v>
      </c>
      <c r="J71">
        <v>4</v>
      </c>
      <c r="N71" s="4">
        <f>IF(ISERR(SEARCH("TRA* 82",C68)),IF(Q71+R71+S71=0,0,I71*(Q71/(Q71+R71+S71))),I71)</f>
        <v>0</v>
      </c>
      <c r="O71" s="4">
        <f>IF(ISERR(SEARCH("TRA* 82",C68)),IF(Q71+R71+S71=0,0,I71*(R71/(Q71+R71+S71))),0)</f>
        <v>0</v>
      </c>
      <c r="P71" s="4">
        <f>IF(ISERR(SEARCH("TRA* 82",C68)),I71-N71-O71,0)</f>
        <v>0</v>
      </c>
      <c r="Q71" s="4">
        <v>0</v>
      </c>
      <c r="R71" s="4">
        <v>0</v>
      </c>
      <c r="S71" s="4">
        <v>0</v>
      </c>
    </row>
    <row r="72" spans="1:19" x14ac:dyDescent="0.3">
      <c r="A72" s="100" t="s">
        <v>27</v>
      </c>
      <c r="B72" s="101"/>
      <c r="C72" s="101"/>
      <c r="D72" s="101"/>
      <c r="E72" s="101"/>
      <c r="F72" s="101"/>
      <c r="G72" s="101"/>
      <c r="H72" s="33">
        <f>H68+H69+H70+H71</f>
        <v>134.68666666666667</v>
      </c>
      <c r="I72" s="37">
        <f>I68+I69+I70+I71</f>
        <v>12121.800000000001</v>
      </c>
      <c r="J72">
        <v>5</v>
      </c>
    </row>
    <row r="73" spans="1:19" x14ac:dyDescent="0.3">
      <c r="A73" s="102" t="s">
        <v>1028</v>
      </c>
      <c r="B73" s="102"/>
      <c r="C73" s="102"/>
      <c r="D73" s="102"/>
      <c r="E73" s="102"/>
      <c r="F73" s="102"/>
      <c r="G73" s="102"/>
      <c r="H73" s="102"/>
      <c r="I73" s="102"/>
    </row>
    <row r="74" spans="1:19" x14ac:dyDescent="0.3">
      <c r="A74" s="98" t="s">
        <v>752</v>
      </c>
      <c r="B74" s="98"/>
      <c r="C74" s="98"/>
      <c r="D74" s="98"/>
      <c r="E74" s="98"/>
      <c r="F74" s="98"/>
      <c r="G74" s="98"/>
      <c r="H74" s="98"/>
      <c r="I74" s="98"/>
    </row>
    <row r="75" spans="1:19" x14ac:dyDescent="0.3">
      <c r="A75" s="97" t="s">
        <v>1022</v>
      </c>
      <c r="B75" s="97"/>
      <c r="C75" s="97"/>
      <c r="D75" s="97"/>
      <c r="E75" s="97"/>
      <c r="F75" s="97"/>
      <c r="G75" s="97"/>
      <c r="H75" s="97"/>
      <c r="I75" s="97"/>
    </row>
    <row r="76" spans="1:19" x14ac:dyDescent="0.3">
      <c r="B76" s="2">
        <v>9</v>
      </c>
      <c r="C76" s="3" t="s">
        <v>737</v>
      </c>
      <c r="D76" s="5" t="s">
        <v>40</v>
      </c>
      <c r="G76" s="30">
        <v>60</v>
      </c>
      <c r="H76" s="38">
        <f>4314/G76</f>
        <v>71.900000000000006</v>
      </c>
      <c r="I76" s="29">
        <f>G76*H76</f>
        <v>4314</v>
      </c>
      <c r="J76">
        <v>1</v>
      </c>
    </row>
    <row r="77" spans="1:19" x14ac:dyDescent="0.3">
      <c r="D77" s="15" t="str">
        <f>SUBSTITUTE("Sp.mat: 0.00%",".",IF(VALUE("1.2")=1.2,".",","),2)</f>
        <v>Sp.mat: 0.00%</v>
      </c>
      <c r="F77" s="15" t="str">
        <f>SUBSTITUTE("Sp.man: 0.00%",".",IF(VALUE("1.2")=1.2,".",","),2)</f>
        <v>Sp.man: 0.00%</v>
      </c>
      <c r="G77" s="35" t="str">
        <f>SUBSTITUTE("Sp.uti: 0.00%",".",IF(VALUE("1.2")=1.2,".",","),2)</f>
        <v>Sp.uti: 0.00%</v>
      </c>
      <c r="H77" s="38">
        <f>3767.2/G76</f>
        <v>62.786666666666662</v>
      </c>
      <c r="I77" s="29">
        <f>G76*H77</f>
        <v>3767.2</v>
      </c>
      <c r="J77">
        <v>2</v>
      </c>
    </row>
    <row r="78" spans="1:19" x14ac:dyDescent="0.3">
      <c r="A78" s="88" t="s">
        <v>738</v>
      </c>
      <c r="B78" s="98"/>
      <c r="C78" s="98"/>
      <c r="D78" s="98"/>
      <c r="E78" s="98"/>
      <c r="F78" s="98"/>
      <c r="G78" s="98"/>
      <c r="H78" s="38">
        <f>(1+IF(OR(ISERR(FIND(":",G77)),ISERR(FIND("%",G77))),0,MID(G77,FIND(":",G77)+2,FIND("%",G77)-FIND(":",G77)-2)/100))*0</f>
        <v>0</v>
      </c>
      <c r="I78" s="29">
        <f>G76*H78</f>
        <v>0</v>
      </c>
      <c r="J78">
        <v>3</v>
      </c>
      <c r="K78" s="4">
        <v>0</v>
      </c>
      <c r="L78" s="4">
        <v>0</v>
      </c>
      <c r="M78" s="4">
        <f>I78-K78-L78</f>
        <v>0</v>
      </c>
    </row>
    <row r="79" spans="1:19" x14ac:dyDescent="0.3">
      <c r="A79" s="98"/>
      <c r="B79" s="98"/>
      <c r="C79" s="98"/>
      <c r="D79" s="98"/>
      <c r="E79" s="98"/>
      <c r="F79" s="98"/>
      <c r="G79" s="98"/>
      <c r="H79" s="38">
        <f>0</f>
        <v>0</v>
      </c>
      <c r="I79" s="29">
        <f>G76*H79</f>
        <v>0</v>
      </c>
      <c r="J79">
        <v>4</v>
      </c>
      <c r="N79" s="4">
        <f>IF(ISERR(SEARCH("TRA* 82",C76)),IF(Q79+R79+S79=0,0,I79*(Q79/(Q79+R79+S79))),I79)</f>
        <v>0</v>
      </c>
      <c r="O79" s="4">
        <f>IF(ISERR(SEARCH("TRA* 82",C76)),IF(Q79+R79+S79=0,0,I79*(R79/(Q79+R79+S79))),0)</f>
        <v>0</v>
      </c>
      <c r="P79" s="4">
        <f>IF(ISERR(SEARCH("TRA* 82",C76)),I79-N79-O79,0)</f>
        <v>0</v>
      </c>
      <c r="Q79" s="4">
        <v>0</v>
      </c>
      <c r="R79" s="4">
        <v>0</v>
      </c>
      <c r="S79" s="4">
        <v>0</v>
      </c>
    </row>
    <row r="80" spans="1:19" x14ac:dyDescent="0.3">
      <c r="A80" s="100" t="s">
        <v>27</v>
      </c>
      <c r="B80" s="101"/>
      <c r="C80" s="101"/>
      <c r="D80" s="101"/>
      <c r="E80" s="101"/>
      <c r="F80" s="101"/>
      <c r="G80" s="101"/>
      <c r="H80" s="33">
        <f>H76+H77+H78+H79</f>
        <v>134.68666666666667</v>
      </c>
      <c r="I80" s="37">
        <f>I76+I77+I78+I79</f>
        <v>8081.2</v>
      </c>
      <c r="J80">
        <v>5</v>
      </c>
    </row>
    <row r="81" spans="1:19" x14ac:dyDescent="0.3">
      <c r="A81" s="102" t="s">
        <v>740</v>
      </c>
      <c r="B81" s="102"/>
      <c r="C81" s="102"/>
      <c r="D81" s="102"/>
      <c r="E81" s="102"/>
      <c r="F81" s="102"/>
      <c r="G81" s="102"/>
      <c r="H81" s="102"/>
      <c r="I81" s="102"/>
    </row>
    <row r="82" spans="1:19" x14ac:dyDescent="0.3">
      <c r="A82" s="98" t="s">
        <v>752</v>
      </c>
      <c r="B82" s="98"/>
      <c r="C82" s="98"/>
      <c r="D82" s="98"/>
      <c r="E82" s="98"/>
      <c r="F82" s="98"/>
      <c r="G82" s="98"/>
      <c r="H82" s="98"/>
      <c r="I82" s="98"/>
    </row>
    <row r="83" spans="1:19" x14ac:dyDescent="0.3">
      <c r="A83" s="97" t="s">
        <v>1022</v>
      </c>
      <c r="B83" s="97"/>
      <c r="C83" s="97"/>
      <c r="D83" s="97"/>
      <c r="E83" s="97"/>
      <c r="F83" s="97"/>
      <c r="G83" s="97"/>
      <c r="H83" s="97"/>
      <c r="I83" s="97"/>
    </row>
    <row r="84" spans="1:19" x14ac:dyDescent="0.3">
      <c r="B84" s="2">
        <v>10</v>
      </c>
      <c r="C84" s="3" t="s">
        <v>741</v>
      </c>
      <c r="D84" s="5" t="s">
        <v>40</v>
      </c>
      <c r="G84" s="30">
        <v>72</v>
      </c>
      <c r="H84" s="38">
        <f>5755.01/G84</f>
        <v>79.930694444444441</v>
      </c>
      <c r="I84" s="29">
        <f>G84*H84</f>
        <v>5755.01</v>
      </c>
      <c r="J84">
        <v>1</v>
      </c>
    </row>
    <row r="85" spans="1:19" x14ac:dyDescent="0.3">
      <c r="D85" s="15" t="str">
        <f>SUBSTITUTE("Sp.mat: 0.00%",".",IF(VALUE("1.2")=1.2,".",","),2)</f>
        <v>Sp.mat: 0.00%</v>
      </c>
      <c r="F85" s="15" t="str">
        <f>SUBSTITUTE("Sp.man: 0.00%",".",IF(VALUE("1.2")=1.2,".",","),2)</f>
        <v>Sp.man: 0.00%</v>
      </c>
      <c r="G85" s="35" t="str">
        <f>SUBSTITUTE("Sp.uti: 0.00%",".",IF(VALUE("1.2")=1.2,".",","),2)</f>
        <v>Sp.uti: 0.00%</v>
      </c>
      <c r="H85" s="38">
        <f>3920.96/G84</f>
        <v>54.457777777777778</v>
      </c>
      <c r="I85" s="29">
        <f>G84*H85</f>
        <v>3920.96</v>
      </c>
      <c r="J85">
        <v>2</v>
      </c>
    </row>
    <row r="86" spans="1:19" x14ac:dyDescent="0.3">
      <c r="A86" s="88" t="s">
        <v>742</v>
      </c>
      <c r="B86" s="98"/>
      <c r="C86" s="98"/>
      <c r="D86" s="98"/>
      <c r="E86" s="98"/>
      <c r="F86" s="98"/>
      <c r="G86" s="98"/>
      <c r="H86" s="38">
        <f>(1+IF(OR(ISERR(FIND(":",G85)),ISERR(FIND("%",G85))),0,MID(G85,FIND(":",G85)+2,FIND("%",G85)-FIND(":",G85)-2)/100))*0</f>
        <v>0</v>
      </c>
      <c r="I86" s="29">
        <f>G84*H86</f>
        <v>0</v>
      </c>
      <c r="J86">
        <v>3</v>
      </c>
      <c r="K86" s="4">
        <v>0</v>
      </c>
      <c r="L86" s="4">
        <v>0</v>
      </c>
      <c r="M86" s="4">
        <f>I86-K86-L86</f>
        <v>0</v>
      </c>
    </row>
    <row r="87" spans="1:19" x14ac:dyDescent="0.3">
      <c r="A87" s="98"/>
      <c r="B87" s="98"/>
      <c r="C87" s="98"/>
      <c r="D87" s="98"/>
      <c r="E87" s="98"/>
      <c r="F87" s="98"/>
      <c r="G87" s="98"/>
      <c r="H87" s="38">
        <f>0</f>
        <v>0</v>
      </c>
      <c r="I87" s="29">
        <f>G84*H87</f>
        <v>0</v>
      </c>
      <c r="J87">
        <v>4</v>
      </c>
      <c r="N87" s="4">
        <f>IF(ISERR(SEARCH("TRA* 82",C84)),IF(Q87+R87+S87=0,0,I87*(Q87/(Q87+R87+S87))),I87)</f>
        <v>0</v>
      </c>
      <c r="O87" s="4">
        <f>IF(ISERR(SEARCH("TRA* 82",C84)),IF(Q87+R87+S87=0,0,I87*(R87/(Q87+R87+S87))),0)</f>
        <v>0</v>
      </c>
      <c r="P87" s="4">
        <f>IF(ISERR(SEARCH("TRA* 82",C84)),I87-N87-O87,0)</f>
        <v>0</v>
      </c>
      <c r="Q87" s="4">
        <v>0</v>
      </c>
      <c r="R87" s="4">
        <v>0</v>
      </c>
      <c r="S87" s="4">
        <v>0</v>
      </c>
    </row>
    <row r="88" spans="1:19" x14ac:dyDescent="0.3">
      <c r="A88" s="100" t="s">
        <v>27</v>
      </c>
      <c r="B88" s="101"/>
      <c r="C88" s="101"/>
      <c r="D88" s="101"/>
      <c r="E88" s="101"/>
      <c r="F88" s="101"/>
      <c r="G88" s="101"/>
      <c r="H88" s="33">
        <f>H84+H85+H86+H87</f>
        <v>134.38847222222222</v>
      </c>
      <c r="I88" s="37">
        <f>I84+I85+I86+I87</f>
        <v>9675.9700000000012</v>
      </c>
      <c r="J88">
        <v>5</v>
      </c>
    </row>
    <row r="89" spans="1:19" x14ac:dyDescent="0.3">
      <c r="A89" s="102" t="s">
        <v>1029</v>
      </c>
      <c r="B89" s="102"/>
      <c r="C89" s="102"/>
      <c r="D89" s="102"/>
      <c r="E89" s="102"/>
      <c r="F89" s="102"/>
      <c r="G89" s="102"/>
      <c r="H89" s="102"/>
      <c r="I89" s="102"/>
    </row>
    <row r="90" spans="1:19" x14ac:dyDescent="0.3">
      <c r="A90" s="98" t="s">
        <v>752</v>
      </c>
      <c r="B90" s="98"/>
      <c r="C90" s="98"/>
      <c r="D90" s="98"/>
      <c r="E90" s="98"/>
      <c r="F90" s="98"/>
      <c r="G90" s="98"/>
      <c r="H90" s="98"/>
      <c r="I90" s="98"/>
    </row>
    <row r="91" spans="1:19" x14ac:dyDescent="0.3">
      <c r="A91" s="97" t="s">
        <v>1022</v>
      </c>
      <c r="B91" s="97"/>
      <c r="C91" s="97"/>
      <c r="D91" s="97"/>
      <c r="E91" s="97"/>
      <c r="F91" s="97"/>
      <c r="G91" s="97"/>
      <c r="H91" s="97"/>
      <c r="I91" s="97"/>
    </row>
    <row r="92" spans="1:19" x14ac:dyDescent="0.3">
      <c r="B92" s="2">
        <v>11</v>
      </c>
      <c r="C92" s="3" t="s">
        <v>741</v>
      </c>
      <c r="D92" s="5" t="s">
        <v>40</v>
      </c>
      <c r="G92" s="30">
        <v>14.4</v>
      </c>
      <c r="H92" s="38">
        <f>1151/G92</f>
        <v>79.930555555555557</v>
      </c>
      <c r="I92" s="29">
        <f>G92*H92</f>
        <v>1151</v>
      </c>
      <c r="J92">
        <v>1</v>
      </c>
    </row>
    <row r="93" spans="1:19" x14ac:dyDescent="0.3">
      <c r="D93" s="15" t="str">
        <f>SUBSTITUTE("Sp.mat: 0.00%",".",IF(VALUE("1.2")=1.2,".",","),2)</f>
        <v>Sp.mat: 0.00%</v>
      </c>
      <c r="F93" s="15" t="str">
        <f>SUBSTITUTE("Sp.man: 0.00%",".",IF(VALUE("1.2")=1.2,".",","),2)</f>
        <v>Sp.man: 0.00%</v>
      </c>
      <c r="G93" s="35" t="str">
        <f>SUBSTITUTE("Sp.uti: 0.00%",".",IF(VALUE("1.2")=1.2,".",","),2)</f>
        <v>Sp.uti: 0.00%</v>
      </c>
      <c r="H93" s="38">
        <f>784.19/G92</f>
        <v>54.457638888888894</v>
      </c>
      <c r="I93" s="29">
        <f>G92*H93</f>
        <v>784.19</v>
      </c>
      <c r="J93">
        <v>2</v>
      </c>
    </row>
    <row r="94" spans="1:19" x14ac:dyDescent="0.3">
      <c r="A94" s="88" t="s">
        <v>742</v>
      </c>
      <c r="B94" s="98"/>
      <c r="C94" s="98"/>
      <c r="D94" s="98"/>
      <c r="E94" s="98"/>
      <c r="F94" s="98"/>
      <c r="G94" s="98"/>
      <c r="H94" s="38">
        <f>(1+IF(OR(ISERR(FIND(":",G93)),ISERR(FIND("%",G93))),0,MID(G93,FIND(":",G93)+2,FIND("%",G93)-FIND(":",G93)-2)/100))*0</f>
        <v>0</v>
      </c>
      <c r="I94" s="29">
        <f>G92*H94</f>
        <v>0</v>
      </c>
      <c r="J94">
        <v>3</v>
      </c>
      <c r="K94" s="4">
        <v>0</v>
      </c>
      <c r="L94" s="4">
        <v>0</v>
      </c>
      <c r="M94" s="4">
        <f>I94-K94-L94</f>
        <v>0</v>
      </c>
    </row>
    <row r="95" spans="1:19" x14ac:dyDescent="0.3">
      <c r="A95" s="98"/>
      <c r="B95" s="98"/>
      <c r="C95" s="98"/>
      <c r="D95" s="98"/>
      <c r="E95" s="98"/>
      <c r="F95" s="98"/>
      <c r="G95" s="98"/>
      <c r="H95" s="38">
        <f>0</f>
        <v>0</v>
      </c>
      <c r="I95" s="29">
        <f>G92*H95</f>
        <v>0</v>
      </c>
      <c r="J95">
        <v>4</v>
      </c>
      <c r="N95" s="4">
        <f>IF(ISERR(SEARCH("TRA* 82",C92)),IF(Q95+R95+S95=0,0,I95*(Q95/(Q95+R95+S95))),I95)</f>
        <v>0</v>
      </c>
      <c r="O95" s="4">
        <f>IF(ISERR(SEARCH("TRA* 82",C92)),IF(Q95+R95+S95=0,0,I95*(R95/(Q95+R95+S95))),0)</f>
        <v>0</v>
      </c>
      <c r="P95" s="4">
        <f>IF(ISERR(SEARCH("TRA* 82",C92)),I95-N95-O95,0)</f>
        <v>0</v>
      </c>
      <c r="Q95" s="4">
        <v>0</v>
      </c>
      <c r="R95" s="4">
        <v>0</v>
      </c>
      <c r="S95" s="4">
        <v>0</v>
      </c>
    </row>
    <row r="96" spans="1:19" x14ac:dyDescent="0.3">
      <c r="A96" s="100" t="s">
        <v>27</v>
      </c>
      <c r="B96" s="101"/>
      <c r="C96" s="101"/>
      <c r="D96" s="101"/>
      <c r="E96" s="101"/>
      <c r="F96" s="101"/>
      <c r="G96" s="101"/>
      <c r="H96" s="33">
        <f>H92+H93+H94+H95</f>
        <v>134.38819444444445</v>
      </c>
      <c r="I96" s="37">
        <f>I92+I93+I94+I95</f>
        <v>1935.19</v>
      </c>
      <c r="J96">
        <v>5</v>
      </c>
    </row>
    <row r="97" spans="1:19" x14ac:dyDescent="0.3">
      <c r="A97" s="102" t="s">
        <v>1030</v>
      </c>
      <c r="B97" s="102"/>
      <c r="C97" s="102"/>
      <c r="D97" s="102"/>
      <c r="E97" s="102"/>
      <c r="F97" s="102"/>
      <c r="G97" s="102"/>
      <c r="H97" s="102"/>
      <c r="I97" s="102"/>
    </row>
    <row r="98" spans="1:19" x14ac:dyDescent="0.3">
      <c r="A98" s="98" t="s">
        <v>752</v>
      </c>
      <c r="B98" s="98"/>
      <c r="C98" s="98"/>
      <c r="D98" s="98"/>
      <c r="E98" s="98"/>
      <c r="F98" s="98"/>
      <c r="G98" s="98"/>
      <c r="H98" s="98"/>
      <c r="I98" s="98"/>
    </row>
    <row r="99" spans="1:19" x14ac:dyDescent="0.3">
      <c r="A99" s="97" t="s">
        <v>1031</v>
      </c>
      <c r="B99" s="97"/>
      <c r="C99" s="97"/>
      <c r="D99" s="97"/>
      <c r="E99" s="97"/>
      <c r="F99" s="97"/>
      <c r="G99" s="97"/>
      <c r="H99" s="97"/>
      <c r="I99" s="97"/>
    </row>
    <row r="100" spans="1:19" x14ac:dyDescent="0.3">
      <c r="B100" s="2">
        <v>12</v>
      </c>
      <c r="C100" s="3" t="s">
        <v>749</v>
      </c>
      <c r="D100" s="5" t="s">
        <v>40</v>
      </c>
      <c r="G100" s="30">
        <v>31.4</v>
      </c>
      <c r="H100" s="38">
        <f>1919.75/G100</f>
        <v>61.138535031847134</v>
      </c>
      <c r="I100" s="29">
        <f>G100*H100</f>
        <v>1919.75</v>
      </c>
      <c r="J100">
        <v>1</v>
      </c>
    </row>
    <row r="101" spans="1:19" x14ac:dyDescent="0.3">
      <c r="D101" s="15" t="str">
        <f>SUBSTITUTE("Sp.mat: 0.00%",".",IF(VALUE("1.2")=1.2,".",","),2)</f>
        <v>Sp.mat: 0.00%</v>
      </c>
      <c r="F101" s="15" t="str">
        <f>SUBSTITUTE("Sp.man: 0.00%",".",IF(VALUE("1.2")=1.2,".",","),2)</f>
        <v>Sp.man: 0.00%</v>
      </c>
      <c r="G101" s="35" t="str">
        <f>SUBSTITUTE("Sp.uti: 0.00%",".",IF(VALUE("1.2")=1.2,".",","),2)</f>
        <v>Sp.uti: 0.00%</v>
      </c>
      <c r="H101" s="38">
        <f>2162.62/G100</f>
        <v>68.873248407643317</v>
      </c>
      <c r="I101" s="29">
        <f>G100*H101</f>
        <v>2162.62</v>
      </c>
      <c r="J101">
        <v>2</v>
      </c>
    </row>
    <row r="102" spans="1:19" x14ac:dyDescent="0.3">
      <c r="A102" s="88" t="s">
        <v>750</v>
      </c>
      <c r="B102" s="98"/>
      <c r="C102" s="98"/>
      <c r="D102" s="98"/>
      <c r="E102" s="98"/>
      <c r="F102" s="98"/>
      <c r="G102" s="98"/>
      <c r="H102" s="38">
        <f>(1+IF(OR(ISERR(FIND(":",G101)),ISERR(FIND("%",G101))),0,MID(G101,FIND(":",G101)+2,FIND("%",G101)-FIND(":",G101)-2)/100))*0</f>
        <v>0</v>
      </c>
      <c r="I102" s="29">
        <f>G100*H102</f>
        <v>0</v>
      </c>
      <c r="J102">
        <v>3</v>
      </c>
      <c r="K102" s="4">
        <v>0</v>
      </c>
      <c r="L102" s="4">
        <v>0</v>
      </c>
      <c r="M102" s="4">
        <f>I102-K102-L102</f>
        <v>0</v>
      </c>
    </row>
    <row r="103" spans="1:19" x14ac:dyDescent="0.3">
      <c r="A103" s="98"/>
      <c r="B103" s="98"/>
      <c r="C103" s="98"/>
      <c r="D103" s="98"/>
      <c r="E103" s="98"/>
      <c r="F103" s="98"/>
      <c r="G103" s="98"/>
      <c r="H103" s="38">
        <f>0</f>
        <v>0</v>
      </c>
      <c r="I103" s="29">
        <f>G100*H103</f>
        <v>0</v>
      </c>
      <c r="J103">
        <v>4</v>
      </c>
      <c r="N103" s="4">
        <f>IF(ISERR(SEARCH("TRA* 82",C100)),IF(Q103+R103+S103=0,0,I103*(Q103/(Q103+R103+S103))),I103)</f>
        <v>0</v>
      </c>
      <c r="O103" s="4">
        <f>IF(ISERR(SEARCH("TRA* 82",C100)),IF(Q103+R103+S103=0,0,I103*(R103/(Q103+R103+S103))),0)</f>
        <v>0</v>
      </c>
      <c r="P103" s="4">
        <f>IF(ISERR(SEARCH("TRA* 82",C100)),I103-N103-O103,0)</f>
        <v>0</v>
      </c>
      <c r="Q103" s="4">
        <v>0</v>
      </c>
      <c r="R103" s="4">
        <v>0</v>
      </c>
      <c r="S103" s="4">
        <v>0</v>
      </c>
    </row>
    <row r="104" spans="1:19" x14ac:dyDescent="0.3">
      <c r="A104" s="100" t="s">
        <v>27</v>
      </c>
      <c r="B104" s="101"/>
      <c r="C104" s="101"/>
      <c r="D104" s="101"/>
      <c r="E104" s="101"/>
      <c r="F104" s="101"/>
      <c r="G104" s="101"/>
      <c r="H104" s="33">
        <f>H100+H101+H102+H103</f>
        <v>130.01178343949044</v>
      </c>
      <c r="I104" s="37">
        <f>I100+I101+I102+I103</f>
        <v>4082.37</v>
      </c>
      <c r="J104">
        <v>5</v>
      </c>
    </row>
    <row r="105" spans="1:19" x14ac:dyDescent="0.3">
      <c r="A105" s="102" t="s">
        <v>751</v>
      </c>
      <c r="B105" s="102"/>
      <c r="C105" s="102"/>
      <c r="D105" s="102"/>
      <c r="E105" s="102"/>
      <c r="F105" s="102"/>
      <c r="G105" s="102"/>
      <c r="H105" s="102"/>
      <c r="I105" s="102"/>
    </row>
    <row r="106" spans="1:19" x14ac:dyDescent="0.3">
      <c r="A106" s="98" t="s">
        <v>752</v>
      </c>
      <c r="B106" s="98"/>
      <c r="C106" s="98"/>
      <c r="D106" s="98"/>
      <c r="E106" s="98"/>
      <c r="F106" s="98"/>
      <c r="G106" s="98"/>
      <c r="H106" s="98"/>
      <c r="I106" s="98"/>
    </row>
    <row r="107" spans="1:19" x14ac:dyDescent="0.3">
      <c r="A107" s="97" t="s">
        <v>753</v>
      </c>
      <c r="B107" s="97"/>
      <c r="C107" s="97"/>
      <c r="D107" s="97"/>
      <c r="E107" s="97"/>
      <c r="F107" s="97"/>
      <c r="G107" s="97"/>
      <c r="H107" s="97"/>
      <c r="I107" s="97"/>
    </row>
    <row r="108" spans="1:19" x14ac:dyDescent="0.3">
      <c r="B108" s="2">
        <v>13</v>
      </c>
      <c r="C108" s="3" t="s">
        <v>749</v>
      </c>
      <c r="D108" s="5" t="s">
        <v>40</v>
      </c>
      <c r="G108" s="30">
        <v>37.29</v>
      </c>
      <c r="H108" s="38">
        <f>2279.85/G108</f>
        <v>61.138374899436847</v>
      </c>
      <c r="I108" s="29">
        <f>G108*H108</f>
        <v>2279.85</v>
      </c>
      <c r="J108">
        <v>1</v>
      </c>
    </row>
    <row r="109" spans="1:19" x14ac:dyDescent="0.3">
      <c r="D109" s="15" t="str">
        <f>SUBSTITUTE("Sp.mat: 0.00%",".",IF(VALUE("1.2")=1.2,".",","),2)</f>
        <v>Sp.mat: 0.00%</v>
      </c>
      <c r="F109" s="15" t="str">
        <f>SUBSTITUTE("Sp.man: 0.00%",".",IF(VALUE("1.2")=1.2,".",","),2)</f>
        <v>Sp.man: 0.00%</v>
      </c>
      <c r="G109" s="35" t="str">
        <f>SUBSTITUTE("Sp.uti: 0.00%",".",IF(VALUE("1.2")=1.2,".",","),2)</f>
        <v>Sp.uti: 0.00%</v>
      </c>
      <c r="H109" s="38">
        <f>2568.28/G108</f>
        <v>68.873156342182895</v>
      </c>
      <c r="I109" s="29">
        <f>G108*H109</f>
        <v>2568.2800000000002</v>
      </c>
      <c r="J109">
        <v>2</v>
      </c>
    </row>
    <row r="110" spans="1:19" x14ac:dyDescent="0.3">
      <c r="A110" s="88" t="s">
        <v>750</v>
      </c>
      <c r="B110" s="98"/>
      <c r="C110" s="98"/>
      <c r="D110" s="98"/>
      <c r="E110" s="98"/>
      <c r="F110" s="98"/>
      <c r="G110" s="98"/>
      <c r="H110" s="38">
        <f>(1+IF(OR(ISERR(FIND(":",G109)),ISERR(FIND("%",G109))),0,MID(G109,FIND(":",G109)+2,FIND("%",G109)-FIND(":",G109)-2)/100))*0</f>
        <v>0</v>
      </c>
      <c r="I110" s="29">
        <f>G108*H110</f>
        <v>0</v>
      </c>
      <c r="J110">
        <v>3</v>
      </c>
      <c r="K110" s="4">
        <v>0</v>
      </c>
      <c r="L110" s="4">
        <v>0</v>
      </c>
      <c r="M110" s="4">
        <f>I110-K110-L110</f>
        <v>0</v>
      </c>
    </row>
    <row r="111" spans="1:19" x14ac:dyDescent="0.3">
      <c r="A111" s="98"/>
      <c r="B111" s="98"/>
      <c r="C111" s="98"/>
      <c r="D111" s="98"/>
      <c r="E111" s="98"/>
      <c r="F111" s="98"/>
      <c r="G111" s="98"/>
      <c r="H111" s="38">
        <f>0</f>
        <v>0</v>
      </c>
      <c r="I111" s="29">
        <f>G108*H111</f>
        <v>0</v>
      </c>
      <c r="J111">
        <v>4</v>
      </c>
      <c r="N111" s="4">
        <f>IF(ISERR(SEARCH("TRA* 82",C108)),IF(Q111+R111+S111=0,0,I111*(Q111/(Q111+R111+S111))),I111)</f>
        <v>0</v>
      </c>
      <c r="O111" s="4">
        <f>IF(ISERR(SEARCH("TRA* 82",C108)),IF(Q111+R111+S111=0,0,I111*(R111/(Q111+R111+S111))),0)</f>
        <v>0</v>
      </c>
      <c r="P111" s="4">
        <f>IF(ISERR(SEARCH("TRA* 82",C108)),I111-N111-O111,0)</f>
        <v>0</v>
      </c>
      <c r="Q111" s="4">
        <v>0</v>
      </c>
      <c r="R111" s="4">
        <v>0</v>
      </c>
      <c r="S111" s="4">
        <v>0</v>
      </c>
    </row>
    <row r="112" spans="1:19" x14ac:dyDescent="0.3">
      <c r="A112" s="100" t="s">
        <v>27</v>
      </c>
      <c r="B112" s="101"/>
      <c r="C112" s="101"/>
      <c r="D112" s="101"/>
      <c r="E112" s="101"/>
      <c r="F112" s="101"/>
      <c r="G112" s="101"/>
      <c r="H112" s="33">
        <f>H108+H109+H110+H111</f>
        <v>130.01153124161974</v>
      </c>
      <c r="I112" s="37">
        <f>I108+I109+I110+I111</f>
        <v>4848.13</v>
      </c>
      <c r="J112">
        <v>5</v>
      </c>
    </row>
    <row r="113" spans="1:19" x14ac:dyDescent="0.3">
      <c r="A113" s="102" t="s">
        <v>754</v>
      </c>
      <c r="B113" s="102"/>
      <c r="C113" s="102"/>
      <c r="D113" s="102"/>
      <c r="E113" s="102"/>
      <c r="F113" s="102"/>
      <c r="G113" s="102"/>
      <c r="H113" s="102"/>
      <c r="I113" s="102"/>
    </row>
    <row r="114" spans="1:19" x14ac:dyDescent="0.3">
      <c r="A114" s="98" t="s">
        <v>752</v>
      </c>
      <c r="B114" s="98"/>
      <c r="C114" s="98"/>
      <c r="D114" s="98"/>
      <c r="E114" s="98"/>
      <c r="F114" s="98"/>
      <c r="G114" s="98"/>
      <c r="H114" s="98"/>
      <c r="I114" s="98"/>
    </row>
    <row r="115" spans="1:19" x14ac:dyDescent="0.3">
      <c r="A115" s="97" t="s">
        <v>753</v>
      </c>
      <c r="B115" s="97"/>
      <c r="C115" s="97"/>
      <c r="D115" s="97"/>
      <c r="E115" s="97"/>
      <c r="F115" s="97"/>
      <c r="G115" s="97"/>
      <c r="H115" s="97"/>
      <c r="I115" s="97"/>
    </row>
    <row r="116" spans="1:19" x14ac:dyDescent="0.3">
      <c r="B116" s="2">
        <v>14</v>
      </c>
      <c r="C116" s="3" t="s">
        <v>749</v>
      </c>
      <c r="D116" s="5" t="s">
        <v>40</v>
      </c>
      <c r="G116" s="30">
        <v>75.36</v>
      </c>
      <c r="H116" s="38">
        <f>4607.4/G116</f>
        <v>61.138535031847127</v>
      </c>
      <c r="I116" s="29">
        <f>G116*H116</f>
        <v>4607.3999999999996</v>
      </c>
      <c r="J116">
        <v>1</v>
      </c>
    </row>
    <row r="117" spans="1:19" x14ac:dyDescent="0.3">
      <c r="D117" s="15" t="str">
        <f>SUBSTITUTE("Sp.mat: 0.00%",".",IF(VALUE("1.2")=1.2,".",","),2)</f>
        <v>Sp.mat: 0.00%</v>
      </c>
      <c r="F117" s="15" t="str">
        <f>SUBSTITUTE("Sp.man: 0.00%",".",IF(VALUE("1.2")=1.2,".",","),2)</f>
        <v>Sp.man: 0.00%</v>
      </c>
      <c r="G117" s="35" t="str">
        <f>SUBSTITUTE("Sp.uti: 0.00%",".",IF(VALUE("1.2")=1.2,".",","),2)</f>
        <v>Sp.uti: 0.00%</v>
      </c>
      <c r="H117" s="38">
        <f>5190.28/G116</f>
        <v>68.873142250530776</v>
      </c>
      <c r="I117" s="29">
        <f>G116*H117</f>
        <v>5190.2799999999988</v>
      </c>
      <c r="J117">
        <v>2</v>
      </c>
    </row>
    <row r="118" spans="1:19" x14ac:dyDescent="0.3">
      <c r="A118" s="88" t="s">
        <v>750</v>
      </c>
      <c r="B118" s="98"/>
      <c r="C118" s="98"/>
      <c r="D118" s="98"/>
      <c r="E118" s="98"/>
      <c r="F118" s="98"/>
      <c r="G118" s="98"/>
      <c r="H118" s="38">
        <f>(1+IF(OR(ISERR(FIND(":",G117)),ISERR(FIND("%",G117))),0,MID(G117,FIND(":",G117)+2,FIND("%",G117)-FIND(":",G117)-2)/100))*0</f>
        <v>0</v>
      </c>
      <c r="I118" s="29">
        <f>G116*H118</f>
        <v>0</v>
      </c>
      <c r="J118">
        <v>3</v>
      </c>
      <c r="K118" s="4">
        <v>0</v>
      </c>
      <c r="L118" s="4">
        <v>0</v>
      </c>
      <c r="M118" s="4">
        <f>I118-K118-L118</f>
        <v>0</v>
      </c>
    </row>
    <row r="119" spans="1:19" x14ac:dyDescent="0.3">
      <c r="A119" s="98"/>
      <c r="B119" s="98"/>
      <c r="C119" s="98"/>
      <c r="D119" s="98"/>
      <c r="E119" s="98"/>
      <c r="F119" s="98"/>
      <c r="G119" s="98"/>
      <c r="H119" s="38">
        <f>0</f>
        <v>0</v>
      </c>
      <c r="I119" s="29">
        <f>G116*H119</f>
        <v>0</v>
      </c>
      <c r="J119">
        <v>4</v>
      </c>
      <c r="N119" s="4">
        <f>IF(ISERR(SEARCH("TRA* 82",C116)),IF(Q119+R119+S119=0,0,I119*(Q119/(Q119+R119+S119))),I119)</f>
        <v>0</v>
      </c>
      <c r="O119" s="4">
        <f>IF(ISERR(SEARCH("TRA* 82",C116)),IF(Q119+R119+S119=0,0,I119*(R119/(Q119+R119+S119))),0)</f>
        <v>0</v>
      </c>
      <c r="P119" s="4">
        <f>IF(ISERR(SEARCH("TRA* 82",C116)),I119-N119-O119,0)</f>
        <v>0</v>
      </c>
      <c r="Q119" s="4">
        <v>0</v>
      </c>
      <c r="R119" s="4">
        <v>0</v>
      </c>
      <c r="S119" s="4">
        <v>0</v>
      </c>
    </row>
    <row r="120" spans="1:19" x14ac:dyDescent="0.3">
      <c r="A120" s="100" t="s">
        <v>27</v>
      </c>
      <c r="B120" s="101"/>
      <c r="C120" s="101"/>
      <c r="D120" s="101"/>
      <c r="E120" s="101"/>
      <c r="F120" s="101"/>
      <c r="G120" s="101"/>
      <c r="H120" s="33">
        <f>H116+H117+H118+H119</f>
        <v>130.01167728237789</v>
      </c>
      <c r="I120" s="37">
        <f>I116+I117+I118+I119</f>
        <v>9797.6799999999985</v>
      </c>
      <c r="J120">
        <v>5</v>
      </c>
    </row>
    <row r="121" spans="1:19" x14ac:dyDescent="0.3">
      <c r="A121" s="102" t="s">
        <v>755</v>
      </c>
      <c r="B121" s="102"/>
      <c r="C121" s="102"/>
      <c r="D121" s="102"/>
      <c r="E121" s="102"/>
      <c r="F121" s="102"/>
      <c r="G121" s="102"/>
      <c r="H121" s="102"/>
      <c r="I121" s="102"/>
    </row>
    <row r="122" spans="1:19" x14ac:dyDescent="0.3">
      <c r="A122" s="98" t="s">
        <v>752</v>
      </c>
      <c r="B122" s="98"/>
      <c r="C122" s="98"/>
      <c r="D122" s="98"/>
      <c r="E122" s="98"/>
      <c r="F122" s="98"/>
      <c r="G122" s="98"/>
      <c r="H122" s="98"/>
      <c r="I122" s="98"/>
    </row>
    <row r="123" spans="1:19" x14ac:dyDescent="0.3">
      <c r="A123" s="97" t="s">
        <v>753</v>
      </c>
      <c r="B123" s="97"/>
      <c r="C123" s="97"/>
      <c r="D123" s="97"/>
      <c r="E123" s="97"/>
      <c r="F123" s="97"/>
      <c r="G123" s="97"/>
      <c r="H123" s="97"/>
      <c r="I123" s="97"/>
    </row>
    <row r="124" spans="1:19" x14ac:dyDescent="0.3">
      <c r="B124" s="2">
        <v>15</v>
      </c>
      <c r="C124" s="3" t="s">
        <v>749</v>
      </c>
      <c r="D124" s="5" t="s">
        <v>40</v>
      </c>
      <c r="G124" s="30">
        <v>188.4</v>
      </c>
      <c r="H124" s="38">
        <f>11518.49/G124</f>
        <v>61.138481953290871</v>
      </c>
      <c r="I124" s="29">
        <f>G124*H124</f>
        <v>11518.49</v>
      </c>
      <c r="J124">
        <v>1</v>
      </c>
    </row>
    <row r="125" spans="1:19" x14ac:dyDescent="0.3">
      <c r="D125" s="15" t="str">
        <f>SUBSTITUTE("Sp.mat: 0.00%",".",IF(VALUE("1.2")=1.2,".",","),2)</f>
        <v>Sp.mat: 0.00%</v>
      </c>
      <c r="F125" s="15" t="str">
        <f>SUBSTITUTE("Sp.man: 0.00%",".",IF(VALUE("1.2")=1.2,".",","),2)</f>
        <v>Sp.man: 0.00%</v>
      </c>
      <c r="G125" s="35" t="str">
        <f>SUBSTITUTE("Sp.uti: 0.00%",".",IF(VALUE("1.2")=1.2,".",","),2)</f>
        <v>Sp.uti: 0.00%</v>
      </c>
      <c r="H125" s="38">
        <f>12975.69/G124</f>
        <v>68.873089171974527</v>
      </c>
      <c r="I125" s="29">
        <f>G124*H125</f>
        <v>12975.69</v>
      </c>
      <c r="J125">
        <v>2</v>
      </c>
    </row>
    <row r="126" spans="1:19" x14ac:dyDescent="0.3">
      <c r="A126" s="88" t="s">
        <v>750</v>
      </c>
      <c r="B126" s="98"/>
      <c r="C126" s="98"/>
      <c r="D126" s="98"/>
      <c r="E126" s="98"/>
      <c r="F126" s="98"/>
      <c r="G126" s="98"/>
      <c r="H126" s="38">
        <f>(1+IF(OR(ISERR(FIND(":",G125)),ISERR(FIND("%",G125))),0,MID(G125,FIND(":",G125)+2,FIND("%",G125)-FIND(":",G125)-2)/100))*0</f>
        <v>0</v>
      </c>
      <c r="I126" s="29">
        <f>G124*H126</f>
        <v>0</v>
      </c>
      <c r="J126">
        <v>3</v>
      </c>
      <c r="K126" s="4">
        <v>0</v>
      </c>
      <c r="L126" s="4">
        <v>0</v>
      </c>
      <c r="M126" s="4">
        <f>I126-K126-L126</f>
        <v>0</v>
      </c>
    </row>
    <row r="127" spans="1:19" x14ac:dyDescent="0.3">
      <c r="A127" s="98"/>
      <c r="B127" s="98"/>
      <c r="C127" s="98"/>
      <c r="D127" s="98"/>
      <c r="E127" s="98"/>
      <c r="F127" s="98"/>
      <c r="G127" s="98"/>
      <c r="H127" s="38">
        <f>0</f>
        <v>0</v>
      </c>
      <c r="I127" s="29">
        <f>G124*H127</f>
        <v>0</v>
      </c>
      <c r="J127">
        <v>4</v>
      </c>
      <c r="N127" s="4">
        <f>IF(ISERR(SEARCH("TRA* 82",C124)),IF(Q127+R127+S127=0,0,I127*(Q127/(Q127+R127+S127))),I127)</f>
        <v>0</v>
      </c>
      <c r="O127" s="4">
        <f>IF(ISERR(SEARCH("TRA* 82",C124)),IF(Q127+R127+S127=0,0,I127*(R127/(Q127+R127+S127))),0)</f>
        <v>0</v>
      </c>
      <c r="P127" s="4">
        <f>IF(ISERR(SEARCH("TRA* 82",C124)),I127-N127-O127,0)</f>
        <v>0</v>
      </c>
      <c r="Q127" s="4">
        <v>0</v>
      </c>
      <c r="R127" s="4">
        <v>0</v>
      </c>
      <c r="S127" s="4">
        <v>0</v>
      </c>
    </row>
    <row r="128" spans="1:19" x14ac:dyDescent="0.3">
      <c r="A128" s="100" t="s">
        <v>27</v>
      </c>
      <c r="B128" s="101"/>
      <c r="C128" s="101"/>
      <c r="D128" s="101"/>
      <c r="E128" s="101"/>
      <c r="F128" s="101"/>
      <c r="G128" s="101"/>
      <c r="H128" s="33">
        <f>H124+H125+H126+H127</f>
        <v>130.01157112526539</v>
      </c>
      <c r="I128" s="37">
        <f>I124+I125+I126+I127</f>
        <v>24494.18</v>
      </c>
      <c r="J128">
        <v>5</v>
      </c>
    </row>
    <row r="129" spans="1:19" x14ac:dyDescent="0.3">
      <c r="A129" s="102" t="s">
        <v>756</v>
      </c>
      <c r="B129" s="102"/>
      <c r="C129" s="102"/>
      <c r="D129" s="102"/>
      <c r="E129" s="102"/>
      <c r="F129" s="102"/>
      <c r="G129" s="102"/>
      <c r="H129" s="102"/>
      <c r="I129" s="102"/>
    </row>
    <row r="130" spans="1:19" x14ac:dyDescent="0.3">
      <c r="A130" s="98" t="s">
        <v>752</v>
      </c>
      <c r="B130" s="98"/>
      <c r="C130" s="98"/>
      <c r="D130" s="98"/>
      <c r="E130" s="98"/>
      <c r="F130" s="98"/>
      <c r="G130" s="98"/>
      <c r="H130" s="98"/>
      <c r="I130" s="98"/>
    </row>
    <row r="131" spans="1:19" x14ac:dyDescent="0.3">
      <c r="A131" s="97" t="s">
        <v>753</v>
      </c>
      <c r="B131" s="97"/>
      <c r="C131" s="97"/>
      <c r="D131" s="97"/>
      <c r="E131" s="97"/>
      <c r="F131" s="97"/>
      <c r="G131" s="97"/>
      <c r="H131" s="97"/>
      <c r="I131" s="97"/>
    </row>
    <row r="132" spans="1:19" x14ac:dyDescent="0.3">
      <c r="B132" s="2">
        <v>16</v>
      </c>
      <c r="C132" s="3" t="s">
        <v>757</v>
      </c>
      <c r="D132" s="5" t="s">
        <v>40</v>
      </c>
      <c r="G132" s="30">
        <v>11.78</v>
      </c>
      <c r="H132" s="38">
        <f>1183.87/G132</f>
        <v>100.49830220713072</v>
      </c>
      <c r="I132" s="29">
        <f>G132*H132</f>
        <v>1183.8699999999999</v>
      </c>
      <c r="J132">
        <v>1</v>
      </c>
    </row>
    <row r="133" spans="1:19" x14ac:dyDescent="0.3">
      <c r="D133" s="15" t="str">
        <f>SUBSTITUTE("Sp.mat: 0.00%",".",IF(VALUE("1.2")=1.2,".",","),2)</f>
        <v>Sp.mat: 0.00%</v>
      </c>
      <c r="F133" s="15" t="str">
        <f>SUBSTITUTE("Sp.man: 0.00%",".",IF(VALUE("1.2")=1.2,".",","),2)</f>
        <v>Sp.man: 0.00%</v>
      </c>
      <c r="G133" s="35" t="str">
        <f>SUBSTITUTE("Sp.uti: 0.00%",".",IF(VALUE("1.2")=1.2,".",","),2)</f>
        <v>Sp.uti: 0.00%</v>
      </c>
      <c r="H133" s="38">
        <f>903.78/G132</f>
        <v>76.721561969439733</v>
      </c>
      <c r="I133" s="29">
        <f>G132*H133</f>
        <v>903.78</v>
      </c>
      <c r="J133">
        <v>2</v>
      </c>
    </row>
    <row r="134" spans="1:19" x14ac:dyDescent="0.3">
      <c r="A134" s="88" t="s">
        <v>758</v>
      </c>
      <c r="B134" s="98"/>
      <c r="C134" s="98"/>
      <c r="D134" s="98"/>
      <c r="E134" s="98"/>
      <c r="F134" s="98"/>
      <c r="G134" s="98"/>
      <c r="H134" s="38">
        <f>(1+IF(OR(ISERR(FIND(":",G133)),ISERR(FIND("%",G133))),0,MID(G133,FIND(":",G133)+2,FIND("%",G133)-FIND(":",G133)-2)/100))*0</f>
        <v>0</v>
      </c>
      <c r="I134" s="29">
        <f>G132*H134</f>
        <v>0</v>
      </c>
      <c r="J134">
        <v>3</v>
      </c>
      <c r="K134" s="4">
        <v>0</v>
      </c>
      <c r="L134" s="4">
        <v>0</v>
      </c>
      <c r="M134" s="4">
        <f>I134-K134-L134</f>
        <v>0</v>
      </c>
    </row>
    <row r="135" spans="1:19" x14ac:dyDescent="0.3">
      <c r="A135" s="98"/>
      <c r="B135" s="98"/>
      <c r="C135" s="98"/>
      <c r="D135" s="98"/>
      <c r="E135" s="98"/>
      <c r="F135" s="98"/>
      <c r="G135" s="98"/>
      <c r="H135" s="38">
        <f>0</f>
        <v>0</v>
      </c>
      <c r="I135" s="29">
        <f>G132*H135</f>
        <v>0</v>
      </c>
      <c r="J135">
        <v>4</v>
      </c>
      <c r="N135" s="4">
        <f>IF(ISERR(SEARCH("TRA* 82",C132)),IF(Q135+R135+S135=0,0,I135*(Q135/(Q135+R135+S135))),I135)</f>
        <v>0</v>
      </c>
      <c r="O135" s="4">
        <f>IF(ISERR(SEARCH("TRA* 82",C132)),IF(Q135+R135+S135=0,0,I135*(R135/(Q135+R135+S135))),0)</f>
        <v>0</v>
      </c>
      <c r="P135" s="4">
        <f>IF(ISERR(SEARCH("TRA* 82",C132)),I135-N135-O135,0)</f>
        <v>0</v>
      </c>
      <c r="Q135" s="4">
        <v>0</v>
      </c>
      <c r="R135" s="4">
        <v>0</v>
      </c>
      <c r="S135" s="4">
        <v>0</v>
      </c>
    </row>
    <row r="136" spans="1:19" x14ac:dyDescent="0.3">
      <c r="A136" s="100" t="s">
        <v>27</v>
      </c>
      <c r="B136" s="101"/>
      <c r="C136" s="101"/>
      <c r="D136" s="101"/>
      <c r="E136" s="101"/>
      <c r="F136" s="101"/>
      <c r="G136" s="101"/>
      <c r="H136" s="33">
        <f>H132+H133+H134+H135</f>
        <v>177.21986417657047</v>
      </c>
      <c r="I136" s="37">
        <f>I132+I133+I134+I135</f>
        <v>2087.6499999999996</v>
      </c>
      <c r="J136">
        <v>5</v>
      </c>
    </row>
    <row r="137" spans="1:19" x14ac:dyDescent="0.3">
      <c r="A137" s="102" t="s">
        <v>759</v>
      </c>
      <c r="B137" s="102"/>
      <c r="C137" s="102"/>
      <c r="D137" s="102"/>
      <c r="E137" s="102"/>
      <c r="F137" s="102"/>
      <c r="G137" s="102"/>
      <c r="H137" s="102"/>
      <c r="I137" s="102"/>
    </row>
    <row r="138" spans="1:19" x14ac:dyDescent="0.3">
      <c r="A138" s="98" t="s">
        <v>752</v>
      </c>
      <c r="B138" s="98"/>
      <c r="C138" s="98"/>
      <c r="D138" s="98"/>
      <c r="E138" s="98"/>
      <c r="F138" s="98"/>
      <c r="G138" s="98"/>
      <c r="H138" s="98"/>
      <c r="I138" s="98"/>
    </row>
    <row r="139" spans="1:19" x14ac:dyDescent="0.3">
      <c r="A139" s="97" t="s">
        <v>753</v>
      </c>
      <c r="B139" s="97"/>
      <c r="C139" s="97"/>
      <c r="D139" s="97"/>
      <c r="E139" s="97"/>
      <c r="F139" s="97"/>
      <c r="G139" s="97"/>
      <c r="H139" s="97"/>
      <c r="I139" s="97"/>
    </row>
    <row r="140" spans="1:19" x14ac:dyDescent="0.3">
      <c r="B140" s="2">
        <v>17</v>
      </c>
      <c r="C140" s="3" t="s">
        <v>757</v>
      </c>
      <c r="D140" s="5" t="s">
        <v>40</v>
      </c>
      <c r="G140" s="30">
        <v>9.89</v>
      </c>
      <c r="H140" s="38">
        <f>993.93/G140</f>
        <v>100.49848331648128</v>
      </c>
      <c r="I140" s="29">
        <f>G140*H140</f>
        <v>993.93</v>
      </c>
      <c r="J140">
        <v>1</v>
      </c>
    </row>
    <row r="141" spans="1:19" x14ac:dyDescent="0.3">
      <c r="D141" s="15" t="str">
        <f>SUBSTITUTE("Sp.mat: 0.00%",".",IF(VALUE("1.2")=1.2,".",","),2)</f>
        <v>Sp.mat: 0.00%</v>
      </c>
      <c r="F141" s="15" t="str">
        <f>SUBSTITUTE("Sp.man: 0.00%",".",IF(VALUE("1.2")=1.2,".",","),2)</f>
        <v>Sp.man: 0.00%</v>
      </c>
      <c r="G141" s="35" t="str">
        <f>SUBSTITUTE("Sp.uti: 0.00%",".",IF(VALUE("1.2")=1.2,".",","),2)</f>
        <v>Sp.uti: 0.00%</v>
      </c>
      <c r="H141" s="38">
        <f>758.77/G140</f>
        <v>76.720930232558132</v>
      </c>
      <c r="I141" s="29">
        <f>G140*H141</f>
        <v>758.77</v>
      </c>
      <c r="J141">
        <v>2</v>
      </c>
    </row>
    <row r="142" spans="1:19" x14ac:dyDescent="0.3">
      <c r="A142" s="88" t="s">
        <v>758</v>
      </c>
      <c r="B142" s="98"/>
      <c r="C142" s="98"/>
      <c r="D142" s="98"/>
      <c r="E142" s="98"/>
      <c r="F142" s="98"/>
      <c r="G142" s="98"/>
      <c r="H142" s="38">
        <f>(1+IF(OR(ISERR(FIND(":",G141)),ISERR(FIND("%",G141))),0,MID(G141,FIND(":",G141)+2,FIND("%",G141)-FIND(":",G141)-2)/100))*0</f>
        <v>0</v>
      </c>
      <c r="I142" s="29">
        <f>G140*H142</f>
        <v>0</v>
      </c>
      <c r="J142">
        <v>3</v>
      </c>
      <c r="K142" s="4">
        <v>0</v>
      </c>
      <c r="L142" s="4">
        <v>0</v>
      </c>
      <c r="M142" s="4">
        <f>I142-K142-L142</f>
        <v>0</v>
      </c>
    </row>
    <row r="143" spans="1:19" x14ac:dyDescent="0.3">
      <c r="A143" s="98"/>
      <c r="B143" s="98"/>
      <c r="C143" s="98"/>
      <c r="D143" s="98"/>
      <c r="E143" s="98"/>
      <c r="F143" s="98"/>
      <c r="G143" s="98"/>
      <c r="H143" s="38">
        <f>0</f>
        <v>0</v>
      </c>
      <c r="I143" s="29">
        <f>G140*H143</f>
        <v>0</v>
      </c>
      <c r="J143">
        <v>4</v>
      </c>
      <c r="N143" s="4">
        <f>IF(ISERR(SEARCH("TRA* 82",C140)),IF(Q143+R143+S143=0,0,I143*(Q143/(Q143+R143+S143))),I143)</f>
        <v>0</v>
      </c>
      <c r="O143" s="4">
        <f>IF(ISERR(SEARCH("TRA* 82",C140)),IF(Q143+R143+S143=0,0,I143*(R143/(Q143+R143+S143))),0)</f>
        <v>0</v>
      </c>
      <c r="P143" s="4">
        <f>IF(ISERR(SEARCH("TRA* 82",C140)),I143-N143-O143,0)</f>
        <v>0</v>
      </c>
      <c r="Q143" s="4">
        <v>0</v>
      </c>
      <c r="R143" s="4">
        <v>0</v>
      </c>
      <c r="S143" s="4">
        <v>0</v>
      </c>
    </row>
    <row r="144" spans="1:19" x14ac:dyDescent="0.3">
      <c r="A144" s="100" t="s">
        <v>27</v>
      </c>
      <c r="B144" s="101"/>
      <c r="C144" s="101"/>
      <c r="D144" s="101"/>
      <c r="E144" s="101"/>
      <c r="F144" s="101"/>
      <c r="G144" s="101"/>
      <c r="H144" s="33">
        <f>H140+H141+H142+H143</f>
        <v>177.21941354903942</v>
      </c>
      <c r="I144" s="37">
        <f>I140+I141+I142+I143</f>
        <v>1752.6999999999998</v>
      </c>
      <c r="J144">
        <v>5</v>
      </c>
    </row>
    <row r="145" spans="1:19" x14ac:dyDescent="0.3">
      <c r="A145" s="102" t="s">
        <v>760</v>
      </c>
      <c r="B145" s="102"/>
      <c r="C145" s="102"/>
      <c r="D145" s="102"/>
      <c r="E145" s="102"/>
      <c r="F145" s="102"/>
      <c r="G145" s="102"/>
      <c r="H145" s="102"/>
      <c r="I145" s="102"/>
    </row>
    <row r="146" spans="1:19" x14ac:dyDescent="0.3">
      <c r="A146" s="98" t="s">
        <v>752</v>
      </c>
      <c r="B146" s="98"/>
      <c r="C146" s="98"/>
      <c r="D146" s="98"/>
      <c r="E146" s="98"/>
      <c r="F146" s="98"/>
      <c r="G146" s="98"/>
      <c r="H146" s="98"/>
      <c r="I146" s="98"/>
    </row>
    <row r="147" spans="1:19" x14ac:dyDescent="0.3">
      <c r="A147" s="97" t="s">
        <v>753</v>
      </c>
      <c r="B147" s="97"/>
      <c r="C147" s="97"/>
      <c r="D147" s="97"/>
      <c r="E147" s="97"/>
      <c r="F147" s="97"/>
      <c r="G147" s="97"/>
      <c r="H147" s="97"/>
      <c r="I147" s="97"/>
    </row>
    <row r="148" spans="1:19" x14ac:dyDescent="0.3">
      <c r="B148" s="2">
        <v>18</v>
      </c>
      <c r="C148" s="3" t="s">
        <v>767</v>
      </c>
      <c r="D148" s="5" t="s">
        <v>40</v>
      </c>
      <c r="G148" s="30">
        <v>941.01</v>
      </c>
      <c r="H148" s="38">
        <f>70115.68/G148</f>
        <v>74.511089148893205</v>
      </c>
      <c r="I148" s="29">
        <f>G148*H148</f>
        <v>70115.679999999993</v>
      </c>
      <c r="J148">
        <v>1</v>
      </c>
    </row>
    <row r="149" spans="1:19" x14ac:dyDescent="0.3">
      <c r="D149" s="15" t="str">
        <f>SUBSTITUTE("Sp.mat: 0.00%",".",IF(VALUE("1.2")=1.2,".",","),2)</f>
        <v>Sp.mat: 0.00%</v>
      </c>
      <c r="F149" s="15" t="str">
        <f>SUBSTITUTE("Sp.man: 0.00%",".",IF(VALUE("1.2")=1.2,".",","),2)</f>
        <v>Sp.man: 0.00%</v>
      </c>
      <c r="G149" s="35" t="str">
        <f>SUBSTITUTE("Sp.uti: 0.00%",".",IF(VALUE("1.2")=1.2,".",","),2)</f>
        <v>Sp.uti: 0.00%</v>
      </c>
      <c r="H149" s="38">
        <f>2712.99/G148</f>
        <v>2.8830618165588038</v>
      </c>
      <c r="I149" s="29">
        <f>G148*H149</f>
        <v>2712.99</v>
      </c>
      <c r="J149">
        <v>2</v>
      </c>
    </row>
    <row r="150" spans="1:19" x14ac:dyDescent="0.3">
      <c r="A150" s="88" t="s">
        <v>768</v>
      </c>
      <c r="B150" s="98"/>
      <c r="C150" s="98"/>
      <c r="D150" s="98"/>
      <c r="E150" s="98"/>
      <c r="F150" s="98"/>
      <c r="G150" s="98"/>
      <c r="H150" s="38">
        <f>29.39/G148</f>
        <v>3.1232399230613914E-2</v>
      </c>
      <c r="I150" s="29">
        <f>G148*H150</f>
        <v>29.39</v>
      </c>
      <c r="J150">
        <v>3</v>
      </c>
      <c r="K150" s="4">
        <v>0</v>
      </c>
      <c r="L150" s="4">
        <v>0</v>
      </c>
      <c r="M150" s="4">
        <f>I150-K150-L150</f>
        <v>29.39</v>
      </c>
    </row>
    <row r="151" spans="1:19" x14ac:dyDescent="0.3">
      <c r="A151" s="98"/>
      <c r="B151" s="98"/>
      <c r="C151" s="98"/>
      <c r="D151" s="98"/>
      <c r="E151" s="98"/>
      <c r="F151" s="98"/>
      <c r="G151" s="98"/>
      <c r="H151" s="38">
        <f>0</f>
        <v>0</v>
      </c>
      <c r="I151" s="29">
        <f>G148*H151</f>
        <v>0</v>
      </c>
      <c r="J151">
        <v>4</v>
      </c>
      <c r="N151" s="4">
        <f>IF(ISERR(SEARCH("TRA* 82",C148)),IF(Q151+R151+S151=0,0,I151*(Q151/(Q151+R151+S151))),I151)</f>
        <v>0</v>
      </c>
      <c r="O151" s="4">
        <f>IF(ISERR(SEARCH("TRA* 82",C148)),IF(Q151+R151+S151=0,0,I151*(R151/(Q151+R151+S151))),0)</f>
        <v>0</v>
      </c>
      <c r="P151" s="4">
        <f>IF(ISERR(SEARCH("TRA* 82",C148)),I151-N151-O151,0)</f>
        <v>0</v>
      </c>
      <c r="Q151" s="4">
        <v>0</v>
      </c>
      <c r="R151" s="4">
        <v>0</v>
      </c>
      <c r="S151" s="4">
        <v>0</v>
      </c>
    </row>
    <row r="152" spans="1:19" x14ac:dyDescent="0.3">
      <c r="A152" s="96" t="s">
        <v>27</v>
      </c>
      <c r="B152" s="97"/>
      <c r="C152" s="97"/>
      <c r="D152" s="97"/>
      <c r="E152" s="97"/>
      <c r="F152" s="97"/>
      <c r="G152" s="97"/>
      <c r="H152" s="36">
        <f>H148+H149+H150+H151</f>
        <v>77.425383364682631</v>
      </c>
      <c r="I152" s="74">
        <f>I148+I149+I150+I151</f>
        <v>72858.06</v>
      </c>
      <c r="J152">
        <v>5</v>
      </c>
    </row>
    <row r="153" spans="1:19" x14ac:dyDescent="0.3">
      <c r="B153" s="2">
        <v>19</v>
      </c>
      <c r="C153" s="3" t="s">
        <v>1032</v>
      </c>
      <c r="D153" s="5" t="s">
        <v>40</v>
      </c>
      <c r="G153" s="30">
        <v>941.01</v>
      </c>
      <c r="H153" s="38">
        <f>26727.96/G153</f>
        <v>28.40348136576657</v>
      </c>
      <c r="I153" s="29">
        <f>G153*H153</f>
        <v>26727.96</v>
      </c>
      <c r="J153">
        <v>1</v>
      </c>
    </row>
    <row r="154" spans="1:19" x14ac:dyDescent="0.3">
      <c r="D154" s="15" t="str">
        <f>SUBSTITUTE("Sp.mat: 0.00%",".",IF(VALUE("1.2")=1.2,".",","),2)</f>
        <v>Sp.mat: 0.00%</v>
      </c>
      <c r="F154" s="15" t="str">
        <f>SUBSTITUTE("Sp.man: 0.00%",".",IF(VALUE("1.2")=1.2,".",","),2)</f>
        <v>Sp.man: 0.00%</v>
      </c>
      <c r="G154" s="35" t="str">
        <f>SUBSTITUTE("Sp.uti: 0.00%",".",IF(VALUE("1.2")=1.2,".",","),2)</f>
        <v>Sp.uti: 0.00%</v>
      </c>
      <c r="H154" s="38">
        <f>(1+IF(OR(ISERR(FIND(":",F154)),ISERR(FIND("%",F154))),0,MID(F154,FIND(":",F154)+2,FIND("%",F154)-FIND(":",F154)-2)/100))*0</f>
        <v>0</v>
      </c>
      <c r="I154" s="29">
        <f>G153*H154</f>
        <v>0</v>
      </c>
      <c r="J154">
        <v>2</v>
      </c>
    </row>
    <row r="155" spans="1:19" x14ac:dyDescent="0.3">
      <c r="A155" s="88" t="s">
        <v>770</v>
      </c>
      <c r="B155" s="98"/>
      <c r="C155" s="98"/>
      <c r="D155" s="98"/>
      <c r="E155" s="98"/>
      <c r="F155" s="98"/>
      <c r="G155" s="98"/>
      <c r="H155" s="38">
        <f>(1+IF(OR(ISERR(FIND(":",G154)),ISERR(FIND("%",G154))),0,MID(G154,FIND(":",G154)+2,FIND("%",G154)-FIND(":",G154)-2)/100))*0</f>
        <v>0</v>
      </c>
      <c r="I155" s="29">
        <f>G153*H155</f>
        <v>0</v>
      </c>
      <c r="J155">
        <v>3</v>
      </c>
      <c r="K155" s="4">
        <v>0</v>
      </c>
      <c r="L155" s="4">
        <v>0</v>
      </c>
      <c r="M155" s="4">
        <f>I155-K155-L155</f>
        <v>0</v>
      </c>
    </row>
    <row r="156" spans="1:19" x14ac:dyDescent="0.3">
      <c r="A156" s="98"/>
      <c r="B156" s="98"/>
      <c r="C156" s="98"/>
      <c r="D156" s="98"/>
      <c r="E156" s="98"/>
      <c r="F156" s="98"/>
      <c r="G156" s="98"/>
      <c r="H156" s="38">
        <f>0</f>
        <v>0</v>
      </c>
      <c r="I156" s="29">
        <f>G153*H156</f>
        <v>0</v>
      </c>
      <c r="J156">
        <v>4</v>
      </c>
      <c r="N156" s="4">
        <f>IF(ISERR(SEARCH("TRA* 82",C153)),IF(Q156+R156+S156=0,0,I156*(Q156/(Q156+R156+S156))),I156)</f>
        <v>0</v>
      </c>
      <c r="O156" s="4">
        <f>IF(ISERR(SEARCH("TRA* 82",C153)),IF(Q156+R156+S156=0,0,I156*(R156/(Q156+R156+S156))),0)</f>
        <v>0</v>
      </c>
      <c r="P156" s="4">
        <f>IF(ISERR(SEARCH("TRA* 82",C153)),I156-N156-O156,0)</f>
        <v>0</v>
      </c>
      <c r="Q156" s="4">
        <v>0</v>
      </c>
      <c r="R156" s="4">
        <v>0</v>
      </c>
      <c r="S156" s="4">
        <v>0</v>
      </c>
    </row>
    <row r="157" spans="1:19" x14ac:dyDescent="0.3">
      <c r="A157" s="96" t="s">
        <v>27</v>
      </c>
      <c r="B157" s="97"/>
      <c r="C157" s="97"/>
      <c r="D157" s="97"/>
      <c r="E157" s="97"/>
      <c r="F157" s="97"/>
      <c r="G157" s="97"/>
      <c r="H157" s="36">
        <f>H153+H154+H155+H156</f>
        <v>28.40348136576657</v>
      </c>
      <c r="I157" s="74">
        <f>I153+I154+I155+I156</f>
        <v>26727.96</v>
      </c>
      <c r="J157">
        <v>5</v>
      </c>
    </row>
    <row r="158" spans="1:19" x14ac:dyDescent="0.3">
      <c r="B158" s="2">
        <v>20</v>
      </c>
      <c r="C158" s="3" t="s">
        <v>771</v>
      </c>
      <c r="D158" s="5" t="s">
        <v>25</v>
      </c>
      <c r="G158" s="30">
        <v>21</v>
      </c>
      <c r="H158" s="38">
        <f>2275.45/G158</f>
        <v>108.3547619047619</v>
      </c>
      <c r="I158" s="29">
        <f>G158*H158</f>
        <v>2275.4499999999998</v>
      </c>
      <c r="J158">
        <v>1</v>
      </c>
    </row>
    <row r="159" spans="1:19" x14ac:dyDescent="0.3">
      <c r="D159" s="15" t="str">
        <f>SUBSTITUTE("Sp.mat: 0.00%",".",IF(VALUE("1.2")=1.2,".",","),2)</f>
        <v>Sp.mat: 0.00%</v>
      </c>
      <c r="F159" s="15" t="str">
        <f>SUBSTITUTE("Sp.man: 0.00%",".",IF(VALUE("1.2")=1.2,".",","),2)</f>
        <v>Sp.man: 0.00%</v>
      </c>
      <c r="G159" s="35" t="str">
        <f>SUBSTITUTE("Sp.uti: 0.00%",".",IF(VALUE("1.2")=1.2,".",","),2)</f>
        <v>Sp.uti: 0.00%</v>
      </c>
      <c r="H159" s="38">
        <f>437.26/G158</f>
        <v>20.821904761904761</v>
      </c>
      <c r="I159" s="29">
        <f>G158*H159</f>
        <v>437.26</v>
      </c>
      <c r="J159">
        <v>2</v>
      </c>
    </row>
    <row r="160" spans="1:19" x14ac:dyDescent="0.3">
      <c r="A160" s="88" t="s">
        <v>772</v>
      </c>
      <c r="B160" s="98"/>
      <c r="C160" s="98"/>
      <c r="D160" s="98"/>
      <c r="E160" s="98"/>
      <c r="F160" s="98"/>
      <c r="G160" s="98"/>
      <c r="H160" s="38">
        <f>(1+IF(OR(ISERR(FIND(":",G159)),ISERR(FIND("%",G159))),0,MID(G159,FIND(":",G159)+2,FIND("%",G159)-FIND(":",G159)-2)/100))*0</f>
        <v>0</v>
      </c>
      <c r="I160" s="29">
        <f>G158*H160</f>
        <v>0</v>
      </c>
      <c r="J160">
        <v>3</v>
      </c>
      <c r="K160" s="4">
        <v>0</v>
      </c>
      <c r="L160" s="4">
        <v>0</v>
      </c>
      <c r="M160" s="4">
        <f>I160-K160-L160</f>
        <v>0</v>
      </c>
    </row>
    <row r="161" spans="1:19" x14ac:dyDescent="0.3">
      <c r="A161" s="98"/>
      <c r="B161" s="98"/>
      <c r="C161" s="98"/>
      <c r="D161" s="98"/>
      <c r="E161" s="98"/>
      <c r="F161" s="98"/>
      <c r="G161" s="98"/>
      <c r="H161" s="38">
        <f>0</f>
        <v>0</v>
      </c>
      <c r="I161" s="29">
        <f>G158*H161</f>
        <v>0</v>
      </c>
      <c r="J161">
        <v>4</v>
      </c>
      <c r="N161" s="4">
        <f>IF(ISERR(SEARCH("TRA* 82",C158)),IF(Q161+R161+S161=0,0,I161*(Q161/(Q161+R161+S161))),I161)</f>
        <v>0</v>
      </c>
      <c r="O161" s="4">
        <f>IF(ISERR(SEARCH("TRA* 82",C158)),IF(Q161+R161+S161=0,0,I161*(R161/(Q161+R161+S161))),0)</f>
        <v>0</v>
      </c>
      <c r="P161" s="4">
        <f>IF(ISERR(SEARCH("TRA* 82",C158)),I161-N161-O161,0)</f>
        <v>0</v>
      </c>
      <c r="Q161" s="4">
        <v>0</v>
      </c>
      <c r="R161" s="4">
        <v>0</v>
      </c>
      <c r="S161" s="4">
        <v>0</v>
      </c>
    </row>
    <row r="162" spans="1:19" x14ac:dyDescent="0.3">
      <c r="A162" s="96" t="s">
        <v>27</v>
      </c>
      <c r="B162" s="97"/>
      <c r="C162" s="97"/>
      <c r="D162" s="97"/>
      <c r="E162" s="97"/>
      <c r="F162" s="97"/>
      <c r="G162" s="97"/>
      <c r="H162" s="36">
        <f>H158+H159+H160+H161</f>
        <v>129.17666666666668</v>
      </c>
      <c r="I162" s="74">
        <f>I158+I159+I160+I161</f>
        <v>2712.71</v>
      </c>
      <c r="J162">
        <v>5</v>
      </c>
    </row>
    <row r="163" spans="1:19" x14ac:dyDescent="0.3">
      <c r="B163" s="2">
        <v>21</v>
      </c>
      <c r="C163" s="3" t="s">
        <v>771</v>
      </c>
      <c r="D163" s="5" t="s">
        <v>25</v>
      </c>
      <c r="G163" s="30">
        <v>90</v>
      </c>
      <c r="H163" s="38">
        <f>12061.2/G163</f>
        <v>134.01333333333335</v>
      </c>
      <c r="I163" s="29">
        <f>G163*H163</f>
        <v>12061.2</v>
      </c>
      <c r="J163">
        <v>1</v>
      </c>
    </row>
    <row r="164" spans="1:19" x14ac:dyDescent="0.3">
      <c r="D164" s="15" t="str">
        <f>SUBSTITUTE("Sp.mat: 0.00%",".",IF(VALUE("1.2")=1.2,".",","),2)</f>
        <v>Sp.mat: 0.00%</v>
      </c>
      <c r="F164" s="15" t="str">
        <f>SUBSTITUTE("Sp.man: 0.00%",".",IF(VALUE("1.2")=1.2,".",","),2)</f>
        <v>Sp.man: 0.00%</v>
      </c>
      <c r="G164" s="35" t="str">
        <f>SUBSTITUTE("Sp.uti: 0.00%",".",IF(VALUE("1.2")=1.2,".",","),2)</f>
        <v>Sp.uti: 0.00%</v>
      </c>
      <c r="H164" s="38">
        <f>1873.99/G163</f>
        <v>20.822111111111113</v>
      </c>
      <c r="I164" s="29">
        <f>G163*H164</f>
        <v>1873.9900000000002</v>
      </c>
      <c r="J164">
        <v>2</v>
      </c>
    </row>
    <row r="165" spans="1:19" x14ac:dyDescent="0.3">
      <c r="A165" s="88" t="s">
        <v>772</v>
      </c>
      <c r="B165" s="98"/>
      <c r="C165" s="98"/>
      <c r="D165" s="98"/>
      <c r="E165" s="98"/>
      <c r="F165" s="98"/>
      <c r="G165" s="98"/>
      <c r="H165" s="38">
        <f>(1+IF(OR(ISERR(FIND(":",G164)),ISERR(FIND("%",G164))),0,MID(G164,FIND(":",G164)+2,FIND("%",G164)-FIND(":",G164)-2)/100))*0</f>
        <v>0</v>
      </c>
      <c r="I165" s="29">
        <f>G163*H165</f>
        <v>0</v>
      </c>
      <c r="J165">
        <v>3</v>
      </c>
      <c r="K165" s="4">
        <v>0</v>
      </c>
      <c r="L165" s="4">
        <v>0</v>
      </c>
      <c r="M165" s="4">
        <f>I165-K165-L165</f>
        <v>0</v>
      </c>
    </row>
    <row r="166" spans="1:19" x14ac:dyDescent="0.3">
      <c r="A166" s="98"/>
      <c r="B166" s="98"/>
      <c r="C166" s="98"/>
      <c r="D166" s="98"/>
      <c r="E166" s="98"/>
      <c r="F166" s="98"/>
      <c r="G166" s="98"/>
      <c r="H166" s="38">
        <f>0</f>
        <v>0</v>
      </c>
      <c r="I166" s="29">
        <f>G163*H166</f>
        <v>0</v>
      </c>
      <c r="J166">
        <v>4</v>
      </c>
      <c r="N166" s="4">
        <f>IF(ISERR(SEARCH("TRA* 82",C163)),IF(Q166+R166+S166=0,0,I166*(Q166/(Q166+R166+S166))),I166)</f>
        <v>0</v>
      </c>
      <c r="O166" s="4">
        <f>IF(ISERR(SEARCH("TRA* 82",C163)),IF(Q166+R166+S166=0,0,I166*(R166/(Q166+R166+S166))),0)</f>
        <v>0</v>
      </c>
      <c r="P166" s="4">
        <f>IF(ISERR(SEARCH("TRA* 82",C163)),I166-N166-O166,0)</f>
        <v>0</v>
      </c>
      <c r="Q166" s="4">
        <v>0</v>
      </c>
      <c r="R166" s="4">
        <v>0</v>
      </c>
      <c r="S166" s="4">
        <v>0</v>
      </c>
    </row>
    <row r="167" spans="1:19" x14ac:dyDescent="0.3">
      <c r="A167" s="96" t="s">
        <v>27</v>
      </c>
      <c r="B167" s="97"/>
      <c r="C167" s="97"/>
      <c r="D167" s="97"/>
      <c r="E167" s="97"/>
      <c r="F167" s="97"/>
      <c r="G167" s="97"/>
      <c r="H167" s="36">
        <f>H163+H164+H165+H166</f>
        <v>154.83544444444448</v>
      </c>
      <c r="I167" s="74">
        <f>I163+I164+I165+I166</f>
        <v>13935.19</v>
      </c>
      <c r="J167">
        <v>5</v>
      </c>
    </row>
    <row r="168" spans="1:19" x14ac:dyDescent="0.3">
      <c r="B168" s="2">
        <v>22</v>
      </c>
      <c r="C168" s="3" t="s">
        <v>771</v>
      </c>
      <c r="D168" s="5" t="s">
        <v>25</v>
      </c>
      <c r="G168" s="30">
        <v>48</v>
      </c>
      <c r="H168" s="38">
        <f>7285.4/G168</f>
        <v>151.77916666666667</v>
      </c>
      <c r="I168" s="29">
        <f>G168*H168</f>
        <v>7285.4</v>
      </c>
      <c r="J168">
        <v>1</v>
      </c>
    </row>
    <row r="169" spans="1:19" x14ac:dyDescent="0.3">
      <c r="D169" s="15" t="str">
        <f>SUBSTITUTE("Sp.mat: 0.00%",".",IF(VALUE("1.2")=1.2,".",","),2)</f>
        <v>Sp.mat: 0.00%</v>
      </c>
      <c r="F169" s="15" t="str">
        <f>SUBSTITUTE("Sp.man: 0.00%",".",IF(VALUE("1.2")=1.2,".",","),2)</f>
        <v>Sp.man: 0.00%</v>
      </c>
      <c r="G169" s="35" t="str">
        <f>SUBSTITUTE("Sp.uti: 0.00%",".",IF(VALUE("1.2")=1.2,".",","),2)</f>
        <v>Sp.uti: 0.00%</v>
      </c>
      <c r="H169" s="38">
        <f>999.46/G168</f>
        <v>20.822083333333335</v>
      </c>
      <c r="I169" s="29">
        <f>G168*H169</f>
        <v>999.46</v>
      </c>
      <c r="J169">
        <v>2</v>
      </c>
    </row>
    <row r="170" spans="1:19" x14ac:dyDescent="0.3">
      <c r="A170" s="88" t="s">
        <v>772</v>
      </c>
      <c r="B170" s="98"/>
      <c r="C170" s="98"/>
      <c r="D170" s="98"/>
      <c r="E170" s="98"/>
      <c r="F170" s="98"/>
      <c r="G170" s="98"/>
      <c r="H170" s="38">
        <f>(1+IF(OR(ISERR(FIND(":",G169)),ISERR(FIND("%",G169))),0,MID(G169,FIND(":",G169)+2,FIND("%",G169)-FIND(":",G169)-2)/100))*0</f>
        <v>0</v>
      </c>
      <c r="I170" s="29">
        <f>G168*H170</f>
        <v>0</v>
      </c>
      <c r="J170">
        <v>3</v>
      </c>
      <c r="K170" s="4">
        <v>0</v>
      </c>
      <c r="L170" s="4">
        <v>0</v>
      </c>
      <c r="M170" s="4">
        <f>I170-K170-L170</f>
        <v>0</v>
      </c>
    </row>
    <row r="171" spans="1:19" x14ac:dyDescent="0.3">
      <c r="A171" s="98"/>
      <c r="B171" s="98"/>
      <c r="C171" s="98"/>
      <c r="D171" s="98"/>
      <c r="E171" s="98"/>
      <c r="F171" s="98"/>
      <c r="G171" s="98"/>
      <c r="H171" s="38">
        <f>0</f>
        <v>0</v>
      </c>
      <c r="I171" s="29">
        <f>G168*H171</f>
        <v>0</v>
      </c>
      <c r="J171">
        <v>4</v>
      </c>
      <c r="N171" s="4">
        <f>IF(ISERR(SEARCH("TRA* 82",C168)),IF(Q171+R171+S171=0,0,I171*(Q171/(Q171+R171+S171))),I171)</f>
        <v>0</v>
      </c>
      <c r="O171" s="4">
        <f>IF(ISERR(SEARCH("TRA* 82",C168)),IF(Q171+R171+S171=0,0,I171*(R171/(Q171+R171+S171))),0)</f>
        <v>0</v>
      </c>
      <c r="P171" s="4">
        <f>IF(ISERR(SEARCH("TRA* 82",C168)),I171-N171-O171,0)</f>
        <v>0</v>
      </c>
      <c r="Q171" s="4">
        <v>0</v>
      </c>
      <c r="R171" s="4">
        <v>0</v>
      </c>
      <c r="S171" s="4">
        <v>0</v>
      </c>
    </row>
    <row r="172" spans="1:19" x14ac:dyDescent="0.3">
      <c r="A172" s="96" t="s">
        <v>27</v>
      </c>
      <c r="B172" s="97"/>
      <c r="C172" s="97"/>
      <c r="D172" s="97"/>
      <c r="E172" s="97"/>
      <c r="F172" s="97"/>
      <c r="G172" s="97"/>
      <c r="H172" s="36">
        <f>H168+H169+H170+H171</f>
        <v>172.60124999999999</v>
      </c>
      <c r="I172" s="74">
        <f>I168+I169+I170+I171</f>
        <v>8284.86</v>
      </c>
      <c r="J172">
        <v>5</v>
      </c>
    </row>
    <row r="173" spans="1:19" x14ac:dyDescent="0.3">
      <c r="B173" s="2">
        <v>23</v>
      </c>
      <c r="C173" s="3" t="s">
        <v>773</v>
      </c>
      <c r="D173" s="5" t="s">
        <v>29</v>
      </c>
      <c r="G173" s="30">
        <v>8</v>
      </c>
      <c r="H173" s="38">
        <f>377.25/G173</f>
        <v>47.15625</v>
      </c>
      <c r="I173" s="29">
        <f>G173*H173</f>
        <v>377.25</v>
      </c>
      <c r="J173">
        <v>1</v>
      </c>
    </row>
    <row r="174" spans="1:19" x14ac:dyDescent="0.3">
      <c r="D174" s="15" t="str">
        <f>SUBSTITUTE("Sp.mat: 0.00%",".",IF(VALUE("1.2")=1.2,".",","),2)</f>
        <v>Sp.mat: 0.00%</v>
      </c>
      <c r="F174" s="15" t="str">
        <f>SUBSTITUTE("Sp.man: 0.00%",".",IF(VALUE("1.2")=1.2,".",","),2)</f>
        <v>Sp.man: 0.00%</v>
      </c>
      <c r="G174" s="35" t="str">
        <f>SUBSTITUTE("Sp.uti: 0.00%",".",IF(VALUE("1.2")=1.2,".",","),2)</f>
        <v>Sp.uti: 0.00%</v>
      </c>
      <c r="H174" s="38">
        <f>279.34/G173</f>
        <v>34.917499999999997</v>
      </c>
      <c r="I174" s="29">
        <f>G173*H174</f>
        <v>279.33999999999997</v>
      </c>
      <c r="J174">
        <v>2</v>
      </c>
    </row>
    <row r="175" spans="1:19" x14ac:dyDescent="0.3">
      <c r="A175" s="88" t="s">
        <v>1033</v>
      </c>
      <c r="B175" s="98"/>
      <c r="C175" s="98"/>
      <c r="D175" s="98"/>
      <c r="E175" s="98"/>
      <c r="F175" s="98"/>
      <c r="G175" s="98"/>
      <c r="H175" s="38">
        <f>44.19/G173</f>
        <v>5.5237499999999997</v>
      </c>
      <c r="I175" s="29">
        <f>G173*H175</f>
        <v>44.19</v>
      </c>
      <c r="J175">
        <v>3</v>
      </c>
      <c r="K175" s="4">
        <v>0</v>
      </c>
      <c r="L175" s="4">
        <v>81.599999999999994</v>
      </c>
      <c r="M175" s="4">
        <f>I175-K175-L175</f>
        <v>-37.409999999999997</v>
      </c>
    </row>
    <row r="176" spans="1:19" x14ac:dyDescent="0.3">
      <c r="A176" s="98"/>
      <c r="B176" s="98"/>
      <c r="C176" s="98"/>
      <c r="D176" s="98"/>
      <c r="E176" s="98"/>
      <c r="F176" s="98"/>
      <c r="G176" s="98"/>
      <c r="H176" s="38">
        <f>0</f>
        <v>0</v>
      </c>
      <c r="I176" s="29">
        <f>G173*H176</f>
        <v>0</v>
      </c>
      <c r="J176">
        <v>4</v>
      </c>
      <c r="N176" s="4">
        <f>IF(ISERR(SEARCH("TRA* 82",C173)),IF(Q176+R176+S176=0,0,I176*(Q176/(Q176+R176+S176))),I176)</f>
        <v>0</v>
      </c>
      <c r="O176" s="4">
        <f>IF(ISERR(SEARCH("TRA* 82",C173)),IF(Q176+R176+S176=0,0,I176*(R176/(Q176+R176+S176))),0)</f>
        <v>0</v>
      </c>
      <c r="P176" s="4">
        <f>IF(ISERR(SEARCH("TRA* 82",C173)),I176-N176-O176,0)</f>
        <v>0</v>
      </c>
      <c r="Q176" s="4">
        <v>0</v>
      </c>
      <c r="R176" s="4">
        <v>0</v>
      </c>
      <c r="S176" s="4">
        <v>0</v>
      </c>
    </row>
    <row r="177" spans="1:19" x14ac:dyDescent="0.3">
      <c r="A177" s="96" t="s">
        <v>110</v>
      </c>
      <c r="B177" s="97"/>
      <c r="C177" s="97"/>
      <c r="D177" s="97"/>
      <c r="E177" s="97"/>
      <c r="F177" s="97"/>
      <c r="G177" s="97"/>
      <c r="H177" s="36">
        <f>H173+H174+H175+H176</f>
        <v>87.597499999999997</v>
      </c>
      <c r="I177" s="74">
        <f>I173+I174+I175+I176</f>
        <v>700.78</v>
      </c>
      <c r="J177">
        <v>5</v>
      </c>
    </row>
    <row r="178" spans="1:19" x14ac:dyDescent="0.3">
      <c r="B178" s="2">
        <v>24</v>
      </c>
      <c r="C178" s="3" t="s">
        <v>775</v>
      </c>
      <c r="D178" s="5" t="s">
        <v>29</v>
      </c>
      <c r="G178" s="30">
        <v>6</v>
      </c>
      <c r="H178" s="38">
        <v>13.48</v>
      </c>
      <c r="I178" s="29">
        <f>G178*H178</f>
        <v>80.88</v>
      </c>
      <c r="J178">
        <v>1</v>
      </c>
    </row>
    <row r="179" spans="1:19" x14ac:dyDescent="0.3">
      <c r="D179" s="15" t="str">
        <f>SUBSTITUTE("Sp.mat: 0.00%",".",IF(VALUE("1.2")=1.2,".",","),2)</f>
        <v>Sp.mat: 0.00%</v>
      </c>
      <c r="F179" s="15" t="str">
        <f>SUBSTITUTE("Sp.man: 0.00%",".",IF(VALUE("1.2")=1.2,".",","),2)</f>
        <v>Sp.man: 0.00%</v>
      </c>
      <c r="G179" s="35" t="str">
        <f>SUBSTITUTE("Sp.uti: 0.00%",".",IF(VALUE("1.2")=1.2,".",","),2)</f>
        <v>Sp.uti: 0.00%</v>
      </c>
      <c r="H179" s="38">
        <f>(1+IF(OR(ISERR(FIND(":",F179)),ISERR(FIND("%",F179))),0,MID(F179,FIND(":",F179)+2,FIND("%",F179)-FIND(":",F179)-2)/100))*0</f>
        <v>0</v>
      </c>
      <c r="I179" s="29">
        <f>G178*H179</f>
        <v>0</v>
      </c>
      <c r="J179">
        <v>2</v>
      </c>
    </row>
    <row r="180" spans="1:19" x14ac:dyDescent="0.3">
      <c r="A180" s="88" t="s">
        <v>776</v>
      </c>
      <c r="B180" s="98"/>
      <c r="C180" s="98"/>
      <c r="D180" s="98"/>
      <c r="E180" s="98"/>
      <c r="F180" s="98"/>
      <c r="G180" s="98"/>
      <c r="H180" s="38">
        <f>(1+IF(OR(ISERR(FIND(":",G179)),ISERR(FIND("%",G179))),0,MID(G179,FIND(":",G179)+2,FIND("%",G179)-FIND(":",G179)-2)/100))*0</f>
        <v>0</v>
      </c>
      <c r="I180" s="29">
        <f>G178*H180</f>
        <v>0</v>
      </c>
      <c r="J180">
        <v>3</v>
      </c>
      <c r="K180" s="4">
        <v>0</v>
      </c>
      <c r="L180" s="4">
        <v>0</v>
      </c>
      <c r="M180" s="4">
        <f>I180-K180-L180</f>
        <v>0</v>
      </c>
    </row>
    <row r="181" spans="1:19" x14ac:dyDescent="0.3">
      <c r="A181" s="98"/>
      <c r="B181" s="98"/>
      <c r="C181" s="98"/>
      <c r="D181" s="98"/>
      <c r="E181" s="98"/>
      <c r="F181" s="98"/>
      <c r="G181" s="98"/>
      <c r="H181" s="38">
        <f>0</f>
        <v>0</v>
      </c>
      <c r="I181" s="29">
        <f>G178*H181</f>
        <v>0</v>
      </c>
      <c r="J181">
        <v>4</v>
      </c>
      <c r="N181" s="4">
        <f>IF(ISERR(SEARCH("TRA* 82",C178)),IF(Q181+R181+S181=0,0,I181*(Q181/(Q181+R181+S181))),I181)</f>
        <v>0</v>
      </c>
      <c r="O181" s="4">
        <f>IF(ISERR(SEARCH("TRA* 82",C178)),IF(Q181+R181+S181=0,0,I181*(R181/(Q181+R181+S181))),0)</f>
        <v>0</v>
      </c>
      <c r="P181" s="4">
        <f>IF(ISERR(SEARCH("TRA* 82",C178)),I181-N181-O181,0)</f>
        <v>0</v>
      </c>
      <c r="Q181" s="4">
        <v>0</v>
      </c>
      <c r="R181" s="4">
        <v>0</v>
      </c>
      <c r="S181" s="4">
        <v>0</v>
      </c>
    </row>
    <row r="182" spans="1:19" x14ac:dyDescent="0.3">
      <c r="A182" s="96" t="s">
        <v>27</v>
      </c>
      <c r="B182" s="97"/>
      <c r="C182" s="97"/>
      <c r="D182" s="97"/>
      <c r="E182" s="97"/>
      <c r="F182" s="97"/>
      <c r="G182" s="97"/>
      <c r="H182" s="36">
        <f>H178+H179+H180+H181</f>
        <v>13.48</v>
      </c>
      <c r="I182" s="74">
        <f>I178+I179+I180+I181</f>
        <v>80.88</v>
      </c>
      <c r="J182">
        <v>5</v>
      </c>
    </row>
    <row r="183" spans="1:19" x14ac:dyDescent="0.3">
      <c r="B183" s="2">
        <v>25</v>
      </c>
      <c r="C183" s="3" t="s">
        <v>779</v>
      </c>
      <c r="D183" s="5" t="s">
        <v>29</v>
      </c>
      <c r="G183" s="30">
        <v>2</v>
      </c>
      <c r="H183" s="38">
        <f>40.47/G183</f>
        <v>20.234999999999999</v>
      </c>
      <c r="I183" s="29">
        <f>G183*H183</f>
        <v>40.47</v>
      </c>
      <c r="J183">
        <v>1</v>
      </c>
    </row>
    <row r="184" spans="1:19" x14ac:dyDescent="0.3">
      <c r="D184" s="15" t="str">
        <f>SUBSTITUTE("Sp.mat: 0.00%",".",IF(VALUE("1.2")=1.2,".",","),2)</f>
        <v>Sp.mat: 0.00%</v>
      </c>
      <c r="F184" s="15" t="str">
        <f>SUBSTITUTE("Sp.man: 0.00%",".",IF(VALUE("1.2")=1.2,".",","),2)</f>
        <v>Sp.man: 0.00%</v>
      </c>
      <c r="G184" s="35" t="str">
        <f>SUBSTITUTE("Sp.uti: 0.00%",".",IF(VALUE("1.2")=1.2,".",","),2)</f>
        <v>Sp.uti: 0.00%</v>
      </c>
      <c r="H184" s="38">
        <f>(1+IF(OR(ISERR(FIND(":",F184)),ISERR(FIND("%",F184))),0,MID(F184,FIND(":",F184)+2,FIND("%",F184)-FIND(":",F184)-2)/100))*0</f>
        <v>0</v>
      </c>
      <c r="I184" s="29">
        <f>G183*H184</f>
        <v>0</v>
      </c>
      <c r="J184">
        <v>2</v>
      </c>
    </row>
    <row r="185" spans="1:19" x14ac:dyDescent="0.3">
      <c r="A185" s="88" t="s">
        <v>780</v>
      </c>
      <c r="B185" s="98"/>
      <c r="C185" s="98"/>
      <c r="D185" s="98"/>
      <c r="E185" s="98"/>
      <c r="F185" s="98"/>
      <c r="G185" s="98"/>
      <c r="H185" s="38">
        <f>(1+IF(OR(ISERR(FIND(":",G184)),ISERR(FIND("%",G184))),0,MID(G184,FIND(":",G184)+2,FIND("%",G184)-FIND(":",G184)-2)/100))*0</f>
        <v>0</v>
      </c>
      <c r="I185" s="29">
        <f>G183*H185</f>
        <v>0</v>
      </c>
      <c r="J185">
        <v>3</v>
      </c>
      <c r="K185" s="4">
        <v>0</v>
      </c>
      <c r="L185" s="4">
        <v>0</v>
      </c>
      <c r="M185" s="4">
        <f>I185-K185-L185</f>
        <v>0</v>
      </c>
    </row>
    <row r="186" spans="1:19" x14ac:dyDescent="0.3">
      <c r="A186" s="98"/>
      <c r="B186" s="98"/>
      <c r="C186" s="98"/>
      <c r="D186" s="98"/>
      <c r="E186" s="98"/>
      <c r="F186" s="98"/>
      <c r="G186" s="98"/>
      <c r="H186" s="38">
        <f>0</f>
        <v>0</v>
      </c>
      <c r="I186" s="29">
        <f>G183*H186</f>
        <v>0</v>
      </c>
      <c r="J186">
        <v>4</v>
      </c>
      <c r="N186" s="4">
        <f>IF(ISERR(SEARCH("TRA* 82",C183)),IF(Q186+R186+S186=0,0,I186*(Q186/(Q186+R186+S186))),I186)</f>
        <v>0</v>
      </c>
      <c r="O186" s="4">
        <f>IF(ISERR(SEARCH("TRA* 82",C183)),IF(Q186+R186+S186=0,0,I186*(R186/(Q186+R186+S186))),0)</f>
        <v>0</v>
      </c>
      <c r="P186" s="4">
        <f>IF(ISERR(SEARCH("TRA* 82",C183)),I186-N186-O186,0)</f>
        <v>0</v>
      </c>
      <c r="Q186" s="4">
        <v>0</v>
      </c>
      <c r="R186" s="4">
        <v>0</v>
      </c>
      <c r="S186" s="4">
        <v>0</v>
      </c>
    </row>
    <row r="187" spans="1:19" x14ac:dyDescent="0.3">
      <c r="A187" s="96" t="s">
        <v>27</v>
      </c>
      <c r="B187" s="97"/>
      <c r="C187" s="97"/>
      <c r="D187" s="97"/>
      <c r="E187" s="97"/>
      <c r="F187" s="97"/>
      <c r="G187" s="97"/>
      <c r="H187" s="36">
        <f>H183+H184+H185+H186</f>
        <v>20.234999999999999</v>
      </c>
      <c r="I187" s="74">
        <f>I183+I184+I185+I186</f>
        <v>40.47</v>
      </c>
      <c r="J187">
        <v>5</v>
      </c>
    </row>
    <row r="188" spans="1:19" x14ac:dyDescent="0.3">
      <c r="B188" s="2">
        <v>26</v>
      </c>
      <c r="C188" s="3" t="s">
        <v>781</v>
      </c>
      <c r="D188" s="5" t="s">
        <v>29</v>
      </c>
      <c r="G188" s="30">
        <v>30</v>
      </c>
      <c r="H188" s="38">
        <f>(1+IF(OR(ISERR(FIND(":",D189)),ISERR(FIND("%",D189))),0,MID(D189,FIND(":",D189)+2,FIND("%",D189)-FIND(":",D189)-2)/100))*0</f>
        <v>0</v>
      </c>
      <c r="I188" s="29">
        <f>G188*H188</f>
        <v>0</v>
      </c>
      <c r="J188">
        <v>1</v>
      </c>
    </row>
    <row r="189" spans="1:19" x14ac:dyDescent="0.3">
      <c r="D189" s="15" t="str">
        <f>SUBSTITUTE("Sp.mat: 0.00%",".",IF(VALUE("1.2")=1.2,".",","),2)</f>
        <v>Sp.mat: 0.00%</v>
      </c>
      <c r="F189" s="15" t="str">
        <f>SUBSTITUTE("Sp.man: 0.00%",".",IF(VALUE("1.2")=1.2,".",","),2)</f>
        <v>Sp.man: 0.00%</v>
      </c>
      <c r="G189" s="35" t="str">
        <f>SUBSTITUTE("Sp.uti: 0.00%",".",IF(VALUE("1.2")=1.2,".",","),2)</f>
        <v>Sp.uti: 0.00%</v>
      </c>
      <c r="H189" s="38">
        <f>1667.37/G188</f>
        <v>55.578999999999994</v>
      </c>
      <c r="I189" s="29">
        <f>G188*H189</f>
        <v>1667.37</v>
      </c>
      <c r="J189">
        <v>2</v>
      </c>
    </row>
    <row r="190" spans="1:19" x14ac:dyDescent="0.3">
      <c r="A190" s="88" t="s">
        <v>1034</v>
      </c>
      <c r="B190" s="98"/>
      <c r="C190" s="98"/>
      <c r="D190" s="98"/>
      <c r="E190" s="98"/>
      <c r="F190" s="98"/>
      <c r="G190" s="98"/>
      <c r="H190" s="38">
        <f>84.77/G188</f>
        <v>2.8256666666666663</v>
      </c>
      <c r="I190" s="29">
        <f>G188*H190</f>
        <v>84.77</v>
      </c>
      <c r="J190">
        <v>3</v>
      </c>
      <c r="K190" s="4">
        <v>0</v>
      </c>
      <c r="L190" s="4">
        <v>150</v>
      </c>
      <c r="M190" s="4">
        <f>I190-K190-L190</f>
        <v>-65.23</v>
      </c>
    </row>
    <row r="191" spans="1:19" x14ac:dyDescent="0.3">
      <c r="A191" s="98"/>
      <c r="B191" s="98"/>
      <c r="C191" s="98"/>
      <c r="D191" s="98"/>
      <c r="E191" s="98"/>
      <c r="F191" s="98"/>
      <c r="G191" s="98"/>
      <c r="H191" s="38">
        <f>0</f>
        <v>0</v>
      </c>
      <c r="I191" s="29">
        <f>G188*H191</f>
        <v>0</v>
      </c>
      <c r="J191">
        <v>4</v>
      </c>
      <c r="N191" s="4">
        <f>IF(ISERR(SEARCH("TRA* 82",C188)),IF(Q191+R191+S191=0,0,I191*(Q191/(Q191+R191+S191))),I191)</f>
        <v>0</v>
      </c>
      <c r="O191" s="4">
        <f>IF(ISERR(SEARCH("TRA* 82",C188)),IF(Q191+R191+S191=0,0,I191*(R191/(Q191+R191+S191))),0)</f>
        <v>0</v>
      </c>
      <c r="P191" s="4">
        <f>IF(ISERR(SEARCH("TRA* 82",C188)),I191-N191-O191,0)</f>
        <v>0</v>
      </c>
      <c r="Q191" s="4">
        <v>0</v>
      </c>
      <c r="R191" s="4">
        <v>0</v>
      </c>
      <c r="S191" s="4">
        <v>0</v>
      </c>
    </row>
    <row r="192" spans="1:19" x14ac:dyDescent="0.3">
      <c r="A192" s="96" t="s">
        <v>783</v>
      </c>
      <c r="B192" s="97"/>
      <c r="C192" s="97"/>
      <c r="D192" s="97"/>
      <c r="E192" s="97"/>
      <c r="F192" s="97"/>
      <c r="G192" s="97"/>
      <c r="H192" s="36">
        <f>H188+H189+H190+H191</f>
        <v>58.404666666666657</v>
      </c>
      <c r="I192" s="74">
        <f>I188+I189+I190+I191</f>
        <v>1752.1399999999999</v>
      </c>
      <c r="J192">
        <v>5</v>
      </c>
    </row>
    <row r="193" spans="1:19" x14ac:dyDescent="0.3">
      <c r="B193" s="2">
        <v>27</v>
      </c>
      <c r="C193" s="3" t="s">
        <v>784</v>
      </c>
      <c r="D193" s="5" t="s">
        <v>29</v>
      </c>
      <c r="G193" s="30">
        <v>24</v>
      </c>
      <c r="H193" s="38">
        <f>889.26/G193</f>
        <v>37.052500000000002</v>
      </c>
      <c r="I193" s="29">
        <f>G193*H193</f>
        <v>889.26</v>
      </c>
      <c r="J193">
        <v>1</v>
      </c>
    </row>
    <row r="194" spans="1:19" x14ac:dyDescent="0.3">
      <c r="D194" s="15" t="str">
        <f>SUBSTITUTE("Sp.mat: 0.00%",".",IF(VALUE("1.2")=1.2,".",","),2)</f>
        <v>Sp.mat: 0.00%</v>
      </c>
      <c r="F194" s="15" t="str">
        <f>SUBSTITUTE("Sp.man: 0.00%",".",IF(VALUE("1.2")=1.2,".",","),2)</f>
        <v>Sp.man: 0.00%</v>
      </c>
      <c r="G194" s="35" t="str">
        <f>SUBSTITUTE("Sp.uti: 0.00%",".",IF(VALUE("1.2")=1.2,".",","),2)</f>
        <v>Sp.uti: 0.00%</v>
      </c>
      <c r="H194" s="38">
        <f>(1+IF(OR(ISERR(FIND(":",F194)),ISERR(FIND("%",F194))),0,MID(F194,FIND(":",F194)+2,FIND("%",F194)-FIND(":",F194)-2)/100))*0</f>
        <v>0</v>
      </c>
      <c r="I194" s="29">
        <f>G193*H194</f>
        <v>0</v>
      </c>
      <c r="J194">
        <v>2</v>
      </c>
    </row>
    <row r="195" spans="1:19" x14ac:dyDescent="0.3">
      <c r="A195" s="88" t="s">
        <v>785</v>
      </c>
      <c r="B195" s="98"/>
      <c r="C195" s="98"/>
      <c r="D195" s="98"/>
      <c r="E195" s="98"/>
      <c r="F195" s="98"/>
      <c r="G195" s="98"/>
      <c r="H195" s="38">
        <f>(1+IF(OR(ISERR(FIND(":",G194)),ISERR(FIND("%",G194))),0,MID(G194,FIND(":",G194)+2,FIND("%",G194)-FIND(":",G194)-2)/100))*0</f>
        <v>0</v>
      </c>
      <c r="I195" s="29">
        <f>G193*H195</f>
        <v>0</v>
      </c>
      <c r="J195">
        <v>3</v>
      </c>
      <c r="K195" s="4">
        <v>0</v>
      </c>
      <c r="L195" s="4">
        <v>0</v>
      </c>
      <c r="M195" s="4">
        <f>I195-K195-L195</f>
        <v>0</v>
      </c>
    </row>
    <row r="196" spans="1:19" x14ac:dyDescent="0.3">
      <c r="A196" s="98"/>
      <c r="B196" s="98"/>
      <c r="C196" s="98"/>
      <c r="D196" s="98"/>
      <c r="E196" s="98"/>
      <c r="F196" s="98"/>
      <c r="G196" s="98"/>
      <c r="H196" s="38">
        <f>0</f>
        <v>0</v>
      </c>
      <c r="I196" s="29">
        <f>G193*H196</f>
        <v>0</v>
      </c>
      <c r="J196">
        <v>4</v>
      </c>
      <c r="N196" s="4">
        <f>IF(ISERR(SEARCH("TRA* 82",C193)),IF(Q196+R196+S196=0,0,I196*(Q196/(Q196+R196+S196))),I196)</f>
        <v>0</v>
      </c>
      <c r="O196" s="4">
        <f>IF(ISERR(SEARCH("TRA* 82",C193)),IF(Q196+R196+S196=0,0,I196*(R196/(Q196+R196+S196))),0)</f>
        <v>0</v>
      </c>
      <c r="P196" s="4">
        <f>IF(ISERR(SEARCH("TRA* 82",C193)),I196-N196-O196,0)</f>
        <v>0</v>
      </c>
      <c r="Q196" s="4">
        <v>0</v>
      </c>
      <c r="R196" s="4">
        <v>0</v>
      </c>
      <c r="S196" s="4">
        <v>0</v>
      </c>
    </row>
    <row r="197" spans="1:19" x14ac:dyDescent="0.3">
      <c r="A197" s="96" t="s">
        <v>27</v>
      </c>
      <c r="B197" s="97"/>
      <c r="C197" s="97"/>
      <c r="D197" s="97"/>
      <c r="E197" s="97"/>
      <c r="F197" s="97"/>
      <c r="G197" s="97"/>
      <c r="H197" s="36">
        <f>H193+H194+H195+H196</f>
        <v>37.052500000000002</v>
      </c>
      <c r="I197" s="74">
        <f>I193+I194+I195+I196</f>
        <v>889.26</v>
      </c>
      <c r="J197">
        <v>5</v>
      </c>
    </row>
    <row r="198" spans="1:19" x14ac:dyDescent="0.3">
      <c r="B198" s="2">
        <v>28</v>
      </c>
      <c r="C198" s="3" t="s">
        <v>786</v>
      </c>
      <c r="D198" s="5" t="s">
        <v>29</v>
      </c>
      <c r="G198" s="30">
        <v>2</v>
      </c>
      <c r="H198" s="38">
        <f>160.13/G198</f>
        <v>80.064999999999998</v>
      </c>
      <c r="I198" s="29">
        <f>G198*H198</f>
        <v>160.13</v>
      </c>
      <c r="J198">
        <v>1</v>
      </c>
    </row>
    <row r="199" spans="1:19" x14ac:dyDescent="0.3">
      <c r="D199" s="15" t="str">
        <f>SUBSTITUTE("Sp.mat: 0.00%",".",IF(VALUE("1.2")=1.2,".",","),2)</f>
        <v>Sp.mat: 0.00%</v>
      </c>
      <c r="F199" s="15" t="str">
        <f>SUBSTITUTE("Sp.man: 0.00%",".",IF(VALUE("1.2")=1.2,".",","),2)</f>
        <v>Sp.man: 0.00%</v>
      </c>
      <c r="G199" s="35" t="str">
        <f>SUBSTITUTE("Sp.uti: 0.00%",".",IF(VALUE("1.2")=1.2,".",","),2)</f>
        <v>Sp.uti: 0.00%</v>
      </c>
      <c r="H199" s="38">
        <f>(1+IF(OR(ISERR(FIND(":",F199)),ISERR(FIND("%",F199))),0,MID(F199,FIND(":",F199)+2,FIND("%",F199)-FIND(":",F199)-2)/100))*0</f>
        <v>0</v>
      </c>
      <c r="I199" s="29">
        <f>G198*H199</f>
        <v>0</v>
      </c>
      <c r="J199">
        <v>2</v>
      </c>
    </row>
    <row r="200" spans="1:19" x14ac:dyDescent="0.3">
      <c r="A200" s="88" t="s">
        <v>787</v>
      </c>
      <c r="B200" s="98"/>
      <c r="C200" s="98"/>
      <c r="D200" s="98"/>
      <c r="E200" s="98"/>
      <c r="F200" s="98"/>
      <c r="G200" s="98"/>
      <c r="H200" s="38">
        <f>(1+IF(OR(ISERR(FIND(":",G199)),ISERR(FIND("%",G199))),0,MID(G199,FIND(":",G199)+2,FIND("%",G199)-FIND(":",G199)-2)/100))*0</f>
        <v>0</v>
      </c>
      <c r="I200" s="29">
        <f>G198*H200</f>
        <v>0</v>
      </c>
      <c r="J200">
        <v>3</v>
      </c>
      <c r="K200" s="4">
        <v>0</v>
      </c>
      <c r="L200" s="4">
        <v>0</v>
      </c>
      <c r="M200" s="4">
        <f>I200-K200-L200</f>
        <v>0</v>
      </c>
    </row>
    <row r="201" spans="1:19" x14ac:dyDescent="0.3">
      <c r="A201" s="98"/>
      <c r="B201" s="98"/>
      <c r="C201" s="98"/>
      <c r="D201" s="98"/>
      <c r="E201" s="98"/>
      <c r="F201" s="98"/>
      <c r="G201" s="98"/>
      <c r="H201" s="38">
        <f>0</f>
        <v>0</v>
      </c>
      <c r="I201" s="29">
        <f>G198*H201</f>
        <v>0</v>
      </c>
      <c r="J201">
        <v>4</v>
      </c>
      <c r="N201" s="4">
        <f>IF(ISERR(SEARCH("TRA* 82",C198)),IF(Q201+R201+S201=0,0,I201*(Q201/(Q201+R201+S201))),I201)</f>
        <v>0</v>
      </c>
      <c r="O201" s="4">
        <f>IF(ISERR(SEARCH("TRA* 82",C198)),IF(Q201+R201+S201=0,0,I201*(R201/(Q201+R201+S201))),0)</f>
        <v>0</v>
      </c>
      <c r="P201" s="4">
        <f>IF(ISERR(SEARCH("TRA* 82",C198)),I201-N201-O201,0)</f>
        <v>0</v>
      </c>
      <c r="Q201" s="4">
        <v>0</v>
      </c>
      <c r="R201" s="4">
        <v>0</v>
      </c>
      <c r="S201" s="4">
        <v>0</v>
      </c>
    </row>
    <row r="202" spans="1:19" x14ac:dyDescent="0.3">
      <c r="A202" s="96" t="s">
        <v>27</v>
      </c>
      <c r="B202" s="97"/>
      <c r="C202" s="97"/>
      <c r="D202" s="97"/>
      <c r="E202" s="97"/>
      <c r="F202" s="97"/>
      <c r="G202" s="97"/>
      <c r="H202" s="36">
        <f>H198+H199+H200+H201</f>
        <v>80.064999999999998</v>
      </c>
      <c r="I202" s="74">
        <f>I198+I199+I200+I201</f>
        <v>160.13</v>
      </c>
      <c r="J202">
        <v>5</v>
      </c>
    </row>
    <row r="203" spans="1:19" x14ac:dyDescent="0.3">
      <c r="B203" s="2">
        <v>29</v>
      </c>
      <c r="C203" s="3" t="s">
        <v>788</v>
      </c>
      <c r="D203" s="5" t="s">
        <v>29</v>
      </c>
      <c r="G203" s="30">
        <v>2</v>
      </c>
      <c r="H203" s="38">
        <f>145.23/G203</f>
        <v>72.614999999999995</v>
      </c>
      <c r="I203" s="29">
        <f>G203*H203</f>
        <v>145.22999999999999</v>
      </c>
      <c r="J203">
        <v>1</v>
      </c>
    </row>
    <row r="204" spans="1:19" x14ac:dyDescent="0.3">
      <c r="D204" s="15" t="str">
        <f>SUBSTITUTE("Sp.mat: 0.00%",".",IF(VALUE("1.2")=1.2,".",","),2)</f>
        <v>Sp.mat: 0.00%</v>
      </c>
      <c r="F204" s="15" t="str">
        <f>SUBSTITUTE("Sp.man: 0.00%",".",IF(VALUE("1.2")=1.2,".",","),2)</f>
        <v>Sp.man: 0.00%</v>
      </c>
      <c r="G204" s="35" t="str">
        <f>SUBSTITUTE("Sp.uti: 0.00%",".",IF(VALUE("1.2")=1.2,".",","),2)</f>
        <v>Sp.uti: 0.00%</v>
      </c>
      <c r="H204" s="38">
        <f>(1+IF(OR(ISERR(FIND(":",F204)),ISERR(FIND("%",F204))),0,MID(F204,FIND(":",F204)+2,FIND("%",F204)-FIND(":",F204)-2)/100))*0</f>
        <v>0</v>
      </c>
      <c r="I204" s="29">
        <f>G203*H204</f>
        <v>0</v>
      </c>
      <c r="J204">
        <v>2</v>
      </c>
    </row>
    <row r="205" spans="1:19" x14ac:dyDescent="0.3">
      <c r="A205" s="88" t="s">
        <v>789</v>
      </c>
      <c r="B205" s="98"/>
      <c r="C205" s="98"/>
      <c r="D205" s="98"/>
      <c r="E205" s="98"/>
      <c r="F205" s="98"/>
      <c r="G205" s="98"/>
      <c r="H205" s="38">
        <f>(1+IF(OR(ISERR(FIND(":",G204)),ISERR(FIND("%",G204))),0,MID(G204,FIND(":",G204)+2,FIND("%",G204)-FIND(":",G204)-2)/100))*0</f>
        <v>0</v>
      </c>
      <c r="I205" s="29">
        <f>G203*H205</f>
        <v>0</v>
      </c>
      <c r="J205">
        <v>3</v>
      </c>
      <c r="K205" s="4">
        <v>0</v>
      </c>
      <c r="L205" s="4">
        <v>0</v>
      </c>
      <c r="M205" s="4">
        <f>I205-K205-L205</f>
        <v>0</v>
      </c>
    </row>
    <row r="206" spans="1:19" x14ac:dyDescent="0.3">
      <c r="A206" s="98"/>
      <c r="B206" s="98"/>
      <c r="C206" s="98"/>
      <c r="D206" s="98"/>
      <c r="E206" s="98"/>
      <c r="F206" s="98"/>
      <c r="G206" s="98"/>
      <c r="H206" s="38">
        <f>0</f>
        <v>0</v>
      </c>
      <c r="I206" s="29">
        <f>G203*H206</f>
        <v>0</v>
      </c>
      <c r="J206">
        <v>4</v>
      </c>
      <c r="N206" s="4">
        <f>IF(ISERR(SEARCH("TRA* 82",C203)),IF(Q206+R206+S206=0,0,I206*(Q206/(Q206+R206+S206))),I206)</f>
        <v>0</v>
      </c>
      <c r="O206" s="4">
        <f>IF(ISERR(SEARCH("TRA* 82",C203)),IF(Q206+R206+S206=0,0,I206*(R206/(Q206+R206+S206))),0)</f>
        <v>0</v>
      </c>
      <c r="P206" s="4">
        <f>IF(ISERR(SEARCH("TRA* 82",C203)),I206-N206-O206,0)</f>
        <v>0</v>
      </c>
      <c r="Q206" s="4">
        <v>0</v>
      </c>
      <c r="R206" s="4">
        <v>0</v>
      </c>
      <c r="S206" s="4">
        <v>0</v>
      </c>
    </row>
    <row r="207" spans="1:19" x14ac:dyDescent="0.3">
      <c r="A207" s="96" t="s">
        <v>27</v>
      </c>
      <c r="B207" s="97"/>
      <c r="C207" s="97"/>
      <c r="D207" s="97"/>
      <c r="E207" s="97"/>
      <c r="F207" s="97"/>
      <c r="G207" s="97"/>
      <c r="H207" s="36">
        <f>H203+H204+H205+H206</f>
        <v>72.614999999999995</v>
      </c>
      <c r="I207" s="74">
        <f>I203+I204+I205+I206</f>
        <v>145.22999999999999</v>
      </c>
      <c r="J207">
        <v>5</v>
      </c>
    </row>
    <row r="208" spans="1:19" x14ac:dyDescent="0.3">
      <c r="B208" s="2">
        <v>30</v>
      </c>
      <c r="C208" s="3" t="s">
        <v>1035</v>
      </c>
      <c r="D208" s="5" t="s">
        <v>29</v>
      </c>
      <c r="G208" s="30">
        <v>2</v>
      </c>
      <c r="H208" s="38">
        <f>641.94/G208</f>
        <v>320.97000000000003</v>
      </c>
      <c r="I208" s="29">
        <f>G208*H208</f>
        <v>641.94000000000005</v>
      </c>
      <c r="J208">
        <v>1</v>
      </c>
    </row>
    <row r="209" spans="1:19" x14ac:dyDescent="0.3">
      <c r="D209" s="15" t="str">
        <f>SUBSTITUTE("Sp.mat: 0.00%",".",IF(VALUE("1.2")=1.2,".",","),2)</f>
        <v>Sp.mat: 0.00%</v>
      </c>
      <c r="F209" s="15" t="str">
        <f>SUBSTITUTE("Sp.man: 0.00%",".",IF(VALUE("1.2")=1.2,".",","),2)</f>
        <v>Sp.man: 0.00%</v>
      </c>
      <c r="G209" s="35" t="str">
        <f>SUBSTITUTE("Sp.uti: 0.00%",".",IF(VALUE("1.2")=1.2,".",","),2)</f>
        <v>Sp.uti: 0.00%</v>
      </c>
      <c r="H209" s="38">
        <f>(1+IF(OR(ISERR(FIND(":",F209)),ISERR(FIND("%",F209))),0,MID(F209,FIND(":",F209)+2,FIND("%",F209)-FIND(":",F209)-2)/100))*0</f>
        <v>0</v>
      </c>
      <c r="I209" s="29">
        <f>G208*H209</f>
        <v>0</v>
      </c>
      <c r="J209">
        <v>2</v>
      </c>
    </row>
    <row r="210" spans="1:19" x14ac:dyDescent="0.3">
      <c r="A210" s="88" t="s">
        <v>1036</v>
      </c>
      <c r="B210" s="98"/>
      <c r="C210" s="98"/>
      <c r="D210" s="98"/>
      <c r="E210" s="98"/>
      <c r="F210" s="98"/>
      <c r="G210" s="98"/>
      <c r="H210" s="38">
        <f>(1+IF(OR(ISERR(FIND(":",G209)),ISERR(FIND("%",G209))),0,MID(G209,FIND(":",G209)+2,FIND("%",G209)-FIND(":",G209)-2)/100))*0</f>
        <v>0</v>
      </c>
      <c r="I210" s="29">
        <f>G208*H210</f>
        <v>0</v>
      </c>
      <c r="J210">
        <v>3</v>
      </c>
      <c r="K210" s="4">
        <v>0</v>
      </c>
      <c r="L210" s="4">
        <v>0</v>
      </c>
      <c r="M210" s="4">
        <f>I210-K210-L210</f>
        <v>0</v>
      </c>
    </row>
    <row r="211" spans="1:19" x14ac:dyDescent="0.3">
      <c r="A211" s="98"/>
      <c r="B211" s="98"/>
      <c r="C211" s="98"/>
      <c r="D211" s="98"/>
      <c r="E211" s="98"/>
      <c r="F211" s="98"/>
      <c r="G211" s="98"/>
      <c r="H211" s="38">
        <f>0</f>
        <v>0</v>
      </c>
      <c r="I211" s="29">
        <f>G208*H211</f>
        <v>0</v>
      </c>
      <c r="J211">
        <v>4</v>
      </c>
      <c r="N211" s="4">
        <f>IF(ISERR(SEARCH("TRA* 82",C208)),IF(Q211+R211+S211=0,0,I211*(Q211/(Q211+R211+S211))),I211)</f>
        <v>0</v>
      </c>
      <c r="O211" s="4">
        <f>IF(ISERR(SEARCH("TRA* 82",C208)),IF(Q211+R211+S211=0,0,I211*(R211/(Q211+R211+S211))),0)</f>
        <v>0</v>
      </c>
      <c r="P211" s="4">
        <f>IF(ISERR(SEARCH("TRA* 82",C208)),I211-N211-O211,0)</f>
        <v>0</v>
      </c>
      <c r="Q211" s="4">
        <v>0</v>
      </c>
      <c r="R211" s="4">
        <v>0</v>
      </c>
      <c r="S211" s="4">
        <v>0</v>
      </c>
    </row>
    <row r="212" spans="1:19" x14ac:dyDescent="0.3">
      <c r="A212" s="96" t="s">
        <v>27</v>
      </c>
      <c r="B212" s="97"/>
      <c r="C212" s="97"/>
      <c r="D212" s="97"/>
      <c r="E212" s="97"/>
      <c r="F212" s="97"/>
      <c r="G212" s="97"/>
      <c r="H212" s="36">
        <f>H208+H209+H210+H211</f>
        <v>320.97000000000003</v>
      </c>
      <c r="I212" s="74">
        <f>I208+I209+I210+I211</f>
        <v>641.94000000000005</v>
      </c>
      <c r="J212">
        <v>5</v>
      </c>
    </row>
    <row r="213" spans="1:19" x14ac:dyDescent="0.3">
      <c r="B213" s="2">
        <v>31</v>
      </c>
      <c r="C213" s="3" t="s">
        <v>790</v>
      </c>
      <c r="D213" s="5" t="s">
        <v>29</v>
      </c>
      <c r="G213" s="30">
        <v>57</v>
      </c>
      <c r="H213" s="38">
        <f>(1+IF(OR(ISERR(FIND(":",D214)),ISERR(FIND("%",D214))),0,MID(D214,FIND(":",D214)+2,FIND("%",D214)-FIND(":",D214)-2)/100))*0</f>
        <v>0</v>
      </c>
      <c r="I213" s="29">
        <f>G213*H213</f>
        <v>0</v>
      </c>
      <c r="J213">
        <v>1</v>
      </c>
    </row>
    <row r="214" spans="1:19" x14ac:dyDescent="0.3">
      <c r="D214" s="15" t="str">
        <f>SUBSTITUTE("Sp.mat: 0.00%",".",IF(VALUE("1.2")=1.2,".",","),2)</f>
        <v>Sp.mat: 0.00%</v>
      </c>
      <c r="F214" s="15" t="str">
        <f>SUBSTITUTE("Sp.man: 0.00%",".",IF(VALUE("1.2")=1.2,".",","),2)</f>
        <v>Sp.man: 0.00%</v>
      </c>
      <c r="G214" s="35" t="str">
        <f>SUBSTITUTE("Sp.uti: 0.00%",".",IF(VALUE("1.2")=1.2,".",","),2)</f>
        <v>Sp.uti: 0.00%</v>
      </c>
      <c r="H214" s="38">
        <f>6701.19/G213</f>
        <v>117.56473684210526</v>
      </c>
      <c r="I214" s="29">
        <f>G213*H214</f>
        <v>6701.19</v>
      </c>
      <c r="J214">
        <v>2</v>
      </c>
    </row>
    <row r="215" spans="1:19" x14ac:dyDescent="0.3">
      <c r="A215" s="88" t="s">
        <v>791</v>
      </c>
      <c r="B215" s="98"/>
      <c r="C215" s="98"/>
      <c r="D215" s="98"/>
      <c r="E215" s="98"/>
      <c r="F215" s="98"/>
      <c r="G215" s="98"/>
      <c r="H215" s="38">
        <f>107.03/G213</f>
        <v>1.8777192982456141</v>
      </c>
      <c r="I215" s="29">
        <f>G213*H215</f>
        <v>107.03</v>
      </c>
      <c r="J215">
        <v>3</v>
      </c>
      <c r="K215" s="4">
        <v>0</v>
      </c>
      <c r="L215" s="4">
        <v>193.8</v>
      </c>
      <c r="M215" s="4">
        <f>I215-K215-L215</f>
        <v>-86.77000000000001</v>
      </c>
    </row>
    <row r="216" spans="1:19" x14ac:dyDescent="0.3">
      <c r="A216" s="98"/>
      <c r="B216" s="98"/>
      <c r="C216" s="98"/>
      <c r="D216" s="98"/>
      <c r="E216" s="98"/>
      <c r="F216" s="98"/>
      <c r="G216" s="98"/>
      <c r="H216" s="38">
        <f>0</f>
        <v>0</v>
      </c>
      <c r="I216" s="29">
        <f>G213*H216</f>
        <v>0</v>
      </c>
      <c r="J216">
        <v>4</v>
      </c>
      <c r="N216" s="4">
        <f>IF(ISERR(SEARCH("TRA* 82",C213)),IF(Q216+R216+S216=0,0,I216*(Q216/(Q216+R216+S216))),I216)</f>
        <v>0</v>
      </c>
      <c r="O216" s="4">
        <f>IF(ISERR(SEARCH("TRA* 82",C213)),IF(Q216+R216+S216=0,0,I216*(R216/(Q216+R216+S216))),0)</f>
        <v>0</v>
      </c>
      <c r="P216" s="4">
        <f>IF(ISERR(SEARCH("TRA* 82",C213)),I216-N216-O216,0)</f>
        <v>0</v>
      </c>
      <c r="Q216" s="4">
        <v>0</v>
      </c>
      <c r="R216" s="4">
        <v>0</v>
      </c>
      <c r="S216" s="4">
        <v>0</v>
      </c>
    </row>
    <row r="217" spans="1:19" x14ac:dyDescent="0.3">
      <c r="A217" s="96" t="s">
        <v>792</v>
      </c>
      <c r="B217" s="97"/>
      <c r="C217" s="97"/>
      <c r="D217" s="97"/>
      <c r="E217" s="97"/>
      <c r="F217" s="97"/>
      <c r="G217" s="97"/>
      <c r="H217" s="36">
        <f>H213+H214+H215+H216</f>
        <v>119.44245614035087</v>
      </c>
      <c r="I217" s="74">
        <f>I213+I214+I215+I216</f>
        <v>6808.2199999999993</v>
      </c>
      <c r="J217">
        <v>5</v>
      </c>
    </row>
    <row r="218" spans="1:19" x14ac:dyDescent="0.3">
      <c r="B218" s="2">
        <v>32</v>
      </c>
      <c r="C218" s="3" t="s">
        <v>793</v>
      </c>
      <c r="D218" s="5" t="s">
        <v>29</v>
      </c>
      <c r="G218" s="30">
        <v>39</v>
      </c>
      <c r="H218" s="38">
        <f>536.17/G218</f>
        <v>13.747948717948717</v>
      </c>
      <c r="I218" s="29">
        <f>G218*H218</f>
        <v>536.16999999999996</v>
      </c>
      <c r="J218">
        <v>1</v>
      </c>
    </row>
    <row r="219" spans="1:19" x14ac:dyDescent="0.3">
      <c r="D219" s="15" t="str">
        <f>SUBSTITUTE("Sp.mat: 0.00%",".",IF(VALUE("1.2")=1.2,".",","),2)</f>
        <v>Sp.mat: 0.00%</v>
      </c>
      <c r="F219" s="15" t="str">
        <f>SUBSTITUTE("Sp.man: 0.00%",".",IF(VALUE("1.2")=1.2,".",","),2)</f>
        <v>Sp.man: 0.00%</v>
      </c>
      <c r="G219" s="35" t="str">
        <f>SUBSTITUTE("Sp.uti: 0.00%",".",IF(VALUE("1.2")=1.2,".",","),2)</f>
        <v>Sp.uti: 0.00%</v>
      </c>
      <c r="H219" s="38">
        <f>(1+IF(OR(ISERR(FIND(":",F219)),ISERR(FIND("%",F219))),0,MID(F219,FIND(":",F219)+2,FIND("%",F219)-FIND(":",F219)-2)/100))*0</f>
        <v>0</v>
      </c>
      <c r="I219" s="29">
        <f>G218*H219</f>
        <v>0</v>
      </c>
      <c r="J219">
        <v>2</v>
      </c>
    </row>
    <row r="220" spans="1:19" x14ac:dyDescent="0.3">
      <c r="A220" s="88" t="s">
        <v>794</v>
      </c>
      <c r="B220" s="98"/>
      <c r="C220" s="98"/>
      <c r="D220" s="98"/>
      <c r="E220" s="98"/>
      <c r="F220" s="98"/>
      <c r="G220" s="98"/>
      <c r="H220" s="38">
        <f>(1+IF(OR(ISERR(FIND(":",G219)),ISERR(FIND("%",G219))),0,MID(G219,FIND(":",G219)+2,FIND("%",G219)-FIND(":",G219)-2)/100))*0</f>
        <v>0</v>
      </c>
      <c r="I220" s="29">
        <f>G218*H220</f>
        <v>0</v>
      </c>
      <c r="J220">
        <v>3</v>
      </c>
      <c r="K220" s="4">
        <v>0</v>
      </c>
      <c r="L220" s="4">
        <v>0</v>
      </c>
      <c r="M220" s="4">
        <f>I220-K220-L220</f>
        <v>0</v>
      </c>
    </row>
    <row r="221" spans="1:19" x14ac:dyDescent="0.3">
      <c r="A221" s="98"/>
      <c r="B221" s="98"/>
      <c r="C221" s="98"/>
      <c r="D221" s="98"/>
      <c r="E221" s="98"/>
      <c r="F221" s="98"/>
      <c r="G221" s="98"/>
      <c r="H221" s="38">
        <f>0</f>
        <v>0</v>
      </c>
      <c r="I221" s="29">
        <f>G218*H221</f>
        <v>0</v>
      </c>
      <c r="J221">
        <v>4</v>
      </c>
      <c r="N221" s="4">
        <f>IF(ISERR(SEARCH("TRA* 82",C218)),IF(Q221+R221+S221=0,0,I221*(Q221/(Q221+R221+S221))),I221)</f>
        <v>0</v>
      </c>
      <c r="O221" s="4">
        <f>IF(ISERR(SEARCH("TRA* 82",C218)),IF(Q221+R221+S221=0,0,I221*(R221/(Q221+R221+S221))),0)</f>
        <v>0</v>
      </c>
      <c r="P221" s="4">
        <f>IF(ISERR(SEARCH("TRA* 82",C218)),I221-N221-O221,0)</f>
        <v>0</v>
      </c>
      <c r="Q221" s="4">
        <v>0</v>
      </c>
      <c r="R221" s="4">
        <v>0</v>
      </c>
      <c r="S221" s="4">
        <v>0</v>
      </c>
    </row>
    <row r="222" spans="1:19" x14ac:dyDescent="0.3">
      <c r="A222" s="96" t="s">
        <v>27</v>
      </c>
      <c r="B222" s="97"/>
      <c r="C222" s="97"/>
      <c r="D222" s="97"/>
      <c r="E222" s="97"/>
      <c r="F222" s="97"/>
      <c r="G222" s="97"/>
      <c r="H222" s="36">
        <f>H218+H219+H220+H221</f>
        <v>13.747948717948717</v>
      </c>
      <c r="I222" s="74">
        <f>I218+I219+I220+I221</f>
        <v>536.16999999999996</v>
      </c>
      <c r="J222">
        <v>5</v>
      </c>
    </row>
    <row r="223" spans="1:19" x14ac:dyDescent="0.3">
      <c r="B223" s="2">
        <v>33</v>
      </c>
      <c r="C223" s="3" t="s">
        <v>1037</v>
      </c>
      <c r="D223" s="5" t="s">
        <v>29</v>
      </c>
      <c r="G223" s="30">
        <v>18</v>
      </c>
      <c r="H223" s="38">
        <f>280.62/G223</f>
        <v>15.59</v>
      </c>
      <c r="I223" s="29">
        <f>G223*H223</f>
        <v>280.62</v>
      </c>
      <c r="J223">
        <v>1</v>
      </c>
    </row>
    <row r="224" spans="1:19" x14ac:dyDescent="0.3">
      <c r="D224" s="15" t="str">
        <f>SUBSTITUTE("Sp.mat: 0.00%",".",IF(VALUE("1.2")=1.2,".",","),2)</f>
        <v>Sp.mat: 0.00%</v>
      </c>
      <c r="F224" s="15" t="str">
        <f>SUBSTITUTE("Sp.man: 0.00%",".",IF(VALUE("1.2")=1.2,".",","),2)</f>
        <v>Sp.man: 0.00%</v>
      </c>
      <c r="G224" s="35" t="str">
        <f>SUBSTITUTE("Sp.uti: 0.00%",".",IF(VALUE("1.2")=1.2,".",","),2)</f>
        <v>Sp.uti: 0.00%</v>
      </c>
      <c r="H224" s="38">
        <f>(1+IF(OR(ISERR(FIND(":",F224)),ISERR(FIND("%",F224))),0,MID(F224,FIND(":",F224)+2,FIND("%",F224)-FIND(":",F224)-2)/100))*0</f>
        <v>0</v>
      </c>
      <c r="I224" s="29">
        <f>G223*H224</f>
        <v>0</v>
      </c>
      <c r="J224">
        <v>2</v>
      </c>
    </row>
    <row r="225" spans="1:19" x14ac:dyDescent="0.3">
      <c r="A225" s="88" t="s">
        <v>1038</v>
      </c>
      <c r="B225" s="98"/>
      <c r="C225" s="98"/>
      <c r="D225" s="98"/>
      <c r="E225" s="98"/>
      <c r="F225" s="98"/>
      <c r="G225" s="98"/>
      <c r="H225" s="38">
        <f>(1+IF(OR(ISERR(FIND(":",G224)),ISERR(FIND("%",G224))),0,MID(G224,FIND(":",G224)+2,FIND("%",G224)-FIND(":",G224)-2)/100))*0</f>
        <v>0</v>
      </c>
      <c r="I225" s="29">
        <f>G223*H225</f>
        <v>0</v>
      </c>
      <c r="J225">
        <v>3</v>
      </c>
      <c r="K225" s="4">
        <v>0</v>
      </c>
      <c r="L225" s="4">
        <v>0</v>
      </c>
      <c r="M225" s="4">
        <f>I225-K225-L225</f>
        <v>0</v>
      </c>
    </row>
    <row r="226" spans="1:19" x14ac:dyDescent="0.3">
      <c r="A226" s="98"/>
      <c r="B226" s="98"/>
      <c r="C226" s="98"/>
      <c r="D226" s="98"/>
      <c r="E226" s="98"/>
      <c r="F226" s="98"/>
      <c r="G226" s="98"/>
      <c r="H226" s="38">
        <f>0</f>
        <v>0</v>
      </c>
      <c r="I226" s="29">
        <f>G223*H226</f>
        <v>0</v>
      </c>
      <c r="J226">
        <v>4</v>
      </c>
      <c r="N226" s="4">
        <f>IF(ISERR(SEARCH("TRA* 82",C223)),IF(Q226+R226+S226=0,0,I226*(Q226/(Q226+R226+S226))),I226)</f>
        <v>0</v>
      </c>
      <c r="O226" s="4">
        <f>IF(ISERR(SEARCH("TRA* 82",C223)),IF(Q226+R226+S226=0,0,I226*(R226/(Q226+R226+S226))),0)</f>
        <v>0</v>
      </c>
      <c r="P226" s="4">
        <f>IF(ISERR(SEARCH("TRA* 82",C223)),I226-N226-O226,0)</f>
        <v>0</v>
      </c>
      <c r="Q226" s="4">
        <v>0</v>
      </c>
      <c r="R226" s="4">
        <v>0</v>
      </c>
      <c r="S226" s="4">
        <v>0</v>
      </c>
    </row>
    <row r="227" spans="1:19" x14ac:dyDescent="0.3">
      <c r="A227" s="96" t="s">
        <v>27</v>
      </c>
      <c r="B227" s="97"/>
      <c r="C227" s="97"/>
      <c r="D227" s="97"/>
      <c r="E227" s="97"/>
      <c r="F227" s="97"/>
      <c r="G227" s="97"/>
      <c r="H227" s="36">
        <f>H223+H224+H225+H226</f>
        <v>15.59</v>
      </c>
      <c r="I227" s="74">
        <f>I223+I224+I225+I226</f>
        <v>280.62</v>
      </c>
      <c r="J227">
        <v>5</v>
      </c>
    </row>
    <row r="228" spans="1:19" x14ac:dyDescent="0.3">
      <c r="B228" s="2">
        <v>34</v>
      </c>
      <c r="C228" s="3" t="s">
        <v>797</v>
      </c>
      <c r="D228" s="5" t="s">
        <v>29</v>
      </c>
      <c r="G228" s="30">
        <v>98</v>
      </c>
      <c r="H228" s="38">
        <f>2965.45/G228</f>
        <v>30.259693877551019</v>
      </c>
      <c r="I228" s="29">
        <f>G228*H228</f>
        <v>2965.45</v>
      </c>
      <c r="J228">
        <v>1</v>
      </c>
    </row>
    <row r="229" spans="1:19" x14ac:dyDescent="0.3">
      <c r="D229" s="15" t="str">
        <f>SUBSTITUTE("Sp.mat: 0.00%",".",IF(VALUE("1.2")=1.2,".",","),2)</f>
        <v>Sp.mat: 0.00%</v>
      </c>
      <c r="F229" s="15" t="str">
        <f>SUBSTITUTE("Sp.man: 0.00%",".",IF(VALUE("1.2")=1.2,".",","),2)</f>
        <v>Sp.man: 0.00%</v>
      </c>
      <c r="G229" s="35" t="str">
        <f>SUBSTITUTE("Sp.uti: 0.00%",".",IF(VALUE("1.2")=1.2,".",","),2)</f>
        <v>Sp.uti: 0.00%</v>
      </c>
      <c r="H229" s="38">
        <f>8727.34/G228</f>
        <v>89.054489795918371</v>
      </c>
      <c r="I229" s="29">
        <f>G228*H229</f>
        <v>8727.34</v>
      </c>
      <c r="J229">
        <v>2</v>
      </c>
    </row>
    <row r="230" spans="1:19" x14ac:dyDescent="0.3">
      <c r="A230" s="88" t="s">
        <v>1039</v>
      </c>
      <c r="B230" s="98"/>
      <c r="C230" s="98"/>
      <c r="D230" s="98"/>
      <c r="E230" s="98"/>
      <c r="F230" s="98"/>
      <c r="G230" s="98"/>
      <c r="H230" s="38">
        <f>215.41/G228</f>
        <v>2.1980612244897957</v>
      </c>
      <c r="I230" s="29">
        <f>G228*H230</f>
        <v>215.40999999999997</v>
      </c>
      <c r="J230">
        <v>3</v>
      </c>
      <c r="K230" s="4">
        <v>0</v>
      </c>
      <c r="L230" s="4">
        <v>392</v>
      </c>
      <c r="M230" s="4">
        <f>I230-K230-L230</f>
        <v>-176.59000000000003</v>
      </c>
    </row>
    <row r="231" spans="1:19" x14ac:dyDescent="0.3">
      <c r="A231" s="98"/>
      <c r="B231" s="98"/>
      <c r="C231" s="98"/>
      <c r="D231" s="98"/>
      <c r="E231" s="98"/>
      <c r="F231" s="98"/>
      <c r="G231" s="98"/>
      <c r="H231" s="38">
        <f>0</f>
        <v>0</v>
      </c>
      <c r="I231" s="29">
        <f>G228*H231</f>
        <v>0</v>
      </c>
      <c r="J231">
        <v>4</v>
      </c>
      <c r="N231" s="4">
        <f>IF(ISERR(SEARCH("TRA* 82",C228)),IF(Q231+R231+S231=0,0,I231*(Q231/(Q231+R231+S231))),I231)</f>
        <v>0</v>
      </c>
      <c r="O231" s="4">
        <f>IF(ISERR(SEARCH("TRA* 82",C228)),IF(Q231+R231+S231=0,0,I231*(R231/(Q231+R231+S231))),0)</f>
        <v>0</v>
      </c>
      <c r="P231" s="4">
        <f>IF(ISERR(SEARCH("TRA* 82",C228)),I231-N231-O231,0)</f>
        <v>0</v>
      </c>
      <c r="Q231" s="4">
        <v>0</v>
      </c>
      <c r="R231" s="4">
        <v>0</v>
      </c>
      <c r="S231" s="4">
        <v>0</v>
      </c>
    </row>
    <row r="232" spans="1:19" x14ac:dyDescent="0.3">
      <c r="A232" s="96" t="s">
        <v>1040</v>
      </c>
      <c r="B232" s="97"/>
      <c r="C232" s="97"/>
      <c r="D232" s="97"/>
      <c r="E232" s="97"/>
      <c r="F232" s="97"/>
      <c r="G232" s="97"/>
      <c r="H232" s="36">
        <f>H228+H229+H230+H231</f>
        <v>121.51224489795918</v>
      </c>
      <c r="I232" s="74">
        <f>I228+I229+I230+I231</f>
        <v>11908.2</v>
      </c>
      <c r="J232">
        <v>5</v>
      </c>
    </row>
    <row r="233" spans="1:19" x14ac:dyDescent="0.3">
      <c r="B233" s="2">
        <v>35</v>
      </c>
      <c r="C233" s="3" t="s">
        <v>1041</v>
      </c>
      <c r="D233" s="5" t="s">
        <v>29</v>
      </c>
      <c r="G233" s="30">
        <v>14</v>
      </c>
      <c r="H233" s="38">
        <f>4484.76/G233</f>
        <v>320.34000000000003</v>
      </c>
      <c r="I233" s="29">
        <f>G233*H233</f>
        <v>4484.76</v>
      </c>
      <c r="J233">
        <v>1</v>
      </c>
    </row>
    <row r="234" spans="1:19" x14ac:dyDescent="0.3">
      <c r="D234" s="15" t="str">
        <f>SUBSTITUTE("Sp.mat: 0.00%",".",IF(VALUE("1.2")=1.2,".",","),2)</f>
        <v>Sp.mat: 0.00%</v>
      </c>
      <c r="F234" s="15" t="str">
        <f>SUBSTITUTE("Sp.man: 0.00%",".",IF(VALUE("1.2")=1.2,".",","),2)</f>
        <v>Sp.man: 0.00%</v>
      </c>
      <c r="G234" s="35" t="str">
        <f>SUBSTITUTE("Sp.uti: 0.00%",".",IF(VALUE("1.2")=1.2,".",","),2)</f>
        <v>Sp.uti: 0.00%</v>
      </c>
      <c r="H234" s="38">
        <f>(1+IF(OR(ISERR(FIND(":",F234)),ISERR(FIND("%",F234))),0,MID(F234,FIND(":",F234)+2,FIND("%",F234)-FIND(":",F234)-2)/100))*0</f>
        <v>0</v>
      </c>
      <c r="I234" s="29">
        <f>G233*H234</f>
        <v>0</v>
      </c>
      <c r="J234">
        <v>2</v>
      </c>
    </row>
    <row r="235" spans="1:19" x14ac:dyDescent="0.3">
      <c r="A235" s="88" t="s">
        <v>801</v>
      </c>
      <c r="B235" s="98"/>
      <c r="C235" s="98"/>
      <c r="D235" s="98"/>
      <c r="E235" s="98"/>
      <c r="F235" s="98"/>
      <c r="G235" s="98"/>
      <c r="H235" s="38">
        <f>(1+IF(OR(ISERR(FIND(":",G234)),ISERR(FIND("%",G234))),0,MID(G234,FIND(":",G234)+2,FIND("%",G234)-FIND(":",G234)-2)/100))*0</f>
        <v>0</v>
      </c>
      <c r="I235" s="29">
        <f>G233*H235</f>
        <v>0</v>
      </c>
      <c r="J235">
        <v>3</v>
      </c>
      <c r="K235" s="4">
        <v>0</v>
      </c>
      <c r="L235" s="4">
        <v>0</v>
      </c>
      <c r="M235" s="4">
        <f>I235-K235-L235</f>
        <v>0</v>
      </c>
    </row>
    <row r="236" spans="1:19" x14ac:dyDescent="0.3">
      <c r="A236" s="98"/>
      <c r="B236" s="98"/>
      <c r="C236" s="98"/>
      <c r="D236" s="98"/>
      <c r="E236" s="98"/>
      <c r="F236" s="98"/>
      <c r="G236" s="98"/>
      <c r="H236" s="38">
        <f>0</f>
        <v>0</v>
      </c>
      <c r="I236" s="29">
        <f>G233*H236</f>
        <v>0</v>
      </c>
      <c r="J236">
        <v>4</v>
      </c>
      <c r="N236" s="4">
        <f>IF(ISERR(SEARCH("TRA* 82",C233)),IF(Q236+R236+S236=0,0,I236*(Q236/(Q236+R236+S236))),I236)</f>
        <v>0</v>
      </c>
      <c r="O236" s="4">
        <f>IF(ISERR(SEARCH("TRA* 82",C233)),IF(Q236+R236+S236=0,0,I236*(R236/(Q236+R236+S236))),0)</f>
        <v>0</v>
      </c>
      <c r="P236" s="4">
        <f>IF(ISERR(SEARCH("TRA* 82",C233)),I236-N236-O236,0)</f>
        <v>0</v>
      </c>
      <c r="Q236" s="4">
        <v>0</v>
      </c>
      <c r="R236" s="4">
        <v>0</v>
      </c>
      <c r="S236" s="4">
        <v>0</v>
      </c>
    </row>
    <row r="237" spans="1:19" x14ac:dyDescent="0.3">
      <c r="A237" s="96" t="s">
        <v>27</v>
      </c>
      <c r="B237" s="97"/>
      <c r="C237" s="97"/>
      <c r="D237" s="97"/>
      <c r="E237" s="97"/>
      <c r="F237" s="97"/>
      <c r="G237" s="97"/>
      <c r="H237" s="36">
        <f>H233+H234+H235+H236</f>
        <v>320.34000000000003</v>
      </c>
      <c r="I237" s="74">
        <f>I233+I234+I235+I236</f>
        <v>4484.76</v>
      </c>
      <c r="J237">
        <v>5</v>
      </c>
    </row>
    <row r="238" spans="1:19" x14ac:dyDescent="0.3">
      <c r="B238" s="2">
        <v>36</v>
      </c>
      <c r="C238" s="3" t="s">
        <v>802</v>
      </c>
      <c r="D238" s="5" t="s">
        <v>29</v>
      </c>
      <c r="G238" s="30">
        <v>60</v>
      </c>
      <c r="H238" s="38">
        <f>21403.52/G238</f>
        <v>356.72533333333337</v>
      </c>
      <c r="I238" s="29">
        <f>G238*H238</f>
        <v>21403.52</v>
      </c>
      <c r="J238">
        <v>1</v>
      </c>
    </row>
    <row r="239" spans="1:19" x14ac:dyDescent="0.3">
      <c r="D239" s="15" t="str">
        <f>SUBSTITUTE("Sp.mat: 0.00%",".",IF(VALUE("1.2")=1.2,".",","),2)</f>
        <v>Sp.mat: 0.00%</v>
      </c>
      <c r="F239" s="15" t="str">
        <f>SUBSTITUTE("Sp.man: 0.00%",".",IF(VALUE("1.2")=1.2,".",","),2)</f>
        <v>Sp.man: 0.00%</v>
      </c>
      <c r="G239" s="35" t="str">
        <f>SUBSTITUTE("Sp.uti: 0.00%",".",IF(VALUE("1.2")=1.2,".",","),2)</f>
        <v>Sp.uti: 0.00%</v>
      </c>
      <c r="H239" s="38">
        <f>(1+IF(OR(ISERR(FIND(":",F239)),ISERR(FIND("%",F239))),0,MID(F239,FIND(":",F239)+2,FIND("%",F239)-FIND(":",F239)-2)/100))*0</f>
        <v>0</v>
      </c>
      <c r="I239" s="29">
        <f>G238*H239</f>
        <v>0</v>
      </c>
      <c r="J239">
        <v>2</v>
      </c>
    </row>
    <row r="240" spans="1:19" x14ac:dyDescent="0.3">
      <c r="A240" s="88" t="s">
        <v>803</v>
      </c>
      <c r="B240" s="98"/>
      <c r="C240" s="98"/>
      <c r="D240" s="98"/>
      <c r="E240" s="98"/>
      <c r="F240" s="98"/>
      <c r="G240" s="98"/>
      <c r="H240" s="38">
        <f>(1+IF(OR(ISERR(FIND(":",G239)),ISERR(FIND("%",G239))),0,MID(G239,FIND(":",G239)+2,FIND("%",G239)-FIND(":",G239)-2)/100))*0</f>
        <v>0</v>
      </c>
      <c r="I240" s="29">
        <f>G238*H240</f>
        <v>0</v>
      </c>
      <c r="J240">
        <v>3</v>
      </c>
      <c r="K240" s="4">
        <v>0</v>
      </c>
      <c r="L240" s="4">
        <v>0</v>
      </c>
      <c r="M240" s="4">
        <f>I240-K240-L240</f>
        <v>0</v>
      </c>
    </row>
    <row r="241" spans="1:19" x14ac:dyDescent="0.3">
      <c r="A241" s="98"/>
      <c r="B241" s="98"/>
      <c r="C241" s="98"/>
      <c r="D241" s="98"/>
      <c r="E241" s="98"/>
      <c r="F241" s="98"/>
      <c r="G241" s="98"/>
      <c r="H241" s="38">
        <f>0</f>
        <v>0</v>
      </c>
      <c r="I241" s="29">
        <f>G238*H241</f>
        <v>0</v>
      </c>
      <c r="J241">
        <v>4</v>
      </c>
      <c r="N241" s="4">
        <f>IF(ISERR(SEARCH("TRA* 82",C238)),IF(Q241+R241+S241=0,0,I241*(Q241/(Q241+R241+S241))),I241)</f>
        <v>0</v>
      </c>
      <c r="O241" s="4">
        <f>IF(ISERR(SEARCH("TRA* 82",C238)),IF(Q241+R241+S241=0,0,I241*(R241/(Q241+R241+S241))),0)</f>
        <v>0</v>
      </c>
      <c r="P241" s="4">
        <f>IF(ISERR(SEARCH("TRA* 82",C238)),I241-N241-O241,0)</f>
        <v>0</v>
      </c>
      <c r="Q241" s="4">
        <v>0</v>
      </c>
      <c r="R241" s="4">
        <v>0</v>
      </c>
      <c r="S241" s="4">
        <v>0</v>
      </c>
    </row>
    <row r="242" spans="1:19" x14ac:dyDescent="0.3">
      <c r="A242" s="96" t="s">
        <v>27</v>
      </c>
      <c r="B242" s="97"/>
      <c r="C242" s="97"/>
      <c r="D242" s="97"/>
      <c r="E242" s="97"/>
      <c r="F242" s="97"/>
      <c r="G242" s="97"/>
      <c r="H242" s="36">
        <f>H238+H239+H240+H241</f>
        <v>356.72533333333337</v>
      </c>
      <c r="I242" s="74">
        <f>I238+I239+I240+I241</f>
        <v>21403.52</v>
      </c>
      <c r="J242">
        <v>5</v>
      </c>
    </row>
    <row r="243" spans="1:19" x14ac:dyDescent="0.3">
      <c r="B243" s="2">
        <v>37</v>
      </c>
      <c r="C243" s="3" t="s">
        <v>804</v>
      </c>
      <c r="D243" s="5" t="s">
        <v>29</v>
      </c>
      <c r="G243" s="30">
        <v>24</v>
      </c>
      <c r="H243" s="38">
        <f>11231.12/G243</f>
        <v>467.96333333333337</v>
      </c>
      <c r="I243" s="29">
        <f>G243*H243</f>
        <v>11231.12</v>
      </c>
      <c r="J243">
        <v>1</v>
      </c>
    </row>
    <row r="244" spans="1:19" x14ac:dyDescent="0.3">
      <c r="D244" s="15" t="str">
        <f>SUBSTITUTE("Sp.mat: 0.00%",".",IF(VALUE("1.2")=1.2,".",","),2)</f>
        <v>Sp.mat: 0.00%</v>
      </c>
      <c r="F244" s="15" t="str">
        <f>SUBSTITUTE("Sp.man: 0.00%",".",IF(VALUE("1.2")=1.2,".",","),2)</f>
        <v>Sp.man: 0.00%</v>
      </c>
      <c r="G244" s="35" t="str">
        <f>SUBSTITUTE("Sp.uti: 0.00%",".",IF(VALUE("1.2")=1.2,".",","),2)</f>
        <v>Sp.uti: 0.00%</v>
      </c>
      <c r="H244" s="38">
        <f>(1+IF(OR(ISERR(FIND(":",F244)),ISERR(FIND("%",F244))),0,MID(F244,FIND(":",F244)+2,FIND("%",F244)-FIND(":",F244)-2)/100))*0</f>
        <v>0</v>
      </c>
      <c r="I244" s="29">
        <f>G243*H244</f>
        <v>0</v>
      </c>
      <c r="J244">
        <v>2</v>
      </c>
    </row>
    <row r="245" spans="1:19" x14ac:dyDescent="0.3">
      <c r="A245" s="88" t="s">
        <v>805</v>
      </c>
      <c r="B245" s="98"/>
      <c r="C245" s="98"/>
      <c r="D245" s="98"/>
      <c r="E245" s="98"/>
      <c r="F245" s="98"/>
      <c r="G245" s="98"/>
      <c r="H245" s="38">
        <f>(1+IF(OR(ISERR(FIND(":",G244)),ISERR(FIND("%",G244))),0,MID(G244,FIND(":",G244)+2,FIND("%",G244)-FIND(":",G244)-2)/100))*0</f>
        <v>0</v>
      </c>
      <c r="I245" s="29">
        <f>G243*H245</f>
        <v>0</v>
      </c>
      <c r="J245">
        <v>3</v>
      </c>
      <c r="K245" s="4">
        <v>0</v>
      </c>
      <c r="L245" s="4">
        <v>0</v>
      </c>
      <c r="M245" s="4">
        <f>I245-K245-L245</f>
        <v>0</v>
      </c>
    </row>
    <row r="246" spans="1:19" x14ac:dyDescent="0.3">
      <c r="A246" s="98"/>
      <c r="B246" s="98"/>
      <c r="C246" s="98"/>
      <c r="D246" s="98"/>
      <c r="E246" s="98"/>
      <c r="F246" s="98"/>
      <c r="G246" s="98"/>
      <c r="H246" s="38">
        <f>0</f>
        <v>0</v>
      </c>
      <c r="I246" s="29">
        <f>G243*H246</f>
        <v>0</v>
      </c>
      <c r="J246">
        <v>4</v>
      </c>
      <c r="N246" s="4">
        <f>IF(ISERR(SEARCH("TRA* 82",C243)),IF(Q246+R246+S246=0,0,I246*(Q246/(Q246+R246+S246))),I246)</f>
        <v>0</v>
      </c>
      <c r="O246" s="4">
        <f>IF(ISERR(SEARCH("TRA* 82",C243)),IF(Q246+R246+S246=0,0,I246*(R246/(Q246+R246+S246))),0)</f>
        <v>0</v>
      </c>
      <c r="P246" s="4">
        <f>IF(ISERR(SEARCH("TRA* 82",C243)),I246-N246-O246,0)</f>
        <v>0</v>
      </c>
      <c r="Q246" s="4">
        <v>0</v>
      </c>
      <c r="R246" s="4">
        <v>0</v>
      </c>
      <c r="S246" s="4">
        <v>0</v>
      </c>
    </row>
    <row r="247" spans="1:19" x14ac:dyDescent="0.3">
      <c r="A247" s="96" t="s">
        <v>27</v>
      </c>
      <c r="B247" s="97"/>
      <c r="C247" s="97"/>
      <c r="D247" s="97"/>
      <c r="E247" s="97"/>
      <c r="F247" s="97"/>
      <c r="G247" s="97"/>
      <c r="H247" s="36">
        <f>H243+H244+H245+H246</f>
        <v>467.96333333333337</v>
      </c>
      <c r="I247" s="74">
        <f>I243+I244+I245+I246</f>
        <v>11231.12</v>
      </c>
      <c r="J247">
        <v>5</v>
      </c>
    </row>
    <row r="248" spans="1:19" x14ac:dyDescent="0.3">
      <c r="B248" s="2">
        <v>38</v>
      </c>
      <c r="C248" s="3" t="s">
        <v>812</v>
      </c>
      <c r="D248" s="5" t="s">
        <v>29</v>
      </c>
      <c r="G248" s="30">
        <v>168</v>
      </c>
      <c r="H248" s="38">
        <f>5941.81/G248</f>
        <v>35.367916666666666</v>
      </c>
      <c r="I248" s="29">
        <f>G248*H248</f>
        <v>5941.8099999999995</v>
      </c>
      <c r="J248">
        <v>1</v>
      </c>
    </row>
    <row r="249" spans="1:19" x14ac:dyDescent="0.3">
      <c r="D249" s="15" t="str">
        <f>SUBSTITUTE("Sp.mat: 0.00%",".",IF(VALUE("1.2")=1.2,".",","),2)</f>
        <v>Sp.mat: 0.00%</v>
      </c>
      <c r="F249" s="15" t="str">
        <f>SUBSTITUTE("Sp.man: 0.00%",".",IF(VALUE("1.2")=1.2,".",","),2)</f>
        <v>Sp.man: 0.00%</v>
      </c>
      <c r="G249" s="35" t="str">
        <f>SUBSTITUTE("Sp.uti: 0.00%",".",IF(VALUE("1.2")=1.2,".",","),2)</f>
        <v>Sp.uti: 0.00%</v>
      </c>
      <c r="H249" s="38">
        <f>9256.54/G248</f>
        <v>55.098452380952388</v>
      </c>
      <c r="I249" s="29">
        <f>G248*H249</f>
        <v>9256.5400000000009</v>
      </c>
      <c r="J249">
        <v>2</v>
      </c>
    </row>
    <row r="250" spans="1:19" x14ac:dyDescent="0.3">
      <c r="A250" s="88" t="s">
        <v>1042</v>
      </c>
      <c r="B250" s="98"/>
      <c r="C250" s="98"/>
      <c r="D250" s="98"/>
      <c r="E250" s="98"/>
      <c r="F250" s="98"/>
      <c r="G250" s="98"/>
      <c r="H250" s="38">
        <f>279.58/G248</f>
        <v>1.6641666666666666</v>
      </c>
      <c r="I250" s="29">
        <f>G248*H250</f>
        <v>279.58</v>
      </c>
      <c r="J250">
        <v>3</v>
      </c>
      <c r="K250" s="4">
        <v>0</v>
      </c>
      <c r="L250" s="4">
        <v>504</v>
      </c>
      <c r="M250" s="4">
        <f>I250-K250-L250</f>
        <v>-224.42000000000002</v>
      </c>
    </row>
    <row r="251" spans="1:19" x14ac:dyDescent="0.3">
      <c r="A251" s="98"/>
      <c r="B251" s="98"/>
      <c r="C251" s="98"/>
      <c r="D251" s="98"/>
      <c r="E251" s="98"/>
      <c r="F251" s="98"/>
      <c r="G251" s="98"/>
      <c r="H251" s="38">
        <f>0</f>
        <v>0</v>
      </c>
      <c r="I251" s="29">
        <f>G248*H251</f>
        <v>0</v>
      </c>
      <c r="J251">
        <v>4</v>
      </c>
      <c r="N251" s="4">
        <f>IF(ISERR(SEARCH("TRA* 82",C248)),IF(Q251+R251+S251=0,0,I251*(Q251/(Q251+R251+S251))),I251)</f>
        <v>0</v>
      </c>
      <c r="O251" s="4">
        <f>IF(ISERR(SEARCH("TRA* 82",C248)),IF(Q251+R251+S251=0,0,I251*(R251/(Q251+R251+S251))),0)</f>
        <v>0</v>
      </c>
      <c r="P251" s="4">
        <f>IF(ISERR(SEARCH("TRA* 82",C248)),I251-N251-O251,0)</f>
        <v>0</v>
      </c>
      <c r="Q251" s="4">
        <v>0</v>
      </c>
      <c r="R251" s="4">
        <v>0</v>
      </c>
      <c r="S251" s="4">
        <v>0</v>
      </c>
    </row>
    <row r="252" spans="1:19" x14ac:dyDescent="0.3">
      <c r="A252" s="96" t="s">
        <v>110</v>
      </c>
      <c r="B252" s="97"/>
      <c r="C252" s="97"/>
      <c r="D252" s="97"/>
      <c r="E252" s="97"/>
      <c r="F252" s="97"/>
      <c r="G252" s="97"/>
      <c r="H252" s="36">
        <f>H248+H249+H250+H251</f>
        <v>92.130535714285713</v>
      </c>
      <c r="I252" s="74">
        <f>I248+I249+I250+I251</f>
        <v>15477.93</v>
      </c>
      <c r="J252">
        <v>5</v>
      </c>
    </row>
    <row r="253" spans="1:19" x14ac:dyDescent="0.3">
      <c r="B253" s="2">
        <v>39</v>
      </c>
      <c r="C253" s="3" t="s">
        <v>814</v>
      </c>
      <c r="D253" s="5" t="s">
        <v>29</v>
      </c>
      <c r="G253" s="30">
        <v>14</v>
      </c>
      <c r="H253" s="38">
        <f>3393.09/G253</f>
        <v>242.36357142857145</v>
      </c>
      <c r="I253" s="29">
        <f>G253*H253</f>
        <v>3393.09</v>
      </c>
      <c r="J253">
        <v>1</v>
      </c>
    </row>
    <row r="254" spans="1:19" x14ac:dyDescent="0.3">
      <c r="D254" s="15" t="str">
        <f>SUBSTITUTE("Sp.mat: 0.00%",".",IF(VALUE("1.2")=1.2,".",","),2)</f>
        <v>Sp.mat: 0.00%</v>
      </c>
      <c r="F254" s="15" t="str">
        <f>SUBSTITUTE("Sp.man: 0.00%",".",IF(VALUE("1.2")=1.2,".",","),2)</f>
        <v>Sp.man: 0.00%</v>
      </c>
      <c r="G254" s="35" t="str">
        <f>SUBSTITUTE("Sp.uti: 0.00%",".",IF(VALUE("1.2")=1.2,".",","),2)</f>
        <v>Sp.uti: 0.00%</v>
      </c>
      <c r="H254" s="38">
        <f>(1+IF(OR(ISERR(FIND(":",F254)),ISERR(FIND("%",F254))),0,MID(F254,FIND(":",F254)+2,FIND("%",F254)-FIND(":",F254)-2)/100))*0</f>
        <v>0</v>
      </c>
      <c r="I254" s="29">
        <f>G253*H254</f>
        <v>0</v>
      </c>
      <c r="J254">
        <v>2</v>
      </c>
    </row>
    <row r="255" spans="1:19" x14ac:dyDescent="0.3">
      <c r="A255" s="88" t="s">
        <v>815</v>
      </c>
      <c r="B255" s="98"/>
      <c r="C255" s="98"/>
      <c r="D255" s="98"/>
      <c r="E255" s="98"/>
      <c r="F255" s="98"/>
      <c r="G255" s="98"/>
      <c r="H255" s="38">
        <f>(1+IF(OR(ISERR(FIND(":",G254)),ISERR(FIND("%",G254))),0,MID(G254,FIND(":",G254)+2,FIND("%",G254)-FIND(":",G254)-2)/100))*0</f>
        <v>0</v>
      </c>
      <c r="I255" s="29">
        <f>G253*H255</f>
        <v>0</v>
      </c>
      <c r="J255">
        <v>3</v>
      </c>
      <c r="K255" s="4">
        <v>0</v>
      </c>
      <c r="L255" s="4">
        <v>0</v>
      </c>
      <c r="M255" s="4">
        <f>I255-K255-L255</f>
        <v>0</v>
      </c>
    </row>
    <row r="256" spans="1:19" x14ac:dyDescent="0.3">
      <c r="A256" s="98"/>
      <c r="B256" s="98"/>
      <c r="C256" s="98"/>
      <c r="D256" s="98"/>
      <c r="E256" s="98"/>
      <c r="F256" s="98"/>
      <c r="G256" s="98"/>
      <c r="H256" s="38">
        <f>0</f>
        <v>0</v>
      </c>
      <c r="I256" s="29">
        <f>G253*H256</f>
        <v>0</v>
      </c>
      <c r="J256">
        <v>4</v>
      </c>
      <c r="N256" s="4">
        <f>IF(ISERR(SEARCH("TRA* 82",C253)),IF(Q256+R256+S256=0,0,I256*(Q256/(Q256+R256+S256))),I256)</f>
        <v>0</v>
      </c>
      <c r="O256" s="4">
        <f>IF(ISERR(SEARCH("TRA* 82",C253)),IF(Q256+R256+S256=0,0,I256*(R256/(Q256+R256+S256))),0)</f>
        <v>0</v>
      </c>
      <c r="P256" s="4">
        <f>IF(ISERR(SEARCH("TRA* 82",C253)),I256-N256-O256,0)</f>
        <v>0</v>
      </c>
      <c r="Q256" s="4">
        <v>0</v>
      </c>
      <c r="R256" s="4">
        <v>0</v>
      </c>
      <c r="S256" s="4">
        <v>0</v>
      </c>
    </row>
    <row r="257" spans="1:19" x14ac:dyDescent="0.3">
      <c r="A257" s="96" t="s">
        <v>27</v>
      </c>
      <c r="B257" s="97"/>
      <c r="C257" s="97"/>
      <c r="D257" s="97"/>
      <c r="E257" s="97"/>
      <c r="F257" s="97"/>
      <c r="G257" s="97"/>
      <c r="H257" s="36">
        <f>H253+H254+H255+H256</f>
        <v>242.36357142857145</v>
      </c>
      <c r="I257" s="74">
        <f>I253+I254+I255+I256</f>
        <v>3393.09</v>
      </c>
      <c r="J257">
        <v>5</v>
      </c>
    </row>
    <row r="258" spans="1:19" x14ac:dyDescent="0.3">
      <c r="B258" s="2">
        <v>40</v>
      </c>
      <c r="C258" s="3" t="s">
        <v>816</v>
      </c>
      <c r="D258" s="5" t="s">
        <v>29</v>
      </c>
      <c r="G258" s="30">
        <v>58</v>
      </c>
      <c r="H258" s="38">
        <f>15576.93/G258</f>
        <v>268.56775862068969</v>
      </c>
      <c r="I258" s="29">
        <f>G258*H258</f>
        <v>15576.930000000002</v>
      </c>
      <c r="J258">
        <v>1</v>
      </c>
    </row>
    <row r="259" spans="1:19" x14ac:dyDescent="0.3">
      <c r="D259" s="15" t="str">
        <f>SUBSTITUTE("Sp.mat: 0.00%",".",IF(VALUE("1.2")=1.2,".",","),2)</f>
        <v>Sp.mat: 0.00%</v>
      </c>
      <c r="F259" s="15" t="str">
        <f>SUBSTITUTE("Sp.man: 0.00%",".",IF(VALUE("1.2")=1.2,".",","),2)</f>
        <v>Sp.man: 0.00%</v>
      </c>
      <c r="G259" s="35" t="str">
        <f>SUBSTITUTE("Sp.uti: 0.00%",".",IF(VALUE("1.2")=1.2,".",","),2)</f>
        <v>Sp.uti: 0.00%</v>
      </c>
      <c r="H259" s="38">
        <f>(1+IF(OR(ISERR(FIND(":",F259)),ISERR(FIND("%",F259))),0,MID(F259,FIND(":",F259)+2,FIND("%",F259)-FIND(":",F259)-2)/100))*0</f>
        <v>0</v>
      </c>
      <c r="I259" s="29">
        <f>G258*H259</f>
        <v>0</v>
      </c>
      <c r="J259">
        <v>2</v>
      </c>
    </row>
    <row r="260" spans="1:19" x14ac:dyDescent="0.3">
      <c r="A260" s="88" t="s">
        <v>817</v>
      </c>
      <c r="B260" s="98"/>
      <c r="C260" s="98"/>
      <c r="D260" s="98"/>
      <c r="E260" s="98"/>
      <c r="F260" s="98"/>
      <c r="G260" s="98"/>
      <c r="H260" s="38">
        <f>(1+IF(OR(ISERR(FIND(":",G259)),ISERR(FIND("%",G259))),0,MID(G259,FIND(":",G259)+2,FIND("%",G259)-FIND(":",G259)-2)/100))*0</f>
        <v>0</v>
      </c>
      <c r="I260" s="29">
        <f>G258*H260</f>
        <v>0</v>
      </c>
      <c r="J260">
        <v>3</v>
      </c>
      <c r="K260" s="4">
        <v>0</v>
      </c>
      <c r="L260" s="4">
        <v>0</v>
      </c>
      <c r="M260" s="4">
        <f>I260-K260-L260</f>
        <v>0</v>
      </c>
    </row>
    <row r="261" spans="1:19" x14ac:dyDescent="0.3">
      <c r="A261" s="98"/>
      <c r="B261" s="98"/>
      <c r="C261" s="98"/>
      <c r="D261" s="98"/>
      <c r="E261" s="98"/>
      <c r="F261" s="98"/>
      <c r="G261" s="98"/>
      <c r="H261" s="38">
        <f>0</f>
        <v>0</v>
      </c>
      <c r="I261" s="29">
        <f>G258*H261</f>
        <v>0</v>
      </c>
      <c r="J261">
        <v>4</v>
      </c>
      <c r="N261" s="4">
        <f>IF(ISERR(SEARCH("TRA* 82",C258)),IF(Q261+R261+S261=0,0,I261*(Q261/(Q261+R261+S261))),I261)</f>
        <v>0</v>
      </c>
      <c r="O261" s="4">
        <f>IF(ISERR(SEARCH("TRA* 82",C258)),IF(Q261+R261+S261=0,0,I261*(R261/(Q261+R261+S261))),0)</f>
        <v>0</v>
      </c>
      <c r="P261" s="4">
        <f>IF(ISERR(SEARCH("TRA* 82",C258)),I261-N261-O261,0)</f>
        <v>0</v>
      </c>
      <c r="Q261" s="4">
        <v>0</v>
      </c>
      <c r="R261" s="4">
        <v>0</v>
      </c>
      <c r="S261" s="4">
        <v>0</v>
      </c>
    </row>
    <row r="262" spans="1:19" x14ac:dyDescent="0.3">
      <c r="A262" s="96" t="s">
        <v>27</v>
      </c>
      <c r="B262" s="97"/>
      <c r="C262" s="97"/>
      <c r="D262" s="97"/>
      <c r="E262" s="97"/>
      <c r="F262" s="97"/>
      <c r="G262" s="97"/>
      <c r="H262" s="36">
        <f>H258+H259+H260+H261</f>
        <v>268.56775862068969</v>
      </c>
      <c r="I262" s="74">
        <f>I258+I259+I260+I261</f>
        <v>15576.930000000002</v>
      </c>
      <c r="J262">
        <v>5</v>
      </c>
    </row>
    <row r="263" spans="1:19" x14ac:dyDescent="0.3">
      <c r="B263" s="2">
        <v>41</v>
      </c>
      <c r="C263" s="3" t="s">
        <v>818</v>
      </c>
      <c r="D263" s="5" t="s">
        <v>29</v>
      </c>
      <c r="G263" s="30">
        <v>64</v>
      </c>
      <c r="H263" s="38">
        <f>19493.76/G263</f>
        <v>304.58999999999997</v>
      </c>
      <c r="I263" s="29">
        <f>G263*H263</f>
        <v>19493.759999999998</v>
      </c>
      <c r="J263">
        <v>1</v>
      </c>
    </row>
    <row r="264" spans="1:19" x14ac:dyDescent="0.3">
      <c r="D264" s="15" t="str">
        <f>SUBSTITUTE("Sp.mat: 0.00%",".",IF(VALUE("1.2")=1.2,".",","),2)</f>
        <v>Sp.mat: 0.00%</v>
      </c>
      <c r="F264" s="15" t="str">
        <f>SUBSTITUTE("Sp.man: 0.00%",".",IF(VALUE("1.2")=1.2,".",","),2)</f>
        <v>Sp.man: 0.00%</v>
      </c>
      <c r="G264" s="35" t="str">
        <f>SUBSTITUTE("Sp.uti: 0.00%",".",IF(VALUE("1.2")=1.2,".",","),2)</f>
        <v>Sp.uti: 0.00%</v>
      </c>
      <c r="H264" s="38">
        <f>(1+IF(OR(ISERR(FIND(":",F264)),ISERR(FIND("%",F264))),0,MID(F264,FIND(":",F264)+2,FIND("%",F264)-FIND(":",F264)-2)/100))*0</f>
        <v>0</v>
      </c>
      <c r="I264" s="29">
        <f>G263*H264</f>
        <v>0</v>
      </c>
      <c r="J264">
        <v>2</v>
      </c>
    </row>
    <row r="265" spans="1:19" x14ac:dyDescent="0.3">
      <c r="A265" s="88" t="s">
        <v>819</v>
      </c>
      <c r="B265" s="98"/>
      <c r="C265" s="98"/>
      <c r="D265" s="98"/>
      <c r="E265" s="98"/>
      <c r="F265" s="98"/>
      <c r="G265" s="98"/>
      <c r="H265" s="38">
        <f>(1+IF(OR(ISERR(FIND(":",G264)),ISERR(FIND("%",G264))),0,MID(G264,FIND(":",G264)+2,FIND("%",G264)-FIND(":",G264)-2)/100))*0</f>
        <v>0</v>
      </c>
      <c r="I265" s="29">
        <f>G263*H265</f>
        <v>0</v>
      </c>
      <c r="J265">
        <v>3</v>
      </c>
      <c r="K265" s="4">
        <v>0</v>
      </c>
      <c r="L265" s="4">
        <v>0</v>
      </c>
      <c r="M265" s="4">
        <f>I265-K265-L265</f>
        <v>0</v>
      </c>
    </row>
    <row r="266" spans="1:19" x14ac:dyDescent="0.3">
      <c r="A266" s="98"/>
      <c r="B266" s="98"/>
      <c r="C266" s="98"/>
      <c r="D266" s="98"/>
      <c r="E266" s="98"/>
      <c r="F266" s="98"/>
      <c r="G266" s="98"/>
      <c r="H266" s="38">
        <f>0</f>
        <v>0</v>
      </c>
      <c r="I266" s="29">
        <f>G263*H266</f>
        <v>0</v>
      </c>
      <c r="J266">
        <v>4</v>
      </c>
      <c r="N266" s="4">
        <f>IF(ISERR(SEARCH("TRA* 82",C263)),IF(Q266+R266+S266=0,0,I266*(Q266/(Q266+R266+S266))),I266)</f>
        <v>0</v>
      </c>
      <c r="O266" s="4">
        <f>IF(ISERR(SEARCH("TRA* 82",C263)),IF(Q266+R266+S266=0,0,I266*(R266/(Q266+R266+S266))),0)</f>
        <v>0</v>
      </c>
      <c r="P266" s="4">
        <f>IF(ISERR(SEARCH("TRA* 82",C263)),I266-N266-O266,0)</f>
        <v>0</v>
      </c>
      <c r="Q266" s="4">
        <v>0</v>
      </c>
      <c r="R266" s="4">
        <v>0</v>
      </c>
      <c r="S266" s="4">
        <v>0</v>
      </c>
    </row>
    <row r="267" spans="1:19" x14ac:dyDescent="0.3">
      <c r="A267" s="96" t="s">
        <v>27</v>
      </c>
      <c r="B267" s="97"/>
      <c r="C267" s="97"/>
      <c r="D267" s="97"/>
      <c r="E267" s="97"/>
      <c r="F267" s="97"/>
      <c r="G267" s="97"/>
      <c r="H267" s="36">
        <f>H263+H264+H265+H266</f>
        <v>304.58999999999997</v>
      </c>
      <c r="I267" s="74">
        <f>I263+I264+I265+I266</f>
        <v>19493.759999999998</v>
      </c>
      <c r="J267">
        <v>5</v>
      </c>
    </row>
    <row r="268" spans="1:19" x14ac:dyDescent="0.3">
      <c r="B268" s="2">
        <v>42</v>
      </c>
      <c r="C268" s="3" t="s">
        <v>820</v>
      </c>
      <c r="D268" s="5" t="s">
        <v>29</v>
      </c>
      <c r="G268" s="30">
        <v>32</v>
      </c>
      <c r="H268" s="38">
        <f>11004.66/G268</f>
        <v>343.895625</v>
      </c>
      <c r="I268" s="29">
        <f>G268*H268</f>
        <v>11004.66</v>
      </c>
      <c r="J268">
        <v>1</v>
      </c>
    </row>
    <row r="269" spans="1:19" x14ac:dyDescent="0.3">
      <c r="D269" s="15" t="str">
        <f>SUBSTITUTE("Sp.mat: 0.00%",".",IF(VALUE("1.2")=1.2,".",","),2)</f>
        <v>Sp.mat: 0.00%</v>
      </c>
      <c r="F269" s="15" t="str">
        <f>SUBSTITUTE("Sp.man: 0.00%",".",IF(VALUE("1.2")=1.2,".",","),2)</f>
        <v>Sp.man: 0.00%</v>
      </c>
      <c r="G269" s="35" t="str">
        <f>SUBSTITUTE("Sp.uti: 0.00%",".",IF(VALUE("1.2")=1.2,".",","),2)</f>
        <v>Sp.uti: 0.00%</v>
      </c>
      <c r="H269" s="38">
        <f>(1+IF(OR(ISERR(FIND(":",F269)),ISERR(FIND("%",F269))),0,MID(F269,FIND(":",F269)+2,FIND("%",F269)-FIND(":",F269)-2)/100))*0</f>
        <v>0</v>
      </c>
      <c r="I269" s="29">
        <f>G268*H269</f>
        <v>0</v>
      </c>
      <c r="J269">
        <v>2</v>
      </c>
    </row>
    <row r="270" spans="1:19" x14ac:dyDescent="0.3">
      <c r="A270" s="88" t="s">
        <v>821</v>
      </c>
      <c r="B270" s="98"/>
      <c r="C270" s="98"/>
      <c r="D270" s="98"/>
      <c r="E270" s="98"/>
      <c r="F270" s="98"/>
      <c r="G270" s="98"/>
      <c r="H270" s="38">
        <f>(1+IF(OR(ISERR(FIND(":",G269)),ISERR(FIND("%",G269))),0,MID(G269,FIND(":",G269)+2,FIND("%",G269)-FIND(":",G269)-2)/100))*0</f>
        <v>0</v>
      </c>
      <c r="I270" s="29">
        <f>G268*H270</f>
        <v>0</v>
      </c>
      <c r="J270">
        <v>3</v>
      </c>
      <c r="K270" s="4">
        <v>0</v>
      </c>
      <c r="L270" s="4">
        <v>0</v>
      </c>
      <c r="M270" s="4">
        <f>I270-K270-L270</f>
        <v>0</v>
      </c>
    </row>
    <row r="271" spans="1:19" x14ac:dyDescent="0.3">
      <c r="A271" s="98"/>
      <c r="B271" s="98"/>
      <c r="C271" s="98"/>
      <c r="D271" s="98"/>
      <c r="E271" s="98"/>
      <c r="F271" s="98"/>
      <c r="G271" s="98"/>
      <c r="H271" s="38">
        <f>0</f>
        <v>0</v>
      </c>
      <c r="I271" s="29">
        <f>G268*H271</f>
        <v>0</v>
      </c>
      <c r="J271">
        <v>4</v>
      </c>
      <c r="N271" s="4">
        <f>IF(ISERR(SEARCH("TRA* 82",C268)),IF(Q271+R271+S271=0,0,I271*(Q271/(Q271+R271+S271))),I271)</f>
        <v>0</v>
      </c>
      <c r="O271" s="4">
        <f>IF(ISERR(SEARCH("TRA* 82",C268)),IF(Q271+R271+S271=0,0,I271*(R271/(Q271+R271+S271))),0)</f>
        <v>0</v>
      </c>
      <c r="P271" s="4">
        <f>IF(ISERR(SEARCH("TRA* 82",C268)),I271-N271-O271,0)</f>
        <v>0</v>
      </c>
      <c r="Q271" s="4">
        <v>0</v>
      </c>
      <c r="R271" s="4">
        <v>0</v>
      </c>
      <c r="S271" s="4">
        <v>0</v>
      </c>
    </row>
    <row r="272" spans="1:19" x14ac:dyDescent="0.3">
      <c r="A272" s="96" t="s">
        <v>27</v>
      </c>
      <c r="B272" s="97"/>
      <c r="C272" s="97"/>
      <c r="D272" s="97"/>
      <c r="E272" s="97"/>
      <c r="F272" s="97"/>
      <c r="G272" s="97"/>
      <c r="H272" s="36">
        <f>H268+H269+H270+H271</f>
        <v>343.895625</v>
      </c>
      <c r="I272" s="74">
        <f>I268+I269+I270+I271</f>
        <v>11004.66</v>
      </c>
      <c r="J272">
        <v>5</v>
      </c>
    </row>
    <row r="273" spans="1:19" x14ac:dyDescent="0.3">
      <c r="B273" s="2">
        <v>43</v>
      </c>
      <c r="C273" s="3" t="s">
        <v>822</v>
      </c>
      <c r="D273" s="5" t="s">
        <v>29</v>
      </c>
      <c r="G273" s="30">
        <v>15</v>
      </c>
      <c r="H273" s="38">
        <f>856.63/G273</f>
        <v>57.108666666666664</v>
      </c>
      <c r="I273" s="29">
        <f>G273*H273</f>
        <v>856.63</v>
      </c>
      <c r="J273">
        <v>1</v>
      </c>
    </row>
    <row r="274" spans="1:19" x14ac:dyDescent="0.3">
      <c r="D274" s="15" t="str">
        <f>SUBSTITUTE("Sp.mat: 0.00%",".",IF(VALUE("1.2")=1.2,".",","),2)</f>
        <v>Sp.mat: 0.00%</v>
      </c>
      <c r="F274" s="15" t="str">
        <f>SUBSTITUTE("Sp.man: 0.00%",".",IF(VALUE("1.2")=1.2,".",","),2)</f>
        <v>Sp.man: 0.00%</v>
      </c>
      <c r="G274" s="35" t="str">
        <f>SUBSTITUTE("Sp.uti: 0.00%",".",IF(VALUE("1.2")=1.2,".",","),2)</f>
        <v>Sp.uti: 0.00%</v>
      </c>
      <c r="H274" s="38">
        <f>663.1/G273</f>
        <v>44.206666666666671</v>
      </c>
      <c r="I274" s="29">
        <f>G273*H274</f>
        <v>663.1</v>
      </c>
      <c r="J274">
        <v>2</v>
      </c>
    </row>
    <row r="275" spans="1:19" x14ac:dyDescent="0.3">
      <c r="A275" s="88" t="s">
        <v>1043</v>
      </c>
      <c r="B275" s="98"/>
      <c r="C275" s="98"/>
      <c r="D275" s="98"/>
      <c r="E275" s="98"/>
      <c r="F275" s="98"/>
      <c r="G275" s="98"/>
      <c r="H275" s="38">
        <f>36.17/G273</f>
        <v>2.4113333333333333</v>
      </c>
      <c r="I275" s="29">
        <f>G273*H275</f>
        <v>36.17</v>
      </c>
      <c r="J275">
        <v>3</v>
      </c>
      <c r="K275" s="4">
        <v>0</v>
      </c>
      <c r="L275" s="4">
        <v>66</v>
      </c>
      <c r="M275" s="4">
        <f>I275-K275-L275</f>
        <v>-29.83</v>
      </c>
    </row>
    <row r="276" spans="1:19" x14ac:dyDescent="0.3">
      <c r="A276" s="98"/>
      <c r="B276" s="98"/>
      <c r="C276" s="98"/>
      <c r="D276" s="98"/>
      <c r="E276" s="98"/>
      <c r="F276" s="98"/>
      <c r="G276" s="98"/>
      <c r="H276" s="38">
        <f>0</f>
        <v>0</v>
      </c>
      <c r="I276" s="29">
        <f>G273*H276</f>
        <v>0</v>
      </c>
      <c r="J276">
        <v>4</v>
      </c>
      <c r="N276" s="4">
        <f>IF(ISERR(SEARCH("TRA* 82",C273)),IF(Q276+R276+S276=0,0,I276*(Q276/(Q276+R276+S276))),I276)</f>
        <v>0</v>
      </c>
      <c r="O276" s="4">
        <f>IF(ISERR(SEARCH("TRA* 82",C273)),IF(Q276+R276+S276=0,0,I276*(R276/(Q276+R276+S276))),0)</f>
        <v>0</v>
      </c>
      <c r="P276" s="4">
        <f>IF(ISERR(SEARCH("TRA* 82",C273)),I276-N276-O276,0)</f>
        <v>0</v>
      </c>
      <c r="Q276" s="4">
        <v>0</v>
      </c>
      <c r="R276" s="4">
        <v>0</v>
      </c>
      <c r="S276" s="4">
        <v>0</v>
      </c>
    </row>
    <row r="277" spans="1:19" x14ac:dyDescent="0.3">
      <c r="A277" s="96" t="s">
        <v>824</v>
      </c>
      <c r="B277" s="97"/>
      <c r="C277" s="97"/>
      <c r="D277" s="97"/>
      <c r="E277" s="97"/>
      <c r="F277" s="97"/>
      <c r="G277" s="97"/>
      <c r="H277" s="36">
        <f>H273+H274+H275+H276</f>
        <v>103.72666666666667</v>
      </c>
      <c r="I277" s="74">
        <f>I273+I274+I275+I276</f>
        <v>1555.9</v>
      </c>
      <c r="J277">
        <v>5</v>
      </c>
    </row>
    <row r="278" spans="1:19" x14ac:dyDescent="0.3">
      <c r="B278" s="2">
        <v>44</v>
      </c>
      <c r="C278" s="3" t="s">
        <v>825</v>
      </c>
      <c r="D278" s="5" t="s">
        <v>29</v>
      </c>
      <c r="G278" s="30">
        <v>10</v>
      </c>
      <c r="H278" s="38">
        <f>905.49/G278</f>
        <v>90.549000000000007</v>
      </c>
      <c r="I278" s="29">
        <f>G278*H278</f>
        <v>905.49</v>
      </c>
      <c r="J278">
        <v>1</v>
      </c>
    </row>
    <row r="279" spans="1:19" x14ac:dyDescent="0.3">
      <c r="D279" s="15" t="str">
        <f>SUBSTITUTE("Sp.mat: 0.00%",".",IF(VALUE("1.2")=1.2,".",","),2)</f>
        <v>Sp.mat: 0.00%</v>
      </c>
      <c r="F279" s="15" t="str">
        <f>SUBSTITUTE("Sp.man: 0.00%",".",IF(VALUE("1.2")=1.2,".",","),2)</f>
        <v>Sp.man: 0.00%</v>
      </c>
      <c r="G279" s="35" t="str">
        <f>SUBSTITUTE("Sp.uti: 0.00%",".",IF(VALUE("1.2")=1.2,".",","),2)</f>
        <v>Sp.uti: 0.00%</v>
      </c>
      <c r="H279" s="38">
        <f>(1+IF(OR(ISERR(FIND(":",F279)),ISERR(FIND("%",F279))),0,MID(F279,FIND(":",F279)+2,FIND("%",F279)-FIND(":",F279)-2)/100))*0</f>
        <v>0</v>
      </c>
      <c r="I279" s="29">
        <f>G278*H279</f>
        <v>0</v>
      </c>
      <c r="J279">
        <v>2</v>
      </c>
    </row>
    <row r="280" spans="1:19" x14ac:dyDescent="0.3">
      <c r="A280" s="88" t="s">
        <v>826</v>
      </c>
      <c r="B280" s="98"/>
      <c r="C280" s="98"/>
      <c r="D280" s="98"/>
      <c r="E280" s="98"/>
      <c r="F280" s="98"/>
      <c r="G280" s="98"/>
      <c r="H280" s="38">
        <f>(1+IF(OR(ISERR(FIND(":",G279)),ISERR(FIND("%",G279))),0,MID(G279,FIND(":",G279)+2,FIND("%",G279)-FIND(":",G279)-2)/100))*0</f>
        <v>0</v>
      </c>
      <c r="I280" s="29">
        <f>G278*H280</f>
        <v>0</v>
      </c>
      <c r="J280">
        <v>3</v>
      </c>
      <c r="K280" s="4">
        <v>0</v>
      </c>
      <c r="L280" s="4">
        <v>0</v>
      </c>
      <c r="M280" s="4">
        <f>I280-K280-L280</f>
        <v>0</v>
      </c>
    </row>
    <row r="281" spans="1:19" x14ac:dyDescent="0.3">
      <c r="A281" s="98"/>
      <c r="B281" s="98"/>
      <c r="C281" s="98"/>
      <c r="D281" s="98"/>
      <c r="E281" s="98"/>
      <c r="F281" s="98"/>
      <c r="G281" s="98"/>
      <c r="H281" s="38">
        <f>0</f>
        <v>0</v>
      </c>
      <c r="I281" s="29">
        <f>G278*H281</f>
        <v>0</v>
      </c>
      <c r="J281">
        <v>4</v>
      </c>
      <c r="N281" s="4">
        <f>IF(ISERR(SEARCH("TRA* 82",C278)),IF(Q281+R281+S281=0,0,I281*(Q281/(Q281+R281+S281))),I281)</f>
        <v>0</v>
      </c>
      <c r="O281" s="4">
        <f>IF(ISERR(SEARCH("TRA* 82",C278)),IF(Q281+R281+S281=0,0,I281*(R281/(Q281+R281+S281))),0)</f>
        <v>0</v>
      </c>
      <c r="P281" s="4">
        <f>IF(ISERR(SEARCH("TRA* 82",C278)),I281-N281-O281,0)</f>
        <v>0</v>
      </c>
      <c r="Q281" s="4">
        <v>0</v>
      </c>
      <c r="R281" s="4">
        <v>0</v>
      </c>
      <c r="S281" s="4">
        <v>0</v>
      </c>
    </row>
    <row r="282" spans="1:19" x14ac:dyDescent="0.3">
      <c r="A282" s="96" t="s">
        <v>27</v>
      </c>
      <c r="B282" s="97"/>
      <c r="C282" s="97"/>
      <c r="D282" s="97"/>
      <c r="E282" s="97"/>
      <c r="F282" s="97"/>
      <c r="G282" s="97"/>
      <c r="H282" s="36">
        <f>H278+H279+H280+H281</f>
        <v>90.549000000000007</v>
      </c>
      <c r="I282" s="74">
        <f>I278+I279+I280+I281</f>
        <v>905.49</v>
      </c>
      <c r="J282">
        <v>5</v>
      </c>
    </row>
    <row r="283" spans="1:19" x14ac:dyDescent="0.3">
      <c r="B283" s="2">
        <v>45</v>
      </c>
      <c r="C283" s="3" t="s">
        <v>827</v>
      </c>
      <c r="D283" s="5" t="s">
        <v>29</v>
      </c>
      <c r="G283" s="30">
        <v>1</v>
      </c>
      <c r="H283" s="38">
        <f>125.04/G283</f>
        <v>125.04</v>
      </c>
      <c r="I283" s="29">
        <f>G283*H283</f>
        <v>125.04</v>
      </c>
      <c r="J283">
        <v>1</v>
      </c>
    </row>
    <row r="284" spans="1:19" x14ac:dyDescent="0.3">
      <c r="D284" s="15" t="str">
        <f>SUBSTITUTE("Sp.mat: 0.00%",".",IF(VALUE("1.2")=1.2,".",","),2)</f>
        <v>Sp.mat: 0.00%</v>
      </c>
      <c r="F284" s="15" t="str">
        <f>SUBSTITUTE("Sp.man: 0.00%",".",IF(VALUE("1.2")=1.2,".",","),2)</f>
        <v>Sp.man: 0.00%</v>
      </c>
      <c r="G284" s="35" t="str">
        <f>SUBSTITUTE("Sp.uti: 0.00%",".",IF(VALUE("1.2")=1.2,".",","),2)</f>
        <v>Sp.uti: 0.00%</v>
      </c>
      <c r="H284" s="38">
        <f>(1+IF(OR(ISERR(FIND(":",F284)),ISERR(FIND("%",F284))),0,MID(F284,FIND(":",F284)+2,FIND("%",F284)-FIND(":",F284)-2)/100))*0</f>
        <v>0</v>
      </c>
      <c r="I284" s="29">
        <f>G283*H284</f>
        <v>0</v>
      </c>
      <c r="J284">
        <v>2</v>
      </c>
    </row>
    <row r="285" spans="1:19" x14ac:dyDescent="0.3">
      <c r="A285" s="88" t="s">
        <v>828</v>
      </c>
      <c r="B285" s="98"/>
      <c r="C285" s="98"/>
      <c r="D285" s="98"/>
      <c r="E285" s="98"/>
      <c r="F285" s="98"/>
      <c r="G285" s="98"/>
      <c r="H285" s="38">
        <f>(1+IF(OR(ISERR(FIND(":",G284)),ISERR(FIND("%",G284))),0,MID(G284,FIND(":",G284)+2,FIND("%",G284)-FIND(":",G284)-2)/100))*0</f>
        <v>0</v>
      </c>
      <c r="I285" s="29">
        <f>G283*H285</f>
        <v>0</v>
      </c>
      <c r="J285">
        <v>3</v>
      </c>
      <c r="K285" s="4">
        <v>0</v>
      </c>
      <c r="L285" s="4">
        <v>0</v>
      </c>
      <c r="M285" s="4">
        <f>I285-K285-L285</f>
        <v>0</v>
      </c>
    </row>
    <row r="286" spans="1:19" x14ac:dyDescent="0.3">
      <c r="A286" s="98"/>
      <c r="B286" s="98"/>
      <c r="C286" s="98"/>
      <c r="D286" s="98"/>
      <c r="E286" s="98"/>
      <c r="F286" s="98"/>
      <c r="G286" s="98"/>
      <c r="H286" s="38">
        <f>0</f>
        <v>0</v>
      </c>
      <c r="I286" s="29">
        <f>G283*H286</f>
        <v>0</v>
      </c>
      <c r="J286">
        <v>4</v>
      </c>
      <c r="N286" s="4">
        <f>IF(ISERR(SEARCH("TRA* 82",C283)),IF(Q286+R286+S286=0,0,I286*(Q286/(Q286+R286+S286))),I286)</f>
        <v>0</v>
      </c>
      <c r="O286" s="4">
        <f>IF(ISERR(SEARCH("TRA* 82",C283)),IF(Q286+R286+S286=0,0,I286*(R286/(Q286+R286+S286))),0)</f>
        <v>0</v>
      </c>
      <c r="P286" s="4">
        <f>IF(ISERR(SEARCH("TRA* 82",C283)),I286-N286-O286,0)</f>
        <v>0</v>
      </c>
      <c r="Q286" s="4">
        <v>0</v>
      </c>
      <c r="R286" s="4">
        <v>0</v>
      </c>
      <c r="S286" s="4">
        <v>0</v>
      </c>
    </row>
    <row r="287" spans="1:19" x14ac:dyDescent="0.3">
      <c r="A287" s="96" t="s">
        <v>27</v>
      </c>
      <c r="B287" s="97"/>
      <c r="C287" s="97"/>
      <c r="D287" s="97"/>
      <c r="E287" s="97"/>
      <c r="F287" s="97"/>
      <c r="G287" s="97"/>
      <c r="H287" s="36">
        <f>H283+H284+H285+H286</f>
        <v>125.04</v>
      </c>
      <c r="I287" s="74">
        <f>I283+I284+I285+I286</f>
        <v>125.04</v>
      </c>
      <c r="J287">
        <v>5</v>
      </c>
    </row>
    <row r="288" spans="1:19" x14ac:dyDescent="0.3">
      <c r="B288" s="2">
        <v>46</v>
      </c>
      <c r="C288" s="3" t="s">
        <v>833</v>
      </c>
      <c r="D288" s="5" t="s">
        <v>29</v>
      </c>
      <c r="G288" s="30">
        <v>4</v>
      </c>
      <c r="H288" s="38">
        <f>840.04/G288</f>
        <v>210.01</v>
      </c>
      <c r="I288" s="29">
        <f>G288*H288</f>
        <v>840.04</v>
      </c>
      <c r="J288">
        <v>1</v>
      </c>
    </row>
    <row r="289" spans="1:19" x14ac:dyDescent="0.3">
      <c r="D289" s="15" t="str">
        <f>SUBSTITUTE("Sp.mat: 0.00%",".",IF(VALUE("1.2")=1.2,".",","),2)</f>
        <v>Sp.mat: 0.00%</v>
      </c>
      <c r="F289" s="15" t="str">
        <f>SUBSTITUTE("Sp.man: 0.00%",".",IF(VALUE("1.2")=1.2,".",","),2)</f>
        <v>Sp.man: 0.00%</v>
      </c>
      <c r="G289" s="35" t="str">
        <f>SUBSTITUTE("Sp.uti: 0.00%",".",IF(VALUE("1.2")=1.2,".",","),2)</f>
        <v>Sp.uti: 0.00%</v>
      </c>
      <c r="H289" s="38">
        <f>(1+IF(OR(ISERR(FIND(":",F289)),ISERR(FIND("%",F289))),0,MID(F289,FIND(":",F289)+2,FIND("%",F289)-FIND(":",F289)-2)/100))*0</f>
        <v>0</v>
      </c>
      <c r="I289" s="29">
        <f>G288*H289</f>
        <v>0</v>
      </c>
      <c r="J289">
        <v>2</v>
      </c>
    </row>
    <row r="290" spans="1:19" x14ac:dyDescent="0.3">
      <c r="A290" s="88" t="s">
        <v>834</v>
      </c>
      <c r="B290" s="98"/>
      <c r="C290" s="98"/>
      <c r="D290" s="98"/>
      <c r="E290" s="98"/>
      <c r="F290" s="98"/>
      <c r="G290" s="98"/>
      <c r="H290" s="38">
        <f>(1+IF(OR(ISERR(FIND(":",G289)),ISERR(FIND("%",G289))),0,MID(G289,FIND(":",G289)+2,FIND("%",G289)-FIND(":",G289)-2)/100))*0</f>
        <v>0</v>
      </c>
      <c r="I290" s="29">
        <f>G288*H290</f>
        <v>0</v>
      </c>
      <c r="J290">
        <v>3</v>
      </c>
      <c r="K290" s="4">
        <v>0</v>
      </c>
      <c r="L290" s="4">
        <v>0</v>
      </c>
      <c r="M290" s="4">
        <f>I290-K290-L290</f>
        <v>0</v>
      </c>
    </row>
    <row r="291" spans="1:19" x14ac:dyDescent="0.3">
      <c r="A291" s="98"/>
      <c r="B291" s="98"/>
      <c r="C291" s="98"/>
      <c r="D291" s="98"/>
      <c r="E291" s="98"/>
      <c r="F291" s="98"/>
      <c r="G291" s="98"/>
      <c r="H291" s="38">
        <f>0</f>
        <v>0</v>
      </c>
      <c r="I291" s="29">
        <f>G288*H291</f>
        <v>0</v>
      </c>
      <c r="J291">
        <v>4</v>
      </c>
      <c r="N291" s="4">
        <f>IF(ISERR(SEARCH("TRA* 82",C288)),IF(Q291+R291+S291=0,0,I291*(Q291/(Q291+R291+S291))),I291)</f>
        <v>0</v>
      </c>
      <c r="O291" s="4">
        <f>IF(ISERR(SEARCH("TRA* 82",C288)),IF(Q291+R291+S291=0,0,I291*(R291/(Q291+R291+S291))),0)</f>
        <v>0</v>
      </c>
      <c r="P291" s="4">
        <f>IF(ISERR(SEARCH("TRA* 82",C288)),I291-N291-O291,0)</f>
        <v>0</v>
      </c>
      <c r="Q291" s="4">
        <v>0</v>
      </c>
      <c r="R291" s="4">
        <v>0</v>
      </c>
      <c r="S291" s="4">
        <v>0</v>
      </c>
    </row>
    <row r="292" spans="1:19" x14ac:dyDescent="0.3">
      <c r="A292" s="96" t="s">
        <v>27</v>
      </c>
      <c r="B292" s="97"/>
      <c r="C292" s="97"/>
      <c r="D292" s="97"/>
      <c r="E292" s="97"/>
      <c r="F292" s="97"/>
      <c r="G292" s="97"/>
      <c r="H292" s="36">
        <f>H288+H289+H290+H291</f>
        <v>210.01</v>
      </c>
      <c r="I292" s="74">
        <f>I288+I289+I290+I291</f>
        <v>840.04</v>
      </c>
      <c r="J292">
        <v>5</v>
      </c>
    </row>
    <row r="293" spans="1:19" x14ac:dyDescent="0.3">
      <c r="B293" s="2">
        <v>47</v>
      </c>
      <c r="C293" s="3" t="s">
        <v>1044</v>
      </c>
      <c r="D293" s="5" t="s">
        <v>29</v>
      </c>
      <c r="G293" s="30">
        <v>13</v>
      </c>
      <c r="H293" s="38">
        <f>33.91/G293</f>
        <v>2.6084615384615382</v>
      </c>
      <c r="I293" s="29">
        <f>G293*H293</f>
        <v>33.909999999999997</v>
      </c>
      <c r="J293">
        <v>1</v>
      </c>
    </row>
    <row r="294" spans="1:19" x14ac:dyDescent="0.3">
      <c r="D294" s="15" t="str">
        <f>SUBSTITUTE("Sp.mat: 0.00%",".",IF(VALUE("1.2")=1.2,".",","),2)</f>
        <v>Sp.mat: 0.00%</v>
      </c>
      <c r="F294" s="15" t="str">
        <f>SUBSTITUTE("Sp.man: 0.00%",".",IF(VALUE("1.2")=1.2,".",","),2)</f>
        <v>Sp.man: 0.00%</v>
      </c>
      <c r="G294" s="35" t="str">
        <f>SUBSTITUTE("Sp.uti: 0.00%",".",IF(VALUE("1.2")=1.2,".",","),2)</f>
        <v>Sp.uti: 0.00%</v>
      </c>
      <c r="H294" s="38">
        <f>97.86/G293</f>
        <v>7.5276923076923072</v>
      </c>
      <c r="I294" s="29">
        <f>G293*H294</f>
        <v>97.86</v>
      </c>
      <c r="J294">
        <v>2</v>
      </c>
    </row>
    <row r="295" spans="1:19" x14ac:dyDescent="0.3">
      <c r="A295" s="88" t="s">
        <v>1045</v>
      </c>
      <c r="B295" s="98"/>
      <c r="C295" s="98"/>
      <c r="D295" s="98"/>
      <c r="E295" s="98"/>
      <c r="F295" s="98"/>
      <c r="G295" s="98"/>
      <c r="H295" s="38">
        <f>(1+IF(OR(ISERR(FIND(":",G294)),ISERR(FIND("%",G294))),0,MID(G294,FIND(":",G294)+2,FIND("%",G294)-FIND(":",G294)-2)/100))*0</f>
        <v>0</v>
      </c>
      <c r="I295" s="29">
        <f>G293*H295</f>
        <v>0</v>
      </c>
      <c r="J295">
        <v>3</v>
      </c>
      <c r="K295" s="4">
        <v>0</v>
      </c>
      <c r="L295" s="4">
        <v>0</v>
      </c>
      <c r="M295" s="4">
        <f>I295-K295-L295</f>
        <v>0</v>
      </c>
    </row>
    <row r="296" spans="1:19" x14ac:dyDescent="0.3">
      <c r="A296" s="98"/>
      <c r="B296" s="98"/>
      <c r="C296" s="98"/>
      <c r="D296" s="98"/>
      <c r="E296" s="98"/>
      <c r="F296" s="98"/>
      <c r="G296" s="98"/>
      <c r="H296" s="38">
        <f>0</f>
        <v>0</v>
      </c>
      <c r="I296" s="29">
        <f>G293*H296</f>
        <v>0</v>
      </c>
      <c r="J296">
        <v>4</v>
      </c>
      <c r="N296" s="4">
        <f>IF(ISERR(SEARCH("TRA* 82",C293)),IF(Q296+R296+S296=0,0,I296*(Q296/(Q296+R296+S296))),I296)</f>
        <v>0</v>
      </c>
      <c r="O296" s="4">
        <f>IF(ISERR(SEARCH("TRA* 82",C293)),IF(Q296+R296+S296=0,0,I296*(R296/(Q296+R296+S296))),0)</f>
        <v>0</v>
      </c>
      <c r="P296" s="4">
        <f>IF(ISERR(SEARCH("TRA* 82",C293)),I296-N296-O296,0)</f>
        <v>0</v>
      </c>
      <c r="Q296" s="4">
        <v>0</v>
      </c>
      <c r="R296" s="4">
        <v>0</v>
      </c>
      <c r="S296" s="4">
        <v>0</v>
      </c>
    </row>
    <row r="297" spans="1:19" x14ac:dyDescent="0.3">
      <c r="A297" s="96" t="s">
        <v>27</v>
      </c>
      <c r="B297" s="97"/>
      <c r="C297" s="97"/>
      <c r="D297" s="97"/>
      <c r="E297" s="97"/>
      <c r="F297" s="97"/>
      <c r="G297" s="97"/>
      <c r="H297" s="36">
        <f>H293+H294+H295+H296</f>
        <v>10.136153846153846</v>
      </c>
      <c r="I297" s="74">
        <f>I293+I294+I295+I296</f>
        <v>131.76999999999998</v>
      </c>
      <c r="J297">
        <v>5</v>
      </c>
    </row>
    <row r="298" spans="1:19" x14ac:dyDescent="0.3">
      <c r="B298" s="2">
        <v>48</v>
      </c>
      <c r="C298" s="3" t="s">
        <v>1046</v>
      </c>
      <c r="D298" s="5" t="s">
        <v>29</v>
      </c>
      <c r="G298" s="30">
        <v>3</v>
      </c>
      <c r="H298" s="38">
        <f>86.25/G298</f>
        <v>28.75</v>
      </c>
      <c r="I298" s="29">
        <f>G298*H298</f>
        <v>86.25</v>
      </c>
      <c r="J298">
        <v>1</v>
      </c>
    </row>
    <row r="299" spans="1:19" x14ac:dyDescent="0.3">
      <c r="D299" s="15" t="str">
        <f>SUBSTITUTE("Sp.mat: 0.00%",".",IF(VALUE("1.2")=1.2,".",","),2)</f>
        <v>Sp.mat: 0.00%</v>
      </c>
      <c r="F299" s="15" t="str">
        <f>SUBSTITUTE("Sp.man: 0.00%",".",IF(VALUE("1.2")=1.2,".",","),2)</f>
        <v>Sp.man: 0.00%</v>
      </c>
      <c r="G299" s="35" t="str">
        <f>SUBSTITUTE("Sp.uti: 0.00%",".",IF(VALUE("1.2")=1.2,".",","),2)</f>
        <v>Sp.uti: 0.00%</v>
      </c>
      <c r="H299" s="38">
        <f>(1+IF(OR(ISERR(FIND(":",F299)),ISERR(FIND("%",F299))),0,MID(F299,FIND(":",F299)+2,FIND("%",F299)-FIND(":",F299)-2)/100))*0</f>
        <v>0</v>
      </c>
      <c r="I299" s="29">
        <f>G298*H299</f>
        <v>0</v>
      </c>
      <c r="J299">
        <v>2</v>
      </c>
    </row>
    <row r="300" spans="1:19" x14ac:dyDescent="0.3">
      <c r="A300" s="88" t="s">
        <v>1047</v>
      </c>
      <c r="B300" s="98"/>
      <c r="C300" s="98"/>
      <c r="D300" s="98"/>
      <c r="E300" s="98"/>
      <c r="F300" s="98"/>
      <c r="G300" s="98"/>
      <c r="H300" s="38">
        <f>(1+IF(OR(ISERR(FIND(":",G299)),ISERR(FIND("%",G299))),0,MID(G299,FIND(":",G299)+2,FIND("%",G299)-FIND(":",G299)-2)/100))*0</f>
        <v>0</v>
      </c>
      <c r="I300" s="29">
        <f>G298*H300</f>
        <v>0</v>
      </c>
      <c r="J300">
        <v>3</v>
      </c>
      <c r="K300" s="4">
        <v>0</v>
      </c>
      <c r="L300" s="4">
        <v>0</v>
      </c>
      <c r="M300" s="4">
        <f>I300-K300-L300</f>
        <v>0</v>
      </c>
    </row>
    <row r="301" spans="1:19" x14ac:dyDescent="0.3">
      <c r="A301" s="98"/>
      <c r="B301" s="98"/>
      <c r="C301" s="98"/>
      <c r="D301" s="98"/>
      <c r="E301" s="98"/>
      <c r="F301" s="98"/>
      <c r="G301" s="98"/>
      <c r="H301" s="38">
        <f>0</f>
        <v>0</v>
      </c>
      <c r="I301" s="29">
        <f>G298*H301</f>
        <v>0</v>
      </c>
      <c r="J301">
        <v>4</v>
      </c>
      <c r="N301" s="4">
        <f>IF(ISERR(SEARCH("TRA* 82",C298)),IF(Q301+R301+S301=0,0,I301*(Q301/(Q301+R301+S301))),I301)</f>
        <v>0</v>
      </c>
      <c r="O301" s="4">
        <f>IF(ISERR(SEARCH("TRA* 82",C298)),IF(Q301+R301+S301=0,0,I301*(R301/(Q301+R301+S301))),0)</f>
        <v>0</v>
      </c>
      <c r="P301" s="4">
        <f>IF(ISERR(SEARCH("TRA* 82",C298)),I301-N301-O301,0)</f>
        <v>0</v>
      </c>
      <c r="Q301" s="4">
        <v>0</v>
      </c>
      <c r="R301" s="4">
        <v>0</v>
      </c>
      <c r="S301" s="4">
        <v>0</v>
      </c>
    </row>
    <row r="302" spans="1:19" x14ac:dyDescent="0.3">
      <c r="A302" s="96" t="s">
        <v>27</v>
      </c>
      <c r="B302" s="97"/>
      <c r="C302" s="97"/>
      <c r="D302" s="97"/>
      <c r="E302" s="97"/>
      <c r="F302" s="97"/>
      <c r="G302" s="97"/>
      <c r="H302" s="36">
        <f>H298+H299+H300+H301</f>
        <v>28.75</v>
      </c>
      <c r="I302" s="74">
        <f>I298+I299+I300+I301</f>
        <v>86.25</v>
      </c>
      <c r="J302">
        <v>5</v>
      </c>
    </row>
    <row r="303" spans="1:19" x14ac:dyDescent="0.3">
      <c r="B303" s="2">
        <v>49</v>
      </c>
      <c r="C303" s="3" t="s">
        <v>1048</v>
      </c>
      <c r="D303" s="5" t="s">
        <v>29</v>
      </c>
      <c r="G303" s="30">
        <v>10</v>
      </c>
      <c r="H303" s="38">
        <f>343.02/G303</f>
        <v>34.302</v>
      </c>
      <c r="I303" s="29">
        <f>G303*H303</f>
        <v>343.02</v>
      </c>
      <c r="J303">
        <v>1</v>
      </c>
    </row>
    <row r="304" spans="1:19" x14ac:dyDescent="0.3">
      <c r="D304" s="15" t="str">
        <f>SUBSTITUTE("Sp.mat: 0.00%",".",IF(VALUE("1.2")=1.2,".",","),2)</f>
        <v>Sp.mat: 0.00%</v>
      </c>
      <c r="F304" s="15" t="str">
        <f>SUBSTITUTE("Sp.man: 0.00%",".",IF(VALUE("1.2")=1.2,".",","),2)</f>
        <v>Sp.man: 0.00%</v>
      </c>
      <c r="G304" s="35" t="str">
        <f>SUBSTITUTE("Sp.uti: 0.00%",".",IF(VALUE("1.2")=1.2,".",","),2)</f>
        <v>Sp.uti: 0.00%</v>
      </c>
      <c r="H304" s="38">
        <f>(1+IF(OR(ISERR(FIND(":",F304)),ISERR(FIND("%",F304))),0,MID(F304,FIND(":",F304)+2,FIND("%",F304)-FIND(":",F304)-2)/100))*0</f>
        <v>0</v>
      </c>
      <c r="I304" s="29">
        <f>G303*H304</f>
        <v>0</v>
      </c>
      <c r="J304">
        <v>2</v>
      </c>
    </row>
    <row r="305" spans="1:21" x14ac:dyDescent="0.3">
      <c r="A305" s="88" t="s">
        <v>1049</v>
      </c>
      <c r="B305" s="98"/>
      <c r="C305" s="98"/>
      <c r="D305" s="98"/>
      <c r="E305" s="98"/>
      <c r="F305" s="98"/>
      <c r="G305" s="98"/>
      <c r="H305" s="38">
        <f>(1+IF(OR(ISERR(FIND(":",G304)),ISERR(FIND("%",G304))),0,MID(G304,FIND(":",G304)+2,FIND("%",G304)-FIND(":",G304)-2)/100))*0</f>
        <v>0</v>
      </c>
      <c r="I305" s="29">
        <f>G303*H305</f>
        <v>0</v>
      </c>
      <c r="J305">
        <v>3</v>
      </c>
      <c r="K305" s="4">
        <v>0</v>
      </c>
      <c r="L305" s="4">
        <v>0</v>
      </c>
      <c r="M305" s="4">
        <f>I305-K305-L305</f>
        <v>0</v>
      </c>
    </row>
    <row r="306" spans="1:21" x14ac:dyDescent="0.3">
      <c r="A306" s="98"/>
      <c r="B306" s="98"/>
      <c r="C306" s="98"/>
      <c r="D306" s="98"/>
      <c r="E306" s="98"/>
      <c r="F306" s="98"/>
      <c r="G306" s="98"/>
      <c r="H306" s="38">
        <f>0</f>
        <v>0</v>
      </c>
      <c r="I306" s="29">
        <f>G303*H306</f>
        <v>0</v>
      </c>
      <c r="J306">
        <v>4</v>
      </c>
      <c r="N306" s="4">
        <f>IF(ISERR(SEARCH("TRA* 82",C303)),IF(Q306+R306+S306=0,0,I306*(Q306/(Q306+R306+S306))),I306)</f>
        <v>0</v>
      </c>
      <c r="O306" s="4">
        <f>IF(ISERR(SEARCH("TRA* 82",C303)),IF(Q306+R306+S306=0,0,I306*(R306/(Q306+R306+S306))),0)</f>
        <v>0</v>
      </c>
      <c r="P306" s="4">
        <f>IF(ISERR(SEARCH("TRA* 82",C303)),I306-N306-O306,0)</f>
        <v>0</v>
      </c>
      <c r="Q306" s="4">
        <v>0</v>
      </c>
      <c r="R306" s="4">
        <v>0</v>
      </c>
      <c r="S306" s="4">
        <v>0</v>
      </c>
    </row>
    <row r="307" spans="1:21" x14ac:dyDescent="0.3">
      <c r="A307" s="96" t="s">
        <v>27</v>
      </c>
      <c r="B307" s="97"/>
      <c r="C307" s="97"/>
      <c r="D307" s="97"/>
      <c r="E307" s="97"/>
      <c r="F307" s="97"/>
      <c r="G307" s="97"/>
      <c r="H307" s="36">
        <f>H303+H304+H305+H306</f>
        <v>34.302</v>
      </c>
      <c r="I307" s="74">
        <f>I303+I304+I305+I306</f>
        <v>343.02</v>
      </c>
      <c r="J307">
        <v>5</v>
      </c>
    </row>
    <row r="308" spans="1:21" x14ac:dyDescent="0.3">
      <c r="B308" s="2">
        <v>50</v>
      </c>
      <c r="C308" s="3" t="s">
        <v>1050</v>
      </c>
      <c r="D308" s="5" t="s">
        <v>29</v>
      </c>
      <c r="G308" s="30">
        <v>2</v>
      </c>
      <c r="H308" s="38">
        <f>276.1/G308</f>
        <v>138.05000000000001</v>
      </c>
      <c r="I308" s="29">
        <f>G308*H308</f>
        <v>276.10000000000002</v>
      </c>
      <c r="J308">
        <v>1</v>
      </c>
    </row>
    <row r="309" spans="1:21" x14ac:dyDescent="0.3">
      <c r="D309" s="15" t="str">
        <f>SUBSTITUTE("Sp.mat: 0.00%",".",IF(VALUE("1.2")=1.2,".",","),2)</f>
        <v>Sp.mat: 0.00%</v>
      </c>
      <c r="F309" s="15" t="str">
        <f>SUBSTITUTE("Sp.man: 0.00%",".",IF(VALUE("1.2")=1.2,".",","),2)</f>
        <v>Sp.man: 0.00%</v>
      </c>
      <c r="G309" s="35" t="str">
        <f>SUBSTITUTE("Sp.uti: 0.00%",".",IF(VALUE("1.2")=1.2,".",","),2)</f>
        <v>Sp.uti: 0.00%</v>
      </c>
      <c r="H309" s="38">
        <f>46.45/G308</f>
        <v>23.225000000000001</v>
      </c>
      <c r="I309" s="29">
        <f>G308*H309</f>
        <v>46.45</v>
      </c>
      <c r="J309">
        <v>2</v>
      </c>
    </row>
    <row r="310" spans="1:21" x14ac:dyDescent="0.3">
      <c r="A310" s="88" t="s">
        <v>1051</v>
      </c>
      <c r="B310" s="98"/>
      <c r="C310" s="98"/>
      <c r="D310" s="98"/>
      <c r="E310" s="98"/>
      <c r="F310" s="98"/>
      <c r="G310" s="98"/>
      <c r="H310" s="38">
        <f>(1+IF(OR(ISERR(FIND(":",G309)),ISERR(FIND("%",G309))),0,MID(G309,FIND(":",G309)+2,FIND("%",G309)-FIND(":",G309)-2)/100))*0</f>
        <v>0</v>
      </c>
      <c r="I310" s="29">
        <f>G308*H310</f>
        <v>0</v>
      </c>
      <c r="J310">
        <v>3</v>
      </c>
      <c r="K310" s="4">
        <v>0</v>
      </c>
      <c r="L310" s="4">
        <v>0</v>
      </c>
      <c r="M310" s="4">
        <f>I310-K310-L310</f>
        <v>0</v>
      </c>
    </row>
    <row r="311" spans="1:21" x14ac:dyDescent="0.3">
      <c r="A311" s="98"/>
      <c r="B311" s="98"/>
      <c r="C311" s="98"/>
      <c r="D311" s="98"/>
      <c r="E311" s="98"/>
      <c r="F311" s="98"/>
      <c r="G311" s="98"/>
      <c r="H311" s="38">
        <f>0</f>
        <v>0</v>
      </c>
      <c r="I311" s="29">
        <f>G308*H311</f>
        <v>0</v>
      </c>
      <c r="J311">
        <v>4</v>
      </c>
      <c r="N311" s="4">
        <f>IF(ISERR(SEARCH("TRA* 82",C308)),IF(Q311+R311+S311=0,0,I311*(Q311/(Q311+R311+S311))),I311)</f>
        <v>0</v>
      </c>
      <c r="O311" s="4">
        <f>IF(ISERR(SEARCH("TRA* 82",C308)),IF(Q311+R311+S311=0,0,I311*(R311/(Q311+R311+S311))),0)</f>
        <v>0</v>
      </c>
      <c r="P311" s="4">
        <f>IF(ISERR(SEARCH("TRA* 82",C308)),I311-N311-O311,0)</f>
        <v>0</v>
      </c>
      <c r="Q311" s="4">
        <v>0</v>
      </c>
      <c r="R311" s="4">
        <v>0</v>
      </c>
      <c r="S311" s="4">
        <v>0</v>
      </c>
    </row>
    <row r="312" spans="1:21" x14ac:dyDescent="0.3">
      <c r="A312" s="96" t="s">
        <v>27</v>
      </c>
      <c r="B312" s="97"/>
      <c r="C312" s="97"/>
      <c r="D312" s="97"/>
      <c r="E312" s="97"/>
      <c r="F312" s="97"/>
      <c r="G312" s="97"/>
      <c r="H312" s="36">
        <f>H308+H309+H310+H311</f>
        <v>161.27500000000001</v>
      </c>
      <c r="I312" s="74">
        <f>I308+I309+I310+I311</f>
        <v>322.55</v>
      </c>
      <c r="J312">
        <v>5</v>
      </c>
    </row>
    <row r="313" spans="1:21" x14ac:dyDescent="0.3">
      <c r="B313" s="2">
        <v>51</v>
      </c>
      <c r="C313" s="3" t="s">
        <v>842</v>
      </c>
      <c r="D313" s="5" t="s">
        <v>29</v>
      </c>
      <c r="G313" s="30">
        <v>1</v>
      </c>
      <c r="H313" s="38">
        <f>(1+IF(OR(ISERR(FIND(":",D314)),ISERR(FIND("%",D314))),0,MID(D314,FIND(":",D314)+2,FIND("%",D314)-FIND(":",D314)-2)/100))*0</f>
        <v>0</v>
      </c>
      <c r="I313" s="29">
        <f>G313*H313</f>
        <v>0</v>
      </c>
      <c r="J313">
        <v>1</v>
      </c>
    </row>
    <row r="314" spans="1:21" x14ac:dyDescent="0.3">
      <c r="D314" s="15" t="str">
        <f>SUBSTITUTE("Sp.mat: 0.00%",".",IF(VALUE("1.2")=1.2,".",","),2)</f>
        <v>Sp.mat: 0.00%</v>
      </c>
      <c r="F314" s="15" t="str">
        <f>SUBSTITUTE("Sp.man: 0.00%",".",IF(VALUE("1.2")=1.2,".",","),2)</f>
        <v>Sp.man: 0.00%</v>
      </c>
      <c r="G314" s="35" t="str">
        <f>SUBSTITUTE("Sp.uti: 0.00%",".",IF(VALUE("1.2")=1.2,".",","),2)</f>
        <v>Sp.uti: 0.00%</v>
      </c>
      <c r="H314" s="38">
        <f>125.73/G313</f>
        <v>125.73</v>
      </c>
      <c r="I314" s="29">
        <f>G313*H314</f>
        <v>125.73</v>
      </c>
      <c r="J314">
        <v>2</v>
      </c>
    </row>
    <row r="315" spans="1:21" x14ac:dyDescent="0.3">
      <c r="A315" s="88" t="s">
        <v>843</v>
      </c>
      <c r="B315" s="98"/>
      <c r="C315" s="98"/>
      <c r="D315" s="98"/>
      <c r="E315" s="98"/>
      <c r="F315" s="98"/>
      <c r="G315" s="98"/>
      <c r="H315" s="38">
        <v>163.24</v>
      </c>
      <c r="I315" s="29">
        <f>G313*H315</f>
        <v>163.24</v>
      </c>
      <c r="J315">
        <v>3</v>
      </c>
      <c r="K315" s="4">
        <v>273</v>
      </c>
      <c r="L315" s="4">
        <v>0</v>
      </c>
      <c r="M315" s="4">
        <f>I315-K315-L315</f>
        <v>-109.75999999999999</v>
      </c>
    </row>
    <row r="316" spans="1:21" x14ac:dyDescent="0.3">
      <c r="A316" s="98"/>
      <c r="B316" s="98"/>
      <c r="C316" s="98"/>
      <c r="D316" s="98"/>
      <c r="E316" s="98"/>
      <c r="F316" s="98"/>
      <c r="G316" s="98"/>
      <c r="H316" s="38">
        <f>0</f>
        <v>0</v>
      </c>
      <c r="I316" s="29">
        <f>G313*H316</f>
        <v>0</v>
      </c>
      <c r="J316">
        <v>4</v>
      </c>
      <c r="N316" s="4">
        <f>IF(ISERR(SEARCH("TRA* 82",C313)),IF(Q316+R316+S316=0,0,I316*(Q316/(Q316+R316+S316))),I316)</f>
        <v>0</v>
      </c>
      <c r="O316" s="4">
        <f>IF(ISERR(SEARCH("TRA* 82",C313)),IF(Q316+R316+S316=0,0,I316*(R316/(Q316+R316+S316))),0)</f>
        <v>0</v>
      </c>
      <c r="P316" s="4">
        <f>IF(ISERR(SEARCH("TRA* 82",C313)),I316-N316-O316,0)</f>
        <v>0</v>
      </c>
      <c r="Q316" s="4">
        <v>0</v>
      </c>
      <c r="R316" s="4">
        <v>0</v>
      </c>
      <c r="S316" s="4">
        <v>0</v>
      </c>
    </row>
    <row r="317" spans="1:21" x14ac:dyDescent="0.3">
      <c r="A317" s="96" t="s">
        <v>27</v>
      </c>
      <c r="B317" s="97"/>
      <c r="C317" s="97"/>
      <c r="D317" s="97"/>
      <c r="E317" s="97"/>
      <c r="F317" s="97"/>
      <c r="G317" s="97"/>
      <c r="H317" s="36">
        <f>H313+H314+H315+H316</f>
        <v>288.97000000000003</v>
      </c>
      <c r="I317" s="74">
        <f>I313+I314+I315+I316</f>
        <v>288.97000000000003</v>
      </c>
      <c r="J317">
        <v>5</v>
      </c>
    </row>
    <row r="318" spans="1:21" x14ac:dyDescent="0.3">
      <c r="B318" s="16"/>
      <c r="E318" s="4">
        <f>SUMIF(J12:J317,"1",I12:I317)</f>
        <v>280778.38999999996</v>
      </c>
      <c r="F318" s="4">
        <f>SUMIF(J12:J317,"2",I12:I317)</f>
        <v>96149.01</v>
      </c>
      <c r="G318" s="29">
        <f>SUMIF(J12:J317,"3",I12:I317)</f>
        <v>959.77999999999986</v>
      </c>
      <c r="H318" s="29">
        <f>SUMIF(J12:J317,"4",I12:I317)</f>
        <v>0</v>
      </c>
      <c r="I318" s="29">
        <f>SUMIF(J12:J317,"5",I12:I317)</f>
        <v>377887.18</v>
      </c>
      <c r="K318" s="4">
        <f>SUMIF(J12:J317,"3",K12:K317)</f>
        <v>273</v>
      </c>
      <c r="L318" s="4">
        <f>SUMIF(J12:J317,"3",L12:L317)</f>
        <v>1387.4</v>
      </c>
      <c r="M318" s="4">
        <f>SUMIF(J12:J317,"3",M12:M317)</f>
        <v>-700.62</v>
      </c>
      <c r="N318" s="4">
        <f>SUMIF(J12:J317,"4",N12:N317)</f>
        <v>0</v>
      </c>
      <c r="O318" s="4">
        <f>SUMIF(J12:J317,"4",O12:O317)</f>
        <v>0</v>
      </c>
      <c r="P318" s="4">
        <f>SUMIF(J12:J317,"4",P12:P317)</f>
        <v>0</v>
      </c>
      <c r="Q318" s="4">
        <f>SUMIF(J12:J317,"4",Q12:Q317)</f>
        <v>0</v>
      </c>
      <c r="R318" s="4">
        <f>SUMIF(J12:J317,"4",R12:R317)</f>
        <v>0</v>
      </c>
      <c r="S318" s="4">
        <f>SUMIF(J12:J317,"4",S12:S317)</f>
        <v>0</v>
      </c>
      <c r="U318" s="75"/>
    </row>
    <row r="319" spans="1:21" x14ac:dyDescent="0.3">
      <c r="B319" s="107" t="s">
        <v>1554</v>
      </c>
      <c r="C319" s="108"/>
      <c r="D319" s="26"/>
      <c r="E319" s="26"/>
      <c r="F319" s="26"/>
      <c r="G319" s="109"/>
      <c r="H319" s="36"/>
      <c r="I319" s="110">
        <f>I318</f>
        <v>377887.18</v>
      </c>
    </row>
  </sheetData>
  <mergeCells count="158">
    <mergeCell ref="A16:G16"/>
    <mergeCell ref="A17:I17"/>
    <mergeCell ref="A18:I18"/>
    <mergeCell ref="A19:I19"/>
    <mergeCell ref="A22:G23"/>
    <mergeCell ref="A24:G24"/>
    <mergeCell ref="A1:D1"/>
    <mergeCell ref="A2:I2"/>
    <mergeCell ref="A3:I3"/>
    <mergeCell ref="A4:I4"/>
    <mergeCell ref="A5:H5"/>
    <mergeCell ref="A14:G15"/>
    <mergeCell ref="A34:I34"/>
    <mergeCell ref="A35:I35"/>
    <mergeCell ref="A38:G39"/>
    <mergeCell ref="A40:G40"/>
    <mergeCell ref="A41:I41"/>
    <mergeCell ref="A42:I42"/>
    <mergeCell ref="A25:I25"/>
    <mergeCell ref="A26:I26"/>
    <mergeCell ref="A27:I27"/>
    <mergeCell ref="A30:G31"/>
    <mergeCell ref="A32:G32"/>
    <mergeCell ref="A33:I33"/>
    <mergeCell ref="A54:G55"/>
    <mergeCell ref="A56:G56"/>
    <mergeCell ref="A57:I57"/>
    <mergeCell ref="A58:I58"/>
    <mergeCell ref="A59:I59"/>
    <mergeCell ref="A62:G63"/>
    <mergeCell ref="A43:I43"/>
    <mergeCell ref="A46:G47"/>
    <mergeCell ref="A48:G48"/>
    <mergeCell ref="A49:I49"/>
    <mergeCell ref="A50:I50"/>
    <mergeCell ref="A51:I51"/>
    <mergeCell ref="A73:I73"/>
    <mergeCell ref="A74:I74"/>
    <mergeCell ref="A75:I75"/>
    <mergeCell ref="A78:G79"/>
    <mergeCell ref="A80:G80"/>
    <mergeCell ref="A81:I81"/>
    <mergeCell ref="A64:G64"/>
    <mergeCell ref="A65:I65"/>
    <mergeCell ref="A66:I66"/>
    <mergeCell ref="A67:I67"/>
    <mergeCell ref="A70:G71"/>
    <mergeCell ref="A72:G72"/>
    <mergeCell ref="A91:I91"/>
    <mergeCell ref="A94:G95"/>
    <mergeCell ref="A96:G96"/>
    <mergeCell ref="A97:I97"/>
    <mergeCell ref="A98:I98"/>
    <mergeCell ref="A99:I99"/>
    <mergeCell ref="A82:I82"/>
    <mergeCell ref="A83:I83"/>
    <mergeCell ref="A86:G87"/>
    <mergeCell ref="A88:G88"/>
    <mergeCell ref="A89:I89"/>
    <mergeCell ref="A90:I90"/>
    <mergeCell ref="A112:G112"/>
    <mergeCell ref="A113:I113"/>
    <mergeCell ref="A114:I114"/>
    <mergeCell ref="A115:I115"/>
    <mergeCell ref="A118:G119"/>
    <mergeCell ref="A120:G120"/>
    <mergeCell ref="A102:G103"/>
    <mergeCell ref="A104:G104"/>
    <mergeCell ref="A105:I105"/>
    <mergeCell ref="A106:I106"/>
    <mergeCell ref="A107:I107"/>
    <mergeCell ref="A110:G111"/>
    <mergeCell ref="A130:I130"/>
    <mergeCell ref="A131:I131"/>
    <mergeCell ref="A134:G135"/>
    <mergeCell ref="A136:G136"/>
    <mergeCell ref="A137:I137"/>
    <mergeCell ref="A138:I138"/>
    <mergeCell ref="A121:I121"/>
    <mergeCell ref="A122:I122"/>
    <mergeCell ref="A123:I123"/>
    <mergeCell ref="A126:G127"/>
    <mergeCell ref="A128:G128"/>
    <mergeCell ref="A129:I129"/>
    <mergeCell ref="A150:G151"/>
    <mergeCell ref="A152:G152"/>
    <mergeCell ref="A155:G156"/>
    <mergeCell ref="A157:G157"/>
    <mergeCell ref="A160:G161"/>
    <mergeCell ref="A162:G162"/>
    <mergeCell ref="A139:I139"/>
    <mergeCell ref="A142:G143"/>
    <mergeCell ref="A144:G144"/>
    <mergeCell ref="A145:I145"/>
    <mergeCell ref="A146:I146"/>
    <mergeCell ref="A147:I147"/>
    <mergeCell ref="A180:G181"/>
    <mergeCell ref="A182:G182"/>
    <mergeCell ref="A185:G186"/>
    <mergeCell ref="A187:G187"/>
    <mergeCell ref="A190:G191"/>
    <mergeCell ref="A192:G192"/>
    <mergeCell ref="A165:G166"/>
    <mergeCell ref="A167:G167"/>
    <mergeCell ref="A170:G171"/>
    <mergeCell ref="A172:G172"/>
    <mergeCell ref="A175:G176"/>
    <mergeCell ref="A177:G177"/>
    <mergeCell ref="A210:G211"/>
    <mergeCell ref="A212:G212"/>
    <mergeCell ref="A215:G216"/>
    <mergeCell ref="A217:G217"/>
    <mergeCell ref="A220:G221"/>
    <mergeCell ref="A222:G222"/>
    <mergeCell ref="A195:G196"/>
    <mergeCell ref="A197:G197"/>
    <mergeCell ref="A200:G201"/>
    <mergeCell ref="A202:G202"/>
    <mergeCell ref="A205:G206"/>
    <mergeCell ref="A207:G207"/>
    <mergeCell ref="A240:G241"/>
    <mergeCell ref="A242:G242"/>
    <mergeCell ref="A245:G246"/>
    <mergeCell ref="A247:G247"/>
    <mergeCell ref="A250:G251"/>
    <mergeCell ref="A252:G252"/>
    <mergeCell ref="A225:G226"/>
    <mergeCell ref="A227:G227"/>
    <mergeCell ref="A230:G231"/>
    <mergeCell ref="A232:G232"/>
    <mergeCell ref="A235:G236"/>
    <mergeCell ref="A237:G237"/>
    <mergeCell ref="A270:G271"/>
    <mergeCell ref="A272:G272"/>
    <mergeCell ref="A275:G276"/>
    <mergeCell ref="A277:G277"/>
    <mergeCell ref="A280:G281"/>
    <mergeCell ref="A282:G282"/>
    <mergeCell ref="A255:G256"/>
    <mergeCell ref="A257:G257"/>
    <mergeCell ref="A260:G261"/>
    <mergeCell ref="A262:G262"/>
    <mergeCell ref="A265:G266"/>
    <mergeCell ref="A267:G267"/>
    <mergeCell ref="A315:G316"/>
    <mergeCell ref="A317:G317"/>
    <mergeCell ref="A300:G301"/>
    <mergeCell ref="A302:G302"/>
    <mergeCell ref="A305:G306"/>
    <mergeCell ref="A307:G307"/>
    <mergeCell ref="A310:G311"/>
    <mergeCell ref="A312:G312"/>
    <mergeCell ref="A285:G286"/>
    <mergeCell ref="A287:G287"/>
    <mergeCell ref="A290:G291"/>
    <mergeCell ref="A292:G292"/>
    <mergeCell ref="A295:G296"/>
    <mergeCell ref="A297:G297"/>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7" manualBreakCount="7">
    <brk id="43" max="16383" man="1"/>
    <brk id="83" max="16383" man="1"/>
    <brk id="123" max="16383" man="1"/>
    <brk id="167" max="16383" man="1"/>
    <brk id="212" max="16383" man="1"/>
    <brk id="257" max="16383" man="1"/>
    <brk id="302"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21BA-A860-40EB-8E9A-1E66E5AAA52D}">
  <sheetPr>
    <tabColor rgb="FF92D050"/>
  </sheetPr>
  <dimension ref="A1:T39"/>
  <sheetViews>
    <sheetView topLeftCell="A26" workbookViewId="0">
      <selection activeCell="G46" sqref="G46"/>
    </sheetView>
  </sheetViews>
  <sheetFormatPr defaultRowHeight="14.4" outlineLevelCol="1" x14ac:dyDescent="0.3"/>
  <cols>
    <col min="1" max="1" width="0.33203125" style="1" customWidth="1"/>
    <col min="2" max="2" width="5.77734375" style="2" customWidth="1"/>
    <col min="3" max="3" width="25.33203125" style="3" customWidth="1"/>
    <col min="4" max="4" width="14.5546875" style="5" customWidth="1"/>
    <col min="5" max="5" width="14.5546875" customWidth="1"/>
    <col min="7" max="7" width="15.77734375" style="30" customWidth="1"/>
    <col min="8" max="8" width="14.5546875" style="38" customWidth="1"/>
    <col min="9" max="9" width="14.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891</v>
      </c>
      <c r="B4" s="98"/>
      <c r="C4" s="98"/>
      <c r="D4" s="98"/>
      <c r="E4" s="98"/>
      <c r="F4" s="98"/>
      <c r="G4" s="98"/>
      <c r="H4" s="98"/>
      <c r="I4" s="98"/>
    </row>
    <row r="5" spans="1:19" ht="15" thickBot="1" x14ac:dyDescent="0.35">
      <c r="A5" s="82" t="s">
        <v>1052</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860</v>
      </c>
      <c r="D12" s="13" t="s">
        <v>29</v>
      </c>
      <c r="E12" s="14"/>
      <c r="F12" s="14"/>
      <c r="G12" s="41">
        <v>30</v>
      </c>
      <c r="H12" s="71">
        <f>2751.29/G12</f>
        <v>91.709666666666664</v>
      </c>
      <c r="I12" s="32">
        <f>G12*H12</f>
        <v>2751.29</v>
      </c>
      <c r="J12">
        <v>1</v>
      </c>
    </row>
    <row r="13" spans="1:19" x14ac:dyDescent="0.3">
      <c r="D13" s="15" t="str">
        <f>SUBSTITUTE("Sp.mat: 0.00%",".",IF(VALUE("1.2")=1.2,".",","),2)</f>
        <v>Sp.mat: 0.00%</v>
      </c>
      <c r="F13" s="15" t="str">
        <f>SUBSTITUTE("Sp.man: 0.00%",".",IF(VALUE("1.2")=1.2,".",","),2)</f>
        <v>Sp.man: 0.00%</v>
      </c>
      <c r="G13" s="35" t="str">
        <f>SUBSTITUTE("Sp.uti: 0.00%",".",IF(VALUE("1.2")=1.2,".",","),2)</f>
        <v>Sp.uti: 0.00%</v>
      </c>
      <c r="H13" s="38">
        <f>3567.78/G12</f>
        <v>118.926</v>
      </c>
      <c r="I13" s="29">
        <f>G12*H13</f>
        <v>3567.78</v>
      </c>
      <c r="J13">
        <v>2</v>
      </c>
    </row>
    <row r="14" spans="1:19" x14ac:dyDescent="0.3">
      <c r="A14" s="88" t="s">
        <v>861</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110</v>
      </c>
      <c r="B16" s="101"/>
      <c r="C16" s="101"/>
      <c r="D16" s="101"/>
      <c r="E16" s="101"/>
      <c r="F16" s="101"/>
      <c r="G16" s="101"/>
      <c r="H16" s="33">
        <f>H12+H13+H14+H15</f>
        <v>210.63566666666668</v>
      </c>
      <c r="I16" s="37">
        <f>I12+I13+I14+I15</f>
        <v>6319.07</v>
      </c>
      <c r="J16">
        <v>5</v>
      </c>
    </row>
    <row r="17" spans="1:10" x14ac:dyDescent="0.3">
      <c r="A17" s="102" t="s">
        <v>862</v>
      </c>
      <c r="B17" s="102"/>
      <c r="C17" s="102"/>
      <c r="D17" s="102"/>
      <c r="E17" s="102"/>
      <c r="F17" s="102"/>
      <c r="G17" s="102"/>
      <c r="H17" s="102"/>
      <c r="I17" s="102"/>
    </row>
    <row r="18" spans="1:10" x14ac:dyDescent="0.3">
      <c r="A18" s="98" t="s">
        <v>863</v>
      </c>
      <c r="B18" s="98"/>
      <c r="C18" s="98"/>
      <c r="D18" s="98"/>
      <c r="E18" s="98"/>
      <c r="F18" s="98"/>
      <c r="G18" s="98"/>
      <c r="H18" s="98"/>
      <c r="I18" s="98"/>
    </row>
    <row r="19" spans="1:10" x14ac:dyDescent="0.3">
      <c r="A19" s="98" t="s">
        <v>1053</v>
      </c>
      <c r="B19" s="98"/>
      <c r="C19" s="98"/>
      <c r="D19" s="98"/>
      <c r="E19" s="98"/>
      <c r="F19" s="98"/>
      <c r="G19" s="98"/>
      <c r="H19" s="98"/>
      <c r="I19" s="98"/>
    </row>
    <row r="20" spans="1:10" x14ac:dyDescent="0.3">
      <c r="A20" s="98" t="s">
        <v>1054</v>
      </c>
      <c r="B20" s="98"/>
      <c r="C20" s="98"/>
      <c r="D20" s="98"/>
      <c r="E20" s="98"/>
      <c r="F20" s="98"/>
      <c r="G20" s="98"/>
      <c r="H20" s="98"/>
      <c r="I20" s="98"/>
    </row>
    <row r="21" spans="1:10" x14ac:dyDescent="0.3">
      <c r="A21" s="98" t="s">
        <v>866</v>
      </c>
      <c r="B21" s="98"/>
      <c r="C21" s="98"/>
      <c r="D21" s="98"/>
      <c r="E21" s="98"/>
      <c r="F21" s="98"/>
      <c r="G21" s="98"/>
      <c r="H21" s="98"/>
      <c r="I21" s="98"/>
    </row>
    <row r="22" spans="1:10" x14ac:dyDescent="0.3">
      <c r="A22" s="98" t="s">
        <v>1055</v>
      </c>
      <c r="B22" s="98"/>
      <c r="C22" s="98"/>
      <c r="D22" s="98"/>
      <c r="E22" s="98"/>
      <c r="F22" s="98"/>
      <c r="G22" s="98"/>
      <c r="H22" s="98"/>
      <c r="I22" s="98"/>
    </row>
    <row r="23" spans="1:10" x14ac:dyDescent="0.3">
      <c r="A23" s="98" t="s">
        <v>1056</v>
      </c>
      <c r="B23" s="98"/>
      <c r="C23" s="98"/>
      <c r="D23" s="98"/>
      <c r="E23" s="98"/>
      <c r="F23" s="98"/>
      <c r="G23" s="98"/>
      <c r="H23" s="98"/>
      <c r="I23" s="98"/>
    </row>
    <row r="24" spans="1:10" x14ac:dyDescent="0.3">
      <c r="A24" s="98" t="s">
        <v>1057</v>
      </c>
      <c r="B24" s="98"/>
      <c r="C24" s="98"/>
      <c r="D24" s="98"/>
      <c r="E24" s="98"/>
      <c r="F24" s="98"/>
      <c r="G24" s="98"/>
      <c r="H24" s="98"/>
      <c r="I24" s="98"/>
    </row>
    <row r="25" spans="1:10" x14ac:dyDescent="0.3">
      <c r="A25" s="98" t="s">
        <v>1058</v>
      </c>
      <c r="B25" s="98"/>
      <c r="C25" s="98"/>
      <c r="D25" s="98"/>
      <c r="E25" s="98"/>
      <c r="F25" s="98"/>
      <c r="G25" s="98"/>
      <c r="H25" s="98"/>
      <c r="I25" s="98"/>
    </row>
    <row r="26" spans="1:10" x14ac:dyDescent="0.3">
      <c r="A26" s="98" t="s">
        <v>1059</v>
      </c>
      <c r="B26" s="98"/>
      <c r="C26" s="98"/>
      <c r="D26" s="98"/>
      <c r="E26" s="98"/>
      <c r="F26" s="98"/>
      <c r="G26" s="98"/>
      <c r="H26" s="98"/>
      <c r="I26" s="98"/>
    </row>
    <row r="27" spans="1:10" x14ac:dyDescent="0.3">
      <c r="A27" s="98" t="s">
        <v>872</v>
      </c>
      <c r="B27" s="98"/>
      <c r="C27" s="98"/>
      <c r="D27" s="98"/>
      <c r="E27" s="98"/>
      <c r="F27" s="98"/>
      <c r="G27" s="98"/>
      <c r="H27" s="98"/>
      <c r="I27" s="98"/>
    </row>
    <row r="28" spans="1:10" x14ac:dyDescent="0.3">
      <c r="A28" s="98" t="s">
        <v>875</v>
      </c>
      <c r="B28" s="98"/>
      <c r="C28" s="98"/>
      <c r="D28" s="98"/>
      <c r="E28" s="98"/>
      <c r="F28" s="98"/>
      <c r="G28" s="98"/>
      <c r="H28" s="98"/>
      <c r="I28" s="98"/>
    </row>
    <row r="29" spans="1:10" x14ac:dyDescent="0.3">
      <c r="A29" s="98" t="s">
        <v>1060</v>
      </c>
      <c r="B29" s="98"/>
      <c r="C29" s="98"/>
      <c r="D29" s="98"/>
      <c r="E29" s="98"/>
      <c r="F29" s="98"/>
      <c r="G29" s="98"/>
      <c r="H29" s="98"/>
      <c r="I29" s="98"/>
    </row>
    <row r="30" spans="1:10" x14ac:dyDescent="0.3">
      <c r="A30" s="98" t="s">
        <v>1061</v>
      </c>
      <c r="B30" s="98"/>
      <c r="C30" s="98"/>
      <c r="D30" s="98"/>
      <c r="E30" s="98"/>
      <c r="F30" s="98"/>
      <c r="G30" s="98"/>
      <c r="H30" s="98"/>
      <c r="I30" s="98"/>
    </row>
    <row r="31" spans="1:10" x14ac:dyDescent="0.3">
      <c r="A31" s="97" t="s">
        <v>1062</v>
      </c>
      <c r="B31" s="97"/>
      <c r="C31" s="97"/>
      <c r="D31" s="97"/>
      <c r="E31" s="97"/>
      <c r="F31" s="97"/>
      <c r="G31" s="97"/>
      <c r="H31" s="97"/>
      <c r="I31" s="97"/>
    </row>
    <row r="32" spans="1:10" x14ac:dyDescent="0.3">
      <c r="B32" s="2">
        <v>2</v>
      </c>
      <c r="C32" s="3" t="s">
        <v>877</v>
      </c>
      <c r="D32" s="5" t="s">
        <v>29</v>
      </c>
      <c r="G32" s="30">
        <v>1</v>
      </c>
      <c r="H32" s="38">
        <v>27.87</v>
      </c>
      <c r="I32" s="29">
        <f>G32*H32</f>
        <v>27.87</v>
      </c>
      <c r="J32">
        <v>1</v>
      </c>
    </row>
    <row r="33" spans="1:19" x14ac:dyDescent="0.3">
      <c r="D33" s="15" t="str">
        <f>SUBSTITUTE("Sp.mat: 0.00%",".",IF(VALUE("1.2")=1.2,".",","),2)</f>
        <v>Sp.mat: 0.00%</v>
      </c>
      <c r="F33" s="15" t="str">
        <f>SUBSTITUTE("Sp.man: 0.00%",".",IF(VALUE("1.2")=1.2,".",","),2)</f>
        <v>Sp.man: 0.00%</v>
      </c>
      <c r="G33" s="35" t="str">
        <f>SUBSTITUTE("Sp.uti: 0.00%",".",IF(VALUE("1.2")=1.2,".",","),2)</f>
        <v>Sp.uti: 0.00%</v>
      </c>
      <c r="H33" s="38">
        <v>144.54</v>
      </c>
      <c r="I33" s="29">
        <f>G32*H33</f>
        <v>144.54</v>
      </c>
      <c r="J33">
        <v>2</v>
      </c>
    </row>
    <row r="34" spans="1:19" x14ac:dyDescent="0.3">
      <c r="A34" s="88" t="s">
        <v>1063</v>
      </c>
      <c r="B34" s="98"/>
      <c r="C34" s="98"/>
      <c r="D34" s="98"/>
      <c r="E34" s="98"/>
      <c r="F34" s="98"/>
      <c r="G34" s="98"/>
      <c r="H34" s="38">
        <v>20.02</v>
      </c>
      <c r="I34" s="29">
        <f>G32*H34</f>
        <v>20.02</v>
      </c>
      <c r="J34">
        <v>3</v>
      </c>
      <c r="K34" s="4">
        <v>37.5</v>
      </c>
      <c r="L34" s="4">
        <v>0</v>
      </c>
      <c r="M34" s="4">
        <f>I34-K34-L34</f>
        <v>-17.48</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100" t="s">
        <v>879</v>
      </c>
      <c r="B36" s="101"/>
      <c r="C36" s="101"/>
      <c r="D36" s="101"/>
      <c r="E36" s="101"/>
      <c r="F36" s="101"/>
      <c r="G36" s="101"/>
      <c r="H36" s="33">
        <f>H32+H33+H34+H35</f>
        <v>192.43</v>
      </c>
      <c r="I36" s="37">
        <f>I32+I33+I34+I35</f>
        <v>192.43</v>
      </c>
      <c r="J36">
        <v>5</v>
      </c>
    </row>
    <row r="37" spans="1:19" x14ac:dyDescent="0.3">
      <c r="A37" s="99" t="s">
        <v>1064</v>
      </c>
      <c r="B37" s="99"/>
      <c r="C37" s="99"/>
      <c r="D37" s="99"/>
      <c r="E37" s="99"/>
      <c r="F37" s="99"/>
      <c r="G37" s="99"/>
      <c r="H37" s="99"/>
      <c r="I37" s="99"/>
    </row>
    <row r="38" spans="1:19" x14ac:dyDescent="0.3">
      <c r="B38" s="16"/>
      <c r="E38" s="4">
        <f>SUMIF(J12:J36,"1",I12:I36)</f>
        <v>2779.16</v>
      </c>
      <c r="F38" s="4">
        <f>SUMIF(J12:J36,"2",I12:I36)</f>
        <v>3712.32</v>
      </c>
      <c r="G38" s="29">
        <f>SUMIF(J12:J36,"3",I12:I36)</f>
        <v>20.02</v>
      </c>
      <c r="H38" s="29">
        <f>SUMIF(J12:J36,"4",I12:I36)</f>
        <v>0</v>
      </c>
      <c r="I38" s="29">
        <f>SUMIF(J12:J36,"5",I12:I36)</f>
        <v>6511.5</v>
      </c>
      <c r="K38" s="4">
        <f>SUMIF(J12:J36,"3",K12:K36)</f>
        <v>37.5</v>
      </c>
      <c r="L38" s="4">
        <f>SUMIF(J12:J36,"3",L12:L36)</f>
        <v>0</v>
      </c>
      <c r="M38" s="4">
        <f>SUMIF(J12:J36,"3",M12:M36)</f>
        <v>-17.48</v>
      </c>
      <c r="N38" s="4">
        <f>SUMIF(J12:J36,"4",N12:N36)</f>
        <v>0</v>
      </c>
      <c r="O38" s="4">
        <f>SUMIF(J12:J36,"4",O12:O36)</f>
        <v>0</v>
      </c>
      <c r="P38" s="4">
        <f>SUMIF(J12:J36,"4",P12:P36)</f>
        <v>0</v>
      </c>
      <c r="Q38" s="4">
        <f>SUMIF(J12:J36,"4",Q12:Q36)</f>
        <v>0</v>
      </c>
      <c r="R38" s="4">
        <f>SUMIF(J12:J36,"4",R12:R36)</f>
        <v>0</v>
      </c>
      <c r="S38" s="4">
        <f>SUMIF(J12:J36,"4",S12:S36)</f>
        <v>0</v>
      </c>
    </row>
    <row r="39" spans="1:19" x14ac:dyDescent="0.3">
      <c r="B39" s="107" t="s">
        <v>1556</v>
      </c>
      <c r="C39" s="108"/>
      <c r="D39" s="26"/>
      <c r="E39" s="26"/>
      <c r="F39" s="26"/>
      <c r="G39" s="109"/>
      <c r="H39" s="36"/>
      <c r="I39" s="110">
        <f>I38</f>
        <v>6511.5</v>
      </c>
    </row>
  </sheetData>
  <mergeCells count="25">
    <mergeCell ref="A14:G15"/>
    <mergeCell ref="A1:D1"/>
    <mergeCell ref="A2:I2"/>
    <mergeCell ref="A3:I3"/>
    <mergeCell ref="A4:I4"/>
    <mergeCell ref="A5:H5"/>
    <mergeCell ref="A27:I27"/>
    <mergeCell ref="A16:G16"/>
    <mergeCell ref="A17:I17"/>
    <mergeCell ref="A18:I18"/>
    <mergeCell ref="A19:I19"/>
    <mergeCell ref="A20:I20"/>
    <mergeCell ref="A21:I21"/>
    <mergeCell ref="A22:I22"/>
    <mergeCell ref="A23:I23"/>
    <mergeCell ref="A24:I24"/>
    <mergeCell ref="A25:I25"/>
    <mergeCell ref="A26:I26"/>
    <mergeCell ref="A37:I37"/>
    <mergeCell ref="A28:I28"/>
    <mergeCell ref="A29:I29"/>
    <mergeCell ref="A30:I30"/>
    <mergeCell ref="A31:I31"/>
    <mergeCell ref="A34:G35"/>
    <mergeCell ref="A36:G36"/>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97E49-36FD-499A-9688-2831284D722D}">
  <sheetPr>
    <tabColor rgb="FF92D050"/>
  </sheetPr>
  <dimension ref="A1:T293"/>
  <sheetViews>
    <sheetView topLeftCell="A283" workbookViewId="0">
      <selection activeCell="G298" sqref="G298"/>
    </sheetView>
  </sheetViews>
  <sheetFormatPr defaultRowHeight="14.4" outlineLevelCol="1" x14ac:dyDescent="0.3"/>
  <cols>
    <col min="1" max="1" width="0.33203125" style="1" customWidth="1"/>
    <col min="2" max="2" width="5.77734375" style="2" customWidth="1"/>
    <col min="3" max="3" width="25.33203125" style="3" customWidth="1"/>
    <col min="4" max="4" width="10.44140625" style="5" customWidth="1"/>
    <col min="5" max="6" width="10.44140625" customWidth="1"/>
    <col min="7" max="7" width="10.44140625" style="30" customWidth="1"/>
    <col min="8" max="8" width="10.44140625" style="38" customWidth="1"/>
    <col min="9" max="9" width="10.4414062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1065</v>
      </c>
      <c r="B4" s="98"/>
      <c r="C4" s="98"/>
      <c r="D4" s="98"/>
      <c r="E4" s="98"/>
      <c r="F4" s="98"/>
      <c r="G4" s="98"/>
      <c r="H4" s="98"/>
      <c r="I4" s="98"/>
    </row>
    <row r="5" spans="1:19" ht="15" thickBot="1" x14ac:dyDescent="0.35">
      <c r="A5" s="82" t="s">
        <v>1066</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1067</v>
      </c>
      <c r="D12" s="13" t="s">
        <v>29</v>
      </c>
      <c r="E12" s="14"/>
      <c r="F12" s="14"/>
      <c r="G12" s="41">
        <v>2</v>
      </c>
      <c r="H12" s="71">
        <f>64.77/G12</f>
        <v>32.384999999999998</v>
      </c>
      <c r="I12" s="32">
        <f>G12*H12</f>
        <v>64.77</v>
      </c>
      <c r="J12">
        <v>1</v>
      </c>
    </row>
    <row r="13" spans="1:19" x14ac:dyDescent="0.3">
      <c r="D13" s="15" t="str">
        <f>SUBSTITUTE("Sp.mat: 0.00%",".",IF(VALUE("1.2")=1.2,".",","),2)</f>
        <v>Sp.mat: 0.00%</v>
      </c>
      <c r="F13" s="15" t="str">
        <f>SUBSTITUTE("Sp.man: 0.00%",".",IF(VALUE("1.2")=1.2,".",","),2)</f>
        <v>Sp.man: 0.00%</v>
      </c>
      <c r="G13" s="35" t="str">
        <f>SUBSTITUTE("Sp.uti: 0.00%",".",IF(VALUE("1.2")=1.2,".",","),2)</f>
        <v>Sp.uti: 0.00%</v>
      </c>
      <c r="H13" s="38">
        <f>89.7/G12</f>
        <v>44.85</v>
      </c>
      <c r="I13" s="29">
        <f>G12*H13</f>
        <v>89.7</v>
      </c>
      <c r="J13">
        <v>2</v>
      </c>
    </row>
    <row r="14" spans="1:19" x14ac:dyDescent="0.3">
      <c r="A14" s="88" t="s">
        <v>1068</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96" t="s">
        <v>27</v>
      </c>
      <c r="B16" s="97"/>
      <c r="C16" s="97"/>
      <c r="D16" s="97"/>
      <c r="E16" s="97"/>
      <c r="F16" s="97"/>
      <c r="G16" s="97"/>
      <c r="H16" s="36">
        <f>H12+H13+H14+H15</f>
        <v>77.234999999999999</v>
      </c>
      <c r="I16" s="74">
        <f>I12+I13+I14+I15</f>
        <v>154.47</v>
      </c>
      <c r="J16">
        <v>5</v>
      </c>
    </row>
    <row r="17" spans="1:19" x14ac:dyDescent="0.3">
      <c r="B17" s="2">
        <v>2</v>
      </c>
      <c r="C17" s="3" t="s">
        <v>1069</v>
      </c>
      <c r="D17" s="5" t="s">
        <v>29</v>
      </c>
      <c r="G17" s="30">
        <v>4</v>
      </c>
      <c r="H17" s="38">
        <f>70.79/G17</f>
        <v>17.697500000000002</v>
      </c>
      <c r="I17" s="29">
        <f>G17*H17</f>
        <v>70.790000000000006</v>
      </c>
      <c r="J17">
        <v>1</v>
      </c>
    </row>
    <row r="18" spans="1:19" x14ac:dyDescent="0.3">
      <c r="D18" s="15" t="str">
        <f>SUBSTITUTE("Sp.mat: 0.00%",".",IF(VALUE("1.2")=1.2,".",","),2)</f>
        <v>Sp.mat: 0.00%</v>
      </c>
      <c r="F18" s="15" t="str">
        <f>SUBSTITUTE("Sp.man: 0.00%",".",IF(VALUE("1.2")=1.2,".",","),2)</f>
        <v>Sp.man: 0.00%</v>
      </c>
      <c r="G18" s="35" t="str">
        <f>SUBSTITUTE("Sp.uti: 0.00%",".",IF(VALUE("1.2")=1.2,".",","),2)</f>
        <v>Sp.uti: 0.00%</v>
      </c>
      <c r="H18" s="38">
        <f>96.1/G17</f>
        <v>24.024999999999999</v>
      </c>
      <c r="I18" s="29">
        <f>G17*H18</f>
        <v>96.1</v>
      </c>
      <c r="J18">
        <v>2</v>
      </c>
    </row>
    <row r="19" spans="1:19" x14ac:dyDescent="0.3">
      <c r="A19" s="88" t="s">
        <v>1070</v>
      </c>
      <c r="B19" s="98"/>
      <c r="C19" s="98"/>
      <c r="D19" s="98"/>
      <c r="E19" s="98"/>
      <c r="F19" s="98"/>
      <c r="G19" s="98"/>
      <c r="H19" s="38">
        <f>(1+IF(OR(ISERR(FIND(":",G18)),ISERR(FIND("%",G18))),0,MID(G18,FIND(":",G18)+2,FIND("%",G18)-FIND(":",G18)-2)/100))*0</f>
        <v>0</v>
      </c>
      <c r="I19" s="29">
        <f>G17*H19</f>
        <v>0</v>
      </c>
      <c r="J19">
        <v>3</v>
      </c>
      <c r="K19" s="4">
        <v>0</v>
      </c>
      <c r="L19" s="4">
        <v>0</v>
      </c>
      <c r="M19" s="4">
        <f>I19-K19-L19</f>
        <v>0</v>
      </c>
    </row>
    <row r="20" spans="1:19" x14ac:dyDescent="0.3">
      <c r="A20" s="98"/>
      <c r="B20" s="98"/>
      <c r="C20" s="98"/>
      <c r="D20" s="98"/>
      <c r="E20" s="98"/>
      <c r="F20" s="98"/>
      <c r="G20" s="98"/>
      <c r="H20" s="38">
        <f>0</f>
        <v>0</v>
      </c>
      <c r="I20" s="29">
        <f>G17*H20</f>
        <v>0</v>
      </c>
      <c r="J20">
        <v>4</v>
      </c>
      <c r="N20" s="4">
        <f>IF(ISERR(SEARCH("TRA* 82",C17)),IF(Q20+R20+S20=0,0,I20*(Q20/(Q20+R20+S20))),I20)</f>
        <v>0</v>
      </c>
      <c r="O20" s="4">
        <f>IF(ISERR(SEARCH("TRA* 82",C17)),IF(Q20+R20+S20=0,0,I20*(R20/(Q20+R20+S20))),0)</f>
        <v>0</v>
      </c>
      <c r="P20" s="4">
        <f>IF(ISERR(SEARCH("TRA* 82",C17)),I20-N20-O20,0)</f>
        <v>0</v>
      </c>
      <c r="Q20" s="4">
        <v>0</v>
      </c>
      <c r="R20" s="4">
        <v>0</v>
      </c>
      <c r="S20" s="4">
        <v>0</v>
      </c>
    </row>
    <row r="21" spans="1:19" x14ac:dyDescent="0.3">
      <c r="A21" s="96" t="s">
        <v>27</v>
      </c>
      <c r="B21" s="97"/>
      <c r="C21" s="97"/>
      <c r="D21" s="97"/>
      <c r="E21" s="97"/>
      <c r="F21" s="97"/>
      <c r="G21" s="97"/>
      <c r="H21" s="36">
        <f>H17+H18+H19+H20</f>
        <v>41.722499999999997</v>
      </c>
      <c r="I21" s="74">
        <f>I17+I18+I19+I20</f>
        <v>166.89</v>
      </c>
      <c r="J21">
        <v>5</v>
      </c>
    </row>
    <row r="22" spans="1:19" x14ac:dyDescent="0.3">
      <c r="B22" s="2">
        <v>3</v>
      </c>
      <c r="C22" s="3" t="s">
        <v>1071</v>
      </c>
      <c r="D22" s="5" t="s">
        <v>29</v>
      </c>
      <c r="G22" s="30">
        <v>6</v>
      </c>
      <c r="H22" s="38">
        <f>9322.49/G22</f>
        <v>1553.7483333333332</v>
      </c>
      <c r="I22" s="29">
        <f>G22*H22</f>
        <v>9322.49</v>
      </c>
      <c r="J22">
        <v>1</v>
      </c>
    </row>
    <row r="23" spans="1:19" x14ac:dyDescent="0.3">
      <c r="D23" s="15" t="str">
        <f>SUBSTITUTE("Sp.mat: 0.00%",".",IF(VALUE("1.2")=1.2,".",","),2)</f>
        <v>Sp.mat: 0.00%</v>
      </c>
      <c r="F23" s="15" t="str">
        <f>SUBSTITUTE("Sp.man: 0.00%",".",IF(VALUE("1.2")=1.2,".",","),2)</f>
        <v>Sp.man: 0.00%</v>
      </c>
      <c r="G23" s="35" t="str">
        <f>SUBSTITUTE("Sp.uti: 0.00%",".",IF(VALUE("1.2")=1.2,".",","),2)</f>
        <v>Sp.uti: 0.00%</v>
      </c>
      <c r="H23" s="38">
        <f>300.8/G22</f>
        <v>50.133333333333333</v>
      </c>
      <c r="I23" s="29">
        <f>G22*H23</f>
        <v>300.8</v>
      </c>
      <c r="J23">
        <v>2</v>
      </c>
    </row>
    <row r="24" spans="1:19" x14ac:dyDescent="0.3">
      <c r="A24" s="88" t="s">
        <v>1072</v>
      </c>
      <c r="B24" s="98"/>
      <c r="C24" s="98"/>
      <c r="D24" s="98"/>
      <c r="E24" s="98"/>
      <c r="F24" s="98"/>
      <c r="G24" s="98"/>
      <c r="H24" s="38">
        <f>(1+IF(OR(ISERR(FIND(":",G23)),ISERR(FIND("%",G23))),0,MID(G23,FIND(":",G23)+2,FIND("%",G23)-FIND(":",G23)-2)/100))*0</f>
        <v>0</v>
      </c>
      <c r="I24" s="29">
        <f>G22*H24</f>
        <v>0</v>
      </c>
      <c r="J24">
        <v>3</v>
      </c>
      <c r="K24" s="4">
        <v>0</v>
      </c>
      <c r="L24" s="4">
        <v>0</v>
      </c>
      <c r="M24" s="4">
        <f>I24-K24-L24</f>
        <v>0</v>
      </c>
    </row>
    <row r="25" spans="1:19" x14ac:dyDescent="0.3">
      <c r="A25" s="98"/>
      <c r="B25" s="98"/>
      <c r="C25" s="98"/>
      <c r="D25" s="98"/>
      <c r="E25" s="98"/>
      <c r="F25" s="98"/>
      <c r="G25" s="98"/>
      <c r="H25" s="38">
        <f>0</f>
        <v>0</v>
      </c>
      <c r="I25" s="29">
        <f>G22*H25</f>
        <v>0</v>
      </c>
      <c r="J25">
        <v>4</v>
      </c>
      <c r="N25" s="4">
        <f>IF(ISERR(SEARCH("TRA* 82",C22)),IF(Q25+R25+S25=0,0,I25*(Q25/(Q25+R25+S25))),I25)</f>
        <v>0</v>
      </c>
      <c r="O25" s="4">
        <f>IF(ISERR(SEARCH("TRA* 82",C22)),IF(Q25+R25+S25=0,0,I25*(R25/(Q25+R25+S25))),0)</f>
        <v>0</v>
      </c>
      <c r="P25" s="4">
        <f>IF(ISERR(SEARCH("TRA* 82",C22)),I25-N25-O25,0)</f>
        <v>0</v>
      </c>
      <c r="Q25" s="4">
        <v>0</v>
      </c>
      <c r="R25" s="4">
        <v>0</v>
      </c>
      <c r="S25" s="4">
        <v>0</v>
      </c>
    </row>
    <row r="26" spans="1:19" x14ac:dyDescent="0.3">
      <c r="A26" s="96" t="s">
        <v>27</v>
      </c>
      <c r="B26" s="97"/>
      <c r="C26" s="97"/>
      <c r="D26" s="97"/>
      <c r="E26" s="97"/>
      <c r="F26" s="97"/>
      <c r="G26" s="97"/>
      <c r="H26" s="36">
        <f>H22+H23+H24+H25</f>
        <v>1603.8816666666667</v>
      </c>
      <c r="I26" s="74">
        <f>I22+I23+I24+I25</f>
        <v>9623.2899999999991</v>
      </c>
      <c r="J26">
        <v>5</v>
      </c>
    </row>
    <row r="27" spans="1:19" x14ac:dyDescent="0.3">
      <c r="B27" s="2">
        <v>4</v>
      </c>
      <c r="C27" s="3" t="s">
        <v>1073</v>
      </c>
      <c r="D27" s="5" t="s">
        <v>25</v>
      </c>
      <c r="G27" s="30">
        <v>465</v>
      </c>
      <c r="H27" s="38">
        <f>54607.61/G27</f>
        <v>117.43572043010752</v>
      </c>
      <c r="I27" s="29">
        <f>G27*H27</f>
        <v>54607.61</v>
      </c>
      <c r="J27">
        <v>1</v>
      </c>
    </row>
    <row r="28" spans="1:19" x14ac:dyDescent="0.3">
      <c r="D28" s="15" t="str">
        <f>SUBSTITUTE("Sp.mat: 0.00%",".",IF(VALUE("1.2")=1.2,".",","),2)</f>
        <v>Sp.mat: 0.00%</v>
      </c>
      <c r="F28" s="15" t="str">
        <f>SUBSTITUTE("Sp.man: 0.00%",".",IF(VALUE("1.2")=1.2,".",","),2)</f>
        <v>Sp.man: 0.00%</v>
      </c>
      <c r="G28" s="35" t="str">
        <f>SUBSTITUTE("Sp.uti: 0.00%",".",IF(VALUE("1.2")=1.2,".",","),2)</f>
        <v>Sp.uti: 0.00%</v>
      </c>
      <c r="H28" s="38">
        <f>2457.81/G27</f>
        <v>5.2856129032258066</v>
      </c>
      <c r="I28" s="29">
        <f>G27*H28</f>
        <v>2457.81</v>
      </c>
      <c r="J28">
        <v>2</v>
      </c>
    </row>
    <row r="29" spans="1:19" x14ac:dyDescent="0.3">
      <c r="A29" s="88" t="s">
        <v>1074</v>
      </c>
      <c r="B29" s="98"/>
      <c r="C29" s="98"/>
      <c r="D29" s="98"/>
      <c r="E29" s="98"/>
      <c r="F29" s="98"/>
      <c r="G29" s="98"/>
      <c r="H29" s="38">
        <f>163.11/G27</f>
        <v>0.35077419354838713</v>
      </c>
      <c r="I29" s="29">
        <f>G27*H29</f>
        <v>163.11000000000001</v>
      </c>
      <c r="J29">
        <v>3</v>
      </c>
      <c r="K29" s="4">
        <v>0</v>
      </c>
      <c r="L29" s="4">
        <v>305.505</v>
      </c>
      <c r="M29" s="4">
        <f>I29-K29-L29</f>
        <v>-142.39499999999998</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96" t="s">
        <v>1075</v>
      </c>
      <c r="B31" s="97"/>
      <c r="C31" s="97"/>
      <c r="D31" s="97"/>
      <c r="E31" s="97"/>
      <c r="F31" s="97"/>
      <c r="G31" s="97"/>
      <c r="H31" s="36">
        <f>H27+H28+H29+H30</f>
        <v>123.07210752688172</v>
      </c>
      <c r="I31" s="74">
        <f>I27+I28+I29+I30</f>
        <v>57228.53</v>
      </c>
      <c r="J31">
        <v>5</v>
      </c>
    </row>
    <row r="32" spans="1:19" x14ac:dyDescent="0.3">
      <c r="B32" s="2">
        <v>5</v>
      </c>
      <c r="C32" s="3" t="s">
        <v>1076</v>
      </c>
      <c r="D32" s="5" t="s">
        <v>25</v>
      </c>
      <c r="G32" s="30">
        <v>109</v>
      </c>
      <c r="H32" s="38">
        <f>2861.29/G32</f>
        <v>26.250366972477064</v>
      </c>
      <c r="I32" s="29">
        <f>G32*H32</f>
        <v>2861.29</v>
      </c>
      <c r="J32">
        <v>1</v>
      </c>
    </row>
    <row r="33" spans="1:19" x14ac:dyDescent="0.3">
      <c r="D33" s="15" t="str">
        <f>SUBSTITUTE("Sp.mat: 0.00%",".",IF(VALUE("1.2")=1.2,".",","),2)</f>
        <v>Sp.mat: 0.00%</v>
      </c>
      <c r="F33" s="15" t="str">
        <f>SUBSTITUTE("Sp.man: 0.00%",".",IF(VALUE("1.2")=1.2,".",","),2)</f>
        <v>Sp.man: 0.00%</v>
      </c>
      <c r="G33" s="35" t="str">
        <f>SUBSTITUTE("Sp.uti: 0.00%",".",IF(VALUE("1.2")=1.2,".",","),2)</f>
        <v>Sp.uti: 0.00%</v>
      </c>
      <c r="H33" s="38">
        <f>523.76/G32</f>
        <v>4.8051376146788991</v>
      </c>
      <c r="I33" s="29">
        <f>G32*H33</f>
        <v>523.76</v>
      </c>
      <c r="J33">
        <v>2</v>
      </c>
    </row>
    <row r="34" spans="1:19" x14ac:dyDescent="0.3">
      <c r="A34" s="88" t="s">
        <v>1077</v>
      </c>
      <c r="B34" s="98"/>
      <c r="C34" s="98"/>
      <c r="D34" s="98"/>
      <c r="E34" s="98"/>
      <c r="F34" s="98"/>
      <c r="G34" s="98"/>
      <c r="H34" s="38">
        <f>34.92/G32</f>
        <v>0.32036697247706425</v>
      </c>
      <c r="I34" s="29">
        <f>G32*H34</f>
        <v>34.92</v>
      </c>
      <c r="J34">
        <v>3</v>
      </c>
      <c r="K34" s="4">
        <v>0</v>
      </c>
      <c r="L34" s="4">
        <v>65.400000000000006</v>
      </c>
      <c r="M34" s="4">
        <f>I34-K34-L34</f>
        <v>-30.480000000000004</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96" t="s">
        <v>27</v>
      </c>
      <c r="B36" s="97"/>
      <c r="C36" s="97"/>
      <c r="D36" s="97"/>
      <c r="E36" s="97"/>
      <c r="F36" s="97"/>
      <c r="G36" s="97"/>
      <c r="H36" s="36">
        <f>H32+H33+H34+H35</f>
        <v>31.375871559633026</v>
      </c>
      <c r="I36" s="74">
        <f>I32+I33+I34+I35</f>
        <v>3419.9700000000003</v>
      </c>
      <c r="J36">
        <v>5</v>
      </c>
    </row>
    <row r="37" spans="1:19" x14ac:dyDescent="0.3">
      <c r="B37" s="2">
        <v>6</v>
      </c>
      <c r="C37" s="3" t="s">
        <v>1073</v>
      </c>
      <c r="D37" s="5" t="s">
        <v>25</v>
      </c>
      <c r="G37" s="30">
        <v>77</v>
      </c>
      <c r="H37" s="38">
        <f>2958.31/G37</f>
        <v>38.419610389610391</v>
      </c>
      <c r="I37" s="29">
        <f>G37*H37</f>
        <v>2958.31</v>
      </c>
      <c r="J37">
        <v>1</v>
      </c>
    </row>
    <row r="38" spans="1:19" x14ac:dyDescent="0.3">
      <c r="D38" s="15" t="str">
        <f>SUBSTITUTE("Sp.mat: 0.00%",".",IF(VALUE("1.2")=1.2,".",","),2)</f>
        <v>Sp.mat: 0.00%</v>
      </c>
      <c r="F38" s="15" t="str">
        <f>SUBSTITUTE("Sp.man: 0.00%",".",IF(VALUE("1.2")=1.2,".",","),2)</f>
        <v>Sp.man: 0.00%</v>
      </c>
      <c r="G38" s="35" t="str">
        <f>SUBSTITUTE("Sp.uti: 0.00%",".",IF(VALUE("1.2")=1.2,".",","),2)</f>
        <v>Sp.uti: 0.00%</v>
      </c>
      <c r="H38" s="38">
        <f>406.99/G37</f>
        <v>5.2855844155844158</v>
      </c>
      <c r="I38" s="29">
        <f>G37*H38</f>
        <v>406.99</v>
      </c>
      <c r="J38">
        <v>2</v>
      </c>
    </row>
    <row r="39" spans="1:19" x14ac:dyDescent="0.3">
      <c r="A39" s="88" t="s">
        <v>1074</v>
      </c>
      <c r="B39" s="98"/>
      <c r="C39" s="98"/>
      <c r="D39" s="98"/>
      <c r="E39" s="98"/>
      <c r="F39" s="98"/>
      <c r="G39" s="98"/>
      <c r="H39" s="38">
        <f>27.01/G37</f>
        <v>0.3507792207792208</v>
      </c>
      <c r="I39" s="29">
        <f>G37*H39</f>
        <v>27.01</v>
      </c>
      <c r="J39">
        <v>3</v>
      </c>
      <c r="K39" s="4">
        <v>0</v>
      </c>
      <c r="L39" s="4">
        <v>50.588999999999999</v>
      </c>
      <c r="M39" s="4">
        <f>I39-K39-L39</f>
        <v>-23.578999999999997</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96" t="s">
        <v>27</v>
      </c>
      <c r="B41" s="97"/>
      <c r="C41" s="97"/>
      <c r="D41" s="97"/>
      <c r="E41" s="97"/>
      <c r="F41" s="97"/>
      <c r="G41" s="97"/>
      <c r="H41" s="36">
        <f>H37+H38+H39+H40</f>
        <v>44.055974025974031</v>
      </c>
      <c r="I41" s="74">
        <f>I37+I38+I39+I40</f>
        <v>3392.3100000000004</v>
      </c>
      <c r="J41">
        <v>5</v>
      </c>
    </row>
    <row r="42" spans="1:19" x14ac:dyDescent="0.3">
      <c r="B42" s="2">
        <v>7</v>
      </c>
      <c r="C42" s="3" t="s">
        <v>1078</v>
      </c>
      <c r="D42" s="5" t="s">
        <v>25</v>
      </c>
      <c r="G42" s="30">
        <v>40</v>
      </c>
      <c r="H42" s="38">
        <f>2929.56/G42</f>
        <v>73.239000000000004</v>
      </c>
      <c r="I42" s="29">
        <f>G42*H42</f>
        <v>2929.5600000000004</v>
      </c>
      <c r="J42">
        <v>1</v>
      </c>
    </row>
    <row r="43" spans="1:19" x14ac:dyDescent="0.3">
      <c r="D43" s="15" t="str">
        <f>SUBSTITUTE("Sp.mat: 0.00%",".",IF(VALUE("1.2")=1.2,".",","),2)</f>
        <v>Sp.mat: 0.00%</v>
      </c>
      <c r="F43" s="15" t="str">
        <f>SUBSTITUTE("Sp.man: 0.00%",".",IF(VALUE("1.2")=1.2,".",","),2)</f>
        <v>Sp.man: 0.00%</v>
      </c>
      <c r="G43" s="35" t="str">
        <f>SUBSTITUTE("Sp.uti: 0.00%",".",IF(VALUE("1.2")=1.2,".",","),2)</f>
        <v>Sp.uti: 0.00%</v>
      </c>
      <c r="H43" s="38">
        <f>1121.19/G42</f>
        <v>28.02975</v>
      </c>
      <c r="I43" s="29">
        <f>G42*H43</f>
        <v>1121.19</v>
      </c>
      <c r="J43">
        <v>2</v>
      </c>
    </row>
    <row r="44" spans="1:19" x14ac:dyDescent="0.3">
      <c r="A44" s="88" t="s">
        <v>1079</v>
      </c>
      <c r="B44" s="98"/>
      <c r="C44" s="98"/>
      <c r="D44" s="98"/>
      <c r="E44" s="98"/>
      <c r="F44" s="98"/>
      <c r="G44" s="98"/>
      <c r="H44" s="38">
        <f>0.05/G42</f>
        <v>1.25E-3</v>
      </c>
      <c r="I44" s="29">
        <f>G42*H44</f>
        <v>0.05</v>
      </c>
      <c r="J44">
        <v>3</v>
      </c>
      <c r="K44" s="4">
        <v>0.10199999999999999</v>
      </c>
      <c r="L44" s="4">
        <v>0</v>
      </c>
      <c r="M44" s="4">
        <f>I44-K44-L44</f>
        <v>-5.1999999999999991E-2</v>
      </c>
    </row>
    <row r="45" spans="1:19" x14ac:dyDescent="0.3">
      <c r="A45" s="98"/>
      <c r="B45" s="98"/>
      <c r="C45" s="98"/>
      <c r="D45" s="98"/>
      <c r="E45" s="98"/>
      <c r="F45" s="98"/>
      <c r="G45" s="98"/>
      <c r="H45" s="38">
        <f>0</f>
        <v>0</v>
      </c>
      <c r="I45" s="29">
        <f>G42*H45</f>
        <v>0</v>
      </c>
      <c r="J45">
        <v>4</v>
      </c>
      <c r="N45" s="4">
        <f>IF(ISERR(SEARCH("TRA* 82",C42)),IF(Q45+R45+S45=0,0,I45*(Q45/(Q45+R45+S45))),I45)</f>
        <v>0</v>
      </c>
      <c r="O45" s="4">
        <f>IF(ISERR(SEARCH("TRA* 82",C42)),IF(Q45+R45+S45=0,0,I45*(R45/(Q45+R45+S45))),0)</f>
        <v>0</v>
      </c>
      <c r="P45" s="4">
        <f>IF(ISERR(SEARCH("TRA* 82",C42)),I45-N45-O45,0)</f>
        <v>0</v>
      </c>
      <c r="Q45" s="4">
        <v>0</v>
      </c>
      <c r="R45" s="4">
        <v>0</v>
      </c>
      <c r="S45" s="4">
        <v>0</v>
      </c>
    </row>
    <row r="46" spans="1:19" x14ac:dyDescent="0.3">
      <c r="A46" s="96" t="s">
        <v>27</v>
      </c>
      <c r="B46" s="97"/>
      <c r="C46" s="97"/>
      <c r="D46" s="97"/>
      <c r="E46" s="97"/>
      <c r="F46" s="97"/>
      <c r="G46" s="97"/>
      <c r="H46" s="36">
        <f>H42+H43+H44+H45</f>
        <v>101.27000000000001</v>
      </c>
      <c r="I46" s="74">
        <f>I42+I43+I44+I45</f>
        <v>4050.8000000000006</v>
      </c>
      <c r="J46">
        <v>5</v>
      </c>
    </row>
    <row r="47" spans="1:19" x14ac:dyDescent="0.3">
      <c r="B47" s="2">
        <v>8</v>
      </c>
      <c r="C47" s="3" t="s">
        <v>95</v>
      </c>
      <c r="D47" s="5" t="s">
        <v>25</v>
      </c>
      <c r="G47" s="30">
        <v>30</v>
      </c>
      <c r="H47" s="38">
        <f>1633.13/G47</f>
        <v>54.437666666666672</v>
      </c>
      <c r="I47" s="29">
        <f>G47*H47</f>
        <v>1633.13</v>
      </c>
      <c r="J47">
        <v>1</v>
      </c>
    </row>
    <row r="48" spans="1:19" x14ac:dyDescent="0.3">
      <c r="D48" s="15" t="str">
        <f>SUBSTITUTE("Sp.mat: 0.00%",".",IF(VALUE("1.2")=1.2,".",","),2)</f>
        <v>Sp.mat: 0.00%</v>
      </c>
      <c r="F48" s="15" t="str">
        <f>SUBSTITUTE("Sp.man: 0.00%",".",IF(VALUE("1.2")=1.2,".",","),2)</f>
        <v>Sp.man: 0.00%</v>
      </c>
      <c r="G48" s="35" t="str">
        <f>SUBSTITUTE("Sp.uti: 0.00%",".",IF(VALUE("1.2")=1.2,".",","),2)</f>
        <v>Sp.uti: 0.00%</v>
      </c>
      <c r="H48" s="38">
        <f>1009.07/G47</f>
        <v>33.635666666666665</v>
      </c>
      <c r="I48" s="29">
        <f>G47*H48</f>
        <v>1009.0699999999999</v>
      </c>
      <c r="J48">
        <v>2</v>
      </c>
    </row>
    <row r="49" spans="1:19" x14ac:dyDescent="0.3">
      <c r="A49" s="88" t="s">
        <v>96</v>
      </c>
      <c r="B49" s="98"/>
      <c r="C49" s="98"/>
      <c r="D49" s="98"/>
      <c r="E49" s="98"/>
      <c r="F49" s="98"/>
      <c r="G49" s="98"/>
      <c r="H49" s="38">
        <f>(1+IF(OR(ISERR(FIND(":",G48)),ISERR(FIND("%",G48))),0,MID(G48,FIND(":",G48)+2,FIND("%",G48)-FIND(":",G48)-2)/100))*0</f>
        <v>0</v>
      </c>
      <c r="I49" s="29">
        <f>G47*H49</f>
        <v>0</v>
      </c>
      <c r="J49">
        <v>3</v>
      </c>
      <c r="K49" s="4">
        <v>0</v>
      </c>
      <c r="L49" s="4">
        <v>0</v>
      </c>
      <c r="M49" s="4">
        <f>I49-K49-L49</f>
        <v>0</v>
      </c>
    </row>
    <row r="50" spans="1:19" x14ac:dyDescent="0.3">
      <c r="A50" s="98"/>
      <c r="B50" s="98"/>
      <c r="C50" s="98"/>
      <c r="D50" s="98"/>
      <c r="E50" s="98"/>
      <c r="F50" s="98"/>
      <c r="G50" s="98"/>
      <c r="H50" s="38">
        <f>0</f>
        <v>0</v>
      </c>
      <c r="I50" s="29">
        <f>G47*H50</f>
        <v>0</v>
      </c>
      <c r="J50">
        <v>4</v>
      </c>
      <c r="N50" s="4">
        <f>IF(ISERR(SEARCH("TRA* 82",C47)),IF(Q50+R50+S50=0,0,I50*(Q50/(Q50+R50+S50))),I50)</f>
        <v>0</v>
      </c>
      <c r="O50" s="4">
        <f>IF(ISERR(SEARCH("TRA* 82",C47)),IF(Q50+R50+S50=0,0,I50*(R50/(Q50+R50+S50))),0)</f>
        <v>0</v>
      </c>
      <c r="P50" s="4">
        <f>IF(ISERR(SEARCH("TRA* 82",C47)),I50-N50-O50,0)</f>
        <v>0</v>
      </c>
      <c r="Q50" s="4">
        <v>0</v>
      </c>
      <c r="R50" s="4">
        <v>0</v>
      </c>
      <c r="S50" s="4">
        <v>0</v>
      </c>
    </row>
    <row r="51" spans="1:19" x14ac:dyDescent="0.3">
      <c r="A51" s="100" t="s">
        <v>27</v>
      </c>
      <c r="B51" s="101"/>
      <c r="C51" s="101"/>
      <c r="D51" s="101"/>
      <c r="E51" s="101"/>
      <c r="F51" s="101"/>
      <c r="G51" s="101"/>
      <c r="H51" s="33">
        <f>H47+H48+H49+H50</f>
        <v>88.073333333333338</v>
      </c>
      <c r="I51" s="37">
        <f>I47+I48+I49+I50</f>
        <v>2642.2</v>
      </c>
      <c r="J51">
        <v>5</v>
      </c>
    </row>
    <row r="52" spans="1:19" x14ac:dyDescent="0.3">
      <c r="A52" s="102" t="s">
        <v>1080</v>
      </c>
      <c r="B52" s="102"/>
      <c r="C52" s="102"/>
      <c r="D52" s="102"/>
      <c r="E52" s="102"/>
      <c r="F52" s="102"/>
      <c r="G52" s="102"/>
      <c r="H52" s="102"/>
      <c r="I52" s="102"/>
    </row>
    <row r="53" spans="1:19" x14ac:dyDescent="0.3">
      <c r="A53" s="98" t="s">
        <v>1081</v>
      </c>
      <c r="B53" s="98"/>
      <c r="C53" s="98"/>
      <c r="D53" s="98"/>
      <c r="E53" s="98"/>
      <c r="F53" s="98"/>
      <c r="G53" s="98"/>
      <c r="H53" s="98"/>
      <c r="I53" s="98"/>
    </row>
    <row r="54" spans="1:19" x14ac:dyDescent="0.3">
      <c r="A54" s="97" t="s">
        <v>1082</v>
      </c>
      <c r="B54" s="97"/>
      <c r="C54" s="97"/>
      <c r="D54" s="97"/>
      <c r="E54" s="97"/>
      <c r="F54" s="97"/>
      <c r="G54" s="97"/>
      <c r="H54" s="97"/>
      <c r="I54" s="97"/>
    </row>
    <row r="55" spans="1:19" x14ac:dyDescent="0.3">
      <c r="B55" s="2">
        <v>9</v>
      </c>
      <c r="C55" s="3" t="s">
        <v>93</v>
      </c>
      <c r="D55" s="5" t="s">
        <v>25</v>
      </c>
      <c r="G55" s="30">
        <v>11</v>
      </c>
      <c r="H55" s="38">
        <f>416.9/G55</f>
        <v>37.9</v>
      </c>
      <c r="I55" s="29">
        <f>G55*H55</f>
        <v>416.9</v>
      </c>
      <c r="J55">
        <v>1</v>
      </c>
    </row>
    <row r="56" spans="1:19" x14ac:dyDescent="0.3">
      <c r="D56" s="15" t="str">
        <f>SUBSTITUTE("Sp.mat: 0.00%",".",IF(VALUE("1.2")=1.2,".",","),2)</f>
        <v>Sp.mat: 0.00%</v>
      </c>
      <c r="F56" s="15" t="str">
        <f>SUBSTITUTE("Sp.man: 0.00%",".",IF(VALUE("1.2")=1.2,".",","),2)</f>
        <v>Sp.man: 0.00%</v>
      </c>
      <c r="G56" s="35" t="str">
        <f>SUBSTITUTE("Sp.uti: 0.00%",".",IF(VALUE("1.2")=1.2,".",","),2)</f>
        <v>Sp.uti: 0.00%</v>
      </c>
      <c r="H56" s="38">
        <f>299.52/G55</f>
        <v>27.229090909090907</v>
      </c>
      <c r="I56" s="29">
        <f>G55*H56</f>
        <v>299.52</v>
      </c>
      <c r="J56">
        <v>2</v>
      </c>
    </row>
    <row r="57" spans="1:19" x14ac:dyDescent="0.3">
      <c r="A57" s="88" t="s">
        <v>94</v>
      </c>
      <c r="B57" s="98"/>
      <c r="C57" s="98"/>
      <c r="D57" s="98"/>
      <c r="E57" s="98"/>
      <c r="F57" s="98"/>
      <c r="G57" s="98"/>
      <c r="H57" s="38">
        <f>(1+IF(OR(ISERR(FIND(":",G56)),ISERR(FIND("%",G56))),0,MID(G56,FIND(":",G56)+2,FIND("%",G56)-FIND(":",G56)-2)/100))*0</f>
        <v>0</v>
      </c>
      <c r="I57" s="29">
        <f>G55*H57</f>
        <v>0</v>
      </c>
      <c r="J57">
        <v>3</v>
      </c>
      <c r="K57" s="4">
        <v>0</v>
      </c>
      <c r="L57" s="4">
        <v>0</v>
      </c>
      <c r="M57" s="4">
        <f>I57-K57-L57</f>
        <v>0</v>
      </c>
    </row>
    <row r="58" spans="1:19" x14ac:dyDescent="0.3">
      <c r="A58" s="98"/>
      <c r="B58" s="98"/>
      <c r="C58" s="98"/>
      <c r="D58" s="98"/>
      <c r="E58" s="98"/>
      <c r="F58" s="98"/>
      <c r="G58" s="98"/>
      <c r="H58" s="38">
        <f>0</f>
        <v>0</v>
      </c>
      <c r="I58" s="29">
        <f>G55*H58</f>
        <v>0</v>
      </c>
      <c r="J58">
        <v>4</v>
      </c>
      <c r="N58" s="4">
        <f>IF(ISERR(SEARCH("TRA* 82",C55)),IF(Q58+R58+S58=0,0,I58*(Q58/(Q58+R58+S58))),I58)</f>
        <v>0</v>
      </c>
      <c r="O58" s="4">
        <f>IF(ISERR(SEARCH("TRA* 82",C55)),IF(Q58+R58+S58=0,0,I58*(R58/(Q58+R58+S58))),0)</f>
        <v>0</v>
      </c>
      <c r="P58" s="4">
        <f>IF(ISERR(SEARCH("TRA* 82",C55)),I58-N58-O58,0)</f>
        <v>0</v>
      </c>
      <c r="Q58" s="4">
        <v>0</v>
      </c>
      <c r="R58" s="4">
        <v>0</v>
      </c>
      <c r="S58" s="4">
        <v>0</v>
      </c>
    </row>
    <row r="59" spans="1:19" x14ac:dyDescent="0.3">
      <c r="A59" s="100" t="s">
        <v>27</v>
      </c>
      <c r="B59" s="101"/>
      <c r="C59" s="101"/>
      <c r="D59" s="101"/>
      <c r="E59" s="101"/>
      <c r="F59" s="101"/>
      <c r="G59" s="101"/>
      <c r="H59" s="33">
        <f>H55+H56+H57+H58</f>
        <v>65.129090909090905</v>
      </c>
      <c r="I59" s="37">
        <f>I55+I56+I57+I58</f>
        <v>716.42</v>
      </c>
      <c r="J59">
        <v>5</v>
      </c>
    </row>
    <row r="60" spans="1:19" x14ac:dyDescent="0.3">
      <c r="A60" s="102" t="s">
        <v>1083</v>
      </c>
      <c r="B60" s="102"/>
      <c r="C60" s="102"/>
      <c r="D60" s="102"/>
      <c r="E60" s="102"/>
      <c r="F60" s="102"/>
      <c r="G60" s="102"/>
      <c r="H60" s="102"/>
      <c r="I60" s="102"/>
    </row>
    <row r="61" spans="1:19" x14ac:dyDescent="0.3">
      <c r="A61" s="98" t="s">
        <v>1081</v>
      </c>
      <c r="B61" s="98"/>
      <c r="C61" s="98"/>
      <c r="D61" s="98"/>
      <c r="E61" s="98"/>
      <c r="F61" s="98"/>
      <c r="G61" s="98"/>
      <c r="H61" s="98"/>
      <c r="I61" s="98"/>
    </row>
    <row r="62" spans="1:19" x14ac:dyDescent="0.3">
      <c r="A62" s="97" t="s">
        <v>1082</v>
      </c>
      <c r="B62" s="97"/>
      <c r="C62" s="97"/>
      <c r="D62" s="97"/>
      <c r="E62" s="97"/>
      <c r="F62" s="97"/>
      <c r="G62" s="97"/>
      <c r="H62" s="97"/>
      <c r="I62" s="97"/>
    </row>
    <row r="63" spans="1:19" x14ac:dyDescent="0.3">
      <c r="B63" s="2">
        <v>10</v>
      </c>
      <c r="C63" s="3" t="s">
        <v>1084</v>
      </c>
      <c r="D63" s="5" t="s">
        <v>29</v>
      </c>
      <c r="G63" s="30">
        <v>1</v>
      </c>
      <c r="H63" s="38">
        <v>760.3</v>
      </c>
      <c r="I63" s="29">
        <f>G63*H63</f>
        <v>760.3</v>
      </c>
      <c r="J63">
        <v>1</v>
      </c>
    </row>
    <row r="64" spans="1:19" x14ac:dyDescent="0.3">
      <c r="D64" s="15" t="str">
        <f>SUBSTITUTE("Sp.mat: 0.00%",".",IF(VALUE("1.2")=1.2,".",","),2)</f>
        <v>Sp.mat: 0.00%</v>
      </c>
      <c r="F64" s="15" t="str">
        <f>SUBSTITUTE("Sp.man: 0.00%",".",IF(VALUE("1.2")=1.2,".",","),2)</f>
        <v>Sp.man: 0.00%</v>
      </c>
      <c r="G64" s="35" t="str">
        <f>SUBSTITUTE("Sp.uti: 0.00%",".",IF(VALUE("1.2")=1.2,".",","),2)</f>
        <v>Sp.uti: 0.00%</v>
      </c>
      <c r="H64" s="38">
        <v>84.89</v>
      </c>
      <c r="I64" s="29">
        <f>G63*H64</f>
        <v>84.89</v>
      </c>
      <c r="J64">
        <v>2</v>
      </c>
    </row>
    <row r="65" spans="1:19" x14ac:dyDescent="0.3">
      <c r="A65" s="88" t="s">
        <v>1085</v>
      </c>
      <c r="B65" s="98"/>
      <c r="C65" s="98"/>
      <c r="D65" s="98"/>
      <c r="E65" s="98"/>
      <c r="F65" s="98"/>
      <c r="G65" s="98"/>
      <c r="H65" s="38">
        <f>(1+IF(OR(ISERR(FIND(":",G64)),ISERR(FIND("%",G64))),0,MID(G64,FIND(":",G64)+2,FIND("%",G64)-FIND(":",G64)-2)/100))*0</f>
        <v>0</v>
      </c>
      <c r="I65" s="29">
        <f>G63*H65</f>
        <v>0</v>
      </c>
      <c r="J65">
        <v>3</v>
      </c>
      <c r="K65" s="4">
        <v>0</v>
      </c>
      <c r="L65" s="4">
        <v>0</v>
      </c>
      <c r="M65" s="4">
        <f>I65-K65-L65</f>
        <v>0</v>
      </c>
    </row>
    <row r="66" spans="1:19" x14ac:dyDescent="0.3">
      <c r="A66" s="98"/>
      <c r="B66" s="98"/>
      <c r="C66" s="98"/>
      <c r="D66" s="98"/>
      <c r="E66" s="98"/>
      <c r="F66" s="98"/>
      <c r="G66" s="98"/>
      <c r="H66" s="38">
        <f>0</f>
        <v>0</v>
      </c>
      <c r="I66" s="29">
        <f>G63*H66</f>
        <v>0</v>
      </c>
      <c r="J66">
        <v>4</v>
      </c>
      <c r="N66" s="4">
        <f>IF(ISERR(SEARCH("TRA* 82",C63)),IF(Q66+R66+S66=0,0,I66*(Q66/(Q66+R66+S66))),I66)</f>
        <v>0</v>
      </c>
      <c r="O66" s="4">
        <f>IF(ISERR(SEARCH("TRA* 82",C63)),IF(Q66+R66+S66=0,0,I66*(R66/(Q66+R66+S66))),0)</f>
        <v>0</v>
      </c>
      <c r="P66" s="4">
        <f>IF(ISERR(SEARCH("TRA* 82",C63)),I66-N66-O66,0)</f>
        <v>0</v>
      </c>
      <c r="Q66" s="4">
        <v>0</v>
      </c>
      <c r="R66" s="4">
        <v>0</v>
      </c>
      <c r="S66" s="4">
        <v>0</v>
      </c>
    </row>
    <row r="67" spans="1:19" x14ac:dyDescent="0.3">
      <c r="A67" s="100" t="s">
        <v>87</v>
      </c>
      <c r="B67" s="101"/>
      <c r="C67" s="101"/>
      <c r="D67" s="101"/>
      <c r="E67" s="101"/>
      <c r="F67" s="101"/>
      <c r="G67" s="101"/>
      <c r="H67" s="33">
        <f>H63+H64+H65+H66</f>
        <v>845.18999999999994</v>
      </c>
      <c r="I67" s="37">
        <f>I63+I64+I65+I66</f>
        <v>845.18999999999994</v>
      </c>
      <c r="J67">
        <v>5</v>
      </c>
    </row>
    <row r="68" spans="1:19" x14ac:dyDescent="0.3">
      <c r="A68" s="102" t="s">
        <v>1086</v>
      </c>
      <c r="B68" s="102"/>
      <c r="C68" s="102"/>
      <c r="D68" s="102"/>
      <c r="E68" s="102"/>
      <c r="F68" s="102"/>
      <c r="G68" s="102"/>
      <c r="H68" s="102"/>
      <c r="I68" s="102"/>
    </row>
    <row r="69" spans="1:19" x14ac:dyDescent="0.3">
      <c r="A69" s="97" t="s">
        <v>1087</v>
      </c>
      <c r="B69" s="97"/>
      <c r="C69" s="97"/>
      <c r="D69" s="97"/>
      <c r="E69" s="97"/>
      <c r="F69" s="97"/>
      <c r="G69" s="97"/>
      <c r="H69" s="97"/>
      <c r="I69" s="97"/>
    </row>
    <row r="70" spans="1:19" x14ac:dyDescent="0.3">
      <c r="B70" s="2">
        <v>11</v>
      </c>
      <c r="C70" s="3" t="s">
        <v>304</v>
      </c>
      <c r="D70" s="5" t="s">
        <v>29</v>
      </c>
      <c r="G70" s="30">
        <v>1</v>
      </c>
      <c r="H70" s="38">
        <v>1294.6300000000001</v>
      </c>
      <c r="I70" s="29">
        <f>G70*H70</f>
        <v>1294.6300000000001</v>
      </c>
      <c r="J70">
        <v>1</v>
      </c>
    </row>
    <row r="71" spans="1:19" x14ac:dyDescent="0.3">
      <c r="D71" s="15" t="str">
        <f>SUBSTITUTE("Sp.mat: 0.00%",".",IF(VALUE("1.2")=1.2,".",","),2)</f>
        <v>Sp.mat: 0.00%</v>
      </c>
      <c r="F71" s="15" t="str">
        <f>SUBSTITUTE("Sp.man: 0.00%",".",IF(VALUE("1.2")=1.2,".",","),2)</f>
        <v>Sp.man: 0.00%</v>
      </c>
      <c r="G71" s="35" t="str">
        <f>SUBSTITUTE("Sp.uti: 0.00%",".",IF(VALUE("1.2")=1.2,".",","),2)</f>
        <v>Sp.uti: 0.00%</v>
      </c>
      <c r="H71" s="38">
        <v>144.15</v>
      </c>
      <c r="I71" s="29">
        <f>G70*H71</f>
        <v>144.15</v>
      </c>
      <c r="J71">
        <v>2</v>
      </c>
    </row>
    <row r="72" spans="1:19" x14ac:dyDescent="0.3">
      <c r="A72" s="88" t="s">
        <v>305</v>
      </c>
      <c r="B72" s="98"/>
      <c r="C72" s="98"/>
      <c r="D72" s="98"/>
      <c r="E72" s="98"/>
      <c r="F72" s="98"/>
      <c r="G72" s="98"/>
      <c r="H72" s="38">
        <f>(1+IF(OR(ISERR(FIND(":",G71)),ISERR(FIND("%",G71))),0,MID(G71,FIND(":",G71)+2,FIND("%",G71)-FIND(":",G71)-2)/100))*0</f>
        <v>0</v>
      </c>
      <c r="I72" s="29">
        <f>G70*H72</f>
        <v>0</v>
      </c>
      <c r="J72">
        <v>3</v>
      </c>
      <c r="K72" s="4">
        <v>0</v>
      </c>
      <c r="L72" s="4">
        <v>0</v>
      </c>
      <c r="M72" s="4">
        <f>I72-K72-L72</f>
        <v>0</v>
      </c>
    </row>
    <row r="73" spans="1:19" x14ac:dyDescent="0.3">
      <c r="A73" s="98"/>
      <c r="B73" s="98"/>
      <c r="C73" s="98"/>
      <c r="D73" s="98"/>
      <c r="E73" s="98"/>
      <c r="F73" s="98"/>
      <c r="G73" s="98"/>
      <c r="H73" s="38">
        <f>0</f>
        <v>0</v>
      </c>
      <c r="I73" s="29">
        <f>G70*H73</f>
        <v>0</v>
      </c>
      <c r="J73">
        <v>4</v>
      </c>
      <c r="N73" s="4">
        <f>IF(ISERR(SEARCH("TRA* 82",C70)),IF(Q73+R73+S73=0,0,I73*(Q73/(Q73+R73+S73))),I73)</f>
        <v>0</v>
      </c>
      <c r="O73" s="4">
        <f>IF(ISERR(SEARCH("TRA* 82",C70)),IF(Q73+R73+S73=0,0,I73*(R73/(Q73+R73+S73))),0)</f>
        <v>0</v>
      </c>
      <c r="P73" s="4">
        <f>IF(ISERR(SEARCH("TRA* 82",C70)),I73-N73-O73,0)</f>
        <v>0</v>
      </c>
      <c r="Q73" s="4">
        <v>0</v>
      </c>
      <c r="R73" s="4">
        <v>0</v>
      </c>
      <c r="S73" s="4">
        <v>0</v>
      </c>
    </row>
    <row r="74" spans="1:19" x14ac:dyDescent="0.3">
      <c r="A74" s="100" t="s">
        <v>87</v>
      </c>
      <c r="B74" s="101"/>
      <c r="C74" s="101"/>
      <c r="D74" s="101"/>
      <c r="E74" s="101"/>
      <c r="F74" s="101"/>
      <c r="G74" s="101"/>
      <c r="H74" s="33">
        <f>H70+H71+H72+H73</f>
        <v>1438.7800000000002</v>
      </c>
      <c r="I74" s="37">
        <f>I70+I71+I72+I73</f>
        <v>1438.7800000000002</v>
      </c>
      <c r="J74">
        <v>5</v>
      </c>
    </row>
    <row r="75" spans="1:19" x14ac:dyDescent="0.3">
      <c r="A75" s="102" t="s">
        <v>1088</v>
      </c>
      <c r="B75" s="102"/>
      <c r="C75" s="102"/>
      <c r="D75" s="102"/>
      <c r="E75" s="102"/>
      <c r="F75" s="102"/>
      <c r="G75" s="102"/>
      <c r="H75" s="102"/>
      <c r="I75" s="102"/>
    </row>
    <row r="76" spans="1:19" x14ac:dyDescent="0.3">
      <c r="A76" s="97" t="s">
        <v>1087</v>
      </c>
      <c r="B76" s="97"/>
      <c r="C76" s="97"/>
      <c r="D76" s="97"/>
      <c r="E76" s="97"/>
      <c r="F76" s="97"/>
      <c r="G76" s="97"/>
      <c r="H76" s="97"/>
      <c r="I76" s="97"/>
    </row>
    <row r="77" spans="1:19" x14ac:dyDescent="0.3">
      <c r="B77" s="2">
        <v>12</v>
      </c>
      <c r="C77" s="3" t="s">
        <v>1089</v>
      </c>
      <c r="D77" s="5" t="s">
        <v>29</v>
      </c>
      <c r="G77" s="30">
        <v>2</v>
      </c>
      <c r="H77" s="38">
        <f>2284.78/G77</f>
        <v>1142.3900000000001</v>
      </c>
      <c r="I77" s="29">
        <f>G77*H77</f>
        <v>2284.7800000000002</v>
      </c>
      <c r="J77">
        <v>1</v>
      </c>
    </row>
    <row r="78" spans="1:19" x14ac:dyDescent="0.3">
      <c r="D78" s="15" t="str">
        <f>SUBSTITUTE("Sp.mat: 0.00%",".",IF(VALUE("1.2")=1.2,".",","),2)</f>
        <v>Sp.mat: 0.00%</v>
      </c>
      <c r="F78" s="15" t="str">
        <f>SUBSTITUTE("Sp.man: 0.00%",".",IF(VALUE("1.2")=1.2,".",","),2)</f>
        <v>Sp.man: 0.00%</v>
      </c>
      <c r="G78" s="35" t="str">
        <f>SUBSTITUTE("Sp.uti: 0.00%",".",IF(VALUE("1.2")=1.2,".",","),2)</f>
        <v>Sp.uti: 0.00%</v>
      </c>
      <c r="H78" s="38">
        <f>25.63/G77</f>
        <v>12.815</v>
      </c>
      <c r="I78" s="29">
        <f>G77*H78</f>
        <v>25.63</v>
      </c>
      <c r="J78">
        <v>2</v>
      </c>
    </row>
    <row r="79" spans="1:19" x14ac:dyDescent="0.3">
      <c r="A79" s="88" t="s">
        <v>1090</v>
      </c>
      <c r="B79" s="98"/>
      <c r="C79" s="98"/>
      <c r="D79" s="98"/>
      <c r="E79" s="98"/>
      <c r="F79" s="98"/>
      <c r="G79" s="98"/>
      <c r="H79" s="38">
        <f>(1+IF(OR(ISERR(FIND(":",G78)),ISERR(FIND("%",G78))),0,MID(G78,FIND(":",G78)+2,FIND("%",G78)-FIND(":",G78)-2)/100))*0</f>
        <v>0</v>
      </c>
      <c r="I79" s="29">
        <f>G77*H79</f>
        <v>0</v>
      </c>
      <c r="J79">
        <v>3</v>
      </c>
      <c r="K79" s="4">
        <v>0</v>
      </c>
      <c r="L79" s="4">
        <v>0</v>
      </c>
      <c r="M79" s="4">
        <f>I79-K79-L79</f>
        <v>0</v>
      </c>
    </row>
    <row r="80" spans="1:19" x14ac:dyDescent="0.3">
      <c r="A80" s="98"/>
      <c r="B80" s="98"/>
      <c r="C80" s="98"/>
      <c r="D80" s="98"/>
      <c r="E80" s="98"/>
      <c r="F80" s="98"/>
      <c r="G80" s="98"/>
      <c r="H80" s="38">
        <f>0</f>
        <v>0</v>
      </c>
      <c r="I80" s="29">
        <f>G77*H80</f>
        <v>0</v>
      </c>
      <c r="J80">
        <v>4</v>
      </c>
      <c r="N80" s="4">
        <f>IF(ISERR(SEARCH("TRA* 82",C77)),IF(Q80+R80+S80=0,0,I80*(Q80/(Q80+R80+S80))),I80)</f>
        <v>0</v>
      </c>
      <c r="O80" s="4">
        <f>IF(ISERR(SEARCH("TRA* 82",C77)),IF(Q80+R80+S80=0,0,I80*(R80/(Q80+R80+S80))),0)</f>
        <v>0</v>
      </c>
      <c r="P80" s="4">
        <f>IF(ISERR(SEARCH("TRA* 82",C77)),I80-N80-O80,0)</f>
        <v>0</v>
      </c>
      <c r="Q80" s="4">
        <v>0</v>
      </c>
      <c r="R80" s="4">
        <v>0</v>
      </c>
      <c r="S80" s="4">
        <v>0</v>
      </c>
    </row>
    <row r="81" spans="1:19" x14ac:dyDescent="0.3">
      <c r="A81" s="96" t="s">
        <v>27</v>
      </c>
      <c r="B81" s="97"/>
      <c r="C81" s="97"/>
      <c r="D81" s="97"/>
      <c r="E81" s="97"/>
      <c r="F81" s="97"/>
      <c r="G81" s="97"/>
      <c r="H81" s="36">
        <f>H77+H78+H79+H80</f>
        <v>1155.2050000000002</v>
      </c>
      <c r="I81" s="74">
        <f>I77+I78+I79+I80</f>
        <v>2310.4100000000003</v>
      </c>
      <c r="J81">
        <v>5</v>
      </c>
    </row>
    <row r="82" spans="1:19" x14ac:dyDescent="0.3">
      <c r="B82" s="2">
        <v>13</v>
      </c>
      <c r="C82" s="3" t="s">
        <v>1091</v>
      </c>
      <c r="D82" s="5" t="s">
        <v>29</v>
      </c>
      <c r="G82" s="30">
        <v>3</v>
      </c>
      <c r="H82" s="38">
        <f>1182.97/G82</f>
        <v>394.32333333333332</v>
      </c>
      <c r="I82" s="29">
        <f>G82*H82</f>
        <v>1182.97</v>
      </c>
      <c r="J82">
        <v>1</v>
      </c>
    </row>
    <row r="83" spans="1:19" x14ac:dyDescent="0.3">
      <c r="D83" s="15" t="str">
        <f>SUBSTITUTE("Sp.mat: 0.00%",".",IF(VALUE("1.2")=1.2,".",","),2)</f>
        <v>Sp.mat: 0.00%</v>
      </c>
      <c r="F83" s="15" t="str">
        <f>SUBSTITUTE("Sp.man: 0.00%",".",IF(VALUE("1.2")=1.2,".",","),2)</f>
        <v>Sp.man: 0.00%</v>
      </c>
      <c r="G83" s="35" t="str">
        <f>SUBSTITUTE("Sp.uti: 0.00%",".",IF(VALUE("1.2")=1.2,".",","),2)</f>
        <v>Sp.uti: 0.00%</v>
      </c>
      <c r="H83" s="38">
        <f>28.83/G82</f>
        <v>9.61</v>
      </c>
      <c r="I83" s="29">
        <f>G82*H83</f>
        <v>28.83</v>
      </c>
      <c r="J83">
        <v>2</v>
      </c>
    </row>
    <row r="84" spans="1:19" x14ac:dyDescent="0.3">
      <c r="A84" s="88" t="s">
        <v>1092</v>
      </c>
      <c r="B84" s="98"/>
      <c r="C84" s="98"/>
      <c r="D84" s="98"/>
      <c r="E84" s="98"/>
      <c r="F84" s="98"/>
      <c r="G84" s="98"/>
      <c r="H84" s="38">
        <f>(1+IF(OR(ISERR(FIND(":",G83)),ISERR(FIND("%",G83))),0,MID(G83,FIND(":",G83)+2,FIND("%",G83)-FIND(":",G83)-2)/100))*0</f>
        <v>0</v>
      </c>
      <c r="I84" s="29">
        <f>G82*H84</f>
        <v>0</v>
      </c>
      <c r="J84">
        <v>3</v>
      </c>
      <c r="K84" s="4">
        <v>0</v>
      </c>
      <c r="L84" s="4">
        <v>0</v>
      </c>
      <c r="M84" s="4">
        <f>I84-K84-L84</f>
        <v>0</v>
      </c>
    </row>
    <row r="85" spans="1:19" x14ac:dyDescent="0.3">
      <c r="A85" s="98"/>
      <c r="B85" s="98"/>
      <c r="C85" s="98"/>
      <c r="D85" s="98"/>
      <c r="E85" s="98"/>
      <c r="F85" s="98"/>
      <c r="G85" s="98"/>
      <c r="H85" s="38">
        <f>0</f>
        <v>0</v>
      </c>
      <c r="I85" s="29">
        <f>G82*H85</f>
        <v>0</v>
      </c>
      <c r="J85">
        <v>4</v>
      </c>
      <c r="N85" s="4">
        <f>IF(ISERR(SEARCH("TRA* 82",C82)),IF(Q85+R85+S85=0,0,I85*(Q85/(Q85+R85+S85))),I85)</f>
        <v>0</v>
      </c>
      <c r="O85" s="4">
        <f>IF(ISERR(SEARCH("TRA* 82",C82)),IF(Q85+R85+S85=0,0,I85*(R85/(Q85+R85+S85))),0)</f>
        <v>0</v>
      </c>
      <c r="P85" s="4">
        <f>IF(ISERR(SEARCH("TRA* 82",C82)),I85-N85-O85,0)</f>
        <v>0</v>
      </c>
      <c r="Q85" s="4">
        <v>0</v>
      </c>
      <c r="R85" s="4">
        <v>0</v>
      </c>
      <c r="S85" s="4">
        <v>0</v>
      </c>
    </row>
    <row r="86" spans="1:19" x14ac:dyDescent="0.3">
      <c r="A86" s="96" t="s">
        <v>27</v>
      </c>
      <c r="B86" s="97"/>
      <c r="C86" s="97"/>
      <c r="D86" s="97"/>
      <c r="E86" s="97"/>
      <c r="F86" s="97"/>
      <c r="G86" s="97"/>
      <c r="H86" s="36">
        <f>H82+H83+H84+H85</f>
        <v>403.93333333333334</v>
      </c>
      <c r="I86" s="74">
        <f>I82+I83+I84+I85</f>
        <v>1211.8</v>
      </c>
      <c r="J86">
        <v>5</v>
      </c>
    </row>
    <row r="87" spans="1:19" x14ac:dyDescent="0.3">
      <c r="B87" s="2">
        <v>14</v>
      </c>
      <c r="C87" s="3" t="s">
        <v>1093</v>
      </c>
      <c r="D87" s="5" t="s">
        <v>29</v>
      </c>
      <c r="G87" s="30">
        <v>3</v>
      </c>
      <c r="H87" s="38">
        <f>754.29/G87</f>
        <v>251.42999999999998</v>
      </c>
      <c r="I87" s="29">
        <f>G87*H87</f>
        <v>754.29</v>
      </c>
      <c r="J87">
        <v>1</v>
      </c>
    </row>
    <row r="88" spans="1:19" x14ac:dyDescent="0.3">
      <c r="D88" s="15" t="str">
        <f>SUBSTITUTE("Sp.mat: 0.00%",".",IF(VALUE("1.2")=1.2,".",","),2)</f>
        <v>Sp.mat: 0.00%</v>
      </c>
      <c r="F88" s="15" t="str">
        <f>SUBSTITUTE("Sp.man: 0.00%",".",IF(VALUE("1.2")=1.2,".",","),2)</f>
        <v>Sp.man: 0.00%</v>
      </c>
      <c r="G88" s="35" t="str">
        <f>SUBSTITUTE("Sp.uti: 0.00%",".",IF(VALUE("1.2")=1.2,".",","),2)</f>
        <v>Sp.uti: 0.00%</v>
      </c>
      <c r="H88" s="38">
        <f>52.86/G87</f>
        <v>17.62</v>
      </c>
      <c r="I88" s="29">
        <f>G87*H88</f>
        <v>52.86</v>
      </c>
      <c r="J88">
        <v>2</v>
      </c>
    </row>
    <row r="89" spans="1:19" x14ac:dyDescent="0.3">
      <c r="A89" s="88" t="s">
        <v>1094</v>
      </c>
      <c r="B89" s="98"/>
      <c r="C89" s="98"/>
      <c r="D89" s="98"/>
      <c r="E89" s="98"/>
      <c r="F89" s="98"/>
      <c r="G89" s="98"/>
      <c r="H89" s="38">
        <f>(1+IF(OR(ISERR(FIND(":",G88)),ISERR(FIND("%",G88))),0,MID(G88,FIND(":",G88)+2,FIND("%",G88)-FIND(":",G88)-2)/100))*0</f>
        <v>0</v>
      </c>
      <c r="I89" s="29">
        <f>G87*H89</f>
        <v>0</v>
      </c>
      <c r="J89">
        <v>3</v>
      </c>
      <c r="K89" s="4">
        <v>0</v>
      </c>
      <c r="L89" s="4">
        <v>0</v>
      </c>
      <c r="M89" s="4">
        <f>I89-K89-L89</f>
        <v>0</v>
      </c>
    </row>
    <row r="90" spans="1:19" x14ac:dyDescent="0.3">
      <c r="A90" s="98"/>
      <c r="B90" s="98"/>
      <c r="C90" s="98"/>
      <c r="D90" s="98"/>
      <c r="E90" s="98"/>
      <c r="F90" s="98"/>
      <c r="G90" s="98"/>
      <c r="H90" s="38">
        <f>0</f>
        <v>0</v>
      </c>
      <c r="I90" s="29">
        <f>G87*H90</f>
        <v>0</v>
      </c>
      <c r="J90">
        <v>4</v>
      </c>
      <c r="N90" s="4">
        <f>IF(ISERR(SEARCH("TRA* 82",C87)),IF(Q90+R90+S90=0,0,I90*(Q90/(Q90+R90+S90))),I90)</f>
        <v>0</v>
      </c>
      <c r="O90" s="4">
        <f>IF(ISERR(SEARCH("TRA* 82",C87)),IF(Q90+R90+S90=0,0,I90*(R90/(Q90+R90+S90))),0)</f>
        <v>0</v>
      </c>
      <c r="P90" s="4">
        <f>IF(ISERR(SEARCH("TRA* 82",C87)),I90-N90-O90,0)</f>
        <v>0</v>
      </c>
      <c r="Q90" s="4">
        <v>0</v>
      </c>
      <c r="R90" s="4">
        <v>0</v>
      </c>
      <c r="S90" s="4">
        <v>0</v>
      </c>
    </row>
    <row r="91" spans="1:19" x14ac:dyDescent="0.3">
      <c r="A91" s="96" t="s">
        <v>1095</v>
      </c>
      <c r="B91" s="97"/>
      <c r="C91" s="97"/>
      <c r="D91" s="97"/>
      <c r="E91" s="97"/>
      <c r="F91" s="97"/>
      <c r="G91" s="97"/>
      <c r="H91" s="36">
        <f>H87+H88+H89+H90</f>
        <v>269.04999999999995</v>
      </c>
      <c r="I91" s="74">
        <f>I87+I88+I89+I90</f>
        <v>807.15</v>
      </c>
      <c r="J91">
        <v>5</v>
      </c>
    </row>
    <row r="92" spans="1:19" x14ac:dyDescent="0.3">
      <c r="B92" s="2">
        <v>15</v>
      </c>
      <c r="C92" s="3" t="s">
        <v>1096</v>
      </c>
      <c r="D92" s="5" t="s">
        <v>29</v>
      </c>
      <c r="G92" s="30">
        <v>1</v>
      </c>
      <c r="H92" s="38">
        <v>244.78</v>
      </c>
      <c r="I92" s="29">
        <f>G92*H92</f>
        <v>244.78</v>
      </c>
      <c r="J92">
        <v>1</v>
      </c>
    </row>
    <row r="93" spans="1:19" x14ac:dyDescent="0.3">
      <c r="D93" s="15" t="str">
        <f>SUBSTITUTE("Sp.mat: 0.00%",".",IF(VALUE("1.2")=1.2,".",","),2)</f>
        <v>Sp.mat: 0.00%</v>
      </c>
      <c r="F93" s="15" t="str">
        <f>SUBSTITUTE("Sp.man: 0.00%",".",IF(VALUE("1.2")=1.2,".",","),2)</f>
        <v>Sp.man: 0.00%</v>
      </c>
      <c r="G93" s="35" t="str">
        <f>SUBSTITUTE("Sp.uti: 0.00%",".",IF(VALUE("1.2")=1.2,".",","),2)</f>
        <v>Sp.uti: 0.00%</v>
      </c>
      <c r="H93" s="38">
        <v>82.49</v>
      </c>
      <c r="I93" s="29">
        <f>G92*H93</f>
        <v>82.49</v>
      </c>
      <c r="J93">
        <v>2</v>
      </c>
    </row>
    <row r="94" spans="1:19" x14ac:dyDescent="0.3">
      <c r="A94" s="88" t="s">
        <v>1097</v>
      </c>
      <c r="B94" s="98"/>
      <c r="C94" s="98"/>
      <c r="D94" s="98"/>
      <c r="E94" s="98"/>
      <c r="F94" s="98"/>
      <c r="G94" s="98"/>
      <c r="H94" s="38">
        <f>(1+IF(OR(ISERR(FIND(":",G93)),ISERR(FIND("%",G93))),0,MID(G93,FIND(":",G93)+2,FIND("%",G93)-FIND(":",G93)-2)/100))*0</f>
        <v>0</v>
      </c>
      <c r="I94" s="29">
        <f>G92*H94</f>
        <v>0</v>
      </c>
      <c r="J94">
        <v>3</v>
      </c>
      <c r="K94" s="4">
        <v>0</v>
      </c>
      <c r="L94" s="4">
        <v>0</v>
      </c>
      <c r="M94" s="4">
        <f>I94-K94-L94</f>
        <v>0</v>
      </c>
    </row>
    <row r="95" spans="1:19" x14ac:dyDescent="0.3">
      <c r="A95" s="98"/>
      <c r="B95" s="98"/>
      <c r="C95" s="98"/>
      <c r="D95" s="98"/>
      <c r="E95" s="98"/>
      <c r="F95" s="98"/>
      <c r="G95" s="98"/>
      <c r="H95" s="38">
        <f>0</f>
        <v>0</v>
      </c>
      <c r="I95" s="29">
        <f>G92*H95</f>
        <v>0</v>
      </c>
      <c r="J95">
        <v>4</v>
      </c>
      <c r="N95" s="4">
        <f>IF(ISERR(SEARCH("TRA* 82",C92)),IF(Q95+R95+S95=0,0,I95*(Q95/(Q95+R95+S95))),I95)</f>
        <v>0</v>
      </c>
      <c r="O95" s="4">
        <f>IF(ISERR(SEARCH("TRA* 82",C92)),IF(Q95+R95+S95=0,0,I95*(R95/(Q95+R95+S95))),0)</f>
        <v>0</v>
      </c>
      <c r="P95" s="4">
        <f>IF(ISERR(SEARCH("TRA* 82",C92)),I95-N95-O95,0)</f>
        <v>0</v>
      </c>
      <c r="Q95" s="4">
        <v>0</v>
      </c>
      <c r="R95" s="4">
        <v>0</v>
      </c>
      <c r="S95" s="4">
        <v>0</v>
      </c>
    </row>
    <row r="96" spans="1:19" x14ac:dyDescent="0.3">
      <c r="A96" s="96" t="s">
        <v>27</v>
      </c>
      <c r="B96" s="97"/>
      <c r="C96" s="97"/>
      <c r="D96" s="97"/>
      <c r="E96" s="97"/>
      <c r="F96" s="97"/>
      <c r="G96" s="97"/>
      <c r="H96" s="36">
        <f>H92+H93+H94+H95</f>
        <v>327.27</v>
      </c>
      <c r="I96" s="74">
        <f>I92+I93+I94+I95</f>
        <v>327.27</v>
      </c>
      <c r="J96">
        <v>5</v>
      </c>
    </row>
    <row r="97" spans="1:19" x14ac:dyDescent="0.3">
      <c r="B97" s="2">
        <v>16</v>
      </c>
      <c r="C97" s="3" t="s">
        <v>1098</v>
      </c>
      <c r="D97" s="5" t="s">
        <v>29</v>
      </c>
      <c r="G97" s="30">
        <v>3</v>
      </c>
      <c r="H97" s="38">
        <f>177.27/G97</f>
        <v>59.09</v>
      </c>
      <c r="I97" s="29">
        <f>G97*H97</f>
        <v>177.27</v>
      </c>
      <c r="J97">
        <v>1</v>
      </c>
    </row>
    <row r="98" spans="1:19" x14ac:dyDescent="0.3">
      <c r="D98" s="15" t="str">
        <f>SUBSTITUTE("Sp.mat: 0.00%",".",IF(VALUE("1.2")=1.2,".",","),2)</f>
        <v>Sp.mat: 0.00%</v>
      </c>
      <c r="F98" s="15" t="str">
        <f>SUBSTITUTE("Sp.man: 0.00%",".",IF(VALUE("1.2")=1.2,".",","),2)</f>
        <v>Sp.man: 0.00%</v>
      </c>
      <c r="G98" s="35" t="str">
        <f>SUBSTITUTE("Sp.uti: 0.00%",".",IF(VALUE("1.2")=1.2,".",","),2)</f>
        <v>Sp.uti: 0.00%</v>
      </c>
      <c r="H98" s="38">
        <f>384.41/G97</f>
        <v>128.13666666666668</v>
      </c>
      <c r="I98" s="29">
        <f>G97*H98</f>
        <v>384.41000000000008</v>
      </c>
      <c r="J98">
        <v>2</v>
      </c>
    </row>
    <row r="99" spans="1:19" x14ac:dyDescent="0.3">
      <c r="A99" s="88" t="s">
        <v>1099</v>
      </c>
      <c r="B99" s="98"/>
      <c r="C99" s="98"/>
      <c r="D99" s="98"/>
      <c r="E99" s="98"/>
      <c r="F99" s="98"/>
      <c r="G99" s="98"/>
      <c r="H99" s="38">
        <f>(1+IF(OR(ISERR(FIND(":",G98)),ISERR(FIND("%",G98))),0,MID(G98,FIND(":",G98)+2,FIND("%",G98)-FIND(":",G98)-2)/100))*0</f>
        <v>0</v>
      </c>
      <c r="I99" s="29">
        <f>G97*H99</f>
        <v>0</v>
      </c>
      <c r="J99">
        <v>3</v>
      </c>
      <c r="K99" s="4">
        <v>0</v>
      </c>
      <c r="L99" s="4">
        <v>0</v>
      </c>
      <c r="M99" s="4">
        <f>I99-K99-L99</f>
        <v>0</v>
      </c>
    </row>
    <row r="100" spans="1:19" x14ac:dyDescent="0.3">
      <c r="A100" s="98"/>
      <c r="B100" s="98"/>
      <c r="C100" s="98"/>
      <c r="D100" s="98"/>
      <c r="E100" s="98"/>
      <c r="F100" s="98"/>
      <c r="G100" s="98"/>
      <c r="H100" s="38">
        <f>0</f>
        <v>0</v>
      </c>
      <c r="I100" s="29">
        <f>G97*H100</f>
        <v>0</v>
      </c>
      <c r="J100">
        <v>4</v>
      </c>
      <c r="N100" s="4">
        <f>IF(ISERR(SEARCH("TRA* 82",C97)),IF(Q100+R100+S100=0,0,I100*(Q100/(Q100+R100+S100))),I100)</f>
        <v>0</v>
      </c>
      <c r="O100" s="4">
        <f>IF(ISERR(SEARCH("TRA* 82",C97)),IF(Q100+R100+S100=0,0,I100*(R100/(Q100+R100+S100))),0)</f>
        <v>0</v>
      </c>
      <c r="P100" s="4">
        <f>IF(ISERR(SEARCH("TRA* 82",C97)),I100-N100-O100,0)</f>
        <v>0</v>
      </c>
      <c r="Q100" s="4">
        <v>0</v>
      </c>
      <c r="R100" s="4">
        <v>0</v>
      </c>
      <c r="S100" s="4">
        <v>0</v>
      </c>
    </row>
    <row r="101" spans="1:19" x14ac:dyDescent="0.3">
      <c r="A101" s="96" t="s">
        <v>27</v>
      </c>
      <c r="B101" s="97"/>
      <c r="C101" s="97"/>
      <c r="D101" s="97"/>
      <c r="E101" s="97"/>
      <c r="F101" s="97"/>
      <c r="G101" s="97"/>
      <c r="H101" s="36">
        <f>H97+H98+H99+H100</f>
        <v>187.22666666666669</v>
      </c>
      <c r="I101" s="74">
        <f>I97+I98+I99+I100</f>
        <v>561.68000000000006</v>
      </c>
      <c r="J101">
        <v>5</v>
      </c>
    </row>
    <row r="102" spans="1:19" x14ac:dyDescent="0.3">
      <c r="B102" s="2">
        <v>17</v>
      </c>
      <c r="C102" s="3" t="s">
        <v>1100</v>
      </c>
      <c r="D102" s="5" t="s">
        <v>29</v>
      </c>
      <c r="G102" s="30">
        <v>2</v>
      </c>
      <c r="H102" s="38">
        <f>481.28/G102</f>
        <v>240.64</v>
      </c>
      <c r="I102" s="29">
        <f>G102*H102</f>
        <v>481.28</v>
      </c>
      <c r="J102">
        <v>1</v>
      </c>
    </row>
    <row r="103" spans="1:19" x14ac:dyDescent="0.3">
      <c r="D103" s="15" t="str">
        <f>SUBSTITUTE("Sp.mat: 0.00%",".",IF(VALUE("1.2")=1.2,".",","),2)</f>
        <v>Sp.mat: 0.00%</v>
      </c>
      <c r="F103" s="15" t="str">
        <f>SUBSTITUTE("Sp.man: 0.00%",".",IF(VALUE("1.2")=1.2,".",","),2)</f>
        <v>Sp.man: 0.00%</v>
      </c>
      <c r="G103" s="35" t="str">
        <f>SUBSTITUTE("Sp.uti: 0.00%",".",IF(VALUE("1.2")=1.2,".",","),2)</f>
        <v>Sp.uti: 0.00%</v>
      </c>
      <c r="H103" s="38">
        <f>76.88/G102</f>
        <v>38.44</v>
      </c>
      <c r="I103" s="29">
        <f>G102*H103</f>
        <v>76.88</v>
      </c>
      <c r="J103">
        <v>2</v>
      </c>
    </row>
    <row r="104" spans="1:19" x14ac:dyDescent="0.3">
      <c r="A104" s="88" t="s">
        <v>1101</v>
      </c>
      <c r="B104" s="98"/>
      <c r="C104" s="98"/>
      <c r="D104" s="98"/>
      <c r="E104" s="98"/>
      <c r="F104" s="98"/>
      <c r="G104" s="98"/>
      <c r="H104" s="38">
        <f>(1+IF(OR(ISERR(FIND(":",G103)),ISERR(FIND("%",G103))),0,MID(G103,FIND(":",G103)+2,FIND("%",G103)-FIND(":",G103)-2)/100))*0</f>
        <v>0</v>
      </c>
      <c r="I104" s="29">
        <f>G102*H104</f>
        <v>0</v>
      </c>
      <c r="J104">
        <v>3</v>
      </c>
      <c r="K104" s="4">
        <v>0</v>
      </c>
      <c r="L104" s="4">
        <v>0</v>
      </c>
      <c r="M104" s="4">
        <f>I104-K104-L104</f>
        <v>0</v>
      </c>
    </row>
    <row r="105" spans="1:19" x14ac:dyDescent="0.3">
      <c r="A105" s="98"/>
      <c r="B105" s="98"/>
      <c r="C105" s="98"/>
      <c r="D105" s="98"/>
      <c r="E105" s="98"/>
      <c r="F105" s="98"/>
      <c r="G105" s="98"/>
      <c r="H105" s="38">
        <f>0</f>
        <v>0</v>
      </c>
      <c r="I105" s="29">
        <f>G102*H105</f>
        <v>0</v>
      </c>
      <c r="J105">
        <v>4</v>
      </c>
      <c r="N105" s="4">
        <f>IF(ISERR(SEARCH("TRA* 82",C102)),IF(Q105+R105+S105=0,0,I105*(Q105/(Q105+R105+S105))),I105)</f>
        <v>0</v>
      </c>
      <c r="O105" s="4">
        <f>IF(ISERR(SEARCH("TRA* 82",C102)),IF(Q105+R105+S105=0,0,I105*(R105/(Q105+R105+S105))),0)</f>
        <v>0</v>
      </c>
      <c r="P105" s="4">
        <f>IF(ISERR(SEARCH("TRA* 82",C102)),I105-N105-O105,0)</f>
        <v>0</v>
      </c>
      <c r="Q105" s="4">
        <v>0</v>
      </c>
      <c r="R105" s="4">
        <v>0</v>
      </c>
      <c r="S105" s="4">
        <v>0</v>
      </c>
    </row>
    <row r="106" spans="1:19" x14ac:dyDescent="0.3">
      <c r="A106" s="96" t="s">
        <v>27</v>
      </c>
      <c r="B106" s="97"/>
      <c r="C106" s="97"/>
      <c r="D106" s="97"/>
      <c r="E106" s="97"/>
      <c r="F106" s="97"/>
      <c r="G106" s="97"/>
      <c r="H106" s="36">
        <f>H102+H103+H104+H105</f>
        <v>279.08</v>
      </c>
      <c r="I106" s="74">
        <f>I102+I103+I104+I105</f>
        <v>558.16</v>
      </c>
      <c r="J106">
        <v>5</v>
      </c>
    </row>
    <row r="107" spans="1:19" x14ac:dyDescent="0.3">
      <c r="B107" s="2">
        <v>18</v>
      </c>
      <c r="C107" s="3" t="s">
        <v>1102</v>
      </c>
      <c r="D107" s="5" t="s">
        <v>29</v>
      </c>
      <c r="G107" s="30">
        <v>1</v>
      </c>
      <c r="H107" s="38">
        <v>290.37</v>
      </c>
      <c r="I107" s="29">
        <f>G107*H107</f>
        <v>290.37</v>
      </c>
      <c r="J107">
        <v>1</v>
      </c>
    </row>
    <row r="108" spans="1:19" x14ac:dyDescent="0.3">
      <c r="D108" s="15" t="str">
        <f>SUBSTITUTE("Sp.mat: 0.00%",".",IF(VALUE("1.2")=1.2,".",","),2)</f>
        <v>Sp.mat: 0.00%</v>
      </c>
      <c r="F108" s="15" t="str">
        <f>SUBSTITUTE("Sp.man: 0.00%",".",IF(VALUE("1.2")=1.2,".",","),2)</f>
        <v>Sp.man: 0.00%</v>
      </c>
      <c r="G108" s="35" t="str">
        <f>SUBSTITUTE("Sp.uti: 0.00%",".",IF(VALUE("1.2")=1.2,".",","),2)</f>
        <v>Sp.uti: 0.00%</v>
      </c>
      <c r="H108" s="38">
        <v>48.05</v>
      </c>
      <c r="I108" s="29">
        <f>G107*H108</f>
        <v>48.05</v>
      </c>
      <c r="J108">
        <v>2</v>
      </c>
    </row>
    <row r="109" spans="1:19" x14ac:dyDescent="0.3">
      <c r="A109" s="88" t="s">
        <v>1103</v>
      </c>
      <c r="B109" s="98"/>
      <c r="C109" s="98"/>
      <c r="D109" s="98"/>
      <c r="E109" s="98"/>
      <c r="F109" s="98"/>
      <c r="G109" s="98"/>
      <c r="H109" s="38">
        <f>(1+IF(OR(ISERR(FIND(":",G108)),ISERR(FIND("%",G108))),0,MID(G108,FIND(":",G108)+2,FIND("%",G108)-FIND(":",G108)-2)/100))*0</f>
        <v>0</v>
      </c>
      <c r="I109" s="29">
        <f>G107*H109</f>
        <v>0</v>
      </c>
      <c r="J109">
        <v>3</v>
      </c>
      <c r="K109" s="4">
        <v>0</v>
      </c>
      <c r="L109" s="4">
        <v>0</v>
      </c>
      <c r="M109" s="4">
        <f>I109-K109-L109</f>
        <v>0</v>
      </c>
    </row>
    <row r="110" spans="1:19" x14ac:dyDescent="0.3">
      <c r="A110" s="98"/>
      <c r="B110" s="98"/>
      <c r="C110" s="98"/>
      <c r="D110" s="98"/>
      <c r="E110" s="98"/>
      <c r="F110" s="98"/>
      <c r="G110" s="98"/>
      <c r="H110" s="38">
        <f>0</f>
        <v>0</v>
      </c>
      <c r="I110" s="29">
        <f>G107*H110</f>
        <v>0</v>
      </c>
      <c r="J110">
        <v>4</v>
      </c>
      <c r="N110" s="4">
        <f>IF(ISERR(SEARCH("TRA* 82",C107)),IF(Q110+R110+S110=0,0,I110*(Q110/(Q110+R110+S110))),I110)</f>
        <v>0</v>
      </c>
      <c r="O110" s="4">
        <f>IF(ISERR(SEARCH("TRA* 82",C107)),IF(Q110+R110+S110=0,0,I110*(R110/(Q110+R110+S110))),0)</f>
        <v>0</v>
      </c>
      <c r="P110" s="4">
        <f>IF(ISERR(SEARCH("TRA* 82",C107)),I110-N110-O110,0)</f>
        <v>0</v>
      </c>
      <c r="Q110" s="4">
        <v>0</v>
      </c>
      <c r="R110" s="4">
        <v>0</v>
      </c>
      <c r="S110" s="4">
        <v>0</v>
      </c>
    </row>
    <row r="111" spans="1:19" x14ac:dyDescent="0.3">
      <c r="A111" s="96" t="s">
        <v>27</v>
      </c>
      <c r="B111" s="97"/>
      <c r="C111" s="97"/>
      <c r="D111" s="97"/>
      <c r="E111" s="97"/>
      <c r="F111" s="97"/>
      <c r="G111" s="97"/>
      <c r="H111" s="36">
        <f>H107+H108+H109+H110</f>
        <v>338.42</v>
      </c>
      <c r="I111" s="74">
        <f>I107+I108+I109+I110</f>
        <v>338.42</v>
      </c>
      <c r="J111">
        <v>5</v>
      </c>
    </row>
    <row r="112" spans="1:19" x14ac:dyDescent="0.3">
      <c r="B112" s="2">
        <v>19</v>
      </c>
      <c r="C112" s="3" t="s">
        <v>1102</v>
      </c>
      <c r="D112" s="5" t="s">
        <v>29</v>
      </c>
      <c r="G112" s="30">
        <v>12</v>
      </c>
      <c r="H112" s="38">
        <f>4803.82/G112</f>
        <v>400.31833333333333</v>
      </c>
      <c r="I112" s="29">
        <f>G112*H112</f>
        <v>4803.82</v>
      </c>
      <c r="J112">
        <v>1</v>
      </c>
    </row>
    <row r="113" spans="1:19" x14ac:dyDescent="0.3">
      <c r="D113" s="15" t="str">
        <f>SUBSTITUTE("Sp.mat: 0.00%",".",IF(VALUE("1.2")=1.2,".",","),2)</f>
        <v>Sp.mat: 0.00%</v>
      </c>
      <c r="F113" s="15" t="str">
        <f>SUBSTITUTE("Sp.man: 0.00%",".",IF(VALUE("1.2")=1.2,".",","),2)</f>
        <v>Sp.man: 0.00%</v>
      </c>
      <c r="G113" s="35" t="str">
        <f>SUBSTITUTE("Sp.uti: 0.00%",".",IF(VALUE("1.2")=1.2,".",","),2)</f>
        <v>Sp.uti: 0.00%</v>
      </c>
      <c r="H113" s="38">
        <f>576.61/G112</f>
        <v>48.050833333333337</v>
      </c>
      <c r="I113" s="29">
        <f>G112*H113</f>
        <v>576.61</v>
      </c>
      <c r="J113">
        <v>2</v>
      </c>
    </row>
    <row r="114" spans="1:19" x14ac:dyDescent="0.3">
      <c r="A114" s="88" t="s">
        <v>1103</v>
      </c>
      <c r="B114" s="98"/>
      <c r="C114" s="98"/>
      <c r="D114" s="98"/>
      <c r="E114" s="98"/>
      <c r="F114" s="98"/>
      <c r="G114" s="98"/>
      <c r="H114" s="38">
        <f>(1+IF(OR(ISERR(FIND(":",G113)),ISERR(FIND("%",G113))),0,MID(G113,FIND(":",G113)+2,FIND("%",G113)-FIND(":",G113)-2)/100))*0</f>
        <v>0</v>
      </c>
      <c r="I114" s="29">
        <f>G112*H114</f>
        <v>0</v>
      </c>
      <c r="J114">
        <v>3</v>
      </c>
      <c r="K114" s="4">
        <v>0</v>
      </c>
      <c r="L114" s="4">
        <v>0</v>
      </c>
      <c r="M114" s="4">
        <f>I114-K114-L114</f>
        <v>0</v>
      </c>
    </row>
    <row r="115" spans="1:19" x14ac:dyDescent="0.3">
      <c r="A115" s="98"/>
      <c r="B115" s="98"/>
      <c r="C115" s="98"/>
      <c r="D115" s="98"/>
      <c r="E115" s="98"/>
      <c r="F115" s="98"/>
      <c r="G115" s="98"/>
      <c r="H115" s="38">
        <f>0</f>
        <v>0</v>
      </c>
      <c r="I115" s="29">
        <f>G112*H115</f>
        <v>0</v>
      </c>
      <c r="J115">
        <v>4</v>
      </c>
      <c r="N115" s="4">
        <f>IF(ISERR(SEARCH("TRA* 82",C112)),IF(Q115+R115+S115=0,0,I115*(Q115/(Q115+R115+S115))),I115)</f>
        <v>0</v>
      </c>
      <c r="O115" s="4">
        <f>IF(ISERR(SEARCH("TRA* 82",C112)),IF(Q115+R115+S115=0,0,I115*(R115/(Q115+R115+S115))),0)</f>
        <v>0</v>
      </c>
      <c r="P115" s="4">
        <f>IF(ISERR(SEARCH("TRA* 82",C112)),I115-N115-O115,0)</f>
        <v>0</v>
      </c>
      <c r="Q115" s="4">
        <v>0</v>
      </c>
      <c r="R115" s="4">
        <v>0</v>
      </c>
      <c r="S115" s="4">
        <v>0</v>
      </c>
    </row>
    <row r="116" spans="1:19" x14ac:dyDescent="0.3">
      <c r="A116" s="96" t="s">
        <v>27</v>
      </c>
      <c r="B116" s="97"/>
      <c r="C116" s="97"/>
      <c r="D116" s="97"/>
      <c r="E116" s="97"/>
      <c r="F116" s="97"/>
      <c r="G116" s="97"/>
      <c r="H116" s="36">
        <f>H112+H113+H114+H115</f>
        <v>448.36916666666667</v>
      </c>
      <c r="I116" s="74">
        <f>I112+I113+I114+I115</f>
        <v>5380.4299999999994</v>
      </c>
      <c r="J116">
        <v>5</v>
      </c>
    </row>
    <row r="117" spans="1:19" x14ac:dyDescent="0.3">
      <c r="B117" s="2">
        <v>20</v>
      </c>
      <c r="C117" s="3" t="s">
        <v>1104</v>
      </c>
      <c r="D117" s="5" t="s">
        <v>29</v>
      </c>
      <c r="G117" s="30">
        <v>8</v>
      </c>
      <c r="H117" s="38">
        <f>9593.4/G117</f>
        <v>1199.175</v>
      </c>
      <c r="I117" s="29">
        <f>G117*H117</f>
        <v>9593.4</v>
      </c>
      <c r="J117">
        <v>1</v>
      </c>
    </row>
    <row r="118" spans="1:19" x14ac:dyDescent="0.3">
      <c r="D118" s="15" t="str">
        <f>SUBSTITUTE("Sp.mat: 0.00%",".",IF(VALUE("1.2")=1.2,".",","),2)</f>
        <v>Sp.mat: 0.00%</v>
      </c>
      <c r="F118" s="15" t="str">
        <f>SUBSTITUTE("Sp.man: 0.00%",".",IF(VALUE("1.2")=1.2,".",","),2)</f>
        <v>Sp.man: 0.00%</v>
      </c>
      <c r="G118" s="35" t="str">
        <f>SUBSTITUTE("Sp.uti: 0.00%",".",IF(VALUE("1.2")=1.2,".",","),2)</f>
        <v>Sp.uti: 0.00%</v>
      </c>
      <c r="H118" s="38">
        <f>691.93/G117</f>
        <v>86.491249999999994</v>
      </c>
      <c r="I118" s="29">
        <f>G117*H118</f>
        <v>691.93</v>
      </c>
      <c r="J118">
        <v>2</v>
      </c>
    </row>
    <row r="119" spans="1:19" x14ac:dyDescent="0.3">
      <c r="A119" s="88" t="s">
        <v>1105</v>
      </c>
      <c r="B119" s="98"/>
      <c r="C119" s="98"/>
      <c r="D119" s="98"/>
      <c r="E119" s="98"/>
      <c r="F119" s="98"/>
      <c r="G119" s="98"/>
      <c r="H119" s="38">
        <f>(1+IF(OR(ISERR(FIND(":",G118)),ISERR(FIND("%",G118))),0,MID(G118,FIND(":",G118)+2,FIND("%",G118)-FIND(":",G118)-2)/100))*0</f>
        <v>0</v>
      </c>
      <c r="I119" s="29">
        <f>G117*H119</f>
        <v>0</v>
      </c>
      <c r="J119">
        <v>3</v>
      </c>
      <c r="K119" s="4">
        <v>0</v>
      </c>
      <c r="L119" s="4">
        <v>0</v>
      </c>
      <c r="M119" s="4">
        <f>I119-K119-L119</f>
        <v>0</v>
      </c>
    </row>
    <row r="120" spans="1:19" x14ac:dyDescent="0.3">
      <c r="A120" s="98"/>
      <c r="B120" s="98"/>
      <c r="C120" s="98"/>
      <c r="D120" s="98"/>
      <c r="E120" s="98"/>
      <c r="F120" s="98"/>
      <c r="G120" s="98"/>
      <c r="H120" s="38">
        <f>0</f>
        <v>0</v>
      </c>
      <c r="I120" s="29">
        <f>G117*H120</f>
        <v>0</v>
      </c>
      <c r="J120">
        <v>4</v>
      </c>
      <c r="N120" s="4">
        <f>IF(ISERR(SEARCH("TRA* 82",C117)),IF(Q120+R120+S120=0,0,I120*(Q120/(Q120+R120+S120))),I120)</f>
        <v>0</v>
      </c>
      <c r="O120" s="4">
        <f>IF(ISERR(SEARCH("TRA* 82",C117)),IF(Q120+R120+S120=0,0,I120*(R120/(Q120+R120+S120))),0)</f>
        <v>0</v>
      </c>
      <c r="P120" s="4">
        <f>IF(ISERR(SEARCH("TRA* 82",C117)),I120-N120-O120,0)</f>
        <v>0</v>
      </c>
      <c r="Q120" s="4">
        <v>0</v>
      </c>
      <c r="R120" s="4">
        <v>0</v>
      </c>
      <c r="S120" s="4">
        <v>0</v>
      </c>
    </row>
    <row r="121" spans="1:19" x14ac:dyDescent="0.3">
      <c r="A121" s="96" t="s">
        <v>27</v>
      </c>
      <c r="B121" s="97"/>
      <c r="C121" s="97"/>
      <c r="D121" s="97"/>
      <c r="E121" s="97"/>
      <c r="F121" s="97"/>
      <c r="G121" s="97"/>
      <c r="H121" s="36">
        <f>H117+H118+H119+H120</f>
        <v>1285.66625</v>
      </c>
      <c r="I121" s="74">
        <f>I117+I118+I119+I120</f>
        <v>10285.33</v>
      </c>
      <c r="J121">
        <v>5</v>
      </c>
    </row>
    <row r="122" spans="1:19" x14ac:dyDescent="0.3">
      <c r="B122" s="2">
        <v>21</v>
      </c>
      <c r="C122" s="3" t="s">
        <v>1106</v>
      </c>
      <c r="D122" s="5" t="s">
        <v>29</v>
      </c>
      <c r="G122" s="30">
        <v>7</v>
      </c>
      <c r="H122" s="38">
        <f>168.26/G122</f>
        <v>24.037142857142857</v>
      </c>
      <c r="I122" s="29">
        <f>G122*H122</f>
        <v>168.26</v>
      </c>
      <c r="J122">
        <v>1</v>
      </c>
    </row>
    <row r="123" spans="1:19" x14ac:dyDescent="0.3">
      <c r="D123" s="15" t="str">
        <f>SUBSTITUTE("Sp.mat: 0.00%",".",IF(VALUE("1.2")=1.2,".",","),2)</f>
        <v>Sp.mat: 0.00%</v>
      </c>
      <c r="F123" s="15" t="str">
        <f>SUBSTITUTE("Sp.man: 0.00%",".",IF(VALUE("1.2")=1.2,".",","),2)</f>
        <v>Sp.man: 0.00%</v>
      </c>
      <c r="G123" s="35" t="str">
        <f>SUBSTITUTE("Sp.uti: 0.00%",".",IF(VALUE("1.2")=1.2,".",","),2)</f>
        <v>Sp.uti: 0.00%</v>
      </c>
      <c r="H123" s="38">
        <f>33.64/G122</f>
        <v>4.805714285714286</v>
      </c>
      <c r="I123" s="29">
        <f>G122*H123</f>
        <v>33.64</v>
      </c>
      <c r="J123">
        <v>2</v>
      </c>
    </row>
    <row r="124" spans="1:19" x14ac:dyDescent="0.3">
      <c r="A124" s="88" t="s">
        <v>1107</v>
      </c>
      <c r="B124" s="98"/>
      <c r="C124" s="98"/>
      <c r="D124" s="98"/>
      <c r="E124" s="98"/>
      <c r="F124" s="98"/>
      <c r="G124" s="98"/>
      <c r="H124" s="38">
        <f>(1+IF(OR(ISERR(FIND(":",G123)),ISERR(FIND("%",G123))),0,MID(G123,FIND(":",G123)+2,FIND("%",G123)-FIND(":",G123)-2)/100))*0</f>
        <v>0</v>
      </c>
      <c r="I124" s="29">
        <f>G122*H124</f>
        <v>0</v>
      </c>
      <c r="J124">
        <v>3</v>
      </c>
      <c r="K124" s="4">
        <v>0</v>
      </c>
      <c r="L124" s="4">
        <v>0</v>
      </c>
      <c r="M124" s="4">
        <f>I124-K124-L124</f>
        <v>0</v>
      </c>
    </row>
    <row r="125" spans="1:19" x14ac:dyDescent="0.3">
      <c r="A125" s="98"/>
      <c r="B125" s="98"/>
      <c r="C125" s="98"/>
      <c r="D125" s="98"/>
      <c r="E125" s="98"/>
      <c r="F125" s="98"/>
      <c r="G125" s="98"/>
      <c r="H125" s="38">
        <f>0</f>
        <v>0</v>
      </c>
      <c r="I125" s="29">
        <f>G122*H125</f>
        <v>0</v>
      </c>
      <c r="J125">
        <v>4</v>
      </c>
      <c r="N125" s="4">
        <f>IF(ISERR(SEARCH("TRA* 82",C122)),IF(Q125+R125+S125=0,0,I125*(Q125/(Q125+R125+S125))),I125)</f>
        <v>0</v>
      </c>
      <c r="O125" s="4">
        <f>IF(ISERR(SEARCH("TRA* 82",C122)),IF(Q125+R125+S125=0,0,I125*(R125/(Q125+R125+S125))),0)</f>
        <v>0</v>
      </c>
      <c r="P125" s="4">
        <f>IF(ISERR(SEARCH("TRA* 82",C122)),I125-N125-O125,0)</f>
        <v>0</v>
      </c>
      <c r="Q125" s="4">
        <v>0</v>
      </c>
      <c r="R125" s="4">
        <v>0</v>
      </c>
      <c r="S125" s="4">
        <v>0</v>
      </c>
    </row>
    <row r="126" spans="1:19" x14ac:dyDescent="0.3">
      <c r="A126" s="96" t="s">
        <v>1108</v>
      </c>
      <c r="B126" s="97"/>
      <c r="C126" s="97"/>
      <c r="D126" s="97"/>
      <c r="E126" s="97"/>
      <c r="F126" s="97"/>
      <c r="G126" s="97"/>
      <c r="H126" s="36">
        <f>H122+H123+H124+H125</f>
        <v>28.842857142857142</v>
      </c>
      <c r="I126" s="74">
        <f>I122+I123+I124+I125</f>
        <v>201.89999999999998</v>
      </c>
      <c r="J126">
        <v>5</v>
      </c>
    </row>
    <row r="127" spans="1:19" x14ac:dyDescent="0.3">
      <c r="B127" s="2">
        <v>22</v>
      </c>
      <c r="C127" s="3" t="s">
        <v>1109</v>
      </c>
      <c r="D127" s="5" t="s">
        <v>29</v>
      </c>
      <c r="G127" s="30">
        <v>6</v>
      </c>
      <c r="H127" s="38">
        <f>2029.19/G127</f>
        <v>338.19833333333332</v>
      </c>
      <c r="I127" s="29">
        <f>G127*H127</f>
        <v>2029.19</v>
      </c>
      <c r="J127">
        <v>1</v>
      </c>
    </row>
    <row r="128" spans="1:19" x14ac:dyDescent="0.3">
      <c r="D128" s="15" t="str">
        <f>SUBSTITUTE("Sp.mat: 0.00%",".",IF(VALUE("1.2")=1.2,".",","),2)</f>
        <v>Sp.mat: 0.00%</v>
      </c>
      <c r="F128" s="15" t="str">
        <f>SUBSTITUTE("Sp.man: 0.00%",".",IF(VALUE("1.2")=1.2,".",","),2)</f>
        <v>Sp.man: 0.00%</v>
      </c>
      <c r="G128" s="35" t="str">
        <f>SUBSTITUTE("Sp.uti: 0.00%",".",IF(VALUE("1.2")=1.2,".",","),2)</f>
        <v>Sp.uti: 0.00%</v>
      </c>
      <c r="H128" s="38">
        <f>124.93/G127</f>
        <v>20.821666666666669</v>
      </c>
      <c r="I128" s="29">
        <f>G127*H128</f>
        <v>124.93</v>
      </c>
      <c r="J128">
        <v>2</v>
      </c>
    </row>
    <row r="129" spans="1:19" x14ac:dyDescent="0.3">
      <c r="A129" s="88" t="s">
        <v>1110</v>
      </c>
      <c r="B129" s="98"/>
      <c r="C129" s="98"/>
      <c r="D129" s="98"/>
      <c r="E129" s="98"/>
      <c r="F129" s="98"/>
      <c r="G129" s="98"/>
      <c r="H129" s="38">
        <f>(1+IF(OR(ISERR(FIND(":",G128)),ISERR(FIND("%",G128))),0,MID(G128,FIND(":",G128)+2,FIND("%",G128)-FIND(":",G128)-2)/100))*0</f>
        <v>0</v>
      </c>
      <c r="I129" s="29">
        <f>G127*H129</f>
        <v>0</v>
      </c>
      <c r="J129">
        <v>3</v>
      </c>
      <c r="K129" s="4">
        <v>0</v>
      </c>
      <c r="L129" s="4">
        <v>0</v>
      </c>
      <c r="M129" s="4">
        <f>I129-K129-L129</f>
        <v>0</v>
      </c>
    </row>
    <row r="130" spans="1:19" x14ac:dyDescent="0.3">
      <c r="A130" s="98"/>
      <c r="B130" s="98"/>
      <c r="C130" s="98"/>
      <c r="D130" s="98"/>
      <c r="E130" s="98"/>
      <c r="F130" s="98"/>
      <c r="G130" s="98"/>
      <c r="H130" s="38">
        <f>0</f>
        <v>0</v>
      </c>
      <c r="I130" s="29">
        <f>G127*H130</f>
        <v>0</v>
      </c>
      <c r="J130">
        <v>4</v>
      </c>
      <c r="N130" s="4">
        <f>IF(ISERR(SEARCH("TRA* 82",C127)),IF(Q130+R130+S130=0,0,I130*(Q130/(Q130+R130+S130))),I130)</f>
        <v>0</v>
      </c>
      <c r="O130" s="4">
        <f>IF(ISERR(SEARCH("TRA* 82",C127)),IF(Q130+R130+S130=0,0,I130*(R130/(Q130+R130+S130))),0)</f>
        <v>0</v>
      </c>
      <c r="P130" s="4">
        <f>IF(ISERR(SEARCH("TRA* 82",C127)),I130-N130-O130,0)</f>
        <v>0</v>
      </c>
      <c r="Q130" s="4">
        <v>0</v>
      </c>
      <c r="R130" s="4">
        <v>0</v>
      </c>
      <c r="S130" s="4">
        <v>0</v>
      </c>
    </row>
    <row r="131" spans="1:19" x14ac:dyDescent="0.3">
      <c r="A131" s="96" t="s">
        <v>27</v>
      </c>
      <c r="B131" s="97"/>
      <c r="C131" s="97"/>
      <c r="D131" s="97"/>
      <c r="E131" s="97"/>
      <c r="F131" s="97"/>
      <c r="G131" s="97"/>
      <c r="H131" s="36">
        <f>H127+H128+H129+H130</f>
        <v>359.02</v>
      </c>
      <c r="I131" s="74">
        <f>I127+I128+I129+I130</f>
        <v>2154.12</v>
      </c>
      <c r="J131">
        <v>5</v>
      </c>
    </row>
    <row r="132" spans="1:19" x14ac:dyDescent="0.3">
      <c r="B132" s="2">
        <v>23</v>
      </c>
      <c r="C132" s="3" t="s">
        <v>1111</v>
      </c>
      <c r="D132" s="5" t="s">
        <v>29</v>
      </c>
      <c r="G132" s="30">
        <v>3</v>
      </c>
      <c r="H132" s="38">
        <f>1527.26/G132</f>
        <v>509.08666666666664</v>
      </c>
      <c r="I132" s="29">
        <f>G132*H132</f>
        <v>1527.26</v>
      </c>
      <c r="J132">
        <v>1</v>
      </c>
    </row>
    <row r="133" spans="1:19" x14ac:dyDescent="0.3">
      <c r="D133" s="15" t="str">
        <f>SUBSTITUTE("Sp.mat: 0.00%",".",IF(VALUE("1.2")=1.2,".",","),2)</f>
        <v>Sp.mat: 0.00%</v>
      </c>
      <c r="F133" s="15" t="str">
        <f>SUBSTITUTE("Sp.man: 0.00%",".",IF(VALUE("1.2")=1.2,".",","),2)</f>
        <v>Sp.man: 0.00%</v>
      </c>
      <c r="G133" s="35" t="str">
        <f>SUBSTITUTE("Sp.uti: 0.00%",".",IF(VALUE("1.2")=1.2,".",","),2)</f>
        <v>Sp.uti: 0.00%</v>
      </c>
      <c r="H133" s="38">
        <f>76.88/G132</f>
        <v>25.626666666666665</v>
      </c>
      <c r="I133" s="29">
        <f>G132*H133</f>
        <v>76.88</v>
      </c>
      <c r="J133">
        <v>2</v>
      </c>
    </row>
    <row r="134" spans="1:19" x14ac:dyDescent="0.3">
      <c r="A134" s="88" t="s">
        <v>1112</v>
      </c>
      <c r="B134" s="98"/>
      <c r="C134" s="98"/>
      <c r="D134" s="98"/>
      <c r="E134" s="98"/>
      <c r="F134" s="98"/>
      <c r="G134" s="98"/>
      <c r="H134" s="38">
        <f>(1+IF(OR(ISERR(FIND(":",G133)),ISERR(FIND("%",G133))),0,MID(G133,FIND(":",G133)+2,FIND("%",G133)-FIND(":",G133)-2)/100))*0</f>
        <v>0</v>
      </c>
      <c r="I134" s="29">
        <f>G132*H134</f>
        <v>0</v>
      </c>
      <c r="J134">
        <v>3</v>
      </c>
      <c r="K134" s="4">
        <v>0</v>
      </c>
      <c r="L134" s="4">
        <v>0</v>
      </c>
      <c r="M134" s="4">
        <f>I134-K134-L134</f>
        <v>0</v>
      </c>
    </row>
    <row r="135" spans="1:19" x14ac:dyDescent="0.3">
      <c r="A135" s="98"/>
      <c r="B135" s="98"/>
      <c r="C135" s="98"/>
      <c r="D135" s="98"/>
      <c r="E135" s="98"/>
      <c r="F135" s="98"/>
      <c r="G135" s="98"/>
      <c r="H135" s="38">
        <f>0</f>
        <v>0</v>
      </c>
      <c r="I135" s="29">
        <f>G132*H135</f>
        <v>0</v>
      </c>
      <c r="J135">
        <v>4</v>
      </c>
      <c r="N135" s="4">
        <f>IF(ISERR(SEARCH("TRA* 82",C132)),IF(Q135+R135+S135=0,0,I135*(Q135/(Q135+R135+S135))),I135)</f>
        <v>0</v>
      </c>
      <c r="O135" s="4">
        <f>IF(ISERR(SEARCH("TRA* 82",C132)),IF(Q135+R135+S135=0,0,I135*(R135/(Q135+R135+S135))),0)</f>
        <v>0</v>
      </c>
      <c r="P135" s="4">
        <f>IF(ISERR(SEARCH("TRA* 82",C132)),I135-N135-O135,0)</f>
        <v>0</v>
      </c>
      <c r="Q135" s="4">
        <v>0</v>
      </c>
      <c r="R135" s="4">
        <v>0</v>
      </c>
      <c r="S135" s="4">
        <v>0</v>
      </c>
    </row>
    <row r="136" spans="1:19" x14ac:dyDescent="0.3">
      <c r="A136" s="96" t="s">
        <v>27</v>
      </c>
      <c r="B136" s="97"/>
      <c r="C136" s="97"/>
      <c r="D136" s="97"/>
      <c r="E136" s="97"/>
      <c r="F136" s="97"/>
      <c r="G136" s="97"/>
      <c r="H136" s="36">
        <f>H132+H133+H134+H135</f>
        <v>534.71333333333337</v>
      </c>
      <c r="I136" s="74">
        <f>I132+I133+I134+I135</f>
        <v>1604.1399999999999</v>
      </c>
      <c r="J136">
        <v>5</v>
      </c>
    </row>
    <row r="137" spans="1:19" x14ac:dyDescent="0.3">
      <c r="B137" s="2">
        <v>24</v>
      </c>
      <c r="C137" s="3" t="s">
        <v>1113</v>
      </c>
      <c r="D137" s="5" t="s">
        <v>29</v>
      </c>
      <c r="G137" s="30">
        <v>2</v>
      </c>
      <c r="H137" s="38">
        <f>78.76/G137</f>
        <v>39.380000000000003</v>
      </c>
      <c r="I137" s="29">
        <f>G137*H137</f>
        <v>78.760000000000005</v>
      </c>
      <c r="J137">
        <v>1</v>
      </c>
    </row>
    <row r="138" spans="1:19" x14ac:dyDescent="0.3">
      <c r="D138" s="15" t="str">
        <f>SUBSTITUTE("Sp.mat: 0.00%",".",IF(VALUE("1.2")=1.2,".",","),2)</f>
        <v>Sp.mat: 0.00%</v>
      </c>
      <c r="F138" s="15" t="str">
        <f>SUBSTITUTE("Sp.man: 0.00%",".",IF(VALUE("1.2")=1.2,".",","),2)</f>
        <v>Sp.man: 0.00%</v>
      </c>
      <c r="G138" s="35" t="str">
        <f>SUBSTITUTE("Sp.uti: 0.00%",".",IF(VALUE("1.2")=1.2,".",","),2)</f>
        <v>Sp.uti: 0.00%</v>
      </c>
      <c r="H138" s="38">
        <f>12.81/G137</f>
        <v>6.4050000000000002</v>
      </c>
      <c r="I138" s="29">
        <f>G137*H138</f>
        <v>12.81</v>
      </c>
      <c r="J138">
        <v>2</v>
      </c>
    </row>
    <row r="139" spans="1:19" x14ac:dyDescent="0.3">
      <c r="A139" s="88" t="s">
        <v>1114</v>
      </c>
      <c r="B139" s="98"/>
      <c r="C139" s="98"/>
      <c r="D139" s="98"/>
      <c r="E139" s="98"/>
      <c r="F139" s="98"/>
      <c r="G139" s="98"/>
      <c r="H139" s="38">
        <f>(1+IF(OR(ISERR(FIND(":",G138)),ISERR(FIND("%",G138))),0,MID(G138,FIND(":",G138)+2,FIND("%",G138)-FIND(":",G138)-2)/100))*0</f>
        <v>0</v>
      </c>
      <c r="I139" s="29">
        <f>G137*H139</f>
        <v>0</v>
      </c>
      <c r="J139">
        <v>3</v>
      </c>
      <c r="K139" s="4">
        <v>0</v>
      </c>
      <c r="L139" s="4">
        <v>0</v>
      </c>
      <c r="M139" s="4">
        <f>I139-K139-L139</f>
        <v>0</v>
      </c>
    </row>
    <row r="140" spans="1:19" x14ac:dyDescent="0.3">
      <c r="A140" s="98"/>
      <c r="B140" s="98"/>
      <c r="C140" s="98"/>
      <c r="D140" s="98"/>
      <c r="E140" s="98"/>
      <c r="F140" s="98"/>
      <c r="G140" s="98"/>
      <c r="H140" s="38">
        <f>0</f>
        <v>0</v>
      </c>
      <c r="I140" s="29">
        <f>G137*H140</f>
        <v>0</v>
      </c>
      <c r="J140">
        <v>4</v>
      </c>
      <c r="N140" s="4">
        <f>IF(ISERR(SEARCH("TRA* 82",C137)),IF(Q140+R140+S140=0,0,I140*(Q140/(Q140+R140+S140))),I140)</f>
        <v>0</v>
      </c>
      <c r="O140" s="4">
        <f>IF(ISERR(SEARCH("TRA* 82",C137)),IF(Q140+R140+S140=0,0,I140*(R140/(Q140+R140+S140))),0)</f>
        <v>0</v>
      </c>
      <c r="P140" s="4">
        <f>IF(ISERR(SEARCH("TRA* 82",C137)),I140-N140-O140,0)</f>
        <v>0</v>
      </c>
      <c r="Q140" s="4">
        <v>0</v>
      </c>
      <c r="R140" s="4">
        <v>0</v>
      </c>
      <c r="S140" s="4">
        <v>0</v>
      </c>
    </row>
    <row r="141" spans="1:19" x14ac:dyDescent="0.3">
      <c r="A141" s="96" t="s">
        <v>27</v>
      </c>
      <c r="B141" s="97"/>
      <c r="C141" s="97"/>
      <c r="D141" s="97"/>
      <c r="E141" s="97"/>
      <c r="F141" s="97"/>
      <c r="G141" s="97"/>
      <c r="H141" s="36">
        <f>H137+H138+H139+H140</f>
        <v>45.785000000000004</v>
      </c>
      <c r="I141" s="74">
        <f>I137+I138+I139+I140</f>
        <v>91.570000000000007</v>
      </c>
      <c r="J141">
        <v>5</v>
      </c>
    </row>
    <row r="142" spans="1:19" x14ac:dyDescent="0.3">
      <c r="B142" s="2">
        <v>25</v>
      </c>
      <c r="C142" s="3" t="s">
        <v>46</v>
      </c>
      <c r="D142" s="5" t="s">
        <v>29</v>
      </c>
      <c r="G142" s="30">
        <v>1</v>
      </c>
      <c r="H142" s="38">
        <v>1119.1300000000001</v>
      </c>
      <c r="I142" s="29">
        <f>G142*H142</f>
        <v>1119.1300000000001</v>
      </c>
      <c r="J142">
        <v>1</v>
      </c>
    </row>
    <row r="143" spans="1:19" x14ac:dyDescent="0.3">
      <c r="D143" s="15" t="str">
        <f>SUBSTITUTE("Sp.mat: 0.00%",".",IF(VALUE("1.2")=1.2,".",","),2)</f>
        <v>Sp.mat: 0.00%</v>
      </c>
      <c r="F143" s="15" t="str">
        <f>SUBSTITUTE("Sp.man: 0.00%",".",IF(VALUE("1.2")=1.2,".",","),2)</f>
        <v>Sp.man: 0.00%</v>
      </c>
      <c r="G143" s="35" t="str">
        <f>SUBSTITUTE("Sp.uti: 0.00%",".",IF(VALUE("1.2")=1.2,".",","),2)</f>
        <v>Sp.uti: 0.00%</v>
      </c>
      <c r="H143" s="38">
        <v>19.22</v>
      </c>
      <c r="I143" s="29">
        <f>G142*H143</f>
        <v>19.22</v>
      </c>
      <c r="J143">
        <v>2</v>
      </c>
    </row>
    <row r="144" spans="1:19" x14ac:dyDescent="0.3">
      <c r="A144" s="88" t="s">
        <v>47</v>
      </c>
      <c r="B144" s="98"/>
      <c r="C144" s="98"/>
      <c r="D144" s="98"/>
      <c r="E144" s="98"/>
      <c r="F144" s="98"/>
      <c r="G144" s="98"/>
      <c r="H144" s="38">
        <f>(1+IF(OR(ISERR(FIND(":",G143)),ISERR(FIND("%",G143))),0,MID(G143,FIND(":",G143)+2,FIND("%",G143)-FIND(":",G143)-2)/100))*0</f>
        <v>0</v>
      </c>
      <c r="I144" s="29">
        <f>G142*H144</f>
        <v>0</v>
      </c>
      <c r="J144">
        <v>3</v>
      </c>
      <c r="K144" s="4">
        <v>0</v>
      </c>
      <c r="L144" s="4">
        <v>0</v>
      </c>
      <c r="M144" s="4">
        <f>I144-K144-L144</f>
        <v>0</v>
      </c>
    </row>
    <row r="145" spans="1:19" x14ac:dyDescent="0.3">
      <c r="A145" s="98"/>
      <c r="B145" s="98"/>
      <c r="C145" s="98"/>
      <c r="D145" s="98"/>
      <c r="E145" s="98"/>
      <c r="F145" s="98"/>
      <c r="G145" s="98"/>
      <c r="H145" s="38">
        <f>0</f>
        <v>0</v>
      </c>
      <c r="I145" s="29">
        <f>G142*H145</f>
        <v>0</v>
      </c>
      <c r="J145">
        <v>4</v>
      </c>
      <c r="N145" s="4">
        <f>IF(ISERR(SEARCH("TRA* 82",C142)),IF(Q145+R145+S145=0,0,I145*(Q145/(Q145+R145+S145))),I145)</f>
        <v>0</v>
      </c>
      <c r="O145" s="4">
        <f>IF(ISERR(SEARCH("TRA* 82",C142)),IF(Q145+R145+S145=0,0,I145*(R145/(Q145+R145+S145))),0)</f>
        <v>0</v>
      </c>
      <c r="P145" s="4">
        <f>IF(ISERR(SEARCH("TRA* 82",C142)),I145-N145-O145,0)</f>
        <v>0</v>
      </c>
      <c r="Q145" s="4">
        <v>0</v>
      </c>
      <c r="R145" s="4">
        <v>0</v>
      </c>
      <c r="S145" s="4">
        <v>0</v>
      </c>
    </row>
    <row r="146" spans="1:19" x14ac:dyDescent="0.3">
      <c r="A146" s="96" t="s">
        <v>27</v>
      </c>
      <c r="B146" s="97"/>
      <c r="C146" s="97"/>
      <c r="D146" s="97"/>
      <c r="E146" s="97"/>
      <c r="F146" s="97"/>
      <c r="G146" s="97"/>
      <c r="H146" s="36">
        <f>H142+H143+H144+H145</f>
        <v>1138.3500000000001</v>
      </c>
      <c r="I146" s="74">
        <f>I142+I143+I144+I145</f>
        <v>1138.3500000000001</v>
      </c>
      <c r="J146">
        <v>5</v>
      </c>
    </row>
    <row r="147" spans="1:19" x14ac:dyDescent="0.3">
      <c r="B147" s="2">
        <v>26</v>
      </c>
      <c r="C147" s="3" t="s">
        <v>1115</v>
      </c>
      <c r="D147" s="5" t="s">
        <v>25</v>
      </c>
      <c r="G147" s="30">
        <v>651</v>
      </c>
      <c r="H147" s="38">
        <f>(1+IF(OR(ISERR(FIND(":",D148)),ISERR(FIND("%",D148))),0,MID(D148,FIND(":",D148)+2,FIND("%",D148)-FIND(":",D148)-2)/100))*0</f>
        <v>0</v>
      </c>
      <c r="I147" s="29">
        <f>G147*H147</f>
        <v>0</v>
      </c>
      <c r="J147">
        <v>1</v>
      </c>
    </row>
    <row r="148" spans="1:19" x14ac:dyDescent="0.3">
      <c r="D148" s="15" t="str">
        <f>SUBSTITUTE("Sp.mat: 0.00%",".",IF(VALUE("1.2")=1.2,".",","),2)</f>
        <v>Sp.mat: 0.00%</v>
      </c>
      <c r="F148" s="15" t="str">
        <f>SUBSTITUTE("Sp.man: 0.00%",".",IF(VALUE("1.2")=1.2,".",","),2)</f>
        <v>Sp.man: 0.00%</v>
      </c>
      <c r="G148" s="35" t="str">
        <f>SUBSTITUTE("Sp.uti: 0.00%",".",IF(VALUE("1.2")=1.2,".",","),2)</f>
        <v>Sp.uti: 0.00%</v>
      </c>
      <c r="H148" s="38">
        <f>729.89/G147</f>
        <v>1.1211827956989247</v>
      </c>
      <c r="I148" s="29">
        <f>G147*H148</f>
        <v>729.89</v>
      </c>
      <c r="J148">
        <v>2</v>
      </c>
    </row>
    <row r="149" spans="1:19" x14ac:dyDescent="0.3">
      <c r="A149" s="88" t="s">
        <v>1116</v>
      </c>
      <c r="B149" s="98"/>
      <c r="C149" s="98"/>
      <c r="D149" s="98"/>
      <c r="E149" s="98"/>
      <c r="F149" s="98"/>
      <c r="G149" s="98"/>
      <c r="H149" s="38">
        <f>(1+IF(OR(ISERR(FIND(":",G148)),ISERR(FIND("%",G148))),0,MID(G148,FIND(":",G148)+2,FIND("%",G148)-FIND(":",G148)-2)/100))*0</f>
        <v>0</v>
      </c>
      <c r="I149" s="29">
        <f>G147*H149</f>
        <v>0</v>
      </c>
      <c r="J149">
        <v>3</v>
      </c>
      <c r="K149" s="4">
        <v>0</v>
      </c>
      <c r="L149" s="4">
        <v>0</v>
      </c>
      <c r="M149" s="4">
        <f>I149-K149-L149</f>
        <v>0</v>
      </c>
    </row>
    <row r="150" spans="1:19" x14ac:dyDescent="0.3">
      <c r="A150" s="98"/>
      <c r="B150" s="98"/>
      <c r="C150" s="98"/>
      <c r="D150" s="98"/>
      <c r="E150" s="98"/>
      <c r="F150" s="98"/>
      <c r="G150" s="98"/>
      <c r="H150" s="38">
        <f>0</f>
        <v>0</v>
      </c>
      <c r="I150" s="29">
        <f>G147*H150</f>
        <v>0</v>
      </c>
      <c r="J150">
        <v>4</v>
      </c>
      <c r="N150" s="4">
        <f>IF(ISERR(SEARCH("TRA* 82",C147)),IF(Q150+R150+S150=0,0,I150*(Q150/(Q150+R150+S150))),I150)</f>
        <v>0</v>
      </c>
      <c r="O150" s="4">
        <f>IF(ISERR(SEARCH("TRA* 82",C147)),IF(Q150+R150+S150=0,0,I150*(R150/(Q150+R150+S150))),0)</f>
        <v>0</v>
      </c>
      <c r="P150" s="4">
        <f>IF(ISERR(SEARCH("TRA* 82",C147)),I150-N150-O150,0)</f>
        <v>0</v>
      </c>
      <c r="Q150" s="4">
        <v>0</v>
      </c>
      <c r="R150" s="4">
        <v>0</v>
      </c>
      <c r="S150" s="4">
        <v>0</v>
      </c>
    </row>
    <row r="151" spans="1:19" x14ac:dyDescent="0.3">
      <c r="A151" s="96" t="s">
        <v>27</v>
      </c>
      <c r="B151" s="97"/>
      <c r="C151" s="97"/>
      <c r="D151" s="97"/>
      <c r="E151" s="97"/>
      <c r="F151" s="97"/>
      <c r="G151" s="97"/>
      <c r="H151" s="36">
        <f>H147+H148+H149+H150</f>
        <v>1.1211827956989247</v>
      </c>
      <c r="I151" s="74">
        <f>I147+I148+I149+I150</f>
        <v>729.89</v>
      </c>
      <c r="J151">
        <v>5</v>
      </c>
    </row>
    <row r="152" spans="1:19" x14ac:dyDescent="0.3">
      <c r="B152" s="2">
        <v>27</v>
      </c>
      <c r="C152" s="3" t="s">
        <v>99</v>
      </c>
      <c r="D152" s="5" t="s">
        <v>25</v>
      </c>
      <c r="G152" s="30">
        <v>81</v>
      </c>
      <c r="H152" s="38">
        <f>(1+IF(OR(ISERR(FIND(":",D153)),ISERR(FIND("%",D153))),0,MID(D153,FIND(":",D153)+2,FIND("%",D153)-FIND(":",D153)-2)/100))*0</f>
        <v>0</v>
      </c>
      <c r="I152" s="29">
        <f>G152*H152</f>
        <v>0</v>
      </c>
      <c r="J152">
        <v>1</v>
      </c>
    </row>
    <row r="153" spans="1:19" x14ac:dyDescent="0.3">
      <c r="D153" s="15" t="str">
        <f>SUBSTITUTE("Sp.mat: 0.00%",".",IF(VALUE("1.2")=1.2,".",","),2)</f>
        <v>Sp.mat: 0.00%</v>
      </c>
      <c r="F153" s="15" t="str">
        <f>SUBSTITUTE("Sp.man: 0.00%",".",IF(VALUE("1.2")=1.2,".",","),2)</f>
        <v>Sp.man: 0.00%</v>
      </c>
      <c r="G153" s="35" t="str">
        <f>SUBSTITUTE("Sp.uti: 0.00%",".",IF(VALUE("1.2")=1.2,".",","),2)</f>
        <v>Sp.uti: 0.00%</v>
      </c>
      <c r="H153" s="38">
        <f>103.79/G152</f>
        <v>1.2813580246913581</v>
      </c>
      <c r="I153" s="29">
        <f>G152*H153</f>
        <v>103.79</v>
      </c>
      <c r="J153">
        <v>2</v>
      </c>
    </row>
    <row r="154" spans="1:19" x14ac:dyDescent="0.3">
      <c r="A154" s="88" t="s">
        <v>100</v>
      </c>
      <c r="B154" s="98"/>
      <c r="C154" s="98"/>
      <c r="D154" s="98"/>
      <c r="E154" s="98"/>
      <c r="F154" s="98"/>
      <c r="G154" s="98"/>
      <c r="H154" s="38">
        <f>(1+IF(OR(ISERR(FIND(":",G153)),ISERR(FIND("%",G153))),0,MID(G153,FIND(":",G153)+2,FIND("%",G153)-FIND(":",G153)-2)/100))*0</f>
        <v>0</v>
      </c>
      <c r="I154" s="29">
        <f>G152*H154</f>
        <v>0</v>
      </c>
      <c r="J154">
        <v>3</v>
      </c>
      <c r="K154" s="4">
        <v>0</v>
      </c>
      <c r="L154" s="4">
        <v>0</v>
      </c>
      <c r="M154" s="4">
        <f>I154-K154-L154</f>
        <v>0</v>
      </c>
    </row>
    <row r="155" spans="1:19" x14ac:dyDescent="0.3">
      <c r="A155" s="98"/>
      <c r="B155" s="98"/>
      <c r="C155" s="98"/>
      <c r="D155" s="98"/>
      <c r="E155" s="98"/>
      <c r="F155" s="98"/>
      <c r="G155" s="98"/>
      <c r="H155" s="38">
        <f>0</f>
        <v>0</v>
      </c>
      <c r="I155" s="29">
        <f>G152*H155</f>
        <v>0</v>
      </c>
      <c r="J155">
        <v>4</v>
      </c>
      <c r="N155" s="4">
        <f>IF(ISERR(SEARCH("TRA* 82",C152)),IF(Q155+R155+S155=0,0,I155*(Q155/(Q155+R155+S155))),I155)</f>
        <v>0</v>
      </c>
      <c r="O155" s="4">
        <f>IF(ISERR(SEARCH("TRA* 82",C152)),IF(Q155+R155+S155=0,0,I155*(R155/(Q155+R155+S155))),0)</f>
        <v>0</v>
      </c>
      <c r="P155" s="4">
        <f>IF(ISERR(SEARCH("TRA* 82",C152)),I155-N155-O155,0)</f>
        <v>0</v>
      </c>
      <c r="Q155" s="4">
        <v>0</v>
      </c>
      <c r="R155" s="4">
        <v>0</v>
      </c>
      <c r="S155" s="4">
        <v>0</v>
      </c>
    </row>
    <row r="156" spans="1:19" x14ac:dyDescent="0.3">
      <c r="A156" s="96" t="s">
        <v>27</v>
      </c>
      <c r="B156" s="97"/>
      <c r="C156" s="97"/>
      <c r="D156" s="97"/>
      <c r="E156" s="97"/>
      <c r="F156" s="97"/>
      <c r="G156" s="97"/>
      <c r="H156" s="36">
        <f>H152+H153+H154+H155</f>
        <v>1.2813580246913581</v>
      </c>
      <c r="I156" s="74">
        <f>I152+I153+I154+I155</f>
        <v>103.79</v>
      </c>
      <c r="J156">
        <v>5</v>
      </c>
    </row>
    <row r="157" spans="1:19" x14ac:dyDescent="0.3">
      <c r="B157" s="2">
        <v>28</v>
      </c>
      <c r="C157" s="3" t="s">
        <v>1117</v>
      </c>
      <c r="D157" s="5" t="s">
        <v>25</v>
      </c>
      <c r="G157" s="30">
        <v>651</v>
      </c>
      <c r="H157" s="38">
        <f>(1+IF(OR(ISERR(FIND(":",D158)),ISERR(FIND("%",D158))),0,MID(D158,FIND(":",D158)+2,FIND("%",D158)-FIND(":",D158)-2)/100))*0</f>
        <v>0</v>
      </c>
      <c r="I157" s="29">
        <f>G157*H157</f>
        <v>0</v>
      </c>
      <c r="J157">
        <v>1</v>
      </c>
    </row>
    <row r="158" spans="1:19" x14ac:dyDescent="0.3">
      <c r="D158" s="15" t="str">
        <f>SUBSTITUTE("Sp.mat: 0.00%",".",IF(VALUE("1.2")=1.2,".",","),2)</f>
        <v>Sp.mat: 0.00%</v>
      </c>
      <c r="F158" s="15" t="str">
        <f>SUBSTITUTE("Sp.man: 0.00%",".",IF(VALUE("1.2")=1.2,".",","),2)</f>
        <v>Sp.man: 0.00%</v>
      </c>
      <c r="G158" s="35" t="str">
        <f>SUBSTITUTE("Sp.uti: 0.00%",".",IF(VALUE("1.2")=1.2,".",","),2)</f>
        <v>Sp.uti: 0.00%</v>
      </c>
      <c r="H158" s="38">
        <f>1668.33/G157</f>
        <v>2.5627188940092163</v>
      </c>
      <c r="I158" s="29">
        <f>G157*H158</f>
        <v>1668.3299999999997</v>
      </c>
      <c r="J158">
        <v>2</v>
      </c>
    </row>
    <row r="159" spans="1:19" x14ac:dyDescent="0.3">
      <c r="A159" s="88" t="s">
        <v>1118</v>
      </c>
      <c r="B159" s="98"/>
      <c r="C159" s="98"/>
      <c r="D159" s="98"/>
      <c r="E159" s="98"/>
      <c r="F159" s="98"/>
      <c r="G159" s="98"/>
      <c r="H159" s="38">
        <f>(1+IF(OR(ISERR(FIND(":",G158)),ISERR(FIND("%",G158))),0,MID(G158,FIND(":",G158)+2,FIND("%",G158)-FIND(":",G158)-2)/100))*0</f>
        <v>0</v>
      </c>
      <c r="I159" s="29">
        <f>G157*H159</f>
        <v>0</v>
      </c>
      <c r="J159">
        <v>3</v>
      </c>
      <c r="K159" s="4">
        <v>0</v>
      </c>
      <c r="L159" s="4">
        <v>0</v>
      </c>
      <c r="M159" s="4">
        <f>I159-K159-L159</f>
        <v>0</v>
      </c>
    </row>
    <row r="160" spans="1:19" x14ac:dyDescent="0.3">
      <c r="A160" s="98"/>
      <c r="B160" s="98"/>
      <c r="C160" s="98"/>
      <c r="D160" s="98"/>
      <c r="E160" s="98"/>
      <c r="F160" s="98"/>
      <c r="G160" s="98"/>
      <c r="H160" s="38">
        <f>0</f>
        <v>0</v>
      </c>
      <c r="I160" s="29">
        <f>G157*H160</f>
        <v>0</v>
      </c>
      <c r="J160">
        <v>4</v>
      </c>
      <c r="N160" s="4">
        <f>IF(ISERR(SEARCH("TRA* 82",C157)),IF(Q160+R160+S160=0,0,I160*(Q160/(Q160+R160+S160))),I160)</f>
        <v>0</v>
      </c>
      <c r="O160" s="4">
        <f>IF(ISERR(SEARCH("TRA* 82",C157)),IF(Q160+R160+S160=0,0,I160*(R160/(Q160+R160+S160))),0)</f>
        <v>0</v>
      </c>
      <c r="P160" s="4">
        <f>IF(ISERR(SEARCH("TRA* 82",C157)),I160-N160-O160,0)</f>
        <v>0</v>
      </c>
      <c r="Q160" s="4">
        <v>0</v>
      </c>
      <c r="R160" s="4">
        <v>0</v>
      </c>
      <c r="S160" s="4">
        <v>0</v>
      </c>
    </row>
    <row r="161" spans="1:19" x14ac:dyDescent="0.3">
      <c r="A161" s="96" t="s">
        <v>27</v>
      </c>
      <c r="B161" s="97"/>
      <c r="C161" s="97"/>
      <c r="D161" s="97"/>
      <c r="E161" s="97"/>
      <c r="F161" s="97"/>
      <c r="G161" s="97"/>
      <c r="H161" s="36">
        <f>H157+H158+H159+H160</f>
        <v>2.5627188940092163</v>
      </c>
      <c r="I161" s="74">
        <f>I157+I158+I159+I160</f>
        <v>1668.3299999999997</v>
      </c>
      <c r="J161">
        <v>5</v>
      </c>
    </row>
    <row r="162" spans="1:19" x14ac:dyDescent="0.3">
      <c r="B162" s="2">
        <v>29</v>
      </c>
      <c r="C162" s="3" t="s">
        <v>1119</v>
      </c>
      <c r="D162" s="5" t="s">
        <v>25</v>
      </c>
      <c r="G162" s="30">
        <v>81</v>
      </c>
      <c r="H162" s="38">
        <f>(1+IF(OR(ISERR(FIND(":",D163)),ISERR(FIND("%",D163))),0,MID(D163,FIND(":",D163)+2,FIND("%",D163)-FIND(":",D163)-2)/100))*0</f>
        <v>0</v>
      </c>
      <c r="I162" s="29">
        <f>G162*H162</f>
        <v>0</v>
      </c>
      <c r="J162">
        <v>1</v>
      </c>
    </row>
    <row r="163" spans="1:19" x14ac:dyDescent="0.3">
      <c r="D163" s="15" t="str">
        <f>SUBSTITUTE("Sp.mat: 0.00%",".",IF(VALUE("1.2")=1.2,".",","),2)</f>
        <v>Sp.mat: 0.00%</v>
      </c>
      <c r="F163" s="15" t="str">
        <f>SUBSTITUTE("Sp.man: 0.00%",".",IF(VALUE("1.2")=1.2,".",","),2)</f>
        <v>Sp.man: 0.00%</v>
      </c>
      <c r="G163" s="35" t="str">
        <f>SUBSTITUTE("Sp.uti: 0.00%",".",IF(VALUE("1.2")=1.2,".",","),2)</f>
        <v>Sp.uti: 0.00%</v>
      </c>
      <c r="H163" s="38">
        <f>259.48/G162</f>
        <v>3.203456790123457</v>
      </c>
      <c r="I163" s="29">
        <f>G162*H163</f>
        <v>259.48</v>
      </c>
      <c r="J163">
        <v>2</v>
      </c>
    </row>
    <row r="164" spans="1:19" x14ac:dyDescent="0.3">
      <c r="A164" s="88" t="s">
        <v>1120</v>
      </c>
      <c r="B164" s="98"/>
      <c r="C164" s="98"/>
      <c r="D164" s="98"/>
      <c r="E164" s="98"/>
      <c r="F164" s="98"/>
      <c r="G164" s="98"/>
      <c r="H164" s="38">
        <f>(1+IF(OR(ISERR(FIND(":",G163)),ISERR(FIND("%",G163))),0,MID(G163,FIND(":",G163)+2,FIND("%",G163)-FIND(":",G163)-2)/100))*0</f>
        <v>0</v>
      </c>
      <c r="I164" s="29">
        <f>G162*H164</f>
        <v>0</v>
      </c>
      <c r="J164">
        <v>3</v>
      </c>
      <c r="K164" s="4">
        <v>0</v>
      </c>
      <c r="L164" s="4">
        <v>0</v>
      </c>
      <c r="M164" s="4">
        <f>I164-K164-L164</f>
        <v>0</v>
      </c>
    </row>
    <row r="165" spans="1:19" x14ac:dyDescent="0.3">
      <c r="A165" s="98"/>
      <c r="B165" s="98"/>
      <c r="C165" s="98"/>
      <c r="D165" s="98"/>
      <c r="E165" s="98"/>
      <c r="F165" s="98"/>
      <c r="G165" s="98"/>
      <c r="H165" s="38">
        <f>0</f>
        <v>0</v>
      </c>
      <c r="I165" s="29">
        <f>G162*H165</f>
        <v>0</v>
      </c>
      <c r="J165">
        <v>4</v>
      </c>
      <c r="N165" s="4">
        <f>IF(ISERR(SEARCH("TRA* 82",C162)),IF(Q165+R165+S165=0,0,I165*(Q165/(Q165+R165+S165))),I165)</f>
        <v>0</v>
      </c>
      <c r="O165" s="4">
        <f>IF(ISERR(SEARCH("TRA* 82",C162)),IF(Q165+R165+S165=0,0,I165*(R165/(Q165+R165+S165))),0)</f>
        <v>0</v>
      </c>
      <c r="P165" s="4">
        <f>IF(ISERR(SEARCH("TRA* 82",C162)),I165-N165-O165,0)</f>
        <v>0</v>
      </c>
      <c r="Q165" s="4">
        <v>0</v>
      </c>
      <c r="R165" s="4">
        <v>0</v>
      </c>
      <c r="S165" s="4">
        <v>0</v>
      </c>
    </row>
    <row r="166" spans="1:19" x14ac:dyDescent="0.3">
      <c r="A166" s="96" t="s">
        <v>27</v>
      </c>
      <c r="B166" s="97"/>
      <c r="C166" s="97"/>
      <c r="D166" s="97"/>
      <c r="E166" s="97"/>
      <c r="F166" s="97"/>
      <c r="G166" s="97"/>
      <c r="H166" s="36">
        <f>H162+H163+H164+H165</f>
        <v>3.203456790123457</v>
      </c>
      <c r="I166" s="74">
        <f>I162+I163+I164+I165</f>
        <v>259.48</v>
      </c>
      <c r="J166">
        <v>5</v>
      </c>
    </row>
    <row r="167" spans="1:19" x14ac:dyDescent="0.3">
      <c r="B167" s="2">
        <v>30</v>
      </c>
      <c r="C167" s="3" t="s">
        <v>135</v>
      </c>
      <c r="D167" s="5" t="s">
        <v>35</v>
      </c>
      <c r="G167" s="30">
        <v>195</v>
      </c>
      <c r="H167" s="38">
        <f>(1+IF(OR(ISERR(FIND(":",D168)),ISERR(FIND("%",D168))),0,MID(D168,FIND(":",D168)+2,FIND("%",D168)-FIND(":",D168)-2)/100))*0</f>
        <v>0</v>
      </c>
      <c r="I167" s="29">
        <f>G167*H167</f>
        <v>0</v>
      </c>
      <c r="J167">
        <v>1</v>
      </c>
    </row>
    <row r="168" spans="1:19" x14ac:dyDescent="0.3">
      <c r="D168" s="15" t="str">
        <f>SUBSTITUTE("Sp.mat: 0.00%",".",IF(VALUE("1.2")=1.2,".",","),2)</f>
        <v>Sp.mat: 0.00%</v>
      </c>
      <c r="F168" s="15" t="str">
        <f>SUBSTITUTE("Sp.man: 0.00%",".",IF(VALUE("1.2")=1.2,".",","),2)</f>
        <v>Sp.man: 0.00%</v>
      </c>
      <c r="G168" s="35" t="str">
        <f>SUBSTITUTE("Sp.uti: 0.00%",".",IF(VALUE("1.2")=1.2,".",","),2)</f>
        <v>Sp.uti: 0.00%</v>
      </c>
      <c r="H168" s="38">
        <f>4653.74/G167</f>
        <v>23.865333333333332</v>
      </c>
      <c r="I168" s="29">
        <f>G167*H168</f>
        <v>4653.74</v>
      </c>
      <c r="J168">
        <v>2</v>
      </c>
    </row>
    <row r="169" spans="1:19" x14ac:dyDescent="0.3">
      <c r="A169" s="88" t="s">
        <v>136</v>
      </c>
      <c r="B169" s="98"/>
      <c r="C169" s="98"/>
      <c r="D169" s="98"/>
      <c r="E169" s="98"/>
      <c r="F169" s="98"/>
      <c r="G169" s="98"/>
      <c r="H169" s="38">
        <f>(1+IF(OR(ISERR(FIND(":",G168)),ISERR(FIND("%",G168))),0,MID(G168,FIND(":",G168)+2,FIND("%",G168)-FIND(":",G168)-2)/100))*0</f>
        <v>0</v>
      </c>
      <c r="I169" s="29">
        <f>G167*H169</f>
        <v>0</v>
      </c>
      <c r="J169">
        <v>3</v>
      </c>
      <c r="K169" s="4">
        <v>0</v>
      </c>
      <c r="L169" s="4">
        <v>0</v>
      </c>
      <c r="M169" s="4">
        <f>I169-K169-L169</f>
        <v>0</v>
      </c>
    </row>
    <row r="170" spans="1:19" x14ac:dyDescent="0.3">
      <c r="A170" s="98"/>
      <c r="B170" s="98"/>
      <c r="C170" s="98"/>
      <c r="D170" s="98"/>
      <c r="E170" s="98"/>
      <c r="F170" s="98"/>
      <c r="G170" s="98"/>
      <c r="H170" s="38">
        <f>0</f>
        <v>0</v>
      </c>
      <c r="I170" s="29">
        <f>G167*H170</f>
        <v>0</v>
      </c>
      <c r="J170">
        <v>4</v>
      </c>
      <c r="N170" s="4">
        <f>IF(ISERR(SEARCH("TRA* 82",C167)),IF(Q170+R170+S170=0,0,I170*(Q170/(Q170+R170+S170))),I170)</f>
        <v>0</v>
      </c>
      <c r="O170" s="4">
        <f>IF(ISERR(SEARCH("TRA* 82",C167)),IF(Q170+R170+S170=0,0,I170*(R170/(Q170+R170+S170))),0)</f>
        <v>0</v>
      </c>
      <c r="P170" s="4">
        <f>IF(ISERR(SEARCH("TRA* 82",C167)),I170-N170-O170,0)</f>
        <v>0</v>
      </c>
      <c r="Q170" s="4">
        <v>0</v>
      </c>
      <c r="R170" s="4">
        <v>0</v>
      </c>
      <c r="S170" s="4">
        <v>0</v>
      </c>
    </row>
    <row r="171" spans="1:19" x14ac:dyDescent="0.3">
      <c r="A171" s="96" t="s">
        <v>27</v>
      </c>
      <c r="B171" s="97"/>
      <c r="C171" s="97"/>
      <c r="D171" s="97"/>
      <c r="E171" s="97"/>
      <c r="F171" s="97"/>
      <c r="G171" s="97"/>
      <c r="H171" s="36">
        <f>H167+H168+H169+H170</f>
        <v>23.865333333333332</v>
      </c>
      <c r="I171" s="74">
        <f>I167+I168+I169+I170</f>
        <v>4653.74</v>
      </c>
      <c r="J171">
        <v>5</v>
      </c>
    </row>
    <row r="172" spans="1:19" x14ac:dyDescent="0.3">
      <c r="B172" s="2">
        <v>31</v>
      </c>
      <c r="C172" s="3" t="s">
        <v>34</v>
      </c>
      <c r="D172" s="5" t="s">
        <v>35</v>
      </c>
      <c r="G172" s="30">
        <v>68</v>
      </c>
      <c r="H172" s="38">
        <f>2798.4/G172</f>
        <v>41.152941176470591</v>
      </c>
      <c r="I172" s="29">
        <f>G172*H172</f>
        <v>2798.4</v>
      </c>
      <c r="J172">
        <v>1</v>
      </c>
    </row>
    <row r="173" spans="1:19" x14ac:dyDescent="0.3">
      <c r="D173" s="15" t="str">
        <f>SUBSTITUTE("Sp.mat: 0.00%",".",IF(VALUE("1.2")=1.2,".",","),2)</f>
        <v>Sp.mat: 0.00%</v>
      </c>
      <c r="F173" s="15" t="str">
        <f>SUBSTITUTE("Sp.man: 0.00%",".",IF(VALUE("1.2")=1.2,".",","),2)</f>
        <v>Sp.man: 0.00%</v>
      </c>
      <c r="G173" s="35" t="str">
        <f>SUBSTITUTE("Sp.uti: 0.00%",".",IF(VALUE("1.2")=1.2,".",","),2)</f>
        <v>Sp.uti: 0.00%</v>
      </c>
      <c r="H173" s="38">
        <f>664.39/G172</f>
        <v>9.7704411764705874</v>
      </c>
      <c r="I173" s="29">
        <f>G172*H173</f>
        <v>664.39</v>
      </c>
      <c r="J173">
        <v>2</v>
      </c>
    </row>
    <row r="174" spans="1:19" x14ac:dyDescent="0.3">
      <c r="A174" s="88" t="s">
        <v>36</v>
      </c>
      <c r="B174" s="98"/>
      <c r="C174" s="98"/>
      <c r="D174" s="98"/>
      <c r="E174" s="98"/>
      <c r="F174" s="98"/>
      <c r="G174" s="98"/>
      <c r="H174" s="38">
        <f>(1+IF(OR(ISERR(FIND(":",G173)),ISERR(FIND("%",G173))),0,MID(G173,FIND(":",G173)+2,FIND("%",G173)-FIND(":",G173)-2)/100))*0</f>
        <v>0</v>
      </c>
      <c r="I174" s="29">
        <f>G172*H174</f>
        <v>0</v>
      </c>
      <c r="J174">
        <v>3</v>
      </c>
      <c r="K174" s="4">
        <v>0</v>
      </c>
      <c r="L174" s="4">
        <v>0</v>
      </c>
      <c r="M174" s="4">
        <f>I174-K174-L174</f>
        <v>0</v>
      </c>
    </row>
    <row r="175" spans="1:19" x14ac:dyDescent="0.3">
      <c r="A175" s="98"/>
      <c r="B175" s="98"/>
      <c r="C175" s="98"/>
      <c r="D175" s="98"/>
      <c r="E175" s="98"/>
      <c r="F175" s="98"/>
      <c r="G175" s="98"/>
      <c r="H175" s="38">
        <f>0</f>
        <v>0</v>
      </c>
      <c r="I175" s="29">
        <f>G172*H175</f>
        <v>0</v>
      </c>
      <c r="J175">
        <v>4</v>
      </c>
      <c r="N175" s="4">
        <f>IF(ISERR(SEARCH("TRA* 82",C172)),IF(Q175+R175+S175=0,0,I175*(Q175/(Q175+R175+S175))),I175)</f>
        <v>0</v>
      </c>
      <c r="O175" s="4">
        <f>IF(ISERR(SEARCH("TRA* 82",C172)),IF(Q175+R175+S175=0,0,I175*(R175/(Q175+R175+S175))),0)</f>
        <v>0</v>
      </c>
      <c r="P175" s="4">
        <f>IF(ISERR(SEARCH("TRA* 82",C172)),I175-N175-O175,0)</f>
        <v>0</v>
      </c>
      <c r="Q175" s="4">
        <v>0</v>
      </c>
      <c r="R175" s="4">
        <v>0</v>
      </c>
      <c r="S175" s="4">
        <v>0</v>
      </c>
    </row>
    <row r="176" spans="1:19" x14ac:dyDescent="0.3">
      <c r="A176" s="96" t="s">
        <v>27</v>
      </c>
      <c r="B176" s="97"/>
      <c r="C176" s="97"/>
      <c r="D176" s="97"/>
      <c r="E176" s="97"/>
      <c r="F176" s="97"/>
      <c r="G176" s="97"/>
      <c r="H176" s="36">
        <f>H172+H173+H174+H175</f>
        <v>50.923382352941175</v>
      </c>
      <c r="I176" s="74">
        <f>I172+I173+I174+I175</f>
        <v>3462.79</v>
      </c>
      <c r="J176">
        <v>5</v>
      </c>
    </row>
    <row r="177" spans="1:19" x14ac:dyDescent="0.3">
      <c r="B177" s="2">
        <v>32</v>
      </c>
      <c r="C177" s="3" t="s">
        <v>886</v>
      </c>
      <c r="D177" s="5" t="s">
        <v>35</v>
      </c>
      <c r="G177" s="30">
        <v>195</v>
      </c>
      <c r="H177" s="38">
        <f>(1+IF(OR(ISERR(FIND(":",D178)),ISERR(FIND("%",D178))),0,MID(D178,FIND(":",D178)+2,FIND("%",D178)-FIND(":",D178)-2)/100))*0</f>
        <v>0</v>
      </c>
      <c r="I177" s="29">
        <f>G177*H177</f>
        <v>0</v>
      </c>
      <c r="J177">
        <v>1</v>
      </c>
    </row>
    <row r="178" spans="1:19" x14ac:dyDescent="0.3">
      <c r="D178" s="15" t="str">
        <f>SUBSTITUTE("Sp.mat: 0.00%",".",IF(VALUE("1.2")=1.2,".",","),2)</f>
        <v>Sp.mat: 0.00%</v>
      </c>
      <c r="F178" s="15" t="str">
        <f>SUBSTITUTE("Sp.man: 0.00%",".",IF(VALUE("1.2")=1.2,".",","),2)</f>
        <v>Sp.man: 0.00%</v>
      </c>
      <c r="G178" s="35" t="str">
        <f>SUBSTITUTE("Sp.uti: 0.00%",".",IF(VALUE("1.2")=1.2,".",","),2)</f>
        <v>Sp.uti: 0.00%</v>
      </c>
      <c r="H178" s="38">
        <f>1352.4/G177</f>
        <v>6.9353846153846161</v>
      </c>
      <c r="I178" s="29">
        <f>G177*H178</f>
        <v>1352.4</v>
      </c>
      <c r="J178">
        <v>2</v>
      </c>
    </row>
    <row r="179" spans="1:19" x14ac:dyDescent="0.3">
      <c r="A179" s="88" t="s">
        <v>887</v>
      </c>
      <c r="B179" s="98"/>
      <c r="C179" s="98"/>
      <c r="D179" s="98"/>
      <c r="E179" s="98"/>
      <c r="F179" s="98"/>
      <c r="G179" s="98"/>
      <c r="H179" s="38">
        <f>(1+IF(OR(ISERR(FIND(":",G178)),ISERR(FIND("%",G178))),0,MID(G178,FIND(":",G178)+2,FIND("%",G178)-FIND(":",G178)-2)/100))*0</f>
        <v>0</v>
      </c>
      <c r="I179" s="29">
        <f>G177*H179</f>
        <v>0</v>
      </c>
      <c r="J179">
        <v>3</v>
      </c>
      <c r="K179" s="4">
        <v>0</v>
      </c>
      <c r="L179" s="4">
        <v>0</v>
      </c>
      <c r="M179" s="4">
        <f>I179-K179-L179</f>
        <v>0</v>
      </c>
    </row>
    <row r="180" spans="1:19" x14ac:dyDescent="0.3">
      <c r="A180" s="98"/>
      <c r="B180" s="98"/>
      <c r="C180" s="98"/>
      <c r="D180" s="98"/>
      <c r="E180" s="98"/>
      <c r="F180" s="98"/>
      <c r="G180" s="98"/>
      <c r="H180" s="38">
        <f>0</f>
        <v>0</v>
      </c>
      <c r="I180" s="29">
        <f>G177*H180</f>
        <v>0</v>
      </c>
      <c r="J180">
        <v>4</v>
      </c>
      <c r="N180" s="4">
        <f>IF(ISERR(SEARCH("TRA* 82",C177)),IF(Q180+R180+S180=0,0,I180*(Q180/(Q180+R180+S180))),I180)</f>
        <v>0</v>
      </c>
      <c r="O180" s="4">
        <f>IF(ISERR(SEARCH("TRA* 82",C177)),IF(Q180+R180+S180=0,0,I180*(R180/(Q180+R180+S180))),0)</f>
        <v>0</v>
      </c>
      <c r="P180" s="4">
        <f>IF(ISERR(SEARCH("TRA* 82",C177)),I180-N180-O180,0)</f>
        <v>0</v>
      </c>
      <c r="Q180" s="4">
        <v>0</v>
      </c>
      <c r="R180" s="4">
        <v>0</v>
      </c>
      <c r="S180" s="4">
        <v>0</v>
      </c>
    </row>
    <row r="181" spans="1:19" x14ac:dyDescent="0.3">
      <c r="A181" s="96" t="s">
        <v>27</v>
      </c>
      <c r="B181" s="97"/>
      <c r="C181" s="97"/>
      <c r="D181" s="97"/>
      <c r="E181" s="97"/>
      <c r="F181" s="97"/>
      <c r="G181" s="97"/>
      <c r="H181" s="36">
        <f>H177+H178+H179+H180</f>
        <v>6.9353846153846161</v>
      </c>
      <c r="I181" s="74">
        <f>I177+I178+I179+I180</f>
        <v>1352.4</v>
      </c>
      <c r="J181">
        <v>5</v>
      </c>
    </row>
    <row r="182" spans="1:19" x14ac:dyDescent="0.3">
      <c r="B182" s="2">
        <v>33</v>
      </c>
      <c r="C182" s="3" t="s">
        <v>888</v>
      </c>
      <c r="D182" s="5" t="s">
        <v>889</v>
      </c>
      <c r="G182" s="30">
        <v>1.27</v>
      </c>
      <c r="H182" s="38">
        <f>(1+IF(OR(ISERR(FIND(":",D183)),ISERR(FIND("%",D183))),0,MID(D183,FIND(":",D183)+2,FIND("%",D183)-FIND(":",D183)-2)/100))*0</f>
        <v>0</v>
      </c>
      <c r="I182" s="29">
        <f>G182*H182</f>
        <v>0</v>
      </c>
      <c r="J182">
        <v>1</v>
      </c>
    </row>
    <row r="183" spans="1:19" x14ac:dyDescent="0.3">
      <c r="D183" s="15" t="str">
        <f>SUBSTITUTE("Sp.mat: 0.00%",".",IF(VALUE("1.2")=1.2,".",","),2)</f>
        <v>Sp.mat: 0.00%</v>
      </c>
      <c r="F183" s="15" t="str">
        <f>SUBSTITUTE("Sp.man: 0.00%",".",IF(VALUE("1.2")=1.2,".",","),2)</f>
        <v>Sp.man: 0.00%</v>
      </c>
      <c r="G183" s="35" t="str">
        <f>SUBSTITUTE("Sp.uti: 0.00%",".",IF(VALUE("1.2")=1.2,".",","),2)</f>
        <v>Sp.uti: 0.00%</v>
      </c>
      <c r="H183" s="38">
        <f>179.41/G182</f>
        <v>141.26771653543307</v>
      </c>
      <c r="I183" s="29">
        <f>G182*H183</f>
        <v>179.41</v>
      </c>
      <c r="J183">
        <v>2</v>
      </c>
    </row>
    <row r="184" spans="1:19" x14ac:dyDescent="0.3">
      <c r="A184" s="88" t="s">
        <v>890</v>
      </c>
      <c r="B184" s="98"/>
      <c r="C184" s="98"/>
      <c r="D184" s="98"/>
      <c r="E184" s="98"/>
      <c r="F184" s="98"/>
      <c r="G184" s="98"/>
      <c r="H184" s="38">
        <f>295.89/G182</f>
        <v>232.98425196850391</v>
      </c>
      <c r="I184" s="29">
        <f>G182*H184</f>
        <v>295.89</v>
      </c>
      <c r="J184">
        <v>3</v>
      </c>
      <c r="K184" s="4">
        <v>554.20259999999996</v>
      </c>
      <c r="L184" s="4">
        <v>0</v>
      </c>
      <c r="M184" s="4">
        <f>I184-K184-L184</f>
        <v>-258.31259999999997</v>
      </c>
    </row>
    <row r="185" spans="1:19" x14ac:dyDescent="0.3">
      <c r="A185" s="98"/>
      <c r="B185" s="98"/>
      <c r="C185" s="98"/>
      <c r="D185" s="98"/>
      <c r="E185" s="98"/>
      <c r="F185" s="98"/>
      <c r="G185" s="98"/>
      <c r="H185" s="38">
        <f>0</f>
        <v>0</v>
      </c>
      <c r="I185" s="29">
        <f>G182*H185</f>
        <v>0</v>
      </c>
      <c r="J185">
        <v>4</v>
      </c>
      <c r="N185" s="4">
        <f>IF(ISERR(SEARCH("TRA* 82",C182)),IF(Q185+R185+S185=0,0,I185*(Q185/(Q185+R185+S185))),I185)</f>
        <v>0</v>
      </c>
      <c r="O185" s="4">
        <f>IF(ISERR(SEARCH("TRA* 82",C182)),IF(Q185+R185+S185=0,0,I185*(R185/(Q185+R185+S185))),0)</f>
        <v>0</v>
      </c>
      <c r="P185" s="4">
        <f>IF(ISERR(SEARCH("TRA* 82",C182)),I185-N185-O185,0)</f>
        <v>0</v>
      </c>
      <c r="Q185" s="4">
        <v>0</v>
      </c>
      <c r="R185" s="4">
        <v>0</v>
      </c>
      <c r="S185" s="4">
        <v>0</v>
      </c>
    </row>
    <row r="186" spans="1:19" x14ac:dyDescent="0.3">
      <c r="A186" s="96" t="s">
        <v>27</v>
      </c>
      <c r="B186" s="97"/>
      <c r="C186" s="97"/>
      <c r="D186" s="97"/>
      <c r="E186" s="97"/>
      <c r="F186" s="97"/>
      <c r="G186" s="97"/>
      <c r="H186" s="36">
        <f>H182+H183+H184+H185</f>
        <v>374.25196850393695</v>
      </c>
      <c r="I186" s="74">
        <f>I182+I183+I184+I185</f>
        <v>475.29999999999995</v>
      </c>
      <c r="J186">
        <v>5</v>
      </c>
    </row>
    <row r="187" spans="1:19" x14ac:dyDescent="0.3">
      <c r="B187" s="2">
        <v>34</v>
      </c>
      <c r="C187" s="3" t="s">
        <v>1121</v>
      </c>
      <c r="D187" s="5" t="s">
        <v>25</v>
      </c>
      <c r="G187" s="30">
        <v>90</v>
      </c>
      <c r="H187" s="38">
        <f>1133.35/G187</f>
        <v>12.592777777777776</v>
      </c>
      <c r="I187" s="29">
        <f>G187*H187</f>
        <v>1133.3499999999999</v>
      </c>
      <c r="J187">
        <v>1</v>
      </c>
    </row>
    <row r="188" spans="1:19" x14ac:dyDescent="0.3">
      <c r="D188" s="15" t="str">
        <f>SUBSTITUTE("Sp.mat: 0.00%",".",IF(VALUE("1.2")=1.2,".",","),2)</f>
        <v>Sp.mat: 0.00%</v>
      </c>
      <c r="F188" s="15" t="str">
        <f>SUBSTITUTE("Sp.man: 0.00%",".",IF(VALUE("1.2")=1.2,".",","),2)</f>
        <v>Sp.man: 0.00%</v>
      </c>
      <c r="G188" s="35" t="str">
        <f>SUBSTITUTE("Sp.uti: 0.00%",".",IF(VALUE("1.2")=1.2,".",","),2)</f>
        <v>Sp.uti: 0.00%</v>
      </c>
      <c r="H188" s="38">
        <f>389.21/G187</f>
        <v>4.3245555555555555</v>
      </c>
      <c r="I188" s="29">
        <f>G187*H188</f>
        <v>389.21</v>
      </c>
      <c r="J188">
        <v>2</v>
      </c>
    </row>
    <row r="189" spans="1:19" x14ac:dyDescent="0.3">
      <c r="A189" s="88" t="s">
        <v>1122</v>
      </c>
      <c r="B189" s="98"/>
      <c r="C189" s="98"/>
      <c r="D189" s="98"/>
      <c r="E189" s="98"/>
      <c r="F189" s="98"/>
      <c r="G189" s="98"/>
      <c r="H189" s="38">
        <f>26.09/G187</f>
        <v>0.28988888888888886</v>
      </c>
      <c r="I189" s="29">
        <f>G187*H189</f>
        <v>26.089999999999996</v>
      </c>
      <c r="J189">
        <v>3</v>
      </c>
      <c r="K189" s="4">
        <v>0</v>
      </c>
      <c r="L189" s="4">
        <v>48.87</v>
      </c>
      <c r="M189" s="4">
        <f>I189-K189-L189</f>
        <v>-22.78</v>
      </c>
    </row>
    <row r="190" spans="1:19" x14ac:dyDescent="0.3">
      <c r="A190" s="98"/>
      <c r="B190" s="98"/>
      <c r="C190" s="98"/>
      <c r="D190" s="98"/>
      <c r="E190" s="98"/>
      <c r="F190" s="98"/>
      <c r="G190" s="98"/>
      <c r="H190" s="38">
        <f>0</f>
        <v>0</v>
      </c>
      <c r="I190" s="29">
        <f>G187*H190</f>
        <v>0</v>
      </c>
      <c r="J190">
        <v>4</v>
      </c>
      <c r="N190" s="4">
        <f>IF(ISERR(SEARCH("TRA* 82",C187)),IF(Q190+R190+S190=0,0,I190*(Q190/(Q190+R190+S190))),I190)</f>
        <v>0</v>
      </c>
      <c r="O190" s="4">
        <f>IF(ISERR(SEARCH("TRA* 82",C187)),IF(Q190+R190+S190=0,0,I190*(R190/(Q190+R190+S190))),0)</f>
        <v>0</v>
      </c>
      <c r="P190" s="4">
        <f>IF(ISERR(SEARCH("TRA* 82",C187)),I190-N190-O190,0)</f>
        <v>0</v>
      </c>
      <c r="Q190" s="4">
        <v>0</v>
      </c>
      <c r="R190" s="4">
        <v>0</v>
      </c>
      <c r="S190" s="4">
        <v>0</v>
      </c>
    </row>
    <row r="191" spans="1:19" x14ac:dyDescent="0.3">
      <c r="A191" s="96" t="s">
        <v>27</v>
      </c>
      <c r="B191" s="97"/>
      <c r="C191" s="97"/>
      <c r="D191" s="97"/>
      <c r="E191" s="97"/>
      <c r="F191" s="97"/>
      <c r="G191" s="97"/>
      <c r="H191" s="36">
        <f>H187+H188+H189+H190</f>
        <v>17.207222222222221</v>
      </c>
      <c r="I191" s="74">
        <f>I187+I188+I189+I190</f>
        <v>1548.6499999999999</v>
      </c>
      <c r="J191">
        <v>5</v>
      </c>
    </row>
    <row r="192" spans="1:19" x14ac:dyDescent="0.3">
      <c r="B192" s="2">
        <v>35</v>
      </c>
      <c r="C192" s="3" t="s">
        <v>1076</v>
      </c>
      <c r="D192" s="5" t="s">
        <v>25</v>
      </c>
      <c r="G192" s="30">
        <v>180</v>
      </c>
      <c r="H192" s="38">
        <f>3751.68/G192</f>
        <v>20.842666666666666</v>
      </c>
      <c r="I192" s="29">
        <f>G192*H192</f>
        <v>3751.68</v>
      </c>
      <c r="J192">
        <v>1</v>
      </c>
    </row>
    <row r="193" spans="1:19" x14ac:dyDescent="0.3">
      <c r="D193" s="15" t="str">
        <f>SUBSTITUTE("Sp.mat: 0.00%",".",IF(VALUE("1.2")=1.2,".",","),2)</f>
        <v>Sp.mat: 0.00%</v>
      </c>
      <c r="F193" s="15" t="str">
        <f>SUBSTITUTE("Sp.man: 0.00%",".",IF(VALUE("1.2")=1.2,".",","),2)</f>
        <v>Sp.man: 0.00%</v>
      </c>
      <c r="G193" s="35" t="str">
        <f>SUBSTITUTE("Sp.uti: 0.00%",".",IF(VALUE("1.2")=1.2,".",","),2)</f>
        <v>Sp.uti: 0.00%</v>
      </c>
      <c r="H193" s="38">
        <f>864.92/G192</f>
        <v>4.8051111111111107</v>
      </c>
      <c r="I193" s="29">
        <f>G192*H193</f>
        <v>864.92</v>
      </c>
      <c r="J193">
        <v>2</v>
      </c>
    </row>
    <row r="194" spans="1:19" x14ac:dyDescent="0.3">
      <c r="A194" s="88" t="s">
        <v>1077</v>
      </c>
      <c r="B194" s="98"/>
      <c r="C194" s="98"/>
      <c r="D194" s="98"/>
      <c r="E194" s="98"/>
      <c r="F194" s="98"/>
      <c r="G194" s="98"/>
      <c r="H194" s="38">
        <f>57.66/G192</f>
        <v>0.3203333333333333</v>
      </c>
      <c r="I194" s="29">
        <f>G192*H194</f>
        <v>57.66</v>
      </c>
      <c r="J194">
        <v>3</v>
      </c>
      <c r="K194" s="4">
        <v>0</v>
      </c>
      <c r="L194" s="4">
        <v>108</v>
      </c>
      <c r="M194" s="4">
        <f>I194-K194-L194</f>
        <v>-50.34</v>
      </c>
    </row>
    <row r="195" spans="1:19" x14ac:dyDescent="0.3">
      <c r="A195" s="98"/>
      <c r="B195" s="98"/>
      <c r="C195" s="98"/>
      <c r="D195" s="98"/>
      <c r="E195" s="98"/>
      <c r="F195" s="98"/>
      <c r="G195" s="98"/>
      <c r="H195" s="38">
        <f>0</f>
        <v>0</v>
      </c>
      <c r="I195" s="29">
        <f>G192*H195</f>
        <v>0</v>
      </c>
      <c r="J195">
        <v>4</v>
      </c>
      <c r="N195" s="4">
        <f>IF(ISERR(SEARCH("TRA* 82",C192)),IF(Q195+R195+S195=0,0,I195*(Q195/(Q195+R195+S195))),I195)</f>
        <v>0</v>
      </c>
      <c r="O195" s="4">
        <f>IF(ISERR(SEARCH("TRA* 82",C192)),IF(Q195+R195+S195=0,0,I195*(R195/(Q195+R195+S195))),0)</f>
        <v>0</v>
      </c>
      <c r="P195" s="4">
        <f>IF(ISERR(SEARCH("TRA* 82",C192)),I195-N195-O195,0)</f>
        <v>0</v>
      </c>
      <c r="Q195" s="4">
        <v>0</v>
      </c>
      <c r="R195" s="4">
        <v>0</v>
      </c>
      <c r="S195" s="4">
        <v>0</v>
      </c>
    </row>
    <row r="196" spans="1:19" x14ac:dyDescent="0.3">
      <c r="A196" s="96" t="s">
        <v>27</v>
      </c>
      <c r="B196" s="97"/>
      <c r="C196" s="97"/>
      <c r="D196" s="97"/>
      <c r="E196" s="97"/>
      <c r="F196" s="97"/>
      <c r="G196" s="97"/>
      <c r="H196" s="36">
        <f>H192+H193+H194+H195</f>
        <v>25.96811111111111</v>
      </c>
      <c r="I196" s="74">
        <f>I192+I193+I194+I195</f>
        <v>4674.2599999999993</v>
      </c>
      <c r="J196">
        <v>5</v>
      </c>
    </row>
    <row r="197" spans="1:19" x14ac:dyDescent="0.3">
      <c r="B197" s="2">
        <v>36</v>
      </c>
      <c r="C197" s="3" t="s">
        <v>1073</v>
      </c>
      <c r="D197" s="5" t="s">
        <v>25</v>
      </c>
      <c r="G197" s="30">
        <v>18</v>
      </c>
      <c r="H197" s="38">
        <f>552.85/G197</f>
        <v>30.713888888888889</v>
      </c>
      <c r="I197" s="29">
        <f>G197*H197</f>
        <v>552.85</v>
      </c>
      <c r="J197">
        <v>1</v>
      </c>
    </row>
    <row r="198" spans="1:19" x14ac:dyDescent="0.3">
      <c r="D198" s="15" t="str">
        <f>SUBSTITUTE("Sp.mat: 0.00%",".",IF(VALUE("1.2")=1.2,".",","),2)</f>
        <v>Sp.mat: 0.00%</v>
      </c>
      <c r="F198" s="15" t="str">
        <f>SUBSTITUTE("Sp.man: 0.00%",".",IF(VALUE("1.2")=1.2,".",","),2)</f>
        <v>Sp.man: 0.00%</v>
      </c>
      <c r="G198" s="35" t="str">
        <f>SUBSTITUTE("Sp.uti: 0.00%",".",IF(VALUE("1.2")=1.2,".",","),2)</f>
        <v>Sp.uti: 0.00%</v>
      </c>
      <c r="H198" s="38">
        <f>95.14/G197</f>
        <v>5.2855555555555558</v>
      </c>
      <c r="I198" s="29">
        <f>G197*H198</f>
        <v>95.14</v>
      </c>
      <c r="J198">
        <v>2</v>
      </c>
    </row>
    <row r="199" spans="1:19" x14ac:dyDescent="0.3">
      <c r="A199" s="88" t="s">
        <v>1074</v>
      </c>
      <c r="B199" s="98"/>
      <c r="C199" s="98"/>
      <c r="D199" s="98"/>
      <c r="E199" s="98"/>
      <c r="F199" s="98"/>
      <c r="G199" s="98"/>
      <c r="H199" s="38">
        <f>6.31/G197</f>
        <v>0.35055555555555551</v>
      </c>
      <c r="I199" s="29">
        <f>G197*H199</f>
        <v>6.3099999999999987</v>
      </c>
      <c r="J199">
        <v>3</v>
      </c>
      <c r="K199" s="4">
        <v>0</v>
      </c>
      <c r="L199" s="4">
        <v>11.826000000000001</v>
      </c>
      <c r="M199" s="4">
        <f>I199-K199-L199</f>
        <v>-5.5160000000000018</v>
      </c>
    </row>
    <row r="200" spans="1:19" x14ac:dyDescent="0.3">
      <c r="A200" s="98"/>
      <c r="B200" s="98"/>
      <c r="C200" s="98"/>
      <c r="D200" s="98"/>
      <c r="E200" s="98"/>
      <c r="F200" s="98"/>
      <c r="G200" s="98"/>
      <c r="H200" s="38">
        <f>0</f>
        <v>0</v>
      </c>
      <c r="I200" s="29">
        <f>G197*H200</f>
        <v>0</v>
      </c>
      <c r="J200">
        <v>4</v>
      </c>
      <c r="N200" s="4">
        <f>IF(ISERR(SEARCH("TRA* 82",C197)),IF(Q200+R200+S200=0,0,I200*(Q200/(Q200+R200+S200))),I200)</f>
        <v>0</v>
      </c>
      <c r="O200" s="4">
        <f>IF(ISERR(SEARCH("TRA* 82",C197)),IF(Q200+R200+S200=0,0,I200*(R200/(Q200+R200+S200))),0)</f>
        <v>0</v>
      </c>
      <c r="P200" s="4">
        <f>IF(ISERR(SEARCH("TRA* 82",C197)),I200-N200-O200,0)</f>
        <v>0</v>
      </c>
      <c r="Q200" s="4">
        <v>0</v>
      </c>
      <c r="R200" s="4">
        <v>0</v>
      </c>
      <c r="S200" s="4">
        <v>0</v>
      </c>
    </row>
    <row r="201" spans="1:19" x14ac:dyDescent="0.3">
      <c r="A201" s="96" t="s">
        <v>27</v>
      </c>
      <c r="B201" s="97"/>
      <c r="C201" s="97"/>
      <c r="D201" s="97"/>
      <c r="E201" s="97"/>
      <c r="F201" s="97"/>
      <c r="G201" s="97"/>
      <c r="H201" s="36">
        <f>H197+H198+H199+H200</f>
        <v>36.35</v>
      </c>
      <c r="I201" s="74">
        <f>I197+I198+I199+I200</f>
        <v>654.29999999999995</v>
      </c>
      <c r="J201">
        <v>5</v>
      </c>
    </row>
    <row r="202" spans="1:19" x14ac:dyDescent="0.3">
      <c r="B202" s="2">
        <v>37</v>
      </c>
      <c r="C202" s="3" t="s">
        <v>46</v>
      </c>
      <c r="D202" s="5" t="s">
        <v>29</v>
      </c>
      <c r="G202" s="30">
        <v>4</v>
      </c>
      <c r="H202" s="38">
        <f>(1+IF(OR(ISERR(FIND(":",D203)),ISERR(FIND("%",D203))),0,MID(D203,FIND(":",D203)+2,FIND("%",D203)-FIND(":",D203)-2)/100))*0</f>
        <v>0</v>
      </c>
      <c r="I202" s="29">
        <f>G202*H202</f>
        <v>0</v>
      </c>
      <c r="J202">
        <v>1</v>
      </c>
    </row>
    <row r="203" spans="1:19" x14ac:dyDescent="0.3">
      <c r="D203" s="15" t="str">
        <f>SUBSTITUTE("Sp.mat: 0.00%",".",IF(VALUE("1.2")=1.2,".",","),2)</f>
        <v>Sp.mat: 0.00%</v>
      </c>
      <c r="F203" s="15" t="str">
        <f>SUBSTITUTE("Sp.man: 0.00%",".",IF(VALUE("1.2")=1.2,".",","),2)</f>
        <v>Sp.man: 0.00%</v>
      </c>
      <c r="G203" s="35" t="str">
        <f>SUBSTITUTE("Sp.uti: 0.00%",".",IF(VALUE("1.2")=1.2,".",","),2)</f>
        <v>Sp.uti: 0.00%</v>
      </c>
      <c r="H203" s="38">
        <f>76.88/G202</f>
        <v>19.22</v>
      </c>
      <c r="I203" s="29">
        <f>G202*H203</f>
        <v>76.88</v>
      </c>
      <c r="J203">
        <v>2</v>
      </c>
    </row>
    <row r="204" spans="1:19" x14ac:dyDescent="0.3">
      <c r="A204" s="88" t="s">
        <v>47</v>
      </c>
      <c r="B204" s="98"/>
      <c r="C204" s="98"/>
      <c r="D204" s="98"/>
      <c r="E204" s="98"/>
      <c r="F204" s="98"/>
      <c r="G204" s="98"/>
      <c r="H204" s="38">
        <f>(1+IF(OR(ISERR(FIND(":",G203)),ISERR(FIND("%",G203))),0,MID(G203,FIND(":",G203)+2,FIND("%",G203)-FIND(":",G203)-2)/100))*0</f>
        <v>0</v>
      </c>
      <c r="I204" s="29">
        <f>G202*H204</f>
        <v>0</v>
      </c>
      <c r="J204">
        <v>3</v>
      </c>
      <c r="K204" s="4">
        <v>0</v>
      </c>
      <c r="L204" s="4">
        <v>0</v>
      </c>
      <c r="M204" s="4">
        <f>I204-K204-L204</f>
        <v>0</v>
      </c>
    </row>
    <row r="205" spans="1:19" x14ac:dyDescent="0.3">
      <c r="A205" s="98"/>
      <c r="B205" s="98"/>
      <c r="C205" s="98"/>
      <c r="D205" s="98"/>
      <c r="E205" s="98"/>
      <c r="F205" s="98"/>
      <c r="G205" s="98"/>
      <c r="H205" s="38">
        <f>0</f>
        <v>0</v>
      </c>
      <c r="I205" s="29">
        <f>G202*H205</f>
        <v>0</v>
      </c>
      <c r="J205">
        <v>4</v>
      </c>
      <c r="N205" s="4">
        <f>IF(ISERR(SEARCH("TRA* 82",C202)),IF(Q205+R205+S205=0,0,I205*(Q205/(Q205+R205+S205))),I205)</f>
        <v>0</v>
      </c>
      <c r="O205" s="4">
        <f>IF(ISERR(SEARCH("TRA* 82",C202)),IF(Q205+R205+S205=0,0,I205*(R205/(Q205+R205+S205))),0)</f>
        <v>0</v>
      </c>
      <c r="P205" s="4">
        <f>IF(ISERR(SEARCH("TRA* 82",C202)),I205-N205-O205,0)</f>
        <v>0</v>
      </c>
      <c r="Q205" s="4">
        <v>0</v>
      </c>
      <c r="R205" s="4">
        <v>0</v>
      </c>
      <c r="S205" s="4">
        <v>0</v>
      </c>
    </row>
    <row r="206" spans="1:19" x14ac:dyDescent="0.3">
      <c r="A206" s="96" t="s">
        <v>27</v>
      </c>
      <c r="B206" s="97"/>
      <c r="C206" s="97"/>
      <c r="D206" s="97"/>
      <c r="E206" s="97"/>
      <c r="F206" s="97"/>
      <c r="G206" s="97"/>
      <c r="H206" s="36">
        <f>H202+H203+H204+H205</f>
        <v>19.22</v>
      </c>
      <c r="I206" s="74">
        <f>I202+I203+I204+I205</f>
        <v>76.88</v>
      </c>
      <c r="J206">
        <v>5</v>
      </c>
    </row>
    <row r="207" spans="1:19" x14ac:dyDescent="0.3">
      <c r="B207" s="2">
        <v>38</v>
      </c>
      <c r="C207" s="3" t="s">
        <v>1123</v>
      </c>
      <c r="D207" s="5" t="s">
        <v>29</v>
      </c>
      <c r="G207" s="30">
        <v>2</v>
      </c>
      <c r="H207" s="38">
        <f>1604.84/G207</f>
        <v>802.42</v>
      </c>
      <c r="I207" s="29">
        <f>G207*H207</f>
        <v>1604.84</v>
      </c>
      <c r="J207">
        <v>1</v>
      </c>
    </row>
    <row r="208" spans="1:19" x14ac:dyDescent="0.3">
      <c r="D208" s="15" t="str">
        <f>SUBSTITUTE("Sp.mat: 0.00%",".",IF(VALUE("1.2")=1.2,".",","),2)</f>
        <v>Sp.mat: 0.00%</v>
      </c>
      <c r="F208" s="15" t="str">
        <f>SUBSTITUTE("Sp.man: 0.00%",".",IF(VALUE("1.2")=1.2,".",","),2)</f>
        <v>Sp.man: 0.00%</v>
      </c>
      <c r="G208" s="35" t="str">
        <f>SUBSTITUTE("Sp.uti: 0.00%",".",IF(VALUE("1.2")=1.2,".",","),2)</f>
        <v>Sp.uti: 0.00%</v>
      </c>
      <c r="H208" s="38">
        <f>(1+IF(OR(ISERR(FIND(":",F208)),ISERR(FIND("%",F208))),0,MID(F208,FIND(":",F208)+2,FIND("%",F208)-FIND(":",F208)-2)/100))*0</f>
        <v>0</v>
      </c>
      <c r="I208" s="29">
        <f>G207*H208</f>
        <v>0</v>
      </c>
      <c r="J208">
        <v>2</v>
      </c>
    </row>
    <row r="209" spans="1:19" x14ac:dyDescent="0.3">
      <c r="A209" s="88" t="s">
        <v>1124</v>
      </c>
      <c r="B209" s="98"/>
      <c r="C209" s="98"/>
      <c r="D209" s="98"/>
      <c r="E209" s="98"/>
      <c r="F209" s="98"/>
      <c r="G209" s="98"/>
      <c r="H209" s="38">
        <f>(1+IF(OR(ISERR(FIND(":",G208)),ISERR(FIND("%",G208))),0,MID(G208,FIND(":",G208)+2,FIND("%",G208)-FIND(":",G208)-2)/100))*0</f>
        <v>0</v>
      </c>
      <c r="I209" s="29">
        <f>G207*H209</f>
        <v>0</v>
      </c>
      <c r="J209">
        <v>3</v>
      </c>
      <c r="K209" s="4">
        <v>0</v>
      </c>
      <c r="L209" s="4">
        <v>0</v>
      </c>
      <c r="M209" s="4">
        <f>I209-K209-L209</f>
        <v>0</v>
      </c>
    </row>
    <row r="210" spans="1:19" x14ac:dyDescent="0.3">
      <c r="A210" s="98"/>
      <c r="B210" s="98"/>
      <c r="C210" s="98"/>
      <c r="D210" s="98"/>
      <c r="E210" s="98"/>
      <c r="F210" s="98"/>
      <c r="G210" s="98"/>
      <c r="H210" s="38">
        <f>0</f>
        <v>0</v>
      </c>
      <c r="I210" s="29">
        <f>G207*H210</f>
        <v>0</v>
      </c>
      <c r="J210">
        <v>4</v>
      </c>
      <c r="N210" s="4">
        <f>IF(ISERR(SEARCH("TRA* 82",C207)),IF(Q210+R210+S210=0,0,I210*(Q210/(Q210+R210+S210))),I210)</f>
        <v>0</v>
      </c>
      <c r="O210" s="4">
        <f>IF(ISERR(SEARCH("TRA* 82",C207)),IF(Q210+R210+S210=0,0,I210*(R210/(Q210+R210+S210))),0)</f>
        <v>0</v>
      </c>
      <c r="P210" s="4">
        <f>IF(ISERR(SEARCH("TRA* 82",C207)),I210-N210-O210,0)</f>
        <v>0</v>
      </c>
      <c r="Q210" s="4">
        <v>0</v>
      </c>
      <c r="R210" s="4">
        <v>0</v>
      </c>
      <c r="S210" s="4">
        <v>0</v>
      </c>
    </row>
    <row r="211" spans="1:19" x14ac:dyDescent="0.3">
      <c r="A211" s="96" t="s">
        <v>27</v>
      </c>
      <c r="B211" s="97"/>
      <c r="C211" s="97"/>
      <c r="D211" s="97"/>
      <c r="E211" s="97"/>
      <c r="F211" s="97"/>
      <c r="G211" s="97"/>
      <c r="H211" s="36">
        <f>H207+H208+H209+H210</f>
        <v>802.42</v>
      </c>
      <c r="I211" s="74">
        <f>I207+I208+I209+I210</f>
        <v>1604.84</v>
      </c>
      <c r="J211">
        <v>5</v>
      </c>
    </row>
    <row r="212" spans="1:19" x14ac:dyDescent="0.3">
      <c r="B212" s="2">
        <v>39</v>
      </c>
      <c r="C212" s="3" t="s">
        <v>1125</v>
      </c>
      <c r="D212" s="5" t="s">
        <v>29</v>
      </c>
      <c r="G212" s="30">
        <v>1</v>
      </c>
      <c r="H212" s="38">
        <v>736.92</v>
      </c>
      <c r="I212" s="29">
        <f>G212*H212</f>
        <v>736.92</v>
      </c>
      <c r="J212">
        <v>1</v>
      </c>
    </row>
    <row r="213" spans="1:19" x14ac:dyDescent="0.3">
      <c r="D213" s="15" t="str">
        <f>SUBSTITUTE("Sp.mat: 0.00%",".",IF(VALUE("1.2")=1.2,".",","),2)</f>
        <v>Sp.mat: 0.00%</v>
      </c>
      <c r="F213" s="15" t="str">
        <f>SUBSTITUTE("Sp.man: 0.00%",".",IF(VALUE("1.2")=1.2,".",","),2)</f>
        <v>Sp.man: 0.00%</v>
      </c>
      <c r="G213" s="35" t="str">
        <f>SUBSTITUTE("Sp.uti: 0.00%",".",IF(VALUE("1.2")=1.2,".",","),2)</f>
        <v>Sp.uti: 0.00%</v>
      </c>
      <c r="H213" s="38">
        <f>(1+IF(OR(ISERR(FIND(":",F213)),ISERR(FIND("%",F213))),0,MID(F213,FIND(":",F213)+2,FIND("%",F213)-FIND(":",F213)-2)/100))*0</f>
        <v>0</v>
      </c>
      <c r="I213" s="29">
        <f>G212*H213</f>
        <v>0</v>
      </c>
      <c r="J213">
        <v>2</v>
      </c>
    </row>
    <row r="214" spans="1:19" x14ac:dyDescent="0.3">
      <c r="A214" s="88" t="s">
        <v>1126</v>
      </c>
      <c r="B214" s="98"/>
      <c r="C214" s="98"/>
      <c r="D214" s="98"/>
      <c r="E214" s="98"/>
      <c r="F214" s="98"/>
      <c r="G214" s="98"/>
      <c r="H214" s="38">
        <f>(1+IF(OR(ISERR(FIND(":",G213)),ISERR(FIND("%",G213))),0,MID(G213,FIND(":",G213)+2,FIND("%",G213)-FIND(":",G213)-2)/100))*0</f>
        <v>0</v>
      </c>
      <c r="I214" s="29">
        <f>G212*H214</f>
        <v>0</v>
      </c>
      <c r="J214">
        <v>3</v>
      </c>
      <c r="K214" s="4">
        <v>0</v>
      </c>
      <c r="L214" s="4">
        <v>0</v>
      </c>
      <c r="M214" s="4">
        <f>I214-K214-L214</f>
        <v>0</v>
      </c>
    </row>
    <row r="215" spans="1:19" x14ac:dyDescent="0.3">
      <c r="A215" s="98"/>
      <c r="B215" s="98"/>
      <c r="C215" s="98"/>
      <c r="D215" s="98"/>
      <c r="E215" s="98"/>
      <c r="F215" s="98"/>
      <c r="G215" s="98"/>
      <c r="H215" s="38">
        <f>0</f>
        <v>0</v>
      </c>
      <c r="I215" s="29">
        <f>G212*H215</f>
        <v>0</v>
      </c>
      <c r="J215">
        <v>4</v>
      </c>
      <c r="N215" s="4">
        <f>IF(ISERR(SEARCH("TRA* 82",C212)),IF(Q215+R215+S215=0,0,I215*(Q215/(Q215+R215+S215))),I215)</f>
        <v>0</v>
      </c>
      <c r="O215" s="4">
        <f>IF(ISERR(SEARCH("TRA* 82",C212)),IF(Q215+R215+S215=0,0,I215*(R215/(Q215+R215+S215))),0)</f>
        <v>0</v>
      </c>
      <c r="P215" s="4">
        <f>IF(ISERR(SEARCH("TRA* 82",C212)),I215-N215-O215,0)</f>
        <v>0</v>
      </c>
      <c r="Q215" s="4">
        <v>0</v>
      </c>
      <c r="R215" s="4">
        <v>0</v>
      </c>
      <c r="S215" s="4">
        <v>0</v>
      </c>
    </row>
    <row r="216" spans="1:19" x14ac:dyDescent="0.3">
      <c r="A216" s="96" t="s">
        <v>27</v>
      </c>
      <c r="B216" s="97"/>
      <c r="C216" s="97"/>
      <c r="D216" s="97"/>
      <c r="E216" s="97"/>
      <c r="F216" s="97"/>
      <c r="G216" s="97"/>
      <c r="H216" s="36">
        <f>H212+H213+H214+H215</f>
        <v>736.92</v>
      </c>
      <c r="I216" s="74">
        <f>I212+I213+I214+I215</f>
        <v>736.92</v>
      </c>
      <c r="J216">
        <v>5</v>
      </c>
    </row>
    <row r="217" spans="1:19" x14ac:dyDescent="0.3">
      <c r="B217" s="2">
        <v>40</v>
      </c>
      <c r="C217" s="3" t="s">
        <v>1127</v>
      </c>
      <c r="D217" s="5" t="s">
        <v>29</v>
      </c>
      <c r="G217" s="30">
        <v>1</v>
      </c>
      <c r="H217" s="38">
        <v>701.7</v>
      </c>
      <c r="I217" s="29">
        <f>G217*H217</f>
        <v>701.7</v>
      </c>
      <c r="J217">
        <v>1</v>
      </c>
    </row>
    <row r="218" spans="1:19" x14ac:dyDescent="0.3">
      <c r="D218" s="15" t="str">
        <f>SUBSTITUTE("Sp.mat: 0.00%",".",IF(VALUE("1.2")=1.2,".",","),2)</f>
        <v>Sp.mat: 0.00%</v>
      </c>
      <c r="F218" s="15" t="str">
        <f>SUBSTITUTE("Sp.man: 0.00%",".",IF(VALUE("1.2")=1.2,".",","),2)</f>
        <v>Sp.man: 0.00%</v>
      </c>
      <c r="G218" s="35" t="str">
        <f>SUBSTITUTE("Sp.uti: 0.00%",".",IF(VALUE("1.2")=1.2,".",","),2)</f>
        <v>Sp.uti: 0.00%</v>
      </c>
      <c r="H218" s="38">
        <f>(1+IF(OR(ISERR(FIND(":",F218)),ISERR(FIND("%",F218))),0,MID(F218,FIND(":",F218)+2,FIND("%",F218)-FIND(":",F218)-2)/100))*0</f>
        <v>0</v>
      </c>
      <c r="I218" s="29">
        <f>G217*H218</f>
        <v>0</v>
      </c>
      <c r="J218">
        <v>2</v>
      </c>
    </row>
    <row r="219" spans="1:19" x14ac:dyDescent="0.3">
      <c r="A219" s="88" t="s">
        <v>1128</v>
      </c>
      <c r="B219" s="98"/>
      <c r="C219" s="98"/>
      <c r="D219" s="98"/>
      <c r="E219" s="98"/>
      <c r="F219" s="98"/>
      <c r="G219" s="98"/>
      <c r="H219" s="38">
        <f>(1+IF(OR(ISERR(FIND(":",G218)),ISERR(FIND("%",G218))),0,MID(G218,FIND(":",G218)+2,FIND("%",G218)-FIND(":",G218)-2)/100))*0</f>
        <v>0</v>
      </c>
      <c r="I219" s="29">
        <f>G217*H219</f>
        <v>0</v>
      </c>
      <c r="J219">
        <v>3</v>
      </c>
      <c r="K219" s="4">
        <v>0</v>
      </c>
      <c r="L219" s="4">
        <v>0</v>
      </c>
      <c r="M219" s="4">
        <f>I219-K219-L219</f>
        <v>0</v>
      </c>
    </row>
    <row r="220" spans="1:19" x14ac:dyDescent="0.3">
      <c r="A220" s="98"/>
      <c r="B220" s="98"/>
      <c r="C220" s="98"/>
      <c r="D220" s="98"/>
      <c r="E220" s="98"/>
      <c r="F220" s="98"/>
      <c r="G220" s="98"/>
      <c r="H220" s="38">
        <f>0</f>
        <v>0</v>
      </c>
      <c r="I220" s="29">
        <f>G217*H220</f>
        <v>0</v>
      </c>
      <c r="J220">
        <v>4</v>
      </c>
      <c r="N220" s="4">
        <f>IF(ISERR(SEARCH("TRA* 82",C217)),IF(Q220+R220+S220=0,0,I220*(Q220/(Q220+R220+S220))),I220)</f>
        <v>0</v>
      </c>
      <c r="O220" s="4">
        <f>IF(ISERR(SEARCH("TRA* 82",C217)),IF(Q220+R220+S220=0,0,I220*(R220/(Q220+R220+S220))),0)</f>
        <v>0</v>
      </c>
      <c r="P220" s="4">
        <f>IF(ISERR(SEARCH("TRA* 82",C217)),I220-N220-O220,0)</f>
        <v>0</v>
      </c>
      <c r="Q220" s="4">
        <v>0</v>
      </c>
      <c r="R220" s="4">
        <v>0</v>
      </c>
      <c r="S220" s="4">
        <v>0</v>
      </c>
    </row>
    <row r="221" spans="1:19" x14ac:dyDescent="0.3">
      <c r="A221" s="96" t="s">
        <v>27</v>
      </c>
      <c r="B221" s="97"/>
      <c r="C221" s="97"/>
      <c r="D221" s="97"/>
      <c r="E221" s="97"/>
      <c r="F221" s="97"/>
      <c r="G221" s="97"/>
      <c r="H221" s="36">
        <f>H217+H218+H219+H220</f>
        <v>701.7</v>
      </c>
      <c r="I221" s="74">
        <f>I217+I218+I219+I220</f>
        <v>701.7</v>
      </c>
      <c r="J221">
        <v>5</v>
      </c>
    </row>
    <row r="222" spans="1:19" x14ac:dyDescent="0.3">
      <c r="B222" s="2">
        <v>41</v>
      </c>
      <c r="C222" s="3" t="s">
        <v>1093</v>
      </c>
      <c r="D222" s="5" t="s">
        <v>29</v>
      </c>
      <c r="G222" s="30">
        <v>3</v>
      </c>
      <c r="H222" s="38">
        <f>754.29/G222</f>
        <v>251.42999999999998</v>
      </c>
      <c r="I222" s="29">
        <f>G222*H222</f>
        <v>754.29</v>
      </c>
      <c r="J222">
        <v>1</v>
      </c>
    </row>
    <row r="223" spans="1:19" x14ac:dyDescent="0.3">
      <c r="D223" s="15" t="str">
        <f>SUBSTITUTE("Sp.mat: 0.00%",".",IF(VALUE("1.2")=1.2,".",","),2)</f>
        <v>Sp.mat: 0.00%</v>
      </c>
      <c r="F223" s="15" t="str">
        <f>SUBSTITUTE("Sp.man: 0.00%",".",IF(VALUE("1.2")=1.2,".",","),2)</f>
        <v>Sp.man: 0.00%</v>
      </c>
      <c r="G223" s="35" t="str">
        <f>SUBSTITUTE("Sp.uti: 0.00%",".",IF(VALUE("1.2")=1.2,".",","),2)</f>
        <v>Sp.uti: 0.00%</v>
      </c>
      <c r="H223" s="38">
        <f>52.86/G222</f>
        <v>17.62</v>
      </c>
      <c r="I223" s="29">
        <f>G222*H223</f>
        <v>52.86</v>
      </c>
      <c r="J223">
        <v>2</v>
      </c>
    </row>
    <row r="224" spans="1:19" x14ac:dyDescent="0.3">
      <c r="A224" s="88" t="s">
        <v>1094</v>
      </c>
      <c r="B224" s="98"/>
      <c r="C224" s="98"/>
      <c r="D224" s="98"/>
      <c r="E224" s="98"/>
      <c r="F224" s="98"/>
      <c r="G224" s="98"/>
      <c r="H224" s="38">
        <f>(1+IF(OR(ISERR(FIND(":",G223)),ISERR(FIND("%",G223))),0,MID(G223,FIND(":",G223)+2,FIND("%",G223)-FIND(":",G223)-2)/100))*0</f>
        <v>0</v>
      </c>
      <c r="I224" s="29">
        <f>G222*H224</f>
        <v>0</v>
      </c>
      <c r="J224">
        <v>3</v>
      </c>
      <c r="K224" s="4">
        <v>0</v>
      </c>
      <c r="L224" s="4">
        <v>0</v>
      </c>
      <c r="M224" s="4">
        <f>I224-K224-L224</f>
        <v>0</v>
      </c>
    </row>
    <row r="225" spans="1:19" x14ac:dyDescent="0.3">
      <c r="A225" s="98"/>
      <c r="B225" s="98"/>
      <c r="C225" s="98"/>
      <c r="D225" s="98"/>
      <c r="E225" s="98"/>
      <c r="F225" s="98"/>
      <c r="G225" s="98"/>
      <c r="H225" s="38">
        <f>0</f>
        <v>0</v>
      </c>
      <c r="I225" s="29">
        <f>G222*H225</f>
        <v>0</v>
      </c>
      <c r="J225">
        <v>4</v>
      </c>
      <c r="N225" s="4">
        <f>IF(ISERR(SEARCH("TRA* 82",C222)),IF(Q225+R225+S225=0,0,I225*(Q225/(Q225+R225+S225))),I225)</f>
        <v>0</v>
      </c>
      <c r="O225" s="4">
        <f>IF(ISERR(SEARCH("TRA* 82",C222)),IF(Q225+R225+S225=0,0,I225*(R225/(Q225+R225+S225))),0)</f>
        <v>0</v>
      </c>
      <c r="P225" s="4">
        <f>IF(ISERR(SEARCH("TRA* 82",C222)),I225-N225-O225,0)</f>
        <v>0</v>
      </c>
      <c r="Q225" s="4">
        <v>0</v>
      </c>
      <c r="R225" s="4">
        <v>0</v>
      </c>
      <c r="S225" s="4">
        <v>0</v>
      </c>
    </row>
    <row r="226" spans="1:19" x14ac:dyDescent="0.3">
      <c r="A226" s="96" t="s">
        <v>1095</v>
      </c>
      <c r="B226" s="97"/>
      <c r="C226" s="97"/>
      <c r="D226" s="97"/>
      <c r="E226" s="97"/>
      <c r="F226" s="97"/>
      <c r="G226" s="97"/>
      <c r="H226" s="36">
        <f>H222+H223+H224+H225</f>
        <v>269.04999999999995</v>
      </c>
      <c r="I226" s="74">
        <f>I222+I223+I224+I225</f>
        <v>807.15</v>
      </c>
      <c r="J226">
        <v>5</v>
      </c>
    </row>
    <row r="227" spans="1:19" x14ac:dyDescent="0.3">
      <c r="B227" s="2">
        <v>42</v>
      </c>
      <c r="C227" s="3" t="s">
        <v>1129</v>
      </c>
      <c r="D227" s="5" t="s">
        <v>29</v>
      </c>
      <c r="G227" s="30">
        <v>1</v>
      </c>
      <c r="H227" s="38">
        <v>271.56</v>
      </c>
      <c r="I227" s="29">
        <f>G227*H227</f>
        <v>271.56</v>
      </c>
      <c r="J227">
        <v>1</v>
      </c>
    </row>
    <row r="228" spans="1:19" x14ac:dyDescent="0.3">
      <c r="D228" s="15" t="str">
        <f>SUBSTITUTE("Sp.mat: 0.00%",".",IF(VALUE("1.2")=1.2,".",","),2)</f>
        <v>Sp.mat: 0.00%</v>
      </c>
      <c r="F228" s="15" t="str">
        <f>SUBSTITUTE("Sp.man: 0.00%",".",IF(VALUE("1.2")=1.2,".",","),2)</f>
        <v>Sp.man: 0.00%</v>
      </c>
      <c r="G228" s="35" t="str">
        <f>SUBSTITUTE("Sp.uti: 0.00%",".",IF(VALUE("1.2")=1.2,".",","),2)</f>
        <v>Sp.uti: 0.00%</v>
      </c>
      <c r="H228" s="38">
        <v>88.73</v>
      </c>
      <c r="I228" s="29">
        <f>G227*H228</f>
        <v>88.73</v>
      </c>
      <c r="J228">
        <v>2</v>
      </c>
    </row>
    <row r="229" spans="1:19" x14ac:dyDescent="0.3">
      <c r="A229" s="88" t="s">
        <v>1130</v>
      </c>
      <c r="B229" s="98"/>
      <c r="C229" s="98"/>
      <c r="D229" s="98"/>
      <c r="E229" s="98"/>
      <c r="F229" s="98"/>
      <c r="G229" s="98"/>
      <c r="H229" s="38">
        <f>(1+IF(OR(ISERR(FIND(":",G228)),ISERR(FIND("%",G228))),0,MID(G228,FIND(":",G228)+2,FIND("%",G228)-FIND(":",G228)-2)/100))*0</f>
        <v>0</v>
      </c>
      <c r="I229" s="29">
        <f>G227*H229</f>
        <v>0</v>
      </c>
      <c r="J229">
        <v>3</v>
      </c>
      <c r="K229" s="4">
        <v>0</v>
      </c>
      <c r="L229" s="4">
        <v>0</v>
      </c>
      <c r="M229" s="4">
        <f>I229-K229-L229</f>
        <v>0</v>
      </c>
    </row>
    <row r="230" spans="1:19" x14ac:dyDescent="0.3">
      <c r="A230" s="98"/>
      <c r="B230" s="98"/>
      <c r="C230" s="98"/>
      <c r="D230" s="98"/>
      <c r="E230" s="98"/>
      <c r="F230" s="98"/>
      <c r="G230" s="98"/>
      <c r="H230" s="38">
        <f>0</f>
        <v>0</v>
      </c>
      <c r="I230" s="29">
        <f>G227*H230</f>
        <v>0</v>
      </c>
      <c r="J230">
        <v>4</v>
      </c>
      <c r="N230" s="4">
        <f>IF(ISERR(SEARCH("TRA* 82",C227)),IF(Q230+R230+S230=0,0,I230*(Q230/(Q230+R230+S230))),I230)</f>
        <v>0</v>
      </c>
      <c r="O230" s="4">
        <f>IF(ISERR(SEARCH("TRA* 82",C227)),IF(Q230+R230+S230=0,0,I230*(R230/(Q230+R230+S230))),0)</f>
        <v>0</v>
      </c>
      <c r="P230" s="4">
        <f>IF(ISERR(SEARCH("TRA* 82",C227)),I230-N230-O230,0)</f>
        <v>0</v>
      </c>
      <c r="Q230" s="4">
        <v>0</v>
      </c>
      <c r="R230" s="4">
        <v>0</v>
      </c>
      <c r="S230" s="4">
        <v>0</v>
      </c>
    </row>
    <row r="231" spans="1:19" x14ac:dyDescent="0.3">
      <c r="A231" s="96" t="s">
        <v>27</v>
      </c>
      <c r="B231" s="97"/>
      <c r="C231" s="97"/>
      <c r="D231" s="97"/>
      <c r="E231" s="97"/>
      <c r="F231" s="97"/>
      <c r="G231" s="97"/>
      <c r="H231" s="36">
        <f>H227+H228+H229+H230</f>
        <v>360.29</v>
      </c>
      <c r="I231" s="74">
        <f>I227+I228+I229+I230</f>
        <v>360.29</v>
      </c>
      <c r="J231">
        <v>5</v>
      </c>
    </row>
    <row r="232" spans="1:19" x14ac:dyDescent="0.3">
      <c r="B232" s="2">
        <v>43</v>
      </c>
      <c r="C232" s="3" t="s">
        <v>1098</v>
      </c>
      <c r="D232" s="5" t="s">
        <v>29</v>
      </c>
      <c r="G232" s="30">
        <v>2</v>
      </c>
      <c r="H232" s="38">
        <f>118.19/G232</f>
        <v>59.094999999999999</v>
      </c>
      <c r="I232" s="29">
        <f>G232*H232</f>
        <v>118.19</v>
      </c>
      <c r="J232">
        <v>1</v>
      </c>
    </row>
    <row r="233" spans="1:19" x14ac:dyDescent="0.3">
      <c r="D233" s="15" t="str">
        <f>SUBSTITUTE("Sp.mat: 0.00%",".",IF(VALUE("1.2")=1.2,".",","),2)</f>
        <v>Sp.mat: 0.00%</v>
      </c>
      <c r="F233" s="15" t="str">
        <f>SUBSTITUTE("Sp.man: 0.00%",".",IF(VALUE("1.2")=1.2,".",","),2)</f>
        <v>Sp.man: 0.00%</v>
      </c>
      <c r="G233" s="35" t="str">
        <f>SUBSTITUTE("Sp.uti: 0.00%",".",IF(VALUE("1.2")=1.2,".",","),2)</f>
        <v>Sp.uti: 0.00%</v>
      </c>
      <c r="H233" s="38">
        <f>256.27/G232</f>
        <v>128.13499999999999</v>
      </c>
      <c r="I233" s="29">
        <f>G232*H233</f>
        <v>256.27</v>
      </c>
      <c r="J233">
        <v>2</v>
      </c>
    </row>
    <row r="234" spans="1:19" x14ac:dyDescent="0.3">
      <c r="A234" s="88" t="s">
        <v>1099</v>
      </c>
      <c r="B234" s="98"/>
      <c r="C234" s="98"/>
      <c r="D234" s="98"/>
      <c r="E234" s="98"/>
      <c r="F234" s="98"/>
      <c r="G234" s="98"/>
      <c r="H234" s="38">
        <f>(1+IF(OR(ISERR(FIND(":",G233)),ISERR(FIND("%",G233))),0,MID(G233,FIND(":",G233)+2,FIND("%",G233)-FIND(":",G233)-2)/100))*0</f>
        <v>0</v>
      </c>
      <c r="I234" s="29">
        <f>G232*H234</f>
        <v>0</v>
      </c>
      <c r="J234">
        <v>3</v>
      </c>
      <c r="K234" s="4">
        <v>0</v>
      </c>
      <c r="L234" s="4">
        <v>0</v>
      </c>
      <c r="M234" s="4">
        <f>I234-K234-L234</f>
        <v>0</v>
      </c>
    </row>
    <row r="235" spans="1:19" x14ac:dyDescent="0.3">
      <c r="A235" s="98"/>
      <c r="B235" s="98"/>
      <c r="C235" s="98"/>
      <c r="D235" s="98"/>
      <c r="E235" s="98"/>
      <c r="F235" s="98"/>
      <c r="G235" s="98"/>
      <c r="H235" s="38">
        <f>0</f>
        <v>0</v>
      </c>
      <c r="I235" s="29">
        <f>G232*H235</f>
        <v>0</v>
      </c>
      <c r="J235">
        <v>4</v>
      </c>
      <c r="N235" s="4">
        <f>IF(ISERR(SEARCH("TRA* 82",C232)),IF(Q235+R235+S235=0,0,I235*(Q235/(Q235+R235+S235))),I235)</f>
        <v>0</v>
      </c>
      <c r="O235" s="4">
        <f>IF(ISERR(SEARCH("TRA* 82",C232)),IF(Q235+R235+S235=0,0,I235*(R235/(Q235+R235+S235))),0)</f>
        <v>0</v>
      </c>
      <c r="P235" s="4">
        <f>IF(ISERR(SEARCH("TRA* 82",C232)),I235-N235-O235,0)</f>
        <v>0</v>
      </c>
      <c r="Q235" s="4">
        <v>0</v>
      </c>
      <c r="R235" s="4">
        <v>0</v>
      </c>
      <c r="S235" s="4">
        <v>0</v>
      </c>
    </row>
    <row r="236" spans="1:19" x14ac:dyDescent="0.3">
      <c r="A236" s="96" t="s">
        <v>27</v>
      </c>
      <c r="B236" s="97"/>
      <c r="C236" s="97"/>
      <c r="D236" s="97"/>
      <c r="E236" s="97"/>
      <c r="F236" s="97"/>
      <c r="G236" s="97"/>
      <c r="H236" s="36">
        <f>H232+H233+H234+H235</f>
        <v>187.23</v>
      </c>
      <c r="I236" s="74">
        <f>I232+I233+I234+I235</f>
        <v>374.46</v>
      </c>
      <c r="J236">
        <v>5</v>
      </c>
    </row>
    <row r="237" spans="1:19" x14ac:dyDescent="0.3">
      <c r="B237" s="2">
        <v>44</v>
      </c>
      <c r="C237" s="3" t="s">
        <v>1091</v>
      </c>
      <c r="D237" s="5" t="s">
        <v>29</v>
      </c>
      <c r="G237" s="30">
        <v>2</v>
      </c>
      <c r="H237" s="38">
        <f>788.66/G237</f>
        <v>394.33</v>
      </c>
      <c r="I237" s="29">
        <f>G237*H237</f>
        <v>788.66</v>
      </c>
      <c r="J237">
        <v>1</v>
      </c>
    </row>
    <row r="238" spans="1:19" x14ac:dyDescent="0.3">
      <c r="D238" s="15" t="str">
        <f>SUBSTITUTE("Sp.mat: 0.00%",".",IF(VALUE("1.2")=1.2,".",","),2)</f>
        <v>Sp.mat: 0.00%</v>
      </c>
      <c r="F238" s="15" t="str">
        <f>SUBSTITUTE("Sp.man: 0.00%",".",IF(VALUE("1.2")=1.2,".",","),2)</f>
        <v>Sp.man: 0.00%</v>
      </c>
      <c r="G238" s="35" t="str">
        <f>SUBSTITUTE("Sp.uti: 0.00%",".",IF(VALUE("1.2")=1.2,".",","),2)</f>
        <v>Sp.uti: 0.00%</v>
      </c>
      <c r="H238" s="38">
        <f>19.22/G237</f>
        <v>9.61</v>
      </c>
      <c r="I238" s="29">
        <f>G237*H238</f>
        <v>19.22</v>
      </c>
      <c r="J238">
        <v>2</v>
      </c>
    </row>
    <row r="239" spans="1:19" x14ac:dyDescent="0.3">
      <c r="A239" s="88" t="s">
        <v>1092</v>
      </c>
      <c r="B239" s="98"/>
      <c r="C239" s="98"/>
      <c r="D239" s="98"/>
      <c r="E239" s="98"/>
      <c r="F239" s="98"/>
      <c r="G239" s="98"/>
      <c r="H239" s="38">
        <f>(1+IF(OR(ISERR(FIND(":",G238)),ISERR(FIND("%",G238))),0,MID(G238,FIND(":",G238)+2,FIND("%",G238)-FIND(":",G238)-2)/100))*0</f>
        <v>0</v>
      </c>
      <c r="I239" s="29">
        <f>G237*H239</f>
        <v>0</v>
      </c>
      <c r="J239">
        <v>3</v>
      </c>
      <c r="K239" s="4">
        <v>0</v>
      </c>
      <c r="L239" s="4">
        <v>0</v>
      </c>
      <c r="M239" s="4">
        <f>I239-K239-L239</f>
        <v>0</v>
      </c>
    </row>
    <row r="240" spans="1:19" x14ac:dyDescent="0.3">
      <c r="A240" s="98"/>
      <c r="B240" s="98"/>
      <c r="C240" s="98"/>
      <c r="D240" s="98"/>
      <c r="E240" s="98"/>
      <c r="F240" s="98"/>
      <c r="G240" s="98"/>
      <c r="H240" s="38">
        <f>0</f>
        <v>0</v>
      </c>
      <c r="I240" s="29">
        <f>G237*H240</f>
        <v>0</v>
      </c>
      <c r="J240">
        <v>4</v>
      </c>
      <c r="N240" s="4">
        <f>IF(ISERR(SEARCH("TRA* 82",C237)),IF(Q240+R240+S240=0,0,I240*(Q240/(Q240+R240+S240))),I240)</f>
        <v>0</v>
      </c>
      <c r="O240" s="4">
        <f>IF(ISERR(SEARCH("TRA* 82",C237)),IF(Q240+R240+S240=0,0,I240*(R240/(Q240+R240+S240))),0)</f>
        <v>0</v>
      </c>
      <c r="P240" s="4">
        <f>IF(ISERR(SEARCH("TRA* 82",C237)),I240-N240-O240,0)</f>
        <v>0</v>
      </c>
      <c r="Q240" s="4">
        <v>0</v>
      </c>
      <c r="R240" s="4">
        <v>0</v>
      </c>
      <c r="S240" s="4">
        <v>0</v>
      </c>
    </row>
    <row r="241" spans="1:19" x14ac:dyDescent="0.3">
      <c r="A241" s="96" t="s">
        <v>27</v>
      </c>
      <c r="B241" s="97"/>
      <c r="C241" s="97"/>
      <c r="D241" s="97"/>
      <c r="E241" s="97"/>
      <c r="F241" s="97"/>
      <c r="G241" s="97"/>
      <c r="H241" s="36">
        <f>H237+H238+H239+H240</f>
        <v>403.94</v>
      </c>
      <c r="I241" s="74">
        <f>I237+I238+I239+I240</f>
        <v>807.88</v>
      </c>
      <c r="J241">
        <v>5</v>
      </c>
    </row>
    <row r="242" spans="1:19" x14ac:dyDescent="0.3">
      <c r="B242" s="2">
        <v>45</v>
      </c>
      <c r="C242" s="3" t="s">
        <v>1102</v>
      </c>
      <c r="D242" s="5" t="s">
        <v>29</v>
      </c>
      <c r="G242" s="30">
        <v>12</v>
      </c>
      <c r="H242" s="38">
        <f>3484.49/G242</f>
        <v>290.37416666666667</v>
      </c>
      <c r="I242" s="29">
        <f>G242*H242</f>
        <v>3484.49</v>
      </c>
      <c r="J242">
        <v>1</v>
      </c>
    </row>
    <row r="243" spans="1:19" x14ac:dyDescent="0.3">
      <c r="D243" s="15" t="str">
        <f>SUBSTITUTE("Sp.mat: 0.00%",".",IF(VALUE("1.2")=1.2,".",","),2)</f>
        <v>Sp.mat: 0.00%</v>
      </c>
      <c r="F243" s="15" t="str">
        <f>SUBSTITUTE("Sp.man: 0.00%",".",IF(VALUE("1.2")=1.2,".",","),2)</f>
        <v>Sp.man: 0.00%</v>
      </c>
      <c r="G243" s="35" t="str">
        <f>SUBSTITUTE("Sp.uti: 0.00%",".",IF(VALUE("1.2")=1.2,".",","),2)</f>
        <v>Sp.uti: 0.00%</v>
      </c>
      <c r="H243" s="38">
        <f>576.61/G242</f>
        <v>48.050833333333337</v>
      </c>
      <c r="I243" s="29">
        <f>G242*H243</f>
        <v>576.61</v>
      </c>
      <c r="J243">
        <v>2</v>
      </c>
    </row>
    <row r="244" spans="1:19" x14ac:dyDescent="0.3">
      <c r="A244" s="88" t="s">
        <v>1103</v>
      </c>
      <c r="B244" s="98"/>
      <c r="C244" s="98"/>
      <c r="D244" s="98"/>
      <c r="E244" s="98"/>
      <c r="F244" s="98"/>
      <c r="G244" s="98"/>
      <c r="H244" s="38">
        <f>(1+IF(OR(ISERR(FIND(":",G243)),ISERR(FIND("%",G243))),0,MID(G243,FIND(":",G243)+2,FIND("%",G243)-FIND(":",G243)-2)/100))*0</f>
        <v>0</v>
      </c>
      <c r="I244" s="29">
        <f>G242*H244</f>
        <v>0</v>
      </c>
      <c r="J244">
        <v>3</v>
      </c>
      <c r="K244" s="4">
        <v>0</v>
      </c>
      <c r="L244" s="4">
        <v>0</v>
      </c>
      <c r="M244" s="4">
        <f>I244-K244-L244</f>
        <v>0</v>
      </c>
    </row>
    <row r="245" spans="1:19" x14ac:dyDescent="0.3">
      <c r="A245" s="98"/>
      <c r="B245" s="98"/>
      <c r="C245" s="98"/>
      <c r="D245" s="98"/>
      <c r="E245" s="98"/>
      <c r="F245" s="98"/>
      <c r="G245" s="98"/>
      <c r="H245" s="38">
        <f>0</f>
        <v>0</v>
      </c>
      <c r="I245" s="29">
        <f>G242*H245</f>
        <v>0</v>
      </c>
      <c r="J245">
        <v>4</v>
      </c>
      <c r="N245" s="4">
        <f>IF(ISERR(SEARCH("TRA* 82",C242)),IF(Q245+R245+S245=0,0,I245*(Q245/(Q245+R245+S245))),I245)</f>
        <v>0</v>
      </c>
      <c r="O245" s="4">
        <f>IF(ISERR(SEARCH("TRA* 82",C242)),IF(Q245+R245+S245=0,0,I245*(R245/(Q245+R245+S245))),0)</f>
        <v>0</v>
      </c>
      <c r="P245" s="4">
        <f>IF(ISERR(SEARCH("TRA* 82",C242)),I245-N245-O245,0)</f>
        <v>0</v>
      </c>
      <c r="Q245" s="4">
        <v>0</v>
      </c>
      <c r="R245" s="4">
        <v>0</v>
      </c>
      <c r="S245" s="4">
        <v>0</v>
      </c>
    </row>
    <row r="246" spans="1:19" x14ac:dyDescent="0.3">
      <c r="A246" s="96" t="s">
        <v>27</v>
      </c>
      <c r="B246" s="97"/>
      <c r="C246" s="97"/>
      <c r="D246" s="97"/>
      <c r="E246" s="97"/>
      <c r="F246" s="97"/>
      <c r="G246" s="97"/>
      <c r="H246" s="36">
        <f>H242+H243+H244+H245</f>
        <v>338.42500000000001</v>
      </c>
      <c r="I246" s="74">
        <f>I242+I243+I244+I245</f>
        <v>4061.1</v>
      </c>
      <c r="J246">
        <v>5</v>
      </c>
    </row>
    <row r="247" spans="1:19" x14ac:dyDescent="0.3">
      <c r="B247" s="2">
        <v>46</v>
      </c>
      <c r="C247" s="3" t="s">
        <v>1100</v>
      </c>
      <c r="D247" s="5" t="s">
        <v>29</v>
      </c>
      <c r="G247" s="30">
        <v>2</v>
      </c>
      <c r="H247" s="38">
        <f>448.47/G247</f>
        <v>224.23500000000001</v>
      </c>
      <c r="I247" s="29">
        <f>G247*H247</f>
        <v>448.47</v>
      </c>
      <c r="J247">
        <v>1</v>
      </c>
    </row>
    <row r="248" spans="1:19" x14ac:dyDescent="0.3">
      <c r="D248" s="15" t="str">
        <f>SUBSTITUTE("Sp.mat: 0.00%",".",IF(VALUE("1.2")=1.2,".",","),2)</f>
        <v>Sp.mat: 0.00%</v>
      </c>
      <c r="F248" s="15" t="str">
        <f>SUBSTITUTE("Sp.man: 0.00%",".",IF(VALUE("1.2")=1.2,".",","),2)</f>
        <v>Sp.man: 0.00%</v>
      </c>
      <c r="G248" s="35" t="str">
        <f>SUBSTITUTE("Sp.uti: 0.00%",".",IF(VALUE("1.2")=1.2,".",","),2)</f>
        <v>Sp.uti: 0.00%</v>
      </c>
      <c r="H248" s="38">
        <f>76.88/G247</f>
        <v>38.44</v>
      </c>
      <c r="I248" s="29">
        <f>G247*H248</f>
        <v>76.88</v>
      </c>
      <c r="J248">
        <v>2</v>
      </c>
    </row>
    <row r="249" spans="1:19" x14ac:dyDescent="0.3">
      <c r="A249" s="88" t="s">
        <v>1101</v>
      </c>
      <c r="B249" s="98"/>
      <c r="C249" s="98"/>
      <c r="D249" s="98"/>
      <c r="E249" s="98"/>
      <c r="F249" s="98"/>
      <c r="G249" s="98"/>
      <c r="H249" s="38">
        <f>(1+IF(OR(ISERR(FIND(":",G248)),ISERR(FIND("%",G248))),0,MID(G248,FIND(":",G248)+2,FIND("%",G248)-FIND(":",G248)-2)/100))*0</f>
        <v>0</v>
      </c>
      <c r="I249" s="29">
        <f>G247*H249</f>
        <v>0</v>
      </c>
      <c r="J249">
        <v>3</v>
      </c>
      <c r="K249" s="4">
        <v>0</v>
      </c>
      <c r="L249" s="4">
        <v>0</v>
      </c>
      <c r="M249" s="4">
        <f>I249-K249-L249</f>
        <v>0</v>
      </c>
    </row>
    <row r="250" spans="1:19" x14ac:dyDescent="0.3">
      <c r="A250" s="98"/>
      <c r="B250" s="98"/>
      <c r="C250" s="98"/>
      <c r="D250" s="98"/>
      <c r="E250" s="98"/>
      <c r="F250" s="98"/>
      <c r="G250" s="98"/>
      <c r="H250" s="38">
        <f>0</f>
        <v>0</v>
      </c>
      <c r="I250" s="29">
        <f>G247*H250</f>
        <v>0</v>
      </c>
      <c r="J250">
        <v>4</v>
      </c>
      <c r="N250" s="4">
        <f>IF(ISERR(SEARCH("TRA* 82",C247)),IF(Q250+R250+S250=0,0,I250*(Q250/(Q250+R250+S250))),I250)</f>
        <v>0</v>
      </c>
      <c r="O250" s="4">
        <f>IF(ISERR(SEARCH("TRA* 82",C247)),IF(Q250+R250+S250=0,0,I250*(R250/(Q250+R250+S250))),0)</f>
        <v>0</v>
      </c>
      <c r="P250" s="4">
        <f>IF(ISERR(SEARCH("TRA* 82",C247)),I250-N250-O250,0)</f>
        <v>0</v>
      </c>
      <c r="Q250" s="4">
        <v>0</v>
      </c>
      <c r="R250" s="4">
        <v>0</v>
      </c>
      <c r="S250" s="4">
        <v>0</v>
      </c>
    </row>
    <row r="251" spans="1:19" x14ac:dyDescent="0.3">
      <c r="A251" s="96" t="s">
        <v>27</v>
      </c>
      <c r="B251" s="97"/>
      <c r="C251" s="97"/>
      <c r="D251" s="97"/>
      <c r="E251" s="97"/>
      <c r="F251" s="97"/>
      <c r="G251" s="97"/>
      <c r="H251" s="36">
        <f>H247+H248+H249+H250</f>
        <v>262.67500000000001</v>
      </c>
      <c r="I251" s="74">
        <f>I247+I248+I249+I250</f>
        <v>525.35</v>
      </c>
      <c r="J251">
        <v>5</v>
      </c>
    </row>
    <row r="252" spans="1:19" x14ac:dyDescent="0.3">
      <c r="B252" s="2">
        <v>47</v>
      </c>
      <c r="C252" s="3" t="s">
        <v>1100</v>
      </c>
      <c r="D252" s="5" t="s">
        <v>29</v>
      </c>
      <c r="G252" s="30">
        <v>3</v>
      </c>
      <c r="H252" s="38">
        <f>721.92/G252</f>
        <v>240.64</v>
      </c>
      <c r="I252" s="29">
        <f>G252*H252</f>
        <v>721.92</v>
      </c>
      <c r="J252">
        <v>1</v>
      </c>
    </row>
    <row r="253" spans="1:19" x14ac:dyDescent="0.3">
      <c r="D253" s="15" t="str">
        <f>SUBSTITUTE("Sp.mat: 0.00%",".",IF(VALUE("1.2")=1.2,".",","),2)</f>
        <v>Sp.mat: 0.00%</v>
      </c>
      <c r="F253" s="15" t="str">
        <f>SUBSTITUTE("Sp.man: 0.00%",".",IF(VALUE("1.2")=1.2,".",","),2)</f>
        <v>Sp.man: 0.00%</v>
      </c>
      <c r="G253" s="35" t="str">
        <f>SUBSTITUTE("Sp.uti: 0.00%",".",IF(VALUE("1.2")=1.2,".",","),2)</f>
        <v>Sp.uti: 0.00%</v>
      </c>
      <c r="H253" s="38">
        <f>115.32/G252</f>
        <v>38.44</v>
      </c>
      <c r="I253" s="29">
        <f>G252*H253</f>
        <v>115.32</v>
      </c>
      <c r="J253">
        <v>2</v>
      </c>
    </row>
    <row r="254" spans="1:19" x14ac:dyDescent="0.3">
      <c r="A254" s="88" t="s">
        <v>1101</v>
      </c>
      <c r="B254" s="98"/>
      <c r="C254" s="98"/>
      <c r="D254" s="98"/>
      <c r="E254" s="98"/>
      <c r="F254" s="98"/>
      <c r="G254" s="98"/>
      <c r="H254" s="38">
        <f>(1+IF(OR(ISERR(FIND(":",G253)),ISERR(FIND("%",G253))),0,MID(G253,FIND(":",G253)+2,FIND("%",G253)-FIND(":",G253)-2)/100))*0</f>
        <v>0</v>
      </c>
      <c r="I254" s="29">
        <f>G252*H254</f>
        <v>0</v>
      </c>
      <c r="J254">
        <v>3</v>
      </c>
      <c r="K254" s="4">
        <v>0</v>
      </c>
      <c r="L254" s="4">
        <v>0</v>
      </c>
      <c r="M254" s="4">
        <f>I254-K254-L254</f>
        <v>0</v>
      </c>
    </row>
    <row r="255" spans="1:19" x14ac:dyDescent="0.3">
      <c r="A255" s="98"/>
      <c r="B255" s="98"/>
      <c r="C255" s="98"/>
      <c r="D255" s="98"/>
      <c r="E255" s="98"/>
      <c r="F255" s="98"/>
      <c r="G255" s="98"/>
      <c r="H255" s="38">
        <f>0</f>
        <v>0</v>
      </c>
      <c r="I255" s="29">
        <f>G252*H255</f>
        <v>0</v>
      </c>
      <c r="J255">
        <v>4</v>
      </c>
      <c r="N255" s="4">
        <f>IF(ISERR(SEARCH("TRA* 82",C252)),IF(Q255+R255+S255=0,0,I255*(Q255/(Q255+R255+S255))),I255)</f>
        <v>0</v>
      </c>
      <c r="O255" s="4">
        <f>IF(ISERR(SEARCH("TRA* 82",C252)),IF(Q255+R255+S255=0,0,I255*(R255/(Q255+R255+S255))),0)</f>
        <v>0</v>
      </c>
      <c r="P255" s="4">
        <f>IF(ISERR(SEARCH("TRA* 82",C252)),I255-N255-O255,0)</f>
        <v>0</v>
      </c>
      <c r="Q255" s="4">
        <v>0</v>
      </c>
      <c r="R255" s="4">
        <v>0</v>
      </c>
      <c r="S255" s="4">
        <v>0</v>
      </c>
    </row>
    <row r="256" spans="1:19" x14ac:dyDescent="0.3">
      <c r="A256" s="96" t="s">
        <v>27</v>
      </c>
      <c r="B256" s="97"/>
      <c r="C256" s="97"/>
      <c r="D256" s="97"/>
      <c r="E256" s="97"/>
      <c r="F256" s="97"/>
      <c r="G256" s="97"/>
      <c r="H256" s="36">
        <f>H252+H253+H254+H255</f>
        <v>279.08</v>
      </c>
      <c r="I256" s="74">
        <f>I252+I253+I254+I255</f>
        <v>837.24</v>
      </c>
      <c r="J256">
        <v>5</v>
      </c>
    </row>
    <row r="257" spans="1:19" x14ac:dyDescent="0.3">
      <c r="B257" s="2">
        <v>48</v>
      </c>
      <c r="C257" s="3" t="s">
        <v>105</v>
      </c>
      <c r="D257" s="5" t="s">
        <v>29</v>
      </c>
      <c r="G257" s="30">
        <v>1</v>
      </c>
      <c r="H257" s="38">
        <v>2116.9699999999998</v>
      </c>
      <c r="I257" s="29">
        <f>G257*H257</f>
        <v>2116.9699999999998</v>
      </c>
      <c r="J257">
        <v>1</v>
      </c>
    </row>
    <row r="258" spans="1:19" x14ac:dyDescent="0.3">
      <c r="D258" s="15" t="str">
        <f>SUBSTITUTE("Sp.mat: 0.00%",".",IF(VALUE("1.2")=1.2,".",","),2)</f>
        <v>Sp.mat: 0.00%</v>
      </c>
      <c r="F258" s="15" t="str">
        <f>SUBSTITUTE("Sp.man: 0.00%",".",IF(VALUE("1.2")=1.2,".",","),2)</f>
        <v>Sp.man: 0.00%</v>
      </c>
      <c r="G258" s="35" t="str">
        <f>SUBSTITUTE("Sp.uti: 0.00%",".",IF(VALUE("1.2")=1.2,".",","),2)</f>
        <v>Sp.uti: 0.00%</v>
      </c>
      <c r="H258" s="38">
        <v>36.840000000000003</v>
      </c>
      <c r="I258" s="29">
        <f>G257*H258</f>
        <v>36.840000000000003</v>
      </c>
      <c r="J258">
        <v>2</v>
      </c>
    </row>
    <row r="259" spans="1:19" x14ac:dyDescent="0.3">
      <c r="A259" s="88" t="s">
        <v>106</v>
      </c>
      <c r="B259" s="98"/>
      <c r="C259" s="98"/>
      <c r="D259" s="98"/>
      <c r="E259" s="98"/>
      <c r="F259" s="98"/>
      <c r="G259" s="98"/>
      <c r="H259" s="38">
        <f>(1+IF(OR(ISERR(FIND(":",G258)),ISERR(FIND("%",G258))),0,MID(G258,FIND(":",G258)+2,FIND("%",G258)-FIND(":",G258)-2)/100))*0</f>
        <v>0</v>
      </c>
      <c r="I259" s="29">
        <f>G257*H259</f>
        <v>0</v>
      </c>
      <c r="J259">
        <v>3</v>
      </c>
      <c r="K259" s="4">
        <v>0</v>
      </c>
      <c r="L259" s="4">
        <v>0</v>
      </c>
      <c r="M259" s="4">
        <f>I259-K259-L259</f>
        <v>0</v>
      </c>
    </row>
    <row r="260" spans="1:19" x14ac:dyDescent="0.3">
      <c r="A260" s="98"/>
      <c r="B260" s="98"/>
      <c r="C260" s="98"/>
      <c r="D260" s="98"/>
      <c r="E260" s="98"/>
      <c r="F260" s="98"/>
      <c r="G260" s="98"/>
      <c r="H260" s="38">
        <f>0</f>
        <v>0</v>
      </c>
      <c r="I260" s="29">
        <f>G257*H260</f>
        <v>0</v>
      </c>
      <c r="J260">
        <v>4</v>
      </c>
      <c r="N260" s="4">
        <f>IF(ISERR(SEARCH("TRA* 82",C257)),IF(Q260+R260+S260=0,0,I260*(Q260/(Q260+R260+S260))),I260)</f>
        <v>0</v>
      </c>
      <c r="O260" s="4">
        <f>IF(ISERR(SEARCH("TRA* 82",C257)),IF(Q260+R260+S260=0,0,I260*(R260/(Q260+R260+S260))),0)</f>
        <v>0</v>
      </c>
      <c r="P260" s="4">
        <f>IF(ISERR(SEARCH("TRA* 82",C257)),I260-N260-O260,0)</f>
        <v>0</v>
      </c>
      <c r="Q260" s="4">
        <v>0</v>
      </c>
      <c r="R260" s="4">
        <v>0</v>
      </c>
      <c r="S260" s="4">
        <v>0</v>
      </c>
    </row>
    <row r="261" spans="1:19" x14ac:dyDescent="0.3">
      <c r="A261" s="96" t="s">
        <v>27</v>
      </c>
      <c r="B261" s="97"/>
      <c r="C261" s="97"/>
      <c r="D261" s="97"/>
      <c r="E261" s="97"/>
      <c r="F261" s="97"/>
      <c r="G261" s="97"/>
      <c r="H261" s="36">
        <f>H257+H258+H259+H260</f>
        <v>2153.81</v>
      </c>
      <c r="I261" s="74">
        <f>I257+I258+I259+I260</f>
        <v>2153.81</v>
      </c>
      <c r="J261">
        <v>5</v>
      </c>
    </row>
    <row r="262" spans="1:19" x14ac:dyDescent="0.3">
      <c r="B262" s="2">
        <v>49</v>
      </c>
      <c r="C262" s="3" t="s">
        <v>1115</v>
      </c>
      <c r="D262" s="5" t="s">
        <v>25</v>
      </c>
      <c r="G262" s="30">
        <v>288</v>
      </c>
      <c r="H262" s="38">
        <f>(1+IF(OR(ISERR(FIND(":",D263)),ISERR(FIND("%",D263))),0,MID(D263,FIND(":",D263)+2,FIND("%",D263)-FIND(":",D263)-2)/100))*0</f>
        <v>0</v>
      </c>
      <c r="I262" s="29">
        <f>G262*H262</f>
        <v>0</v>
      </c>
      <c r="J262">
        <v>1</v>
      </c>
    </row>
    <row r="263" spans="1:19" x14ac:dyDescent="0.3">
      <c r="D263" s="15" t="str">
        <f>SUBSTITUTE("Sp.mat: 0.00%",".",IF(VALUE("1.2")=1.2,".",","),2)</f>
        <v>Sp.mat: 0.00%</v>
      </c>
      <c r="F263" s="15" t="str">
        <f>SUBSTITUTE("Sp.man: 0.00%",".",IF(VALUE("1.2")=1.2,".",","),2)</f>
        <v>Sp.man: 0.00%</v>
      </c>
      <c r="G263" s="35" t="str">
        <f>SUBSTITUTE("Sp.uti: 0.00%",".",IF(VALUE("1.2")=1.2,".",","),2)</f>
        <v>Sp.uti: 0.00%</v>
      </c>
      <c r="H263" s="38">
        <f>322.9/G262</f>
        <v>1.1211805555555554</v>
      </c>
      <c r="I263" s="29">
        <f>G262*H263</f>
        <v>322.89999999999998</v>
      </c>
      <c r="J263">
        <v>2</v>
      </c>
    </row>
    <row r="264" spans="1:19" x14ac:dyDescent="0.3">
      <c r="A264" s="88" t="s">
        <v>1116</v>
      </c>
      <c r="B264" s="98"/>
      <c r="C264" s="98"/>
      <c r="D264" s="98"/>
      <c r="E264" s="98"/>
      <c r="F264" s="98"/>
      <c r="G264" s="98"/>
      <c r="H264" s="38">
        <f>(1+IF(OR(ISERR(FIND(":",G263)),ISERR(FIND("%",G263))),0,MID(G263,FIND(":",G263)+2,FIND("%",G263)-FIND(":",G263)-2)/100))*0</f>
        <v>0</v>
      </c>
      <c r="I264" s="29">
        <f>G262*H264</f>
        <v>0</v>
      </c>
      <c r="J264">
        <v>3</v>
      </c>
      <c r="K264" s="4">
        <v>0</v>
      </c>
      <c r="L264" s="4">
        <v>0</v>
      </c>
      <c r="M264" s="4">
        <f>I264-K264-L264</f>
        <v>0</v>
      </c>
    </row>
    <row r="265" spans="1:19" x14ac:dyDescent="0.3">
      <c r="A265" s="98"/>
      <c r="B265" s="98"/>
      <c r="C265" s="98"/>
      <c r="D265" s="98"/>
      <c r="E265" s="98"/>
      <c r="F265" s="98"/>
      <c r="G265" s="98"/>
      <c r="H265" s="38">
        <f>0</f>
        <v>0</v>
      </c>
      <c r="I265" s="29">
        <f>G262*H265</f>
        <v>0</v>
      </c>
      <c r="J265">
        <v>4</v>
      </c>
      <c r="N265" s="4">
        <f>IF(ISERR(SEARCH("TRA* 82",C262)),IF(Q265+R265+S265=0,0,I265*(Q265/(Q265+R265+S265))),I265)</f>
        <v>0</v>
      </c>
      <c r="O265" s="4">
        <f>IF(ISERR(SEARCH("TRA* 82",C262)),IF(Q265+R265+S265=0,0,I265*(R265/(Q265+R265+S265))),0)</f>
        <v>0</v>
      </c>
      <c r="P265" s="4">
        <f>IF(ISERR(SEARCH("TRA* 82",C262)),I265-N265-O265,0)</f>
        <v>0</v>
      </c>
      <c r="Q265" s="4">
        <v>0</v>
      </c>
      <c r="R265" s="4">
        <v>0</v>
      </c>
      <c r="S265" s="4">
        <v>0</v>
      </c>
    </row>
    <row r="266" spans="1:19" x14ac:dyDescent="0.3">
      <c r="A266" s="96" t="s">
        <v>27</v>
      </c>
      <c r="B266" s="97"/>
      <c r="C266" s="97"/>
      <c r="D266" s="97"/>
      <c r="E266" s="97"/>
      <c r="F266" s="97"/>
      <c r="G266" s="97"/>
      <c r="H266" s="36">
        <f>H262+H263+H264+H265</f>
        <v>1.1211805555555554</v>
      </c>
      <c r="I266" s="74">
        <f>I262+I263+I264+I265</f>
        <v>322.89999999999998</v>
      </c>
      <c r="J266">
        <v>5</v>
      </c>
    </row>
    <row r="267" spans="1:19" x14ac:dyDescent="0.3">
      <c r="B267" s="2">
        <v>50</v>
      </c>
      <c r="C267" s="3" t="s">
        <v>1117</v>
      </c>
      <c r="D267" s="5" t="s">
        <v>25</v>
      </c>
      <c r="G267" s="30">
        <v>288</v>
      </c>
      <c r="H267" s="38">
        <f>(1+IF(OR(ISERR(FIND(":",D268)),ISERR(FIND("%",D268))),0,MID(D268,FIND(":",D268)+2,FIND("%",D268)-FIND(":",D268)-2)/100))*0</f>
        <v>0</v>
      </c>
      <c r="I267" s="29">
        <f>G267*H267</f>
        <v>0</v>
      </c>
      <c r="J267">
        <v>1</v>
      </c>
    </row>
    <row r="268" spans="1:19" x14ac:dyDescent="0.3">
      <c r="D268" s="15" t="str">
        <f>SUBSTITUTE("Sp.mat: 0.00%",".",IF(VALUE("1.2")=1.2,".",","),2)</f>
        <v>Sp.mat: 0.00%</v>
      </c>
      <c r="F268" s="15" t="str">
        <f>SUBSTITUTE("Sp.man: 0.00%",".",IF(VALUE("1.2")=1.2,".",","),2)</f>
        <v>Sp.man: 0.00%</v>
      </c>
      <c r="G268" s="35" t="str">
        <f>SUBSTITUTE("Sp.uti: 0.00%",".",IF(VALUE("1.2")=1.2,".",","),2)</f>
        <v>Sp.uti: 0.00%</v>
      </c>
      <c r="H268" s="38">
        <f>738.06/G267</f>
        <v>2.5627083333333331</v>
      </c>
      <c r="I268" s="29">
        <f>G267*H268</f>
        <v>738.06</v>
      </c>
      <c r="J268">
        <v>2</v>
      </c>
    </row>
    <row r="269" spans="1:19" x14ac:dyDescent="0.3">
      <c r="A269" s="88" t="s">
        <v>1118</v>
      </c>
      <c r="B269" s="98"/>
      <c r="C269" s="98"/>
      <c r="D269" s="98"/>
      <c r="E269" s="98"/>
      <c r="F269" s="98"/>
      <c r="G269" s="98"/>
      <c r="H269" s="38">
        <f>(1+IF(OR(ISERR(FIND(":",G268)),ISERR(FIND("%",G268))),0,MID(G268,FIND(":",G268)+2,FIND("%",G268)-FIND(":",G268)-2)/100))*0</f>
        <v>0</v>
      </c>
      <c r="I269" s="29">
        <f>G267*H269</f>
        <v>0</v>
      </c>
      <c r="J269">
        <v>3</v>
      </c>
      <c r="K269" s="4">
        <v>0</v>
      </c>
      <c r="L269" s="4">
        <v>0</v>
      </c>
      <c r="M269" s="4">
        <f>I269-K269-L269</f>
        <v>0</v>
      </c>
    </row>
    <row r="270" spans="1:19" x14ac:dyDescent="0.3">
      <c r="A270" s="98"/>
      <c r="B270" s="98"/>
      <c r="C270" s="98"/>
      <c r="D270" s="98"/>
      <c r="E270" s="98"/>
      <c r="F270" s="98"/>
      <c r="G270" s="98"/>
      <c r="H270" s="38">
        <f>0</f>
        <v>0</v>
      </c>
      <c r="I270" s="29">
        <f>G267*H270</f>
        <v>0</v>
      </c>
      <c r="J270">
        <v>4</v>
      </c>
      <c r="N270" s="4">
        <f>IF(ISERR(SEARCH("TRA* 82",C267)),IF(Q270+R270+S270=0,0,I270*(Q270/(Q270+R270+S270))),I270)</f>
        <v>0</v>
      </c>
      <c r="O270" s="4">
        <f>IF(ISERR(SEARCH("TRA* 82",C267)),IF(Q270+R270+S270=0,0,I270*(R270/(Q270+R270+S270))),0)</f>
        <v>0</v>
      </c>
      <c r="P270" s="4">
        <f>IF(ISERR(SEARCH("TRA* 82",C267)),I270-N270-O270,0)</f>
        <v>0</v>
      </c>
      <c r="Q270" s="4">
        <v>0</v>
      </c>
      <c r="R270" s="4">
        <v>0</v>
      </c>
      <c r="S270" s="4">
        <v>0</v>
      </c>
    </row>
    <row r="271" spans="1:19" x14ac:dyDescent="0.3">
      <c r="A271" s="96" t="s">
        <v>27</v>
      </c>
      <c r="B271" s="97"/>
      <c r="C271" s="97"/>
      <c r="D271" s="97"/>
      <c r="E271" s="97"/>
      <c r="F271" s="97"/>
      <c r="G271" s="97"/>
      <c r="H271" s="36">
        <f>H267+H268+H269+H270</f>
        <v>2.5627083333333331</v>
      </c>
      <c r="I271" s="74">
        <f>I267+I268+I269+I270</f>
        <v>738.06</v>
      </c>
      <c r="J271">
        <v>5</v>
      </c>
    </row>
    <row r="272" spans="1:19" x14ac:dyDescent="0.3">
      <c r="B272" s="2">
        <v>51</v>
      </c>
      <c r="C272" s="3" t="s">
        <v>135</v>
      </c>
      <c r="D272" s="5" t="s">
        <v>35</v>
      </c>
      <c r="G272" s="30">
        <v>81</v>
      </c>
      <c r="H272" s="38">
        <f>(1+IF(OR(ISERR(FIND(":",D273)),ISERR(FIND("%",D273))),0,MID(D273,FIND(":",D273)+2,FIND("%",D273)-FIND(":",D273)-2)/100))*0</f>
        <v>0</v>
      </c>
      <c r="I272" s="29">
        <f>G272*H272</f>
        <v>0</v>
      </c>
      <c r="J272">
        <v>1</v>
      </c>
    </row>
    <row r="273" spans="1:19" x14ac:dyDescent="0.3">
      <c r="D273" s="15" t="str">
        <f>SUBSTITUTE("Sp.mat: 0.00%",".",IF(VALUE("1.2")=1.2,".",","),2)</f>
        <v>Sp.mat: 0.00%</v>
      </c>
      <c r="F273" s="15" t="str">
        <f>SUBSTITUTE("Sp.man: 0.00%",".",IF(VALUE("1.2")=1.2,".",","),2)</f>
        <v>Sp.man: 0.00%</v>
      </c>
      <c r="G273" s="35" t="str">
        <f>SUBSTITUTE("Sp.uti: 0.00%",".",IF(VALUE("1.2")=1.2,".",","),2)</f>
        <v>Sp.uti: 0.00%</v>
      </c>
      <c r="H273" s="38">
        <f>1933.09/G272</f>
        <v>23.865308641975307</v>
      </c>
      <c r="I273" s="29">
        <f>G272*H273</f>
        <v>1933.09</v>
      </c>
      <c r="J273">
        <v>2</v>
      </c>
    </row>
    <row r="274" spans="1:19" x14ac:dyDescent="0.3">
      <c r="A274" s="88" t="s">
        <v>136</v>
      </c>
      <c r="B274" s="98"/>
      <c r="C274" s="98"/>
      <c r="D274" s="98"/>
      <c r="E274" s="98"/>
      <c r="F274" s="98"/>
      <c r="G274" s="98"/>
      <c r="H274" s="38">
        <f>(1+IF(OR(ISERR(FIND(":",G273)),ISERR(FIND("%",G273))),0,MID(G273,FIND(":",G273)+2,FIND("%",G273)-FIND(":",G273)-2)/100))*0</f>
        <v>0</v>
      </c>
      <c r="I274" s="29">
        <f>G272*H274</f>
        <v>0</v>
      </c>
      <c r="J274">
        <v>3</v>
      </c>
      <c r="K274" s="4">
        <v>0</v>
      </c>
      <c r="L274" s="4">
        <v>0</v>
      </c>
      <c r="M274" s="4">
        <f>I274-K274-L274</f>
        <v>0</v>
      </c>
    </row>
    <row r="275" spans="1:19" x14ac:dyDescent="0.3">
      <c r="A275" s="98"/>
      <c r="B275" s="98"/>
      <c r="C275" s="98"/>
      <c r="D275" s="98"/>
      <c r="E275" s="98"/>
      <c r="F275" s="98"/>
      <c r="G275" s="98"/>
      <c r="H275" s="38">
        <f>0</f>
        <v>0</v>
      </c>
      <c r="I275" s="29">
        <f>G272*H275</f>
        <v>0</v>
      </c>
      <c r="J275">
        <v>4</v>
      </c>
      <c r="N275" s="4">
        <f>IF(ISERR(SEARCH("TRA* 82",C272)),IF(Q275+R275+S275=0,0,I275*(Q275/(Q275+R275+S275))),I275)</f>
        <v>0</v>
      </c>
      <c r="O275" s="4">
        <f>IF(ISERR(SEARCH("TRA* 82",C272)),IF(Q275+R275+S275=0,0,I275*(R275/(Q275+R275+S275))),0)</f>
        <v>0</v>
      </c>
      <c r="P275" s="4">
        <f>IF(ISERR(SEARCH("TRA* 82",C272)),I275-N275-O275,0)</f>
        <v>0</v>
      </c>
      <c r="Q275" s="4">
        <v>0</v>
      </c>
      <c r="R275" s="4">
        <v>0</v>
      </c>
      <c r="S275" s="4">
        <v>0</v>
      </c>
    </row>
    <row r="276" spans="1:19" x14ac:dyDescent="0.3">
      <c r="A276" s="96" t="s">
        <v>27</v>
      </c>
      <c r="B276" s="97"/>
      <c r="C276" s="97"/>
      <c r="D276" s="97"/>
      <c r="E276" s="97"/>
      <c r="F276" s="97"/>
      <c r="G276" s="97"/>
      <c r="H276" s="36">
        <f>H272+H273+H274+H275</f>
        <v>23.865308641975307</v>
      </c>
      <c r="I276" s="74">
        <f>I272+I273+I274+I275</f>
        <v>1933.09</v>
      </c>
      <c r="J276">
        <v>5</v>
      </c>
    </row>
    <row r="277" spans="1:19" x14ac:dyDescent="0.3">
      <c r="B277" s="2">
        <v>52</v>
      </c>
      <c r="C277" s="3" t="s">
        <v>34</v>
      </c>
      <c r="D277" s="5" t="s">
        <v>35</v>
      </c>
      <c r="G277" s="30">
        <v>24</v>
      </c>
      <c r="H277" s="38">
        <f>987.72/G277</f>
        <v>41.155000000000001</v>
      </c>
      <c r="I277" s="29">
        <f>G277*H277</f>
        <v>987.72</v>
      </c>
      <c r="J277">
        <v>1</v>
      </c>
    </row>
    <row r="278" spans="1:19" x14ac:dyDescent="0.3">
      <c r="D278" s="15" t="str">
        <f>SUBSTITUTE("Sp.mat: 0.00%",".",IF(VALUE("1.2")=1.2,".",","),2)</f>
        <v>Sp.mat: 0.00%</v>
      </c>
      <c r="F278" s="15" t="str">
        <f>SUBSTITUTE("Sp.man: 0.00%",".",IF(VALUE("1.2")=1.2,".",","),2)</f>
        <v>Sp.man: 0.00%</v>
      </c>
      <c r="G278" s="35" t="str">
        <f>SUBSTITUTE("Sp.uti: 0.00%",".",IF(VALUE("1.2")=1.2,".",","),2)</f>
        <v>Sp.uti: 0.00%</v>
      </c>
      <c r="H278" s="38">
        <f>234.49/G277</f>
        <v>9.7704166666666676</v>
      </c>
      <c r="I278" s="29">
        <f>G277*H278</f>
        <v>234.49</v>
      </c>
      <c r="J278">
        <v>2</v>
      </c>
    </row>
    <row r="279" spans="1:19" x14ac:dyDescent="0.3">
      <c r="A279" s="88" t="s">
        <v>36</v>
      </c>
      <c r="B279" s="98"/>
      <c r="C279" s="98"/>
      <c r="D279" s="98"/>
      <c r="E279" s="98"/>
      <c r="F279" s="98"/>
      <c r="G279" s="98"/>
      <c r="H279" s="38">
        <v>0</v>
      </c>
      <c r="I279" s="29">
        <f>G277*H279</f>
        <v>0</v>
      </c>
      <c r="J279">
        <v>3</v>
      </c>
      <c r="K279" s="4">
        <v>0</v>
      </c>
      <c r="L279" s="4">
        <v>0</v>
      </c>
      <c r="M279" s="4">
        <f>I279-K279-L279</f>
        <v>0</v>
      </c>
    </row>
    <row r="280" spans="1:19" x14ac:dyDescent="0.3">
      <c r="A280" s="98"/>
      <c r="B280" s="98"/>
      <c r="C280" s="98"/>
      <c r="D280" s="98"/>
      <c r="E280" s="98"/>
      <c r="F280" s="98"/>
      <c r="G280" s="98"/>
      <c r="H280" s="38">
        <f>0</f>
        <v>0</v>
      </c>
      <c r="I280" s="29">
        <f>G277*H280</f>
        <v>0</v>
      </c>
      <c r="J280">
        <v>4</v>
      </c>
      <c r="N280" s="4">
        <f>IF(ISERR(SEARCH("TRA* 82",C277)),IF(Q280+R280+S280=0,0,I280*(Q280/(Q280+R280+S280))),I280)</f>
        <v>0</v>
      </c>
      <c r="O280" s="4">
        <f>IF(ISERR(SEARCH("TRA* 82",C277)),IF(Q280+R280+S280=0,0,I280*(R280/(Q280+R280+S280))),0)</f>
        <v>0</v>
      </c>
      <c r="P280" s="4">
        <f>IF(ISERR(SEARCH("TRA* 82",C277)),I280-N280-O280,0)</f>
        <v>0</v>
      </c>
      <c r="Q280" s="4">
        <v>0</v>
      </c>
      <c r="R280" s="4">
        <v>0</v>
      </c>
      <c r="S280" s="4">
        <v>0</v>
      </c>
    </row>
    <row r="281" spans="1:19" x14ac:dyDescent="0.3">
      <c r="A281" s="96" t="s">
        <v>27</v>
      </c>
      <c r="B281" s="97"/>
      <c r="C281" s="97"/>
      <c r="D281" s="97"/>
      <c r="E281" s="97"/>
      <c r="F281" s="97"/>
      <c r="G281" s="97"/>
      <c r="H281" s="36">
        <f>H277+H278+H279+H280</f>
        <v>50.925416666666671</v>
      </c>
      <c r="I281" s="74">
        <f>I277+I278+I279+I280</f>
        <v>1222.21</v>
      </c>
      <c r="J281">
        <v>5</v>
      </c>
    </row>
    <row r="282" spans="1:19" x14ac:dyDescent="0.3">
      <c r="B282" s="2">
        <v>53</v>
      </c>
      <c r="C282" s="3" t="s">
        <v>886</v>
      </c>
      <c r="D282" s="5" t="s">
        <v>35</v>
      </c>
      <c r="G282" s="30">
        <v>81</v>
      </c>
      <c r="H282" s="38">
        <f>(1+IF(OR(ISERR(FIND(":",D283)),ISERR(FIND("%",D283))),0,MID(D283,FIND(":",D283)+2,FIND("%",D283)-FIND(":",D283)-2)/100))*0</f>
        <v>0</v>
      </c>
      <c r="I282" s="29">
        <f>G282*H282</f>
        <v>0</v>
      </c>
      <c r="J282">
        <v>1</v>
      </c>
    </row>
    <row r="283" spans="1:19" x14ac:dyDescent="0.3">
      <c r="D283" s="15" t="str">
        <f>SUBSTITUTE("Sp.mat: 0.00%",".",IF(VALUE("1.2")=1.2,".",","),2)</f>
        <v>Sp.mat: 0.00%</v>
      </c>
      <c r="F283" s="15" t="str">
        <f>SUBSTITUTE("Sp.man: 0.00%",".",IF(VALUE("1.2")=1.2,".",","),2)</f>
        <v>Sp.man: 0.00%</v>
      </c>
      <c r="G283" s="35" t="str">
        <f>SUBSTITUTE("Sp.uti: 0.00%",".",IF(VALUE("1.2")=1.2,".",","),2)</f>
        <v>Sp.uti: 0.00%</v>
      </c>
      <c r="H283" s="38">
        <f>561.76/G282</f>
        <v>6.9353086419753085</v>
      </c>
      <c r="I283" s="29">
        <f>G282*H283</f>
        <v>561.76</v>
      </c>
      <c r="J283">
        <v>2</v>
      </c>
    </row>
    <row r="284" spans="1:19" x14ac:dyDescent="0.3">
      <c r="A284" s="88" t="s">
        <v>887</v>
      </c>
      <c r="B284" s="98"/>
      <c r="C284" s="98"/>
      <c r="D284" s="98"/>
      <c r="E284" s="98"/>
      <c r="F284" s="98"/>
      <c r="G284" s="98"/>
      <c r="H284" s="38">
        <f>(1+IF(OR(ISERR(FIND(":",G283)),ISERR(FIND("%",G283))),0,MID(G283,FIND(":",G283)+2,FIND("%",G283)-FIND(":",G283)-2)/100))*0</f>
        <v>0</v>
      </c>
      <c r="I284" s="29">
        <f>G282*H284</f>
        <v>0</v>
      </c>
      <c r="J284">
        <v>3</v>
      </c>
      <c r="K284" s="4">
        <v>0</v>
      </c>
      <c r="L284" s="4">
        <v>0</v>
      </c>
      <c r="M284" s="4">
        <f>I284-K284-L284</f>
        <v>0</v>
      </c>
    </row>
    <row r="285" spans="1:19" x14ac:dyDescent="0.3">
      <c r="A285" s="98"/>
      <c r="B285" s="98"/>
      <c r="C285" s="98"/>
      <c r="D285" s="98"/>
      <c r="E285" s="98"/>
      <c r="F285" s="98"/>
      <c r="G285" s="98"/>
      <c r="H285" s="38">
        <f>0</f>
        <v>0</v>
      </c>
      <c r="I285" s="29">
        <f>G282*H285</f>
        <v>0</v>
      </c>
      <c r="J285">
        <v>4</v>
      </c>
      <c r="N285" s="4">
        <f>IF(ISERR(SEARCH("TRA* 82",C282)),IF(Q285+R285+S285=0,0,I285*(Q285/(Q285+R285+S285))),I285)</f>
        <v>0</v>
      </c>
      <c r="O285" s="4">
        <f>IF(ISERR(SEARCH("TRA* 82",C282)),IF(Q285+R285+S285=0,0,I285*(R285/(Q285+R285+S285))),0)</f>
        <v>0</v>
      </c>
      <c r="P285" s="4">
        <f>IF(ISERR(SEARCH("TRA* 82",C282)),I285-N285-O285,0)</f>
        <v>0</v>
      </c>
      <c r="Q285" s="4">
        <v>0</v>
      </c>
      <c r="R285" s="4">
        <v>0</v>
      </c>
      <c r="S285" s="4">
        <v>0</v>
      </c>
    </row>
    <row r="286" spans="1:19" x14ac:dyDescent="0.3">
      <c r="A286" s="96" t="s">
        <v>27</v>
      </c>
      <c r="B286" s="97"/>
      <c r="C286" s="97"/>
      <c r="D286" s="97"/>
      <c r="E286" s="97"/>
      <c r="F286" s="97"/>
      <c r="G286" s="97"/>
      <c r="H286" s="36">
        <f>H282+H283+H284+H285</f>
        <v>6.9353086419753085</v>
      </c>
      <c r="I286" s="74">
        <f>I282+I283+I284+I285</f>
        <v>561.76</v>
      </c>
      <c r="J286">
        <v>5</v>
      </c>
    </row>
    <row r="287" spans="1:19" x14ac:dyDescent="0.3">
      <c r="B287" s="2">
        <v>54</v>
      </c>
      <c r="C287" s="3" t="s">
        <v>888</v>
      </c>
      <c r="D287" s="5" t="s">
        <v>889</v>
      </c>
      <c r="G287" s="30">
        <v>0.56999999999999995</v>
      </c>
      <c r="H287" s="38">
        <f>(1+IF(OR(ISERR(FIND(":",D288)),ISERR(FIND("%",D288))),0,MID(D288,FIND(":",D288)+2,FIND("%",D288)-FIND(":",D288)-2)/100))*0</f>
        <v>0</v>
      </c>
      <c r="I287" s="29">
        <f>G287*H287</f>
        <v>0</v>
      </c>
      <c r="J287">
        <v>1</v>
      </c>
    </row>
    <row r="288" spans="1:19" x14ac:dyDescent="0.3">
      <c r="D288" s="15" t="str">
        <f>SUBSTITUTE("Sp.mat: 0.00%",".",IF(VALUE("1.2")=1.2,".",","),2)</f>
        <v>Sp.mat: 0.00%</v>
      </c>
      <c r="F288" s="15" t="str">
        <f>SUBSTITUTE("Sp.man: 0.00%",".",IF(VALUE("1.2")=1.2,".",","),2)</f>
        <v>Sp.man: 0.00%</v>
      </c>
      <c r="G288" s="35" t="str">
        <f>SUBSTITUTE("Sp.uti: 0.00%",".",IF(VALUE("1.2")=1.2,".",","),2)</f>
        <v>Sp.uti: 0.00%</v>
      </c>
      <c r="H288" s="38">
        <f>80.52/G287</f>
        <v>141.26315789473685</v>
      </c>
      <c r="I288" s="29">
        <f>G287*H288</f>
        <v>80.52</v>
      </c>
      <c r="J288">
        <v>2</v>
      </c>
    </row>
    <row r="289" spans="1:19" x14ac:dyDescent="0.3">
      <c r="A289" s="88" t="s">
        <v>890</v>
      </c>
      <c r="B289" s="98"/>
      <c r="C289" s="98"/>
      <c r="D289" s="98"/>
      <c r="E289" s="98"/>
      <c r="F289" s="98"/>
      <c r="G289" s="98"/>
      <c r="H289" s="38">
        <f>132.8/G287</f>
        <v>232.98245614035091</v>
      </c>
      <c r="I289" s="29">
        <f>G287*H289</f>
        <v>132.80000000000001</v>
      </c>
      <c r="J289">
        <v>3</v>
      </c>
      <c r="K289" s="4">
        <v>248.73660000000001</v>
      </c>
      <c r="L289" s="4">
        <v>0</v>
      </c>
      <c r="M289" s="4">
        <f>I289-K289-L289</f>
        <v>-115.9366</v>
      </c>
    </row>
    <row r="290" spans="1:19" x14ac:dyDescent="0.3">
      <c r="A290" s="98"/>
      <c r="B290" s="98"/>
      <c r="C290" s="98"/>
      <c r="D290" s="98"/>
      <c r="E290" s="98"/>
      <c r="F290" s="98"/>
      <c r="G290" s="98"/>
      <c r="H290" s="38">
        <f>0</f>
        <v>0</v>
      </c>
      <c r="I290" s="29">
        <f>G287*H290</f>
        <v>0</v>
      </c>
      <c r="J290">
        <v>4</v>
      </c>
      <c r="N290" s="4">
        <f>IF(ISERR(SEARCH("TRA* 82",C287)),IF(Q290+R290+S290=0,0,I290*(Q290/(Q290+R290+S290))),I290)</f>
        <v>0</v>
      </c>
      <c r="O290" s="4">
        <f>IF(ISERR(SEARCH("TRA* 82",C287)),IF(Q290+R290+S290=0,0,I290*(R290/(Q290+R290+S290))),0)</f>
        <v>0</v>
      </c>
      <c r="P290" s="4">
        <f>IF(ISERR(SEARCH("TRA* 82",C287)),I290-N290-O290,0)</f>
        <v>0</v>
      </c>
      <c r="Q290" s="4">
        <v>0</v>
      </c>
      <c r="R290" s="4">
        <v>0</v>
      </c>
      <c r="S290" s="4">
        <v>0</v>
      </c>
    </row>
    <row r="291" spans="1:19" x14ac:dyDescent="0.3">
      <c r="A291" s="96" t="s">
        <v>27</v>
      </c>
      <c r="B291" s="97"/>
      <c r="C291" s="97"/>
      <c r="D291" s="97"/>
      <c r="E291" s="97"/>
      <c r="F291" s="97"/>
      <c r="G291" s="97"/>
      <c r="H291" s="36">
        <f>H287+H288+H289+H290</f>
        <v>374.24561403508778</v>
      </c>
      <c r="I291" s="74">
        <f>I287+I288+I289+I290</f>
        <v>213.32</v>
      </c>
      <c r="J291">
        <v>5</v>
      </c>
    </row>
    <row r="292" spans="1:19" x14ac:dyDescent="0.3">
      <c r="B292" s="16"/>
      <c r="E292" s="4">
        <f>SUMIF(J12:J291,"1",I12:I291)</f>
        <v>122627.34999999998</v>
      </c>
      <c r="F292" s="4">
        <f>SUMIF(J12:J291,"2",I12:I291)</f>
        <v>24900.280000000002</v>
      </c>
      <c r="G292" s="29">
        <f>SUMIF(J12:J291,"3",I12:I291)</f>
        <v>743.83999999999992</v>
      </c>
      <c r="H292" s="29">
        <f>SUMIF(J12:J291,"4",I12:I291)</f>
        <v>0</v>
      </c>
      <c r="I292" s="29">
        <f>SUMIF(J12:J291,"5",I12:I291)</f>
        <v>148271.47</v>
      </c>
      <c r="K292" s="4">
        <f>SUMIF(J12:J291,"3",K12:K291)</f>
        <v>803.04119999999989</v>
      </c>
      <c r="L292" s="4">
        <f>SUMIF(J12:J291,"3",L12:L291)</f>
        <v>590.19000000000005</v>
      </c>
      <c r="M292" s="4">
        <f>SUMIF(J12:J291,"3",M12:M291)</f>
        <v>-649.39119999999991</v>
      </c>
      <c r="N292" s="4">
        <f>SUMIF(J12:J291,"4",N12:N291)</f>
        <v>0</v>
      </c>
      <c r="O292" s="4">
        <f>SUMIF(J12:J291,"4",O12:O291)</f>
        <v>0</v>
      </c>
      <c r="P292" s="4">
        <f>SUMIF(J12:J291,"4",P12:P291)</f>
        <v>0</v>
      </c>
      <c r="Q292" s="4">
        <f>SUMIF(J12:J291,"4",Q12:Q291)</f>
        <v>0</v>
      </c>
      <c r="R292" s="4">
        <f>SUMIF(J12:J291,"4",R12:R291)</f>
        <v>0</v>
      </c>
      <c r="S292" s="4">
        <f>SUMIF(J12:J291,"4",S12:S291)</f>
        <v>0</v>
      </c>
    </row>
    <row r="293" spans="1:19" x14ac:dyDescent="0.3">
      <c r="B293" s="107" t="s">
        <v>1554</v>
      </c>
      <c r="C293" s="108"/>
      <c r="D293" s="26"/>
      <c r="E293" s="26"/>
      <c r="F293" s="26"/>
      <c r="G293" s="109"/>
      <c r="H293" s="36"/>
      <c r="I293" s="110">
        <f>I292</f>
        <v>148271.47</v>
      </c>
    </row>
  </sheetData>
  <mergeCells count="123">
    <mergeCell ref="A1:D1"/>
    <mergeCell ref="A2:I2"/>
    <mergeCell ref="A3:I3"/>
    <mergeCell ref="A4:I4"/>
    <mergeCell ref="A5:H5"/>
    <mergeCell ref="A14:G15"/>
    <mergeCell ref="A31:G31"/>
    <mergeCell ref="A34:G35"/>
    <mergeCell ref="A36:G36"/>
    <mergeCell ref="A39:G40"/>
    <mergeCell ref="A41:G41"/>
    <mergeCell ref="A44:G45"/>
    <mergeCell ref="A16:G16"/>
    <mergeCell ref="A19:G20"/>
    <mergeCell ref="A21:G21"/>
    <mergeCell ref="A24:G25"/>
    <mergeCell ref="A26:G26"/>
    <mergeCell ref="A29:G30"/>
    <mergeCell ref="A57:G58"/>
    <mergeCell ref="A59:G59"/>
    <mergeCell ref="A60:I60"/>
    <mergeCell ref="A61:I61"/>
    <mergeCell ref="A62:I62"/>
    <mergeCell ref="A65:G66"/>
    <mergeCell ref="A46:G46"/>
    <mergeCell ref="A49:G50"/>
    <mergeCell ref="A51:G51"/>
    <mergeCell ref="A52:I52"/>
    <mergeCell ref="A53:I53"/>
    <mergeCell ref="A54:I54"/>
    <mergeCell ref="A76:I76"/>
    <mergeCell ref="A79:G80"/>
    <mergeCell ref="A81:G81"/>
    <mergeCell ref="A84:G85"/>
    <mergeCell ref="A86:G86"/>
    <mergeCell ref="A89:G90"/>
    <mergeCell ref="A67:G67"/>
    <mergeCell ref="A68:I68"/>
    <mergeCell ref="A69:I69"/>
    <mergeCell ref="A72:G73"/>
    <mergeCell ref="A74:G74"/>
    <mergeCell ref="A75:I75"/>
    <mergeCell ref="A106:G106"/>
    <mergeCell ref="A109:G110"/>
    <mergeCell ref="A111:G111"/>
    <mergeCell ref="A114:G115"/>
    <mergeCell ref="A116:G116"/>
    <mergeCell ref="A119:G120"/>
    <mergeCell ref="A91:G91"/>
    <mergeCell ref="A94:G95"/>
    <mergeCell ref="A96:G96"/>
    <mergeCell ref="A99:G100"/>
    <mergeCell ref="A101:G101"/>
    <mergeCell ref="A104:G105"/>
    <mergeCell ref="A136:G136"/>
    <mergeCell ref="A139:G140"/>
    <mergeCell ref="A141:G141"/>
    <mergeCell ref="A144:G145"/>
    <mergeCell ref="A146:G146"/>
    <mergeCell ref="A149:G150"/>
    <mergeCell ref="A121:G121"/>
    <mergeCell ref="A124:G125"/>
    <mergeCell ref="A126:G126"/>
    <mergeCell ref="A129:G130"/>
    <mergeCell ref="A131:G131"/>
    <mergeCell ref="A134:G135"/>
    <mergeCell ref="A166:G166"/>
    <mergeCell ref="A169:G170"/>
    <mergeCell ref="A171:G171"/>
    <mergeCell ref="A174:G175"/>
    <mergeCell ref="A176:G176"/>
    <mergeCell ref="A179:G180"/>
    <mergeCell ref="A151:G151"/>
    <mergeCell ref="A154:G155"/>
    <mergeCell ref="A156:G156"/>
    <mergeCell ref="A159:G160"/>
    <mergeCell ref="A161:G161"/>
    <mergeCell ref="A164:G165"/>
    <mergeCell ref="A196:G196"/>
    <mergeCell ref="A199:G200"/>
    <mergeCell ref="A201:G201"/>
    <mergeCell ref="A204:G205"/>
    <mergeCell ref="A206:G206"/>
    <mergeCell ref="A209:G210"/>
    <mergeCell ref="A181:G181"/>
    <mergeCell ref="A184:G185"/>
    <mergeCell ref="A186:G186"/>
    <mergeCell ref="A189:G190"/>
    <mergeCell ref="A191:G191"/>
    <mergeCell ref="A194:G195"/>
    <mergeCell ref="A226:G226"/>
    <mergeCell ref="A229:G230"/>
    <mergeCell ref="A231:G231"/>
    <mergeCell ref="A234:G235"/>
    <mergeCell ref="A236:G236"/>
    <mergeCell ref="A239:G240"/>
    <mergeCell ref="A211:G211"/>
    <mergeCell ref="A214:G215"/>
    <mergeCell ref="A216:G216"/>
    <mergeCell ref="A219:G220"/>
    <mergeCell ref="A221:G221"/>
    <mergeCell ref="A224:G225"/>
    <mergeCell ref="A256:G256"/>
    <mergeCell ref="A259:G260"/>
    <mergeCell ref="A261:G261"/>
    <mergeCell ref="A264:G265"/>
    <mergeCell ref="A266:G266"/>
    <mergeCell ref="A269:G270"/>
    <mergeCell ref="A241:G241"/>
    <mergeCell ref="A244:G245"/>
    <mergeCell ref="A246:G246"/>
    <mergeCell ref="A249:G250"/>
    <mergeCell ref="A251:G251"/>
    <mergeCell ref="A254:G255"/>
    <mergeCell ref="A286:G286"/>
    <mergeCell ref="A289:G290"/>
    <mergeCell ref="A291:G291"/>
    <mergeCell ref="A271:G271"/>
    <mergeCell ref="A274:G275"/>
    <mergeCell ref="A276:G276"/>
    <mergeCell ref="A279:G280"/>
    <mergeCell ref="A281:G281"/>
    <mergeCell ref="A284:G285"/>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46" manualBreakCount="46">
    <brk id="62" max="16383" man="1"/>
    <brk id="69" max="16383" man="1"/>
    <brk id="76" max="16383" man="1"/>
    <brk id="81" max="16383" man="1"/>
    <brk id="86" max="16383" man="1"/>
    <brk id="91" max="16383" man="1"/>
    <brk id="96" max="16383" man="1"/>
    <brk id="101" max="16383" man="1"/>
    <brk id="106" max="16383" man="1"/>
    <brk id="111" max="16383" man="1"/>
    <brk id="116" max="16383" man="1"/>
    <brk id="121" max="16383" man="1"/>
    <brk id="126" max="16383" man="1"/>
    <brk id="131" max="16383" man="1"/>
    <brk id="136" max="16383" man="1"/>
    <brk id="141" max="16383" man="1"/>
    <brk id="146" max="16383" man="1"/>
    <brk id="151" max="16383" man="1"/>
    <brk id="156" max="16383" man="1"/>
    <brk id="161" max="16383" man="1"/>
    <brk id="166" max="16383" man="1"/>
    <brk id="171" max="16383" man="1"/>
    <brk id="176" max="16383" man="1"/>
    <brk id="181" max="16383" man="1"/>
    <brk id="186" max="16383" man="1"/>
    <brk id="191" max="16383" man="1"/>
    <brk id="196" max="16383" man="1"/>
    <brk id="201" max="16383" man="1"/>
    <brk id="206" max="16383" man="1"/>
    <brk id="211" max="16383" man="1"/>
    <brk id="216" max="16383" man="1"/>
    <brk id="221" max="16383" man="1"/>
    <brk id="226" max="16383" man="1"/>
    <brk id="231" max="16383" man="1"/>
    <brk id="236" max="16383" man="1"/>
    <brk id="241" max="16383" man="1"/>
    <brk id="246" max="16383" man="1"/>
    <brk id="251" max="16383" man="1"/>
    <brk id="256" max="16383" man="1"/>
    <brk id="261" max="16383" man="1"/>
    <brk id="266" max="16383" man="1"/>
    <brk id="271" max="16383" man="1"/>
    <brk id="276" max="16383" man="1"/>
    <brk id="281" max="16383" man="1"/>
    <brk id="286" max="16383" man="1"/>
    <brk id="291"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23867-52D6-4141-96B2-F049F1365A52}">
  <sheetPr>
    <tabColor rgb="FF92D050"/>
  </sheetPr>
  <dimension ref="A1:T56"/>
  <sheetViews>
    <sheetView topLeftCell="A43" workbookViewId="0">
      <selection activeCell="F67" sqref="F67"/>
    </sheetView>
  </sheetViews>
  <sheetFormatPr defaultRowHeight="14.4" outlineLevelCol="1" x14ac:dyDescent="0.3"/>
  <cols>
    <col min="1" max="1" width="0.33203125" style="1" customWidth="1"/>
    <col min="2" max="2" width="5.77734375" style="2" customWidth="1"/>
    <col min="3" max="3" width="25.33203125" style="3" customWidth="1"/>
    <col min="4" max="4" width="9.5546875" style="5" customWidth="1"/>
    <col min="5" max="6" width="9.5546875" customWidth="1"/>
    <col min="7" max="7" width="9.5546875" style="30" customWidth="1"/>
    <col min="8" max="8" width="9.5546875" style="38" customWidth="1"/>
    <col min="9" max="9" width="9.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1065</v>
      </c>
      <c r="B4" s="98"/>
      <c r="C4" s="98"/>
      <c r="D4" s="98"/>
      <c r="E4" s="98"/>
      <c r="F4" s="98"/>
      <c r="G4" s="98"/>
      <c r="H4" s="98"/>
      <c r="I4" s="98"/>
    </row>
    <row r="5" spans="1:19" ht="15" thickBot="1" x14ac:dyDescent="0.35">
      <c r="A5" s="82" t="s">
        <v>1131</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1132</v>
      </c>
      <c r="D12" s="13" t="s">
        <v>29</v>
      </c>
      <c r="E12" s="14"/>
      <c r="F12" s="14"/>
      <c r="G12" s="41">
        <v>3</v>
      </c>
      <c r="H12" s="71">
        <f>6.26/G12</f>
        <v>2.0866666666666664</v>
      </c>
      <c r="I12" s="32">
        <f>G12*H12</f>
        <v>6.26</v>
      </c>
      <c r="J12">
        <v>1</v>
      </c>
    </row>
    <row r="13" spans="1:19" x14ac:dyDescent="0.3">
      <c r="D13" s="15" t="str">
        <f>SUBSTITUTE("Sp.mat: 0.00%",".",IF(VALUE("1.2")=1.2,".",","),2)</f>
        <v>Sp.mat: 0.00%</v>
      </c>
      <c r="F13" s="15" t="str">
        <f>SUBSTITUTE("Sp.man: 0.00%",".",IF(VALUE("1.2")=1.2,".",","),2)</f>
        <v>Sp.man: 0.00%</v>
      </c>
      <c r="G13" s="35" t="str">
        <f>SUBSTITUTE("Sp.uti: 0.00%",".",IF(VALUE("1.2")=1.2,".",","),2)</f>
        <v>Sp.uti: 0.00%</v>
      </c>
      <c r="H13" s="38">
        <f>221.03/G12</f>
        <v>73.676666666666662</v>
      </c>
      <c r="I13" s="29">
        <f>G12*H13</f>
        <v>221.02999999999997</v>
      </c>
      <c r="J13">
        <v>2</v>
      </c>
    </row>
    <row r="14" spans="1:19" x14ac:dyDescent="0.3">
      <c r="A14" s="88" t="s">
        <v>1133</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110</v>
      </c>
      <c r="B16" s="101"/>
      <c r="C16" s="101"/>
      <c r="D16" s="101"/>
      <c r="E16" s="101"/>
      <c r="F16" s="101"/>
      <c r="G16" s="101"/>
      <c r="H16" s="33">
        <f>H12+H13+H14+H15</f>
        <v>75.763333333333335</v>
      </c>
      <c r="I16" s="37">
        <f>I12+I13+I14+I15</f>
        <v>227.28999999999996</v>
      </c>
      <c r="J16">
        <v>5</v>
      </c>
    </row>
    <row r="17" spans="1:19" x14ac:dyDescent="0.3">
      <c r="A17" s="102" t="s">
        <v>1134</v>
      </c>
      <c r="B17" s="102"/>
      <c r="C17" s="102"/>
      <c r="D17" s="102"/>
      <c r="E17" s="102"/>
      <c r="F17" s="102"/>
      <c r="G17" s="102"/>
      <c r="H17" s="102"/>
      <c r="I17" s="102"/>
    </row>
    <row r="18" spans="1:19" x14ac:dyDescent="0.3">
      <c r="A18" s="98" t="s">
        <v>1135</v>
      </c>
      <c r="B18" s="98"/>
      <c r="C18" s="98"/>
      <c r="D18" s="98"/>
      <c r="E18" s="98"/>
      <c r="F18" s="98"/>
      <c r="G18" s="98"/>
      <c r="H18" s="98"/>
      <c r="I18" s="98"/>
    </row>
    <row r="19" spans="1:19" x14ac:dyDescent="0.3">
      <c r="A19" s="98" t="s">
        <v>1136</v>
      </c>
      <c r="B19" s="98"/>
      <c r="C19" s="98"/>
      <c r="D19" s="98"/>
      <c r="E19" s="98"/>
      <c r="F19" s="98"/>
      <c r="G19" s="98"/>
      <c r="H19" s="98"/>
      <c r="I19" s="98"/>
    </row>
    <row r="20" spans="1:19" x14ac:dyDescent="0.3">
      <c r="A20" s="98" t="s">
        <v>1137</v>
      </c>
      <c r="B20" s="98"/>
      <c r="C20" s="98"/>
      <c r="D20" s="98"/>
      <c r="E20" s="98"/>
      <c r="F20" s="98"/>
      <c r="G20" s="98"/>
      <c r="H20" s="98"/>
      <c r="I20" s="98"/>
    </row>
    <row r="21" spans="1:19" x14ac:dyDescent="0.3">
      <c r="A21" s="98" t="s">
        <v>1138</v>
      </c>
      <c r="B21" s="98"/>
      <c r="C21" s="98"/>
      <c r="D21" s="98"/>
      <c r="E21" s="98"/>
      <c r="F21" s="98"/>
      <c r="G21" s="98"/>
      <c r="H21" s="98"/>
      <c r="I21" s="98"/>
    </row>
    <row r="22" spans="1:19" x14ac:dyDescent="0.3">
      <c r="A22" s="98" t="s">
        <v>1139</v>
      </c>
      <c r="B22" s="98"/>
      <c r="C22" s="98"/>
      <c r="D22" s="98"/>
      <c r="E22" s="98"/>
      <c r="F22" s="98"/>
      <c r="G22" s="98"/>
      <c r="H22" s="98"/>
      <c r="I22" s="98"/>
    </row>
    <row r="23" spans="1:19" x14ac:dyDescent="0.3">
      <c r="A23" s="98" t="s">
        <v>1140</v>
      </c>
      <c r="B23" s="98"/>
      <c r="C23" s="98"/>
      <c r="D23" s="98"/>
      <c r="E23" s="98"/>
      <c r="F23" s="98"/>
      <c r="G23" s="98"/>
      <c r="H23" s="98"/>
      <c r="I23" s="98"/>
    </row>
    <row r="24" spans="1:19" x14ac:dyDescent="0.3">
      <c r="A24" s="97" t="s">
        <v>1141</v>
      </c>
      <c r="B24" s="97"/>
      <c r="C24" s="97"/>
      <c r="D24" s="97"/>
      <c r="E24" s="97"/>
      <c r="F24" s="97"/>
      <c r="G24" s="97"/>
      <c r="H24" s="97"/>
      <c r="I24" s="97"/>
    </row>
    <row r="25" spans="1:19" x14ac:dyDescent="0.3">
      <c r="B25" s="2">
        <v>2</v>
      </c>
      <c r="C25" s="3" t="s">
        <v>506</v>
      </c>
      <c r="D25" s="5" t="s">
        <v>29</v>
      </c>
      <c r="G25" s="30">
        <v>1</v>
      </c>
      <c r="H25" s="38">
        <v>48.17</v>
      </c>
      <c r="I25" s="29">
        <f>G25*H25</f>
        <v>48.17</v>
      </c>
      <c r="J25">
        <v>1</v>
      </c>
    </row>
    <row r="26" spans="1:19" x14ac:dyDescent="0.3">
      <c r="D26" s="15" t="str">
        <f>SUBSTITUTE("Sp.mat: 0.00%",".",IF(VALUE("1.2")=1.2,".",","),2)</f>
        <v>Sp.mat: 0.00%</v>
      </c>
      <c r="F26" s="15" t="str">
        <f>SUBSTITUTE("Sp.man: 0.00%",".",IF(VALUE("1.2")=1.2,".",","),2)</f>
        <v>Sp.man: 0.00%</v>
      </c>
      <c r="G26" s="35" t="str">
        <f>SUBSTITUTE("Sp.uti: 0.00%",".",IF(VALUE("1.2")=1.2,".",","),2)</f>
        <v>Sp.uti: 0.00%</v>
      </c>
      <c r="H26" s="38">
        <v>75.28</v>
      </c>
      <c r="I26" s="29">
        <f>G25*H26</f>
        <v>75.28</v>
      </c>
      <c r="J26">
        <v>2</v>
      </c>
    </row>
    <row r="27" spans="1:19" x14ac:dyDescent="0.3">
      <c r="A27" s="88" t="s">
        <v>507</v>
      </c>
      <c r="B27" s="98"/>
      <c r="C27" s="98"/>
      <c r="D27" s="98"/>
      <c r="E27" s="98"/>
      <c r="F27" s="98"/>
      <c r="G27" s="98"/>
      <c r="H27" s="38">
        <v>1.22</v>
      </c>
      <c r="I27" s="29">
        <f>G25*H27</f>
        <v>1.22</v>
      </c>
      <c r="J27">
        <v>3</v>
      </c>
      <c r="K27" s="4">
        <v>0</v>
      </c>
      <c r="L27" s="4">
        <v>0</v>
      </c>
      <c r="M27" s="4">
        <f>I27-K27-L27</f>
        <v>1.22</v>
      </c>
    </row>
    <row r="28" spans="1:19" x14ac:dyDescent="0.3">
      <c r="A28" s="98"/>
      <c r="B28" s="98"/>
      <c r="C28" s="98"/>
      <c r="D28" s="98"/>
      <c r="E28" s="98"/>
      <c r="F28" s="98"/>
      <c r="G28" s="98"/>
      <c r="H28" s="38">
        <f>0</f>
        <v>0</v>
      </c>
      <c r="I28" s="29">
        <f>G25*H28</f>
        <v>0</v>
      </c>
      <c r="J28">
        <v>4</v>
      </c>
      <c r="N28" s="4">
        <f>IF(ISERR(SEARCH("TRA* 82",C25)),IF(Q28+R28+S28=0,0,I28*(Q28/(Q28+R28+S28))),I28)</f>
        <v>0</v>
      </c>
      <c r="O28" s="4">
        <f>IF(ISERR(SEARCH("TRA* 82",C25)),IF(Q28+R28+S28=0,0,I28*(R28/(Q28+R28+S28))),0)</f>
        <v>0</v>
      </c>
      <c r="P28" s="4">
        <f>IF(ISERR(SEARCH("TRA* 82",C25)),I28-N28-O28,0)</f>
        <v>0</v>
      </c>
      <c r="Q28" s="4">
        <v>0</v>
      </c>
      <c r="R28" s="4">
        <v>0</v>
      </c>
      <c r="S28" s="4">
        <v>0</v>
      </c>
    </row>
    <row r="29" spans="1:19" x14ac:dyDescent="0.3">
      <c r="A29" s="100" t="s">
        <v>110</v>
      </c>
      <c r="B29" s="101"/>
      <c r="C29" s="101"/>
      <c r="D29" s="101"/>
      <c r="E29" s="101"/>
      <c r="F29" s="101"/>
      <c r="G29" s="101"/>
      <c r="H29" s="33">
        <f>H25+H26+H27+H28</f>
        <v>124.67</v>
      </c>
      <c r="I29" s="37">
        <f>I25+I26+I27+I28</f>
        <v>124.67</v>
      </c>
      <c r="J29">
        <v>5</v>
      </c>
    </row>
    <row r="30" spans="1:19" x14ac:dyDescent="0.3">
      <c r="A30" s="99" t="s">
        <v>1142</v>
      </c>
      <c r="B30" s="99"/>
      <c r="C30" s="99"/>
      <c r="D30" s="99"/>
      <c r="E30" s="99"/>
      <c r="F30" s="99"/>
      <c r="G30" s="99"/>
      <c r="H30" s="99"/>
      <c r="I30" s="99"/>
    </row>
    <row r="31" spans="1:19" x14ac:dyDescent="0.3">
      <c r="B31" s="2">
        <v>3</v>
      </c>
      <c r="C31" s="3" t="s">
        <v>1143</v>
      </c>
      <c r="D31" s="5" t="s">
        <v>29</v>
      </c>
      <c r="G31" s="30">
        <v>1</v>
      </c>
      <c r="H31" s="38">
        <v>190.4</v>
      </c>
      <c r="I31" s="29">
        <f>G31*H31</f>
        <v>190.4</v>
      </c>
      <c r="J31">
        <v>1</v>
      </c>
    </row>
    <row r="32" spans="1:19" x14ac:dyDescent="0.3">
      <c r="D32" s="15" t="str">
        <f>SUBSTITUTE("Sp.mat: 0.00%",".",IF(VALUE("1.2")=1.2,".",","),2)</f>
        <v>Sp.mat: 0.00%</v>
      </c>
      <c r="F32" s="15" t="str">
        <f>SUBSTITUTE("Sp.man: 0.00%",".",IF(VALUE("1.2")=1.2,".",","),2)</f>
        <v>Sp.man: 0.00%</v>
      </c>
      <c r="G32" s="35" t="str">
        <f>SUBSTITUTE("Sp.uti: 0.00%",".",IF(VALUE("1.2")=1.2,".",","),2)</f>
        <v>Sp.uti: 0.00%</v>
      </c>
      <c r="H32" s="38">
        <v>118.53</v>
      </c>
      <c r="I32" s="29">
        <f>G31*H32</f>
        <v>118.53</v>
      </c>
      <c r="J32">
        <v>2</v>
      </c>
    </row>
    <row r="33" spans="1:19" x14ac:dyDescent="0.3">
      <c r="A33" s="88" t="s">
        <v>1144</v>
      </c>
      <c r="B33" s="98"/>
      <c r="C33" s="98"/>
      <c r="D33" s="98"/>
      <c r="E33" s="98"/>
      <c r="F33" s="98"/>
      <c r="G33" s="98"/>
      <c r="H33" s="38">
        <v>0.03</v>
      </c>
      <c r="I33" s="29">
        <f>G31*H33</f>
        <v>0.03</v>
      </c>
      <c r="J33">
        <v>3</v>
      </c>
      <c r="K33" s="4">
        <v>0</v>
      </c>
      <c r="L33" s="4">
        <v>0</v>
      </c>
      <c r="M33" s="4">
        <f>I33-K33-L33</f>
        <v>0.03</v>
      </c>
    </row>
    <row r="34" spans="1:19" x14ac:dyDescent="0.3">
      <c r="A34" s="98"/>
      <c r="B34" s="98"/>
      <c r="C34" s="98"/>
      <c r="D34" s="98"/>
      <c r="E34" s="98"/>
      <c r="F34" s="98"/>
      <c r="G34" s="98"/>
      <c r="H34" s="38">
        <f>0</f>
        <v>0</v>
      </c>
      <c r="I34" s="29">
        <f>G31*H34</f>
        <v>0</v>
      </c>
      <c r="J34">
        <v>4</v>
      </c>
      <c r="N34" s="4">
        <f>IF(ISERR(SEARCH("TRA* 82",C31)),IF(Q34+R34+S34=0,0,I34*(Q34/(Q34+R34+S34))),I34)</f>
        <v>0</v>
      </c>
      <c r="O34" s="4">
        <f>IF(ISERR(SEARCH("TRA* 82",C31)),IF(Q34+R34+S34=0,0,I34*(R34/(Q34+R34+S34))),0)</f>
        <v>0</v>
      </c>
      <c r="P34" s="4">
        <f>IF(ISERR(SEARCH("TRA* 82",C31)),I34-N34-O34,0)</f>
        <v>0</v>
      </c>
      <c r="Q34" s="4">
        <v>0</v>
      </c>
      <c r="R34" s="4">
        <v>0</v>
      </c>
      <c r="S34" s="4">
        <v>0</v>
      </c>
    </row>
    <row r="35" spans="1:19" x14ac:dyDescent="0.3">
      <c r="A35" s="100" t="s">
        <v>1145</v>
      </c>
      <c r="B35" s="101"/>
      <c r="C35" s="101"/>
      <c r="D35" s="101"/>
      <c r="E35" s="101"/>
      <c r="F35" s="101"/>
      <c r="G35" s="101"/>
      <c r="H35" s="33">
        <f>H31+H32+H33+H34</f>
        <v>308.95999999999998</v>
      </c>
      <c r="I35" s="37">
        <f>I31+I32+I33+I34</f>
        <v>308.95999999999998</v>
      </c>
      <c r="J35">
        <v>5</v>
      </c>
    </row>
    <row r="36" spans="1:19" x14ac:dyDescent="0.3">
      <c r="A36" s="99" t="s">
        <v>1146</v>
      </c>
      <c r="B36" s="99"/>
      <c r="C36" s="99"/>
      <c r="D36" s="99"/>
      <c r="E36" s="99"/>
      <c r="F36" s="99"/>
      <c r="G36" s="99"/>
      <c r="H36" s="99"/>
      <c r="I36" s="99"/>
    </row>
    <row r="37" spans="1:19" x14ac:dyDescent="0.3">
      <c r="B37" s="2">
        <v>4</v>
      </c>
      <c r="C37" s="3" t="s">
        <v>315</v>
      </c>
      <c r="D37" s="5" t="s">
        <v>29</v>
      </c>
      <c r="G37" s="30">
        <v>2</v>
      </c>
      <c r="H37" s="38">
        <v>77.44</v>
      </c>
      <c r="I37" s="29">
        <f>G37*H37</f>
        <v>154.88</v>
      </c>
      <c r="J37">
        <v>1</v>
      </c>
    </row>
    <row r="38" spans="1:19" x14ac:dyDescent="0.3">
      <c r="D38" s="15" t="str">
        <f>SUBSTITUTE("Sp.mat: 0.00%",".",IF(VALUE("1.2")=1.2,".",","),2)</f>
        <v>Sp.mat: 0.00%</v>
      </c>
      <c r="F38" s="15" t="str">
        <f>SUBSTITUTE("Sp.man: 0.00%",".",IF(VALUE("1.2")=1.2,".",","),2)</f>
        <v>Sp.man: 0.00%</v>
      </c>
      <c r="G38" s="35" t="str">
        <f>SUBSTITUTE("Sp.uti: 0.00%",".",IF(VALUE("1.2")=1.2,".",","),2)</f>
        <v>Sp.uti: 0.00%</v>
      </c>
      <c r="H38" s="38">
        <v>25.63</v>
      </c>
      <c r="I38" s="29">
        <f>G37*H38</f>
        <v>51.26</v>
      </c>
      <c r="J38">
        <v>2</v>
      </c>
    </row>
    <row r="39" spans="1:19" x14ac:dyDescent="0.3">
      <c r="A39" s="88" t="s">
        <v>1147</v>
      </c>
      <c r="B39" s="98"/>
      <c r="C39" s="98"/>
      <c r="D39" s="98"/>
      <c r="E39" s="98"/>
      <c r="F39" s="98"/>
      <c r="G39" s="98"/>
      <c r="H39" s="38">
        <f>(1+IF(OR(ISERR(FIND(":",G38)),ISERR(FIND("%",G38))),0,MID(G38,FIND(":",G38)+2,FIND("%",G38)-FIND(":",G38)-2)/100))*0</f>
        <v>0</v>
      </c>
      <c r="I39" s="29">
        <f>G37*H39</f>
        <v>0</v>
      </c>
      <c r="J39">
        <v>3</v>
      </c>
      <c r="K39" s="4">
        <v>0</v>
      </c>
      <c r="L39" s="4">
        <v>0</v>
      </c>
      <c r="M39" s="4">
        <f>I39-K39-L39</f>
        <v>0</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100" t="s">
        <v>110</v>
      </c>
      <c r="B41" s="101"/>
      <c r="C41" s="101"/>
      <c r="D41" s="101"/>
      <c r="E41" s="101"/>
      <c r="F41" s="101"/>
      <c r="G41" s="101"/>
      <c r="H41" s="33">
        <f>H37+H38+H39+H40</f>
        <v>103.07</v>
      </c>
      <c r="I41" s="37">
        <f>I37+I38+I39+I40</f>
        <v>206.14</v>
      </c>
      <c r="J41">
        <v>5</v>
      </c>
    </row>
    <row r="42" spans="1:19" x14ac:dyDescent="0.3">
      <c r="A42" s="99" t="s">
        <v>1148</v>
      </c>
      <c r="B42" s="99"/>
      <c r="C42" s="99"/>
      <c r="D42" s="99"/>
      <c r="E42" s="99"/>
      <c r="F42" s="99"/>
      <c r="G42" s="99"/>
      <c r="H42" s="99"/>
      <c r="I42" s="99"/>
    </row>
    <row r="43" spans="1:19" x14ac:dyDescent="0.3">
      <c r="B43" s="2">
        <v>5</v>
      </c>
      <c r="C43" s="3" t="s">
        <v>1149</v>
      </c>
      <c r="D43" s="5" t="s">
        <v>29</v>
      </c>
      <c r="G43" s="30">
        <v>4</v>
      </c>
      <c r="H43" s="38">
        <f>88.08/G43</f>
        <v>22.02</v>
      </c>
      <c r="I43" s="29">
        <f>G43*H43</f>
        <v>88.08</v>
      </c>
      <c r="J43">
        <v>1</v>
      </c>
    </row>
    <row r="44" spans="1:19" x14ac:dyDescent="0.3">
      <c r="D44" s="15" t="str">
        <f>SUBSTITUTE("Sp.mat: 0.00%",".",IF(VALUE("1.2")=1.2,".",","),2)</f>
        <v>Sp.mat: 0.00%</v>
      </c>
      <c r="F44" s="15" t="str">
        <f>SUBSTITUTE("Sp.man: 0.00%",".",IF(VALUE("1.2")=1.2,".",","),2)</f>
        <v>Sp.man: 0.00%</v>
      </c>
      <c r="G44" s="35" t="str">
        <f>SUBSTITUTE("Sp.uti: 0.00%",".",IF(VALUE("1.2")=1.2,".",","),2)</f>
        <v>Sp.uti: 0.00%</v>
      </c>
      <c r="H44" s="38">
        <f>179.39/G43</f>
        <v>44.847499999999997</v>
      </c>
      <c r="I44" s="29">
        <f>G43*H44</f>
        <v>179.39</v>
      </c>
      <c r="J44">
        <v>2</v>
      </c>
    </row>
    <row r="45" spans="1:19" x14ac:dyDescent="0.3">
      <c r="A45" s="88" t="s">
        <v>1150</v>
      </c>
      <c r="B45" s="98"/>
      <c r="C45" s="98"/>
      <c r="D45" s="98"/>
      <c r="E45" s="98"/>
      <c r="F45" s="98"/>
      <c r="G45" s="98"/>
      <c r="H45" s="38">
        <f>(1+IF(OR(ISERR(FIND(":",G44)),ISERR(FIND("%",G44))),0,MID(G44,FIND(":",G44)+2,FIND("%",G44)-FIND(":",G44)-2)/100))*0</f>
        <v>0</v>
      </c>
      <c r="I45" s="29">
        <f>G43*H45</f>
        <v>0</v>
      </c>
      <c r="J45">
        <v>3</v>
      </c>
      <c r="K45" s="4">
        <v>0</v>
      </c>
      <c r="L45" s="4">
        <v>0</v>
      </c>
      <c r="M45" s="4">
        <f>I45-K45-L45</f>
        <v>0</v>
      </c>
    </row>
    <row r="46" spans="1:19" x14ac:dyDescent="0.3">
      <c r="A46" s="98"/>
      <c r="B46" s="98"/>
      <c r="C46" s="98"/>
      <c r="D46" s="98"/>
      <c r="E46" s="98"/>
      <c r="F46" s="98"/>
      <c r="G46" s="98"/>
      <c r="H46" s="38">
        <f>0</f>
        <v>0</v>
      </c>
      <c r="I46" s="29">
        <f>G43*H46</f>
        <v>0</v>
      </c>
      <c r="J46">
        <v>4</v>
      </c>
      <c r="N46" s="4">
        <f>IF(ISERR(SEARCH("TRA* 82",C43)),IF(Q46+R46+S46=0,0,I46*(Q46/(Q46+R46+S46))),I46)</f>
        <v>0</v>
      </c>
      <c r="O46" s="4">
        <f>IF(ISERR(SEARCH("TRA* 82",C43)),IF(Q46+R46+S46=0,0,I46*(R46/(Q46+R46+S46))),0)</f>
        <v>0</v>
      </c>
      <c r="P46" s="4">
        <f>IF(ISERR(SEARCH("TRA* 82",C43)),I46-N46-O46,0)</f>
        <v>0</v>
      </c>
      <c r="Q46" s="4">
        <v>0</v>
      </c>
      <c r="R46" s="4">
        <v>0</v>
      </c>
      <c r="S46" s="4">
        <v>0</v>
      </c>
    </row>
    <row r="47" spans="1:19" x14ac:dyDescent="0.3">
      <c r="A47" s="100" t="s">
        <v>110</v>
      </c>
      <c r="B47" s="101"/>
      <c r="C47" s="101"/>
      <c r="D47" s="101"/>
      <c r="E47" s="101"/>
      <c r="F47" s="101"/>
      <c r="G47" s="101"/>
      <c r="H47" s="33">
        <f>H43+H44+H45+H46</f>
        <v>66.867499999999993</v>
      </c>
      <c r="I47" s="37">
        <f>I43+I44+I45+I46</f>
        <v>267.46999999999997</v>
      </c>
      <c r="J47">
        <v>5</v>
      </c>
    </row>
    <row r="48" spans="1:19" x14ac:dyDescent="0.3">
      <c r="A48" s="99" t="s">
        <v>1151</v>
      </c>
      <c r="B48" s="99"/>
      <c r="C48" s="99"/>
      <c r="D48" s="99"/>
      <c r="E48" s="99"/>
      <c r="F48" s="99"/>
      <c r="G48" s="99"/>
      <c r="H48" s="99"/>
      <c r="I48" s="99"/>
    </row>
    <row r="49" spans="1:19" x14ac:dyDescent="0.3">
      <c r="B49" s="2">
        <v>6</v>
      </c>
      <c r="C49" s="3" t="s">
        <v>1152</v>
      </c>
      <c r="D49" s="5" t="s">
        <v>29</v>
      </c>
      <c r="G49" s="30">
        <v>1</v>
      </c>
      <c r="H49" s="38">
        <v>191.81</v>
      </c>
      <c r="I49" s="29">
        <f>G49*H49</f>
        <v>191.81</v>
      </c>
      <c r="J49">
        <v>1</v>
      </c>
    </row>
    <row r="50" spans="1:19" x14ac:dyDescent="0.3">
      <c r="D50" s="15" t="str">
        <f>SUBSTITUTE("Sp.mat: 0.00%",".",IF(VALUE("1.2")=1.2,".",","),2)</f>
        <v>Sp.mat: 0.00%</v>
      </c>
      <c r="F50" s="15" t="str">
        <f>SUBSTITUTE("Sp.man: 0.00%",".",IF(VALUE("1.2")=1.2,".",","),2)</f>
        <v>Sp.man: 0.00%</v>
      </c>
      <c r="G50" s="35" t="str">
        <f>SUBSTITUTE("Sp.uti: 0.00%",".",IF(VALUE("1.2")=1.2,".",","),2)</f>
        <v>Sp.uti: 0.00%</v>
      </c>
      <c r="H50" s="38">
        <v>168.18</v>
      </c>
      <c r="I50" s="29">
        <f>G49*H50</f>
        <v>168.18</v>
      </c>
      <c r="J50">
        <v>2</v>
      </c>
    </row>
    <row r="51" spans="1:19" x14ac:dyDescent="0.3">
      <c r="A51" s="88" t="s">
        <v>1153</v>
      </c>
      <c r="B51" s="98"/>
      <c r="C51" s="98"/>
      <c r="D51" s="98"/>
      <c r="E51" s="98"/>
      <c r="F51" s="98"/>
      <c r="G51" s="98"/>
      <c r="H51" s="38">
        <v>0.09</v>
      </c>
      <c r="I51" s="29">
        <f>G49*H51</f>
        <v>0.09</v>
      </c>
      <c r="J51">
        <v>3</v>
      </c>
      <c r="K51" s="4">
        <v>0</v>
      </c>
      <c r="L51" s="4">
        <v>0</v>
      </c>
      <c r="M51" s="4">
        <f>I51-K51-L51</f>
        <v>0.09</v>
      </c>
    </row>
    <row r="52" spans="1:19" x14ac:dyDescent="0.3">
      <c r="A52" s="98"/>
      <c r="B52" s="98"/>
      <c r="C52" s="98"/>
      <c r="D52" s="98"/>
      <c r="E52" s="98"/>
      <c r="F52" s="98"/>
      <c r="G52" s="98"/>
      <c r="H52" s="38">
        <f>0</f>
        <v>0</v>
      </c>
      <c r="I52" s="29">
        <f>G49*H52</f>
        <v>0</v>
      </c>
      <c r="J52">
        <v>4</v>
      </c>
      <c r="N52" s="4">
        <f>IF(ISERR(SEARCH("TRA* 82",C49)),IF(Q52+R52+S52=0,0,I52*(Q52/(Q52+R52+S52))),I52)</f>
        <v>0</v>
      </c>
      <c r="O52" s="4">
        <f>IF(ISERR(SEARCH("TRA* 82",C49)),IF(Q52+R52+S52=0,0,I52*(R52/(Q52+R52+S52))),0)</f>
        <v>0</v>
      </c>
      <c r="P52" s="4">
        <f>IF(ISERR(SEARCH("TRA* 82",C49)),I52-N52-O52,0)</f>
        <v>0</v>
      </c>
      <c r="Q52" s="4">
        <v>0</v>
      </c>
      <c r="R52" s="4">
        <v>0</v>
      </c>
      <c r="S52" s="4">
        <v>0</v>
      </c>
    </row>
    <row r="53" spans="1:19" x14ac:dyDescent="0.3">
      <c r="A53" s="100" t="s">
        <v>110</v>
      </c>
      <c r="B53" s="101"/>
      <c r="C53" s="101"/>
      <c r="D53" s="101"/>
      <c r="E53" s="101"/>
      <c r="F53" s="101"/>
      <c r="G53" s="101"/>
      <c r="H53" s="33">
        <f>H49+H50+H51+H52</f>
        <v>360.08</v>
      </c>
      <c r="I53" s="37">
        <f>I49+I50+I51+I52</f>
        <v>360.08</v>
      </c>
      <c r="J53">
        <v>5</v>
      </c>
    </row>
    <row r="54" spans="1:19" x14ac:dyDescent="0.3">
      <c r="A54" s="99" t="s">
        <v>1154</v>
      </c>
      <c r="B54" s="99"/>
      <c r="C54" s="99"/>
      <c r="D54" s="99"/>
      <c r="E54" s="99"/>
      <c r="F54" s="99"/>
      <c r="G54" s="99"/>
      <c r="H54" s="99"/>
      <c r="I54" s="99"/>
    </row>
    <row r="55" spans="1:19" x14ac:dyDescent="0.3">
      <c r="B55" s="16"/>
      <c r="E55" s="4">
        <f>SUMIF(J12:J53,"1",I12:I53)</f>
        <v>679.6</v>
      </c>
      <c r="F55" s="4">
        <f>SUMIF(J12:J53,"2",I12:I53)</f>
        <v>813.66999999999985</v>
      </c>
      <c r="G55" s="29">
        <f>SUMIF(J12:J53,"3",I12:I53)</f>
        <v>1.34</v>
      </c>
      <c r="H55" s="29">
        <f>SUMIF(J12:J53,"4",I12:I53)</f>
        <v>0</v>
      </c>
      <c r="I55" s="29">
        <f>SUMIF(J12:J53,"5",I12:I53)</f>
        <v>1494.61</v>
      </c>
      <c r="K55" s="4">
        <f>SUMIF(J12:J53,"3",K12:K53)</f>
        <v>0</v>
      </c>
      <c r="L55" s="4">
        <f>SUMIF(J12:J53,"3",L12:L53)</f>
        <v>0</v>
      </c>
      <c r="M55" s="4">
        <f>SUMIF(J12:J53,"3",M12:M53)</f>
        <v>1.34</v>
      </c>
      <c r="N55" s="4">
        <f>SUMIF(J12:J53,"4",N12:N53)</f>
        <v>0</v>
      </c>
      <c r="O55" s="4">
        <f>SUMIF(J12:J53,"4",O12:O53)</f>
        <v>0</v>
      </c>
      <c r="P55" s="4">
        <f>SUMIF(J12:J53,"4",P12:P53)</f>
        <v>0</v>
      </c>
      <c r="Q55" s="4">
        <f>SUMIF(J12:J53,"4",Q12:Q53)</f>
        <v>0</v>
      </c>
      <c r="R55" s="4">
        <f>SUMIF(J12:J53,"4",R12:R53)</f>
        <v>0</v>
      </c>
      <c r="S55" s="4">
        <f>SUMIF(J12:J53,"4",S12:S53)</f>
        <v>0</v>
      </c>
    </row>
    <row r="56" spans="1:19" x14ac:dyDescent="0.3">
      <c r="B56" s="107" t="s">
        <v>1554</v>
      </c>
      <c r="C56" s="108"/>
      <c r="D56" s="26"/>
      <c r="E56" s="26"/>
      <c r="F56" s="26"/>
      <c r="G56" s="109"/>
      <c r="H56" s="36"/>
      <c r="I56" s="110">
        <f>I55</f>
        <v>1494.61</v>
      </c>
    </row>
  </sheetData>
  <mergeCells count="30">
    <mergeCell ref="A14:G15"/>
    <mergeCell ref="A1:D1"/>
    <mergeCell ref="A2:I2"/>
    <mergeCell ref="A3:I3"/>
    <mergeCell ref="A4:I4"/>
    <mergeCell ref="A5:H5"/>
    <mergeCell ref="A30:I30"/>
    <mergeCell ref="A16:G16"/>
    <mergeCell ref="A17:I17"/>
    <mergeCell ref="A18:I18"/>
    <mergeCell ref="A19:I19"/>
    <mergeCell ref="A20:I20"/>
    <mergeCell ref="A21:I21"/>
    <mergeCell ref="A22:I22"/>
    <mergeCell ref="A23:I23"/>
    <mergeCell ref="A24:I24"/>
    <mergeCell ref="A27:G28"/>
    <mergeCell ref="A29:G29"/>
    <mergeCell ref="A54:I54"/>
    <mergeCell ref="A33:G34"/>
    <mergeCell ref="A35:G35"/>
    <mergeCell ref="A36:I36"/>
    <mergeCell ref="A39:G40"/>
    <mergeCell ref="A41:G41"/>
    <mergeCell ref="A42:I42"/>
    <mergeCell ref="A45:G46"/>
    <mergeCell ref="A47:G47"/>
    <mergeCell ref="A48:I48"/>
    <mergeCell ref="A51:G52"/>
    <mergeCell ref="A53:G53"/>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1" manualBreakCount="1">
    <brk id="42"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B6BCA-AC04-4D30-84A7-16DDC71C1CA8}">
  <dimension ref="A1:T78"/>
  <sheetViews>
    <sheetView topLeftCell="A42" workbookViewId="0">
      <selection activeCell="C85" sqref="C85"/>
    </sheetView>
  </sheetViews>
  <sheetFormatPr defaultRowHeight="14.4" outlineLevelCol="1" x14ac:dyDescent="0.3"/>
  <cols>
    <col min="1" max="1" width="0.33203125" style="1" customWidth="1"/>
    <col min="2" max="2" width="5.77734375" style="2" customWidth="1"/>
    <col min="3" max="3" width="25.33203125" style="3" customWidth="1"/>
    <col min="4" max="4" width="14.5546875" style="5" customWidth="1"/>
    <col min="5" max="5" width="14.5546875" customWidth="1"/>
    <col min="7" max="7" width="15.77734375" style="30" customWidth="1"/>
    <col min="8" max="8" width="14.5546875" style="38" customWidth="1"/>
    <col min="9" max="9" width="14.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1155</v>
      </c>
      <c r="B4" s="98"/>
      <c r="C4" s="98"/>
      <c r="D4" s="98"/>
      <c r="E4" s="98"/>
      <c r="F4" s="98"/>
      <c r="G4" s="98"/>
      <c r="H4" s="98"/>
      <c r="I4" s="98"/>
    </row>
    <row r="5" spans="1:19" ht="15" thickBot="1" x14ac:dyDescent="0.35">
      <c r="A5" s="82" t="s">
        <v>1156</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1157</v>
      </c>
      <c r="D12" s="13" t="s">
        <v>25</v>
      </c>
      <c r="E12" s="14"/>
      <c r="F12" s="14"/>
      <c r="G12" s="41">
        <v>55.1</v>
      </c>
      <c r="H12" s="71">
        <f>(1+IF(OR(ISERR(FIND(":",D13)),ISERR(FIND("%",D13))),0,MID(D13,FIND(":",D13)+2,FIND("%",D13)-FIND(":",D13)-2)/100))*108.9344</f>
        <v>108.9344</v>
      </c>
      <c r="I12" s="32">
        <f>G12*H12</f>
        <v>6002.2854399999997</v>
      </c>
      <c r="J12">
        <v>1</v>
      </c>
    </row>
    <row r="13" spans="1:19" x14ac:dyDescent="0.3">
      <c r="D13" s="15" t="str">
        <f>SUBSTITUTE("Sp.mat: 0.00%",".",IF(VALUE("1.2")=1.2,".",","),2)</f>
        <v>Sp.mat: 0.00%</v>
      </c>
      <c r="F13" s="15" t="str">
        <f>SUBSTITUTE("Sp.man: 0.00%",".",IF(VALUE("1.2")=1.2,".",","),2)</f>
        <v>Sp.man: 0.00%</v>
      </c>
      <c r="G13" s="35" t="str">
        <f>SUBSTITUTE("Sp.uti: 0.00%",".",IF(VALUE("1.2")=1.2,".",","),2)</f>
        <v>Sp.uti: 0.00%</v>
      </c>
      <c r="H13" s="38">
        <f>(1+IF(OR(ISERR(FIND(":",F13)),ISERR(FIND("%",F13))),0,MID(F13,FIND(":",F13)+2,FIND("%",F13)-FIND(":",F13)-2)/100))*60</f>
        <v>60</v>
      </c>
      <c r="I13" s="29">
        <f>G12*H13</f>
        <v>3306</v>
      </c>
      <c r="J13">
        <v>2</v>
      </c>
    </row>
    <row r="14" spans="1:19" x14ac:dyDescent="0.3">
      <c r="A14" s="88" t="s">
        <v>1158</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96" t="s">
        <v>1159</v>
      </c>
      <c r="B16" s="97"/>
      <c r="C16" s="97"/>
      <c r="D16" s="97"/>
      <c r="E16" s="97"/>
      <c r="F16" s="97"/>
      <c r="G16" s="97"/>
      <c r="H16" s="36">
        <f>H12+H13+H14+H15</f>
        <v>168.93439999999998</v>
      </c>
      <c r="I16" s="74">
        <f>I12+I13+I14+I15</f>
        <v>9308.2854399999997</v>
      </c>
      <c r="J16">
        <v>5</v>
      </c>
    </row>
    <row r="17" spans="1:19" x14ac:dyDescent="0.3">
      <c r="B17" s="2">
        <v>2</v>
      </c>
      <c r="C17" s="3" t="s">
        <v>85</v>
      </c>
      <c r="D17" s="5" t="s">
        <v>35</v>
      </c>
      <c r="G17" s="30">
        <v>65.2</v>
      </c>
      <c r="H17" s="38">
        <f>(1+IF(OR(ISERR(FIND(":",D18)),ISERR(FIND("%",D18))),0,MID(D18,FIND(":",D18)+2,FIND("%",D18)-FIND(":",D18)-2)/100))*566.09</f>
        <v>566.09</v>
      </c>
      <c r="I17" s="29">
        <f>G17*H17</f>
        <v>36909.068000000007</v>
      </c>
      <c r="J17">
        <v>1</v>
      </c>
    </row>
    <row r="18" spans="1:19" x14ac:dyDescent="0.3">
      <c r="D18" s="15" t="str">
        <f>SUBSTITUTE("Sp.mat: 0.00%",".",IF(VALUE("1.2")=1.2,".",","),2)</f>
        <v>Sp.mat: 0.00%</v>
      </c>
      <c r="F18" s="15" t="str">
        <f>SUBSTITUTE("Sp.man: 0.00%",".",IF(VALUE("1.2")=1.2,".",","),2)</f>
        <v>Sp.man: 0.00%</v>
      </c>
      <c r="G18" s="35" t="str">
        <f>SUBSTITUTE("Sp.uti: 0.00%",".",IF(VALUE("1.2")=1.2,".",","),2)</f>
        <v>Sp.uti: 0.00%</v>
      </c>
      <c r="H18" s="38">
        <f>(1+IF(OR(ISERR(FIND(":",F18)),ISERR(FIND("%",F18))),0,MID(F18,FIND(":",F18)+2,FIND("%",F18)-FIND(":",F18)-2)/100))*240</f>
        <v>240</v>
      </c>
      <c r="I18" s="29">
        <f>G17*H18</f>
        <v>15648</v>
      </c>
      <c r="J18">
        <v>2</v>
      </c>
    </row>
    <row r="19" spans="1:19" x14ac:dyDescent="0.3">
      <c r="A19" s="88" t="s">
        <v>1160</v>
      </c>
      <c r="B19" s="98"/>
      <c r="C19" s="98"/>
      <c r="D19" s="98"/>
      <c r="E19" s="98"/>
      <c r="F19" s="98"/>
      <c r="G19" s="98"/>
      <c r="H19" s="38">
        <f>(1+IF(OR(ISERR(FIND(":",G18)),ISERR(FIND("%",G18))),0,MID(G18,FIND(":",G18)+2,FIND("%",G18)-FIND(":",G18)-2)/100))*18.75</f>
        <v>18.75</v>
      </c>
      <c r="I19" s="29">
        <f>G17*H19</f>
        <v>1222.5</v>
      </c>
      <c r="J19">
        <v>3</v>
      </c>
      <c r="K19" s="4">
        <v>1222.5</v>
      </c>
      <c r="L19" s="4">
        <v>0</v>
      </c>
      <c r="M19" s="4">
        <f>I19-K19-L19</f>
        <v>0</v>
      </c>
    </row>
    <row r="20" spans="1:19" x14ac:dyDescent="0.3">
      <c r="A20" s="98"/>
      <c r="B20" s="98"/>
      <c r="C20" s="98"/>
      <c r="D20" s="98"/>
      <c r="E20" s="98"/>
      <c r="F20" s="98"/>
      <c r="G20" s="98"/>
      <c r="H20" s="38">
        <f>0</f>
        <v>0</v>
      </c>
      <c r="I20" s="29">
        <f>G17*H20</f>
        <v>0</v>
      </c>
      <c r="J20">
        <v>4</v>
      </c>
      <c r="N20" s="4">
        <f>IF(ISERR(SEARCH("TRA* 82",C17)),IF(Q20+R20+S20=0,0,I20*(Q20/(Q20+R20+S20))),I20)</f>
        <v>0</v>
      </c>
      <c r="O20" s="4">
        <f>IF(ISERR(SEARCH("TRA* 82",C17)),IF(Q20+R20+S20=0,0,I20*(R20/(Q20+R20+S20))),0)</f>
        <v>0</v>
      </c>
      <c r="P20" s="4">
        <f>IF(ISERR(SEARCH("TRA* 82",C17)),I20-N20-O20,0)</f>
        <v>0</v>
      </c>
      <c r="Q20" s="4">
        <v>0</v>
      </c>
      <c r="R20" s="4">
        <v>0</v>
      </c>
      <c r="S20" s="4">
        <v>0</v>
      </c>
    </row>
    <row r="21" spans="1:19" x14ac:dyDescent="0.3">
      <c r="A21" s="96" t="s">
        <v>87</v>
      </c>
      <c r="B21" s="97"/>
      <c r="C21" s="97"/>
      <c r="D21" s="97"/>
      <c r="E21" s="97"/>
      <c r="F21" s="97"/>
      <c r="G21" s="97"/>
      <c r="H21" s="36">
        <f>H17+H18+H19+H20</f>
        <v>824.84</v>
      </c>
      <c r="I21" s="74">
        <f>I17+I18+I19+I20</f>
        <v>53779.568000000007</v>
      </c>
      <c r="J21">
        <v>5</v>
      </c>
    </row>
    <row r="22" spans="1:19" x14ac:dyDescent="0.3">
      <c r="B22" s="2">
        <v>3</v>
      </c>
      <c r="C22" s="3" t="s">
        <v>1161</v>
      </c>
      <c r="D22" s="5" t="s">
        <v>25</v>
      </c>
      <c r="G22" s="30">
        <v>11.7</v>
      </c>
      <c r="H22" s="38">
        <f>(1+IF(OR(ISERR(FIND(":",D23)),ISERR(FIND("%",D23))),0,MID(D23,FIND(":",D23)+2,FIND("%",D23)-FIND(":",D23)-2)/100))*457.1025</f>
        <v>457.10250000000002</v>
      </c>
      <c r="I22" s="29">
        <f>G22*H22</f>
        <v>5348.0992500000002</v>
      </c>
      <c r="J22">
        <v>1</v>
      </c>
    </row>
    <row r="23" spans="1:19" x14ac:dyDescent="0.3">
      <c r="D23" s="15" t="str">
        <f>SUBSTITUTE("Sp.mat: 0.00%",".",IF(VALUE("1.2")=1.2,".",","),2)</f>
        <v>Sp.mat: 0.00%</v>
      </c>
      <c r="F23" s="15" t="str">
        <f>SUBSTITUTE("Sp.man: 0.00%",".",IF(VALUE("1.2")=1.2,".",","),2)</f>
        <v>Sp.man: 0.00%</v>
      </c>
      <c r="G23" s="35" t="str">
        <f>SUBSTITUTE("Sp.uti: 0.00%",".",IF(VALUE("1.2")=1.2,".",","),2)</f>
        <v>Sp.uti: 0.00%</v>
      </c>
      <c r="H23" s="38">
        <f>(1+IF(OR(ISERR(FIND(":",F23)),ISERR(FIND("%",F23))),0,MID(F23,FIND(":",F23)+2,FIND("%",F23)-FIND(":",F23)-2)/100))*60</f>
        <v>60</v>
      </c>
      <c r="I23" s="29">
        <f>G22*H23</f>
        <v>702</v>
      </c>
      <c r="J23">
        <v>2</v>
      </c>
    </row>
    <row r="24" spans="1:19" x14ac:dyDescent="0.3">
      <c r="A24" s="88" t="s">
        <v>1162</v>
      </c>
      <c r="B24" s="98"/>
      <c r="C24" s="98"/>
      <c r="D24" s="98"/>
      <c r="E24" s="98"/>
      <c r="F24" s="98"/>
      <c r="G24" s="98"/>
      <c r="H24" s="38">
        <f>(1+IF(OR(ISERR(FIND(":",G23)),ISERR(FIND("%",G23))),0,MID(G23,FIND(":",G23)+2,FIND("%",G23)-FIND(":",G23)-2)/100))*9.375</f>
        <v>9.375</v>
      </c>
      <c r="I24" s="29">
        <f>G22*H24</f>
        <v>109.6875</v>
      </c>
      <c r="J24">
        <v>3</v>
      </c>
      <c r="K24" s="4">
        <v>109.6875</v>
      </c>
      <c r="L24" s="4">
        <v>0</v>
      </c>
      <c r="M24" s="4">
        <f>I24-K24-L24</f>
        <v>0</v>
      </c>
    </row>
    <row r="25" spans="1:19" x14ac:dyDescent="0.3">
      <c r="A25" s="98"/>
      <c r="B25" s="98"/>
      <c r="C25" s="98"/>
      <c r="D25" s="98"/>
      <c r="E25" s="98"/>
      <c r="F25" s="98"/>
      <c r="G25" s="98"/>
      <c r="H25" s="38">
        <f>0</f>
        <v>0</v>
      </c>
      <c r="I25" s="29">
        <f>G22*H25</f>
        <v>0</v>
      </c>
      <c r="J25">
        <v>4</v>
      </c>
      <c r="N25" s="4">
        <f>IF(ISERR(SEARCH("TRA* 82",C22)),IF(Q25+R25+S25=0,0,I25*(Q25/(Q25+R25+S25))),I25)</f>
        <v>0</v>
      </c>
      <c r="O25" s="4">
        <f>IF(ISERR(SEARCH("TRA* 82",C22)),IF(Q25+R25+S25=0,0,I25*(R25/(Q25+R25+S25))),0)</f>
        <v>0</v>
      </c>
      <c r="P25" s="4">
        <f>IF(ISERR(SEARCH("TRA* 82",C22)),I25-N25-O25,0)</f>
        <v>0</v>
      </c>
      <c r="Q25" s="4">
        <v>0</v>
      </c>
      <c r="R25" s="4">
        <v>0</v>
      </c>
      <c r="S25" s="4">
        <v>0</v>
      </c>
    </row>
    <row r="26" spans="1:19" x14ac:dyDescent="0.3">
      <c r="A26" s="96" t="s">
        <v>1163</v>
      </c>
      <c r="B26" s="97"/>
      <c r="C26" s="97"/>
      <c r="D26" s="97"/>
      <c r="E26" s="97"/>
      <c r="F26" s="97"/>
      <c r="G26" s="97"/>
      <c r="H26" s="36">
        <f>H22+H23+H24+H25</f>
        <v>526.47749999999996</v>
      </c>
      <c r="I26" s="74">
        <f>I22+I23+I24+I25</f>
        <v>6159.7867500000002</v>
      </c>
      <c r="J26">
        <v>5</v>
      </c>
    </row>
    <row r="27" spans="1:19" x14ac:dyDescent="0.3">
      <c r="B27" s="2">
        <v>4</v>
      </c>
      <c r="C27" s="3" t="s">
        <v>1164</v>
      </c>
      <c r="D27" s="5" t="s">
        <v>25</v>
      </c>
      <c r="G27" s="30">
        <v>71</v>
      </c>
      <c r="H27" s="38">
        <f>(1+IF(OR(ISERR(FIND(":",D28)),ISERR(FIND("%",D28))),0,MID(D28,FIND(":",D28)+2,FIND("%",D28)-FIND(":",D28)-2)/100))*40.11955</f>
        <v>40.119549999999997</v>
      </c>
      <c r="I27" s="29">
        <f>G27*H27</f>
        <v>2848.4880499999999</v>
      </c>
      <c r="J27">
        <v>1</v>
      </c>
    </row>
    <row r="28" spans="1:19" x14ac:dyDescent="0.3">
      <c r="D28" s="15" t="str">
        <f>SUBSTITUTE("Sp.mat: 0.00%",".",IF(VALUE("1.2")=1.2,".",","),2)</f>
        <v>Sp.mat: 0.00%</v>
      </c>
      <c r="F28" s="15" t="str">
        <f>SUBSTITUTE("Sp.man: 0.00%",".",IF(VALUE("1.2")=1.2,".",","),2)</f>
        <v>Sp.man: 0.00%</v>
      </c>
      <c r="G28" s="35" t="str">
        <f>SUBSTITUTE("Sp.uti: 0.00%",".",IF(VALUE("1.2")=1.2,".",","),2)</f>
        <v>Sp.uti: 0.00%</v>
      </c>
      <c r="H28" s="38">
        <f>(1+IF(OR(ISERR(FIND(":",F28)),ISERR(FIND("%",F28))),0,MID(F28,FIND(":",F28)+2,FIND("%",F28)-FIND(":",F28)-2)/100))*30</f>
        <v>30</v>
      </c>
      <c r="I28" s="29">
        <f>G27*H28</f>
        <v>2130</v>
      </c>
      <c r="J28">
        <v>2</v>
      </c>
    </row>
    <row r="29" spans="1:19" x14ac:dyDescent="0.3">
      <c r="A29" s="88" t="s">
        <v>1165</v>
      </c>
      <c r="B29" s="98"/>
      <c r="C29" s="98"/>
      <c r="D29" s="98"/>
      <c r="E29" s="98"/>
      <c r="F29" s="98"/>
      <c r="G29" s="98"/>
      <c r="H29" s="38">
        <f>(1+IF(OR(ISERR(FIND(":",G28)),ISERR(FIND("%",G28))),0,MID(G28,FIND(":",G28)+2,FIND("%",G28)-FIND(":",G28)-2)/100))*0</f>
        <v>0</v>
      </c>
      <c r="I29" s="29">
        <f>G27*H29</f>
        <v>0</v>
      </c>
      <c r="J29">
        <v>3</v>
      </c>
      <c r="K29" s="4">
        <v>0</v>
      </c>
      <c r="L29" s="4">
        <v>0</v>
      </c>
      <c r="M29" s="4">
        <f>I29-K29-L29</f>
        <v>0</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96" t="s">
        <v>27</v>
      </c>
      <c r="B31" s="97"/>
      <c r="C31" s="97"/>
      <c r="D31" s="97"/>
      <c r="E31" s="97"/>
      <c r="F31" s="97"/>
      <c r="G31" s="97"/>
      <c r="H31" s="36">
        <f>H27+H28+H29+H30</f>
        <v>70.119550000000004</v>
      </c>
      <c r="I31" s="74">
        <f>I27+I28+I29+I30</f>
        <v>4978.4880499999999</v>
      </c>
      <c r="J31">
        <v>5</v>
      </c>
    </row>
    <row r="32" spans="1:19" x14ac:dyDescent="0.3">
      <c r="B32" s="2">
        <v>5</v>
      </c>
      <c r="C32" s="3" t="s">
        <v>1164</v>
      </c>
      <c r="D32" s="5" t="s">
        <v>25</v>
      </c>
      <c r="G32" s="30">
        <v>32.5</v>
      </c>
      <c r="H32" s="38">
        <f>(1+IF(OR(ISERR(FIND(":",D33)),ISERR(FIND("%",D33))),0,MID(D33,FIND(":",D33)+2,FIND("%",D33)-FIND(":",D33)-2)/100))*20.33155</f>
        <v>20.33155</v>
      </c>
      <c r="I32" s="29">
        <f>G32*H32</f>
        <v>660.77537500000005</v>
      </c>
      <c r="J32">
        <v>1</v>
      </c>
    </row>
    <row r="33" spans="1:19" x14ac:dyDescent="0.3">
      <c r="D33" s="15" t="str">
        <f>SUBSTITUTE("Sp.mat: 0.00%",".",IF(VALUE("1.2")=1.2,".",","),2)</f>
        <v>Sp.mat: 0.00%</v>
      </c>
      <c r="F33" s="15" t="str">
        <f>SUBSTITUTE("Sp.man: 0.00%",".",IF(VALUE("1.2")=1.2,".",","),2)</f>
        <v>Sp.man: 0.00%</v>
      </c>
      <c r="G33" s="35" t="str">
        <f>SUBSTITUTE("Sp.uti: 0.00%",".",IF(VALUE("1.2")=1.2,".",","),2)</f>
        <v>Sp.uti: 0.00%</v>
      </c>
      <c r="H33" s="38">
        <f>(1+IF(OR(ISERR(FIND(":",F33)),ISERR(FIND("%",F33))),0,MID(F33,FIND(":",F33)+2,FIND("%",F33)-FIND(":",F33)-2)/100))*30</f>
        <v>30</v>
      </c>
      <c r="I33" s="29">
        <f>G32*H33</f>
        <v>975</v>
      </c>
      <c r="J33">
        <v>2</v>
      </c>
    </row>
    <row r="34" spans="1:19" x14ac:dyDescent="0.3">
      <c r="A34" s="88" t="s">
        <v>1166</v>
      </c>
      <c r="B34" s="98"/>
      <c r="C34" s="98"/>
      <c r="D34" s="98"/>
      <c r="E34" s="98"/>
      <c r="F34" s="98"/>
      <c r="G34" s="98"/>
      <c r="H34" s="38">
        <f>(1+IF(OR(ISERR(FIND(":",G33)),ISERR(FIND("%",G33))),0,MID(G33,FIND(":",G33)+2,FIND("%",G33)-FIND(":",G33)-2)/100))*0</f>
        <v>0</v>
      </c>
      <c r="I34" s="29">
        <f>G32*H34</f>
        <v>0</v>
      </c>
      <c r="J34">
        <v>3</v>
      </c>
      <c r="K34" s="4">
        <v>0</v>
      </c>
      <c r="L34" s="4">
        <v>0</v>
      </c>
      <c r="M34" s="4">
        <f>I34-K34-L34</f>
        <v>0</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96" t="s">
        <v>27</v>
      </c>
      <c r="B36" s="97"/>
      <c r="C36" s="97"/>
      <c r="D36" s="97"/>
      <c r="E36" s="97"/>
      <c r="F36" s="97"/>
      <c r="G36" s="97"/>
      <c r="H36" s="36">
        <f>H32+H33+H34+H35</f>
        <v>50.33155</v>
      </c>
      <c r="I36" s="74">
        <f>I32+I33+I34+I35</f>
        <v>1635.7753750000002</v>
      </c>
      <c r="J36">
        <v>5</v>
      </c>
    </row>
    <row r="37" spans="1:19" x14ac:dyDescent="0.3">
      <c r="B37" s="2">
        <v>6</v>
      </c>
      <c r="C37" s="3" t="s">
        <v>86</v>
      </c>
      <c r="D37" s="5" t="s">
        <v>40</v>
      </c>
      <c r="G37" s="30">
        <v>89</v>
      </c>
      <c r="H37" s="38">
        <f>(1+IF(OR(ISERR(FIND(":",D38)),ISERR(FIND("%",D38))),0,MID(D38,FIND(":",D38)+2,FIND("%",D38)-FIND(":",D38)-2)/100))*176.74657</f>
        <v>176.74656999999999</v>
      </c>
      <c r="I37" s="29">
        <f>G37*H37</f>
        <v>15730.444729999999</v>
      </c>
      <c r="J37">
        <v>1</v>
      </c>
    </row>
    <row r="38" spans="1:19" x14ac:dyDescent="0.3">
      <c r="D38" s="15" t="str">
        <f>SUBSTITUTE("Sp.mat: 0.00%",".",IF(VALUE("1.2")=1.2,".",","),2)</f>
        <v>Sp.mat: 0.00%</v>
      </c>
      <c r="F38" s="15" t="str">
        <f>SUBSTITUTE("Sp.man: 0.00%",".",IF(VALUE("1.2")=1.2,".",","),2)</f>
        <v>Sp.man: 0.00%</v>
      </c>
      <c r="G38" s="35" t="str">
        <f>SUBSTITUTE("Sp.uti: 0.00%",".",IF(VALUE("1.2")=1.2,".",","),2)</f>
        <v>Sp.uti: 0.00%</v>
      </c>
      <c r="H38" s="38">
        <f>(1+IF(OR(ISERR(FIND(":",F38)),ISERR(FIND("%",F38))),0,MID(F38,FIND(":",F38)+2,FIND("%",F38)-FIND(":",F38)-2)/100))*99.999</f>
        <v>99.998999999999995</v>
      </c>
      <c r="I38" s="29">
        <f>G37*H38</f>
        <v>8899.9110000000001</v>
      </c>
      <c r="J38">
        <v>2</v>
      </c>
    </row>
    <row r="39" spans="1:19" x14ac:dyDescent="0.3">
      <c r="A39" s="88" t="s">
        <v>1167</v>
      </c>
      <c r="B39" s="98"/>
      <c r="C39" s="98"/>
      <c r="D39" s="98"/>
      <c r="E39" s="98"/>
      <c r="F39" s="98"/>
      <c r="G39" s="98"/>
      <c r="H39" s="38">
        <f>(1+IF(OR(ISERR(FIND(":",G38)),ISERR(FIND("%",G38))),0,MID(G38,FIND(":",G38)+2,FIND("%",G38)-FIND(":",G38)-2)/100))*0</f>
        <v>0</v>
      </c>
      <c r="I39" s="29">
        <f>G37*H39</f>
        <v>0</v>
      </c>
      <c r="J39">
        <v>3</v>
      </c>
      <c r="K39" s="4">
        <v>0</v>
      </c>
      <c r="L39" s="4">
        <v>0</v>
      </c>
      <c r="M39" s="4">
        <f>I39-K39-L39</f>
        <v>0</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96" t="s">
        <v>87</v>
      </c>
      <c r="B41" s="97"/>
      <c r="C41" s="97"/>
      <c r="D41" s="97"/>
      <c r="E41" s="97"/>
      <c r="F41" s="97"/>
      <c r="G41" s="97"/>
      <c r="H41" s="36">
        <f>H37+H38+H39+H40</f>
        <v>276.74556999999999</v>
      </c>
      <c r="I41" s="74">
        <f>I37+I38+I39+I40</f>
        <v>24630.355729999999</v>
      </c>
      <c r="J41">
        <v>5</v>
      </c>
    </row>
    <row r="42" spans="1:19" x14ac:dyDescent="0.3">
      <c r="B42" s="2">
        <v>7</v>
      </c>
      <c r="C42" s="3" t="s">
        <v>1168</v>
      </c>
      <c r="D42" s="5" t="s">
        <v>40</v>
      </c>
      <c r="G42" s="30">
        <v>392.2</v>
      </c>
      <c r="H42" s="38">
        <f>(1+IF(OR(ISERR(FIND(":",D43)),ISERR(FIND("%",D43))),0,MID(D43,FIND(":",D43)+2,FIND("%",D43)-FIND(":",D43)-2)/100))*30.6</f>
        <v>30.6</v>
      </c>
      <c r="I42" s="29">
        <f>G42*H42</f>
        <v>12001.32</v>
      </c>
      <c r="J42">
        <v>1</v>
      </c>
    </row>
    <row r="43" spans="1:19" x14ac:dyDescent="0.3">
      <c r="D43" s="15" t="str">
        <f>SUBSTITUTE("Sp.mat: 0.00%",".",IF(VALUE("1.2")=1.2,".",","),2)</f>
        <v>Sp.mat: 0.00%</v>
      </c>
      <c r="F43" s="15" t="str">
        <f>SUBSTITUTE("Sp.man: 0.00%",".",IF(VALUE("1.2")=1.2,".",","),2)</f>
        <v>Sp.man: 0.00%</v>
      </c>
      <c r="G43" s="35" t="str">
        <f>SUBSTITUTE("Sp.uti: 0.00%",".",IF(VALUE("1.2")=1.2,".",","),2)</f>
        <v>Sp.uti: 0.00%</v>
      </c>
      <c r="H43" s="38">
        <f>(1+IF(OR(ISERR(FIND(":",F43)),ISERR(FIND("%",F43))),0,MID(F43,FIND(":",F43)+2,FIND("%",F43)-FIND(":",F43)-2)/100))*12</f>
        <v>12</v>
      </c>
      <c r="I43" s="29">
        <f>G42*H43</f>
        <v>4706.3999999999996</v>
      </c>
      <c r="J43">
        <v>2</v>
      </c>
    </row>
    <row r="44" spans="1:19" x14ac:dyDescent="0.3">
      <c r="A44" s="88" t="s">
        <v>1169</v>
      </c>
      <c r="B44" s="98"/>
      <c r="C44" s="98"/>
      <c r="D44" s="98"/>
      <c r="E44" s="98"/>
      <c r="F44" s="98"/>
      <c r="G44" s="98"/>
      <c r="H44" s="38">
        <f>(1+IF(OR(ISERR(FIND(":",G43)),ISERR(FIND("%",G43))),0,MID(G43,FIND(":",G43)+2,FIND("%",G43)-FIND(":",G43)-2)/100))*0</f>
        <v>0</v>
      </c>
      <c r="I44" s="29">
        <f>G42*H44</f>
        <v>0</v>
      </c>
      <c r="J44">
        <v>3</v>
      </c>
      <c r="K44" s="4">
        <v>0</v>
      </c>
      <c r="L44" s="4">
        <v>0</v>
      </c>
      <c r="M44" s="4">
        <f>I44-K44-L44</f>
        <v>0</v>
      </c>
    </row>
    <row r="45" spans="1:19" x14ac:dyDescent="0.3">
      <c r="A45" s="98"/>
      <c r="B45" s="98"/>
      <c r="C45" s="98"/>
      <c r="D45" s="98"/>
      <c r="E45" s="98"/>
      <c r="F45" s="98"/>
      <c r="G45" s="98"/>
      <c r="H45" s="38">
        <f>0</f>
        <v>0</v>
      </c>
      <c r="I45" s="29">
        <f>G42*H45</f>
        <v>0</v>
      </c>
      <c r="J45">
        <v>4</v>
      </c>
      <c r="N45" s="4">
        <f>IF(ISERR(SEARCH("TRA* 82",C42)),IF(Q45+R45+S45=0,0,I45*(Q45/(Q45+R45+S45))),I45)</f>
        <v>0</v>
      </c>
      <c r="O45" s="4">
        <f>IF(ISERR(SEARCH("TRA* 82",C42)),IF(Q45+R45+S45=0,0,I45*(R45/(Q45+R45+S45))),0)</f>
        <v>0</v>
      </c>
      <c r="P45" s="4">
        <f>IF(ISERR(SEARCH("TRA* 82",C42)),I45-N45-O45,0)</f>
        <v>0</v>
      </c>
      <c r="Q45" s="4">
        <v>0</v>
      </c>
      <c r="R45" s="4">
        <v>0</v>
      </c>
      <c r="S45" s="4">
        <v>0</v>
      </c>
    </row>
    <row r="46" spans="1:19" x14ac:dyDescent="0.3">
      <c r="A46" s="96" t="s">
        <v>87</v>
      </c>
      <c r="B46" s="97"/>
      <c r="C46" s="97"/>
      <c r="D46" s="97"/>
      <c r="E46" s="97"/>
      <c r="F46" s="97"/>
      <c r="G46" s="97"/>
      <c r="H46" s="36">
        <f>H42+H43+H44+H45</f>
        <v>42.6</v>
      </c>
      <c r="I46" s="74">
        <f>I42+I43+I44+I45</f>
        <v>16707.72</v>
      </c>
      <c r="J46">
        <v>5</v>
      </c>
    </row>
    <row r="47" spans="1:19" x14ac:dyDescent="0.3">
      <c r="B47" s="2">
        <v>8</v>
      </c>
      <c r="C47" s="3" t="s">
        <v>1168</v>
      </c>
      <c r="D47" s="5" t="s">
        <v>40</v>
      </c>
      <c r="G47" s="30">
        <v>462</v>
      </c>
      <c r="H47" s="38">
        <f>(1+IF(OR(ISERR(FIND(":",D48)),ISERR(FIND("%",D48))),0,MID(D48,FIND(":",D48)+2,FIND("%",D48)-FIND(":",D48)-2)/100))*30.6</f>
        <v>30.6</v>
      </c>
      <c r="I47" s="29">
        <f>G47*H47</f>
        <v>14137.2</v>
      </c>
      <c r="J47">
        <v>1</v>
      </c>
    </row>
    <row r="48" spans="1:19" x14ac:dyDescent="0.3">
      <c r="D48" s="15" t="str">
        <f>SUBSTITUTE("Sp.mat: 0.00%",".",IF(VALUE("1.2")=1.2,".",","),2)</f>
        <v>Sp.mat: 0.00%</v>
      </c>
      <c r="F48" s="15" t="str">
        <f>SUBSTITUTE("Sp.man: 0.00%",".",IF(VALUE("1.2")=1.2,".",","),2)</f>
        <v>Sp.man: 0.00%</v>
      </c>
      <c r="G48" s="35" t="str">
        <f>SUBSTITUTE("Sp.uti: 0.00%",".",IF(VALUE("1.2")=1.2,".",","),2)</f>
        <v>Sp.uti: 0.00%</v>
      </c>
      <c r="H48" s="38">
        <f>(1+IF(OR(ISERR(FIND(":",F48)),ISERR(FIND("%",F48))),0,MID(F48,FIND(":",F48)+2,FIND("%",F48)-FIND(":",F48)-2)/100))*12</f>
        <v>12</v>
      </c>
      <c r="I48" s="29">
        <f>G47*H48</f>
        <v>5544</v>
      </c>
      <c r="J48">
        <v>2</v>
      </c>
    </row>
    <row r="49" spans="1:19" x14ac:dyDescent="0.3">
      <c r="A49" s="88" t="s">
        <v>1170</v>
      </c>
      <c r="B49" s="98"/>
      <c r="C49" s="98"/>
      <c r="D49" s="98"/>
      <c r="E49" s="98"/>
      <c r="F49" s="98"/>
      <c r="G49" s="98"/>
      <c r="H49" s="38">
        <f>(1+IF(OR(ISERR(FIND(":",G48)),ISERR(FIND("%",G48))),0,MID(G48,FIND(":",G48)+2,FIND("%",G48)-FIND(":",G48)-2)/100))*0</f>
        <v>0</v>
      </c>
      <c r="I49" s="29">
        <f>G47*H49</f>
        <v>0</v>
      </c>
      <c r="J49">
        <v>3</v>
      </c>
      <c r="K49" s="4">
        <v>0</v>
      </c>
      <c r="L49" s="4">
        <v>0</v>
      </c>
      <c r="M49" s="4">
        <f>I49-K49-L49</f>
        <v>0</v>
      </c>
    </row>
    <row r="50" spans="1:19" x14ac:dyDescent="0.3">
      <c r="A50" s="98"/>
      <c r="B50" s="98"/>
      <c r="C50" s="98"/>
      <c r="D50" s="98"/>
      <c r="E50" s="98"/>
      <c r="F50" s="98"/>
      <c r="G50" s="98"/>
      <c r="H50" s="38">
        <f>0</f>
        <v>0</v>
      </c>
      <c r="I50" s="29">
        <f>G47*H50</f>
        <v>0</v>
      </c>
      <c r="J50">
        <v>4</v>
      </c>
      <c r="N50" s="4">
        <f>IF(ISERR(SEARCH("TRA* 82",C47)),IF(Q50+R50+S50=0,0,I50*(Q50/(Q50+R50+S50))),I50)</f>
        <v>0</v>
      </c>
      <c r="O50" s="4">
        <f>IF(ISERR(SEARCH("TRA* 82",C47)),IF(Q50+R50+S50=0,0,I50*(R50/(Q50+R50+S50))),0)</f>
        <v>0</v>
      </c>
      <c r="P50" s="4">
        <f>IF(ISERR(SEARCH("TRA* 82",C47)),I50-N50-O50,0)</f>
        <v>0</v>
      </c>
      <c r="Q50" s="4">
        <v>0</v>
      </c>
      <c r="R50" s="4">
        <v>0</v>
      </c>
      <c r="S50" s="4">
        <v>0</v>
      </c>
    </row>
    <row r="51" spans="1:19" x14ac:dyDescent="0.3">
      <c r="A51" s="96" t="s">
        <v>87</v>
      </c>
      <c r="B51" s="97"/>
      <c r="C51" s="97"/>
      <c r="D51" s="97"/>
      <c r="E51" s="97"/>
      <c r="F51" s="97"/>
      <c r="G51" s="97"/>
      <c r="H51" s="36">
        <f>H47+H48+H49+H50</f>
        <v>42.6</v>
      </c>
      <c r="I51" s="74">
        <f>I47+I48+I49+I50</f>
        <v>19681.2</v>
      </c>
      <c r="J51">
        <v>5</v>
      </c>
    </row>
    <row r="52" spans="1:19" x14ac:dyDescent="0.3">
      <c r="B52" s="16" t="s">
        <v>58</v>
      </c>
      <c r="E52" s="4">
        <f>SUMIF(J12:J51,"1",I12:I51)</f>
        <v>93637.68084500001</v>
      </c>
      <c r="F52" s="4">
        <f>SUMIF(J12:J51,"2",I12:I51)</f>
        <v>41911.311000000002</v>
      </c>
      <c r="G52" s="29">
        <f>SUMIF(J12:J51,"3",I12:I51)</f>
        <v>1332.1875</v>
      </c>
      <c r="H52" s="29">
        <f>SUMIF(J12:J51,"4",I12:I51)</f>
        <v>0</v>
      </c>
      <c r="I52" s="29">
        <f>SUMIF(J12:J51,"5",I12:I51)</f>
        <v>136881.17934500001</v>
      </c>
      <c r="K52" s="4">
        <f>SUMIF(J12:J51,"3",K12:K51)</f>
        <v>1332.1875</v>
      </c>
      <c r="L52" s="4">
        <f>SUMIF(J12:J51,"3",L12:L51)</f>
        <v>0</v>
      </c>
      <c r="M52" s="4">
        <f>SUMIF(J12:J51,"3",M12:M51)</f>
        <v>0</v>
      </c>
      <c r="N52" s="4">
        <f>SUMIF(J12:J51,"4",N12:N51)</f>
        <v>0</v>
      </c>
      <c r="O52" s="4">
        <f>SUMIF(J12:J51,"4",O12:O51)</f>
        <v>0</v>
      </c>
      <c r="P52" s="4">
        <f>SUMIF(J12:J51,"4",P12:P51)</f>
        <v>0</v>
      </c>
      <c r="Q52" s="4">
        <f>SUMIF(J12:J51,"4",Q12:Q51)</f>
        <v>0</v>
      </c>
      <c r="R52" s="4">
        <f>SUMIF(J12:J51,"4",R12:R51)</f>
        <v>0</v>
      </c>
      <c r="S52" s="4">
        <f>SUMIF(J12:J51,"4",S12:S51)</f>
        <v>0</v>
      </c>
    </row>
    <row r="53" spans="1:19" hidden="1" x14ac:dyDescent="0.3">
      <c r="B53" s="16" t="s">
        <v>59</v>
      </c>
    </row>
    <row r="54" spans="1:19" hidden="1" x14ac:dyDescent="0.3">
      <c r="B54" s="16" t="s">
        <v>60</v>
      </c>
      <c r="G54" s="29">
        <f>$K$52*1</f>
        <v>1332.1875</v>
      </c>
    </row>
    <row r="55" spans="1:19" hidden="1" x14ac:dyDescent="0.3">
      <c r="B55" s="16" t="s">
        <v>61</v>
      </c>
      <c r="G55" s="29">
        <f>$L$52*1</f>
        <v>0</v>
      </c>
    </row>
    <row r="56" spans="1:19" hidden="1" x14ac:dyDescent="0.3">
      <c r="B56" s="16" t="s">
        <v>62</v>
      </c>
      <c r="G56" s="29">
        <f>G52-G54-G55</f>
        <v>0</v>
      </c>
    </row>
    <row r="57" spans="1:19" hidden="1" x14ac:dyDescent="0.3">
      <c r="B57" s="16" t="s">
        <v>63</v>
      </c>
      <c r="E57" s="4">
        <f>IF("G"="Nu",0*1,0)</f>
        <v>0</v>
      </c>
      <c r="I57" s="29">
        <f>E57</f>
        <v>0</v>
      </c>
    </row>
    <row r="58" spans="1:19" hidden="1" x14ac:dyDescent="0.3">
      <c r="B58" s="16" t="s">
        <v>64</v>
      </c>
      <c r="D58" s="17" t="str">
        <f>CONCATENATE(TEXT(   1,REPLACE("#.####",2,1,"."))," x")</f>
        <v>1. x</v>
      </c>
      <c r="E58" s="4">
        <f>IF("G"="Nu",0*1,0)</f>
        <v>0</v>
      </c>
      <c r="I58" s="29">
        <f>E58*   1</f>
        <v>0</v>
      </c>
    </row>
    <row r="59" spans="1:19" hidden="1" x14ac:dyDescent="0.3">
      <c r="B59" s="16" t="s">
        <v>65</v>
      </c>
      <c r="E59" s="4">
        <f>(E52+I57+I58)</f>
        <v>93637.68084500001</v>
      </c>
      <c r="F59" s="4">
        <f>F52</f>
        <v>41911.311000000002</v>
      </c>
      <c r="G59" s="29">
        <f>G52</f>
        <v>1332.1875</v>
      </c>
      <c r="H59" s="29">
        <f>H52</f>
        <v>0</v>
      </c>
      <c r="I59" s="29">
        <f>SUM(E59:H59)</f>
        <v>136881.17934500001</v>
      </c>
    </row>
    <row r="60" spans="1:19" x14ac:dyDescent="0.3">
      <c r="B60" s="18" t="s">
        <v>66</v>
      </c>
      <c r="C60" s="19"/>
      <c r="D60" s="20"/>
      <c r="E60" s="21"/>
      <c r="F60" s="21"/>
      <c r="G60" s="31"/>
      <c r="H60" s="64"/>
      <c r="I60" s="72"/>
    </row>
    <row r="61" spans="1:19" hidden="1" x14ac:dyDescent="0.3">
      <c r="B61" s="23" t="str">
        <f>CONCATENATE("  ","Impozit manopera        ")</f>
        <v xml:space="preserve">  Impozit manopera        </v>
      </c>
      <c r="D61" s="17">
        <f t="shared" ref="D61:D66" si="0" xml:space="preserve">   0</f>
        <v>0</v>
      </c>
      <c r="F61" s="4">
        <f>F52*D61</f>
        <v>0</v>
      </c>
      <c r="I61" s="73">
        <f t="shared" ref="I61:I68" si="1">F61</f>
        <v>0</v>
      </c>
    </row>
    <row r="62" spans="1:19" hidden="1" x14ac:dyDescent="0.3">
      <c r="B62" s="23" t="str">
        <f>CONCATENATE("  ","C.A.S.                  ")</f>
        <v xml:space="preserve">  C.A.S.                  </v>
      </c>
      <c r="D62" s="17">
        <f t="shared" si="0"/>
        <v>0</v>
      </c>
      <c r="F62" s="4">
        <f>(F52+F61)*D62</f>
        <v>0</v>
      </c>
      <c r="I62" s="29">
        <f t="shared" si="1"/>
        <v>0</v>
      </c>
    </row>
    <row r="63" spans="1:19" hidden="1" x14ac:dyDescent="0.3">
      <c r="B63" s="23" t="str">
        <f>CONCATENATE("  ","C.A.S.S.                ")</f>
        <v xml:space="preserve">  C.A.S.S.                </v>
      </c>
      <c r="D63" s="17">
        <f t="shared" si="0"/>
        <v>0</v>
      </c>
      <c r="F63" s="4">
        <f>(F52+F61)*D63</f>
        <v>0</v>
      </c>
      <c r="I63" s="29">
        <f t="shared" si="1"/>
        <v>0</v>
      </c>
    </row>
    <row r="64" spans="1:19" hidden="1" x14ac:dyDescent="0.3">
      <c r="B64" s="23" t="str">
        <f>CONCATENATE("  ","Ajutor somaj            ")</f>
        <v xml:space="preserve">  Ajutor somaj            </v>
      </c>
      <c r="D64" s="17">
        <f t="shared" si="0"/>
        <v>0</v>
      </c>
      <c r="F64" s="4">
        <f>(F52+F61)*D64</f>
        <v>0</v>
      </c>
      <c r="I64" s="29">
        <f t="shared" si="1"/>
        <v>0</v>
      </c>
    </row>
    <row r="65" spans="1:9" hidden="1" x14ac:dyDescent="0.3">
      <c r="B65" s="23" t="str">
        <f>CONCATENATE("  ","Acc. munca, boli profes.")</f>
        <v xml:space="preserve">  Acc. munca, boli profes.</v>
      </c>
      <c r="D65" s="17">
        <f t="shared" si="0"/>
        <v>0</v>
      </c>
      <c r="F65" s="4">
        <f>(F52+F61)*D65</f>
        <v>0</v>
      </c>
      <c r="I65" s="29">
        <f t="shared" si="1"/>
        <v>0</v>
      </c>
    </row>
    <row r="66" spans="1:9" hidden="1" x14ac:dyDescent="0.3">
      <c r="B66" s="23" t="str">
        <f>CONCATENATE("  ","C.C.I.                  ")</f>
        <v xml:space="preserve">  C.C.I.                  </v>
      </c>
      <c r="D66" s="17">
        <f t="shared" si="0"/>
        <v>0</v>
      </c>
      <c r="F66" s="4">
        <f>(F52+F61)*D66</f>
        <v>0</v>
      </c>
      <c r="I66" s="29">
        <f t="shared" si="1"/>
        <v>0</v>
      </c>
    </row>
    <row r="67" spans="1:9" x14ac:dyDescent="0.3">
      <c r="B67" s="23" t="str">
        <f>CONCATENATE("  ","Contrib. asig. munca    ")</f>
        <v xml:space="preserve">  Contrib. asig. munca    </v>
      </c>
      <c r="D67" s="17">
        <f xml:space="preserve">   0.0225</f>
        <v>2.2499999999999999E-2</v>
      </c>
      <c r="F67" s="4">
        <f>(F52+F61)*D67</f>
        <v>943.00449749999996</v>
      </c>
      <c r="I67" s="29">
        <f t="shared" si="1"/>
        <v>943.00449749999996</v>
      </c>
    </row>
    <row r="68" spans="1:9" hidden="1" x14ac:dyDescent="0.3">
      <c r="B68" s="23" t="str">
        <f>CONCATENATE("  ","Fond garantare          ")</f>
        <v xml:space="preserve">  Fond garantare          </v>
      </c>
      <c r="D68" s="17">
        <f xml:space="preserve">   0</f>
        <v>0</v>
      </c>
      <c r="F68" s="4">
        <f>(F52+F61)*D68</f>
        <v>0</v>
      </c>
      <c r="I68" s="29">
        <f t="shared" si="1"/>
        <v>0</v>
      </c>
    </row>
    <row r="69" spans="1:9" hidden="1" x14ac:dyDescent="0.3">
      <c r="B69" s="23" t="str">
        <f>CONCATENATE("  ","Chelt.tr.aprov.,depozit.")</f>
        <v xml:space="preserve">  Chelt.tr.aprov.,depozit.</v>
      </c>
      <c r="D69" s="17">
        <f xml:space="preserve">   0</f>
        <v>0</v>
      </c>
      <c r="E69" s="4">
        <f>(E52+I57+I58)*D69</f>
        <v>0</v>
      </c>
      <c r="I69" s="29">
        <f>E69</f>
        <v>0</v>
      </c>
    </row>
    <row r="70" spans="1:9" x14ac:dyDescent="0.3">
      <c r="B70" s="18" t="s">
        <v>67</v>
      </c>
      <c r="C70" s="19"/>
      <c r="D70" s="20"/>
      <c r="E70" s="22">
        <f>(E52+I57+I58)+E69</f>
        <v>93637.68084500001</v>
      </c>
      <c r="F70" s="22">
        <f>F52+F61+F62+F63+F64+F65+F66+F67+F68</f>
        <v>42854.3154975</v>
      </c>
      <c r="G70" s="72">
        <f>G52</f>
        <v>1332.1875</v>
      </c>
      <c r="H70" s="72">
        <f>H52</f>
        <v>0</v>
      </c>
      <c r="I70" s="72">
        <f>SUM(E70:H70)</f>
        <v>137824.1838425</v>
      </c>
    </row>
    <row r="71" spans="1:9" x14ac:dyDescent="0.3">
      <c r="B71" s="18" t="s">
        <v>68</v>
      </c>
      <c r="C71" s="19"/>
      <c r="D71" s="24">
        <f xml:space="preserve">   0.08</f>
        <v>0.08</v>
      </c>
      <c r="E71" s="21" t="s">
        <v>69</v>
      </c>
      <c r="F71" s="21"/>
      <c r="G71" s="31"/>
      <c r="H71" s="64"/>
      <c r="I71" s="72">
        <f>I70*D71</f>
        <v>11025.9347074</v>
      </c>
    </row>
    <row r="72" spans="1:9" x14ac:dyDescent="0.3">
      <c r="B72" s="18" t="s">
        <v>70</v>
      </c>
      <c r="C72" s="19"/>
      <c r="D72" s="24">
        <f xml:space="preserve">   0.05</f>
        <v>0.05</v>
      </c>
      <c r="E72" s="21" t="s">
        <v>71</v>
      </c>
      <c r="F72" s="21"/>
      <c r="G72" s="31"/>
      <c r="H72" s="64"/>
      <c r="I72" s="72">
        <f>(I70+I71)*D72</f>
        <v>7442.5059274950008</v>
      </c>
    </row>
    <row r="73" spans="1:9" hidden="1" x14ac:dyDescent="0.3">
      <c r="B73" s="16" t="s">
        <v>63</v>
      </c>
      <c r="D73" s="21" t="str">
        <f>CONCATENATE(TEXT(   1,REPLACE("#.####",2,1,"."))," x")</f>
        <v>1. x</v>
      </c>
      <c r="E73" s="4">
        <f>IF("G"="Nu",0*1,0)</f>
        <v>0</v>
      </c>
      <c r="I73" s="29">
        <f>E73*   1</f>
        <v>0</v>
      </c>
    </row>
    <row r="74" spans="1:9" hidden="1" x14ac:dyDescent="0.3">
      <c r="B74" s="16" t="s">
        <v>64</v>
      </c>
      <c r="D74" s="17" t="str">
        <f>CONCATENATE(TEXT(   1,REPLACE("#.####",2,1,"."))," x ",TEXT(   1,REPLACE("#.####",2,1,"."))," x")</f>
        <v>1. x 1. x</v>
      </c>
      <c r="E74" s="4">
        <f>IF("G"="Nu",0*1,0)</f>
        <v>0</v>
      </c>
      <c r="I74" s="29">
        <f>E74*   1*   1</f>
        <v>0</v>
      </c>
    </row>
    <row r="75" spans="1:9" x14ac:dyDescent="0.3">
      <c r="B75" s="18" t="s">
        <v>72</v>
      </c>
      <c r="C75" s="19"/>
      <c r="D75" s="26" t="s">
        <v>73</v>
      </c>
      <c r="E75" s="21"/>
      <c r="F75" s="21"/>
      <c r="G75" s="31"/>
      <c r="H75" s="64"/>
      <c r="I75" s="72">
        <f>I70+I71+I72+I73+I74</f>
        <v>156292.624477395</v>
      </c>
    </row>
    <row r="76" spans="1:9" x14ac:dyDescent="0.3">
      <c r="B76" s="25"/>
      <c r="C76" s="19"/>
      <c r="D76" s="20"/>
      <c r="E76" s="21"/>
      <c r="F76" s="21"/>
      <c r="G76" s="31"/>
      <c r="H76" s="64"/>
      <c r="I76" s="72"/>
    </row>
    <row r="78" spans="1:9" x14ac:dyDescent="0.3">
      <c r="A78" s="28" t="s">
        <v>1206</v>
      </c>
    </row>
  </sheetData>
  <mergeCells count="21">
    <mergeCell ref="A29:G30"/>
    <mergeCell ref="A1:D1"/>
    <mergeCell ref="A2:I2"/>
    <mergeCell ref="A3:I3"/>
    <mergeCell ref="A4:I4"/>
    <mergeCell ref="A5:H5"/>
    <mergeCell ref="A14:G15"/>
    <mergeCell ref="A16:G16"/>
    <mergeCell ref="A19:G20"/>
    <mergeCell ref="A21:G21"/>
    <mergeCell ref="A24:G25"/>
    <mergeCell ref="A26:G26"/>
    <mergeCell ref="A46:G46"/>
    <mergeCell ref="A49:G50"/>
    <mergeCell ref="A51:G51"/>
    <mergeCell ref="A31:G31"/>
    <mergeCell ref="A34:G35"/>
    <mergeCell ref="A36:G36"/>
    <mergeCell ref="A39:G40"/>
    <mergeCell ref="A41:G41"/>
    <mergeCell ref="A44:G45"/>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1" manualBreakCount="1">
    <brk id="46"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736F-F471-44E8-ADB7-5F237174872F}">
  <sheetPr>
    <tabColor rgb="FF92D050"/>
  </sheetPr>
  <dimension ref="A1:T59"/>
  <sheetViews>
    <sheetView topLeftCell="A57" workbookViewId="0">
      <selection activeCell="H67" sqref="H67"/>
    </sheetView>
  </sheetViews>
  <sheetFormatPr defaultRowHeight="14.4" outlineLevelCol="1" x14ac:dyDescent="0.3"/>
  <cols>
    <col min="1" max="1" width="0.33203125" style="1" customWidth="1"/>
    <col min="2" max="2" width="5.77734375" style="2" customWidth="1"/>
    <col min="3" max="3" width="25.33203125" style="3" customWidth="1"/>
    <col min="4" max="4" width="10.5546875" style="5" customWidth="1"/>
    <col min="5" max="6" width="10.5546875" customWidth="1"/>
    <col min="7" max="7" width="10.5546875" style="30" customWidth="1"/>
    <col min="8" max="8" width="10.5546875" style="38" customWidth="1"/>
    <col min="9" max="9" width="10.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1155</v>
      </c>
      <c r="B4" s="98"/>
      <c r="C4" s="98"/>
      <c r="D4" s="98"/>
      <c r="E4" s="98"/>
      <c r="F4" s="98"/>
      <c r="G4" s="98"/>
      <c r="H4" s="98"/>
      <c r="I4" s="98"/>
    </row>
    <row r="5" spans="1:19" ht="15" thickBot="1" x14ac:dyDescent="0.35">
      <c r="A5" s="82" t="s">
        <v>1171</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1172</v>
      </c>
      <c r="D12" s="13" t="s">
        <v>25</v>
      </c>
      <c r="E12" s="14"/>
      <c r="F12" s="14"/>
      <c r="G12" s="41">
        <v>320</v>
      </c>
      <c r="H12" s="71">
        <f>2434.11/G12</f>
        <v>7.60659375</v>
      </c>
      <c r="I12" s="32">
        <f>G12*H12</f>
        <v>2434.11</v>
      </c>
      <c r="J12">
        <v>1</v>
      </c>
    </row>
    <row r="13" spans="1:19" x14ac:dyDescent="0.3">
      <c r="D13" s="15" t="str">
        <f>SUBSTITUTE("Sp.mat: 0.00%",".",IF(VALUE("1.2")=1.2,".",","),2)</f>
        <v>Sp.mat: 0.00%</v>
      </c>
      <c r="F13" s="15" t="str">
        <f>SUBSTITUTE("Sp.man: 0.00%",".",IF(VALUE("1.2")=1.2,".",","),2)</f>
        <v>Sp.man: 0.00%</v>
      </c>
      <c r="G13" s="35" t="str">
        <f>SUBSTITUTE("Sp.uti: 0.00%",".",IF(VALUE("1.2")=1.2,".",","),2)</f>
        <v>Sp.uti: 0.00%</v>
      </c>
      <c r="H13" s="38">
        <f>7534.4/G12</f>
        <v>23.544999999999998</v>
      </c>
      <c r="I13" s="29">
        <f>G12*H13</f>
        <v>7534.4</v>
      </c>
      <c r="J13">
        <v>2</v>
      </c>
    </row>
    <row r="14" spans="1:19" x14ac:dyDescent="0.3">
      <c r="A14" s="88" t="s">
        <v>1173</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96" t="s">
        <v>27</v>
      </c>
      <c r="B16" s="97"/>
      <c r="C16" s="97"/>
      <c r="D16" s="97"/>
      <c r="E16" s="97"/>
      <c r="F16" s="97"/>
      <c r="G16" s="97"/>
      <c r="H16" s="36">
        <f>H12+H13+H14+H15</f>
        <v>31.151593749999996</v>
      </c>
      <c r="I16" s="74">
        <f>I12+I13+I14+I15</f>
        <v>9968.51</v>
      </c>
      <c r="J16">
        <v>5</v>
      </c>
    </row>
    <row r="17" spans="1:19" x14ac:dyDescent="0.3">
      <c r="B17" s="2">
        <v>2</v>
      </c>
      <c r="C17" s="3" t="s">
        <v>1174</v>
      </c>
      <c r="D17" s="5" t="s">
        <v>29</v>
      </c>
      <c r="G17" s="30">
        <v>1</v>
      </c>
      <c r="H17" s="38">
        <v>23.27</v>
      </c>
      <c r="I17" s="29">
        <f>G17*H17</f>
        <v>23.27</v>
      </c>
      <c r="J17">
        <v>1</v>
      </c>
    </row>
    <row r="18" spans="1:19" x14ac:dyDescent="0.3">
      <c r="D18" s="15" t="str">
        <f>SUBSTITUTE("Sp.mat: 0.00%",".",IF(VALUE("1.2")=1.2,".",","),2)</f>
        <v>Sp.mat: 0.00%</v>
      </c>
      <c r="F18" s="15" t="str">
        <f>SUBSTITUTE("Sp.man: 0.00%",".",IF(VALUE("1.2")=1.2,".",","),2)</f>
        <v>Sp.man: 0.00%</v>
      </c>
      <c r="G18" s="35" t="str">
        <f>SUBSTITUTE("Sp.uti: 0.00%",".",IF(VALUE("1.2")=1.2,".",","),2)</f>
        <v>Sp.uti: 0.00%</v>
      </c>
      <c r="H18" s="38">
        <v>2.72</v>
      </c>
      <c r="I18" s="29">
        <f>G17*H18</f>
        <v>2.72</v>
      </c>
      <c r="J18">
        <v>2</v>
      </c>
    </row>
    <row r="19" spans="1:19" x14ac:dyDescent="0.3">
      <c r="A19" s="88" t="s">
        <v>1175</v>
      </c>
      <c r="B19" s="98"/>
      <c r="C19" s="98"/>
      <c r="D19" s="98"/>
      <c r="E19" s="98"/>
      <c r="F19" s="98"/>
      <c r="G19" s="98"/>
      <c r="H19" s="38">
        <f>(1+IF(OR(ISERR(FIND(":",G18)),ISERR(FIND("%",G18))),0,MID(G18,FIND(":",G18)+2,FIND("%",G18)-FIND(":",G18)-2)/100))*0</f>
        <v>0</v>
      </c>
      <c r="I19" s="29">
        <f>G17*H19</f>
        <v>0</v>
      </c>
      <c r="J19">
        <v>3</v>
      </c>
      <c r="K19" s="4">
        <v>0</v>
      </c>
      <c r="L19" s="4">
        <v>0</v>
      </c>
      <c r="M19" s="4">
        <f>I19-K19-L19</f>
        <v>0</v>
      </c>
    </row>
    <row r="20" spans="1:19" x14ac:dyDescent="0.3">
      <c r="A20" s="98"/>
      <c r="B20" s="98"/>
      <c r="C20" s="98"/>
      <c r="D20" s="98"/>
      <c r="E20" s="98"/>
      <c r="F20" s="98"/>
      <c r="G20" s="98"/>
      <c r="H20" s="38">
        <f>0</f>
        <v>0</v>
      </c>
      <c r="I20" s="29">
        <f>G17*H20</f>
        <v>0</v>
      </c>
      <c r="J20">
        <v>4</v>
      </c>
      <c r="N20" s="4">
        <f>IF(ISERR(SEARCH("TRA* 82",C17)),IF(Q20+R20+S20=0,0,I20*(Q20/(Q20+R20+S20))),I20)</f>
        <v>0</v>
      </c>
      <c r="O20" s="4">
        <f>IF(ISERR(SEARCH("TRA* 82",C17)),IF(Q20+R20+S20=0,0,I20*(R20/(Q20+R20+S20))),0)</f>
        <v>0</v>
      </c>
      <c r="P20" s="4">
        <f>IF(ISERR(SEARCH("TRA* 82",C17)),I20-N20-O20,0)</f>
        <v>0</v>
      </c>
      <c r="Q20" s="4">
        <v>0</v>
      </c>
      <c r="R20" s="4">
        <v>0</v>
      </c>
      <c r="S20" s="4">
        <v>0</v>
      </c>
    </row>
    <row r="21" spans="1:19" x14ac:dyDescent="0.3">
      <c r="A21" s="96" t="s">
        <v>27</v>
      </c>
      <c r="B21" s="97"/>
      <c r="C21" s="97"/>
      <c r="D21" s="97"/>
      <c r="E21" s="97"/>
      <c r="F21" s="97"/>
      <c r="G21" s="97"/>
      <c r="H21" s="36">
        <f>H17+H18+H19+H20</f>
        <v>25.99</v>
      </c>
      <c r="I21" s="74">
        <f>I17+I18+I19+I20</f>
        <v>25.99</v>
      </c>
      <c r="J21">
        <v>5</v>
      </c>
    </row>
    <row r="22" spans="1:19" x14ac:dyDescent="0.3">
      <c r="B22" s="2">
        <v>3</v>
      </c>
      <c r="C22" s="3" t="s">
        <v>1176</v>
      </c>
      <c r="D22" s="5" t="s">
        <v>29</v>
      </c>
      <c r="G22" s="30">
        <v>20</v>
      </c>
      <c r="H22" s="38">
        <f>7688.16/G22</f>
        <v>384.40800000000002</v>
      </c>
      <c r="I22" s="29">
        <f>G22*H22</f>
        <v>7688.16</v>
      </c>
      <c r="J22">
        <v>1</v>
      </c>
    </row>
    <row r="23" spans="1:19" x14ac:dyDescent="0.3">
      <c r="D23" s="15" t="str">
        <f>SUBSTITUTE("Sp.mat: 0.00%",".",IF(VALUE("1.2")=1.2,".",","),2)</f>
        <v>Sp.mat: 0.00%</v>
      </c>
      <c r="F23" s="15" t="str">
        <f>SUBSTITUTE("Sp.man: 0.00%",".",IF(VALUE("1.2")=1.2,".",","),2)</f>
        <v>Sp.man: 0.00%</v>
      </c>
      <c r="G23" s="35" t="str">
        <f>SUBSTITUTE("Sp.uti: 0.00%",".",IF(VALUE("1.2")=1.2,".",","),2)</f>
        <v>Sp.uti: 0.00%</v>
      </c>
      <c r="H23" s="38">
        <f>96.1/G22</f>
        <v>4.8049999999999997</v>
      </c>
      <c r="I23" s="29">
        <f>G22*H23</f>
        <v>96.1</v>
      </c>
      <c r="J23">
        <v>2</v>
      </c>
    </row>
    <row r="24" spans="1:19" x14ac:dyDescent="0.3">
      <c r="A24" s="88" t="s">
        <v>1177</v>
      </c>
      <c r="B24" s="98"/>
      <c r="C24" s="98"/>
      <c r="D24" s="98"/>
      <c r="E24" s="98"/>
      <c r="F24" s="98"/>
      <c r="G24" s="98"/>
      <c r="H24" s="38">
        <f>(1+IF(OR(ISERR(FIND(":",G23)),ISERR(FIND("%",G23))),0,MID(G23,FIND(":",G23)+2,FIND("%",G23)-FIND(":",G23)-2)/100))*0</f>
        <v>0</v>
      </c>
      <c r="I24" s="29">
        <f>G22*H24</f>
        <v>0</v>
      </c>
      <c r="J24">
        <v>3</v>
      </c>
      <c r="K24" s="4">
        <v>0</v>
      </c>
      <c r="L24" s="4">
        <v>0</v>
      </c>
      <c r="M24" s="4">
        <f>I24-K24-L24</f>
        <v>0</v>
      </c>
    </row>
    <row r="25" spans="1:19" x14ac:dyDescent="0.3">
      <c r="A25" s="98"/>
      <c r="B25" s="98"/>
      <c r="C25" s="98"/>
      <c r="D25" s="98"/>
      <c r="E25" s="98"/>
      <c r="F25" s="98"/>
      <c r="G25" s="98"/>
      <c r="H25" s="38">
        <f>0</f>
        <v>0</v>
      </c>
      <c r="I25" s="29">
        <f>G22*H25</f>
        <v>0</v>
      </c>
      <c r="J25">
        <v>4</v>
      </c>
      <c r="N25" s="4">
        <f>IF(ISERR(SEARCH("TRA* 82",C22)),IF(Q25+R25+S25=0,0,I25*(Q25/(Q25+R25+S25))),I25)</f>
        <v>0</v>
      </c>
      <c r="O25" s="4">
        <f>IF(ISERR(SEARCH("TRA* 82",C22)),IF(Q25+R25+S25=0,0,I25*(R25/(Q25+R25+S25))),0)</f>
        <v>0</v>
      </c>
      <c r="P25" s="4">
        <f>IF(ISERR(SEARCH("TRA* 82",C22)),I25-N25-O25,0)</f>
        <v>0</v>
      </c>
      <c r="Q25" s="4">
        <v>0</v>
      </c>
      <c r="R25" s="4">
        <v>0</v>
      </c>
      <c r="S25" s="4">
        <v>0</v>
      </c>
    </row>
    <row r="26" spans="1:19" x14ac:dyDescent="0.3">
      <c r="A26" s="96" t="s">
        <v>27</v>
      </c>
      <c r="B26" s="97"/>
      <c r="C26" s="97"/>
      <c r="D26" s="97"/>
      <c r="E26" s="97"/>
      <c r="F26" s="97"/>
      <c r="G26" s="97"/>
      <c r="H26" s="36">
        <f>H22+H23+H24+H25</f>
        <v>389.21300000000002</v>
      </c>
      <c r="I26" s="74">
        <f>I22+I23+I24+I25</f>
        <v>7784.26</v>
      </c>
      <c r="J26">
        <v>5</v>
      </c>
    </row>
    <row r="27" spans="1:19" x14ac:dyDescent="0.3">
      <c r="B27" s="2">
        <v>4</v>
      </c>
      <c r="C27" s="3" t="s">
        <v>135</v>
      </c>
      <c r="D27" s="5" t="s">
        <v>35</v>
      </c>
      <c r="G27" s="30">
        <v>110</v>
      </c>
      <c r="H27" s="38">
        <f>(1+IF(OR(ISERR(FIND(":",D28)),ISERR(FIND("%",D28))),0,MID(D28,FIND(":",D28)+2,FIND("%",D28)-FIND(":",D28)-2)/100))*0</f>
        <v>0</v>
      </c>
      <c r="I27" s="29">
        <f>G27*H27</f>
        <v>0</v>
      </c>
      <c r="J27">
        <v>1</v>
      </c>
    </row>
    <row r="28" spans="1:19" x14ac:dyDescent="0.3">
      <c r="D28" s="15" t="str">
        <f>SUBSTITUTE("Sp.mat: 0.00%",".",IF(VALUE("1.2")=1.2,".",","),2)</f>
        <v>Sp.mat: 0.00%</v>
      </c>
      <c r="F28" s="15" t="str">
        <f>SUBSTITUTE("Sp.man: 0.00%",".",IF(VALUE("1.2")=1.2,".",","),2)</f>
        <v>Sp.man: 0.00%</v>
      </c>
      <c r="G28" s="35" t="str">
        <f>SUBSTITUTE("Sp.uti: 0.00%",".",IF(VALUE("1.2")=1.2,".",","),2)</f>
        <v>Sp.uti: 0.00%</v>
      </c>
      <c r="H28" s="38">
        <f>2625.19/G27</f>
        <v>23.865363636363636</v>
      </c>
      <c r="I28" s="29">
        <f>G27*H28</f>
        <v>2625.19</v>
      </c>
      <c r="J28">
        <v>2</v>
      </c>
    </row>
    <row r="29" spans="1:19" x14ac:dyDescent="0.3">
      <c r="A29" s="88" t="s">
        <v>136</v>
      </c>
      <c r="B29" s="98"/>
      <c r="C29" s="98"/>
      <c r="D29" s="98"/>
      <c r="E29" s="98"/>
      <c r="F29" s="98"/>
      <c r="G29" s="98"/>
      <c r="H29" s="38">
        <f>(1+IF(OR(ISERR(FIND(":",G28)),ISERR(FIND("%",G28))),0,MID(G28,FIND(":",G28)+2,FIND("%",G28)-FIND(":",G28)-2)/100))*0</f>
        <v>0</v>
      </c>
      <c r="I29" s="29">
        <f>G27*H29</f>
        <v>0</v>
      </c>
      <c r="J29">
        <v>3</v>
      </c>
      <c r="K29" s="4">
        <v>0</v>
      </c>
      <c r="L29" s="4">
        <v>0</v>
      </c>
      <c r="M29" s="4">
        <f>I29-K29-L29</f>
        <v>0</v>
      </c>
    </row>
    <row r="30" spans="1:19" x14ac:dyDescent="0.3">
      <c r="A30" s="98"/>
      <c r="B30" s="98"/>
      <c r="C30" s="98"/>
      <c r="D30" s="98"/>
      <c r="E30" s="98"/>
      <c r="F30" s="98"/>
      <c r="G30" s="98"/>
      <c r="H30" s="38">
        <f>0</f>
        <v>0</v>
      </c>
      <c r="I30" s="29">
        <f>G27*H30</f>
        <v>0</v>
      </c>
      <c r="J30">
        <v>4</v>
      </c>
      <c r="N30" s="4">
        <f>IF(ISERR(SEARCH("TRA* 82",C27)),IF(Q30+R30+S30=0,0,I30*(Q30/(Q30+R30+S30))),I30)</f>
        <v>0</v>
      </c>
      <c r="O30" s="4">
        <f>IF(ISERR(SEARCH("TRA* 82",C27)),IF(Q30+R30+S30=0,0,I30*(R30/(Q30+R30+S30))),0)</f>
        <v>0</v>
      </c>
      <c r="P30" s="4">
        <f>IF(ISERR(SEARCH("TRA* 82",C27)),I30-N30-O30,0)</f>
        <v>0</v>
      </c>
      <c r="Q30" s="4">
        <v>0</v>
      </c>
      <c r="R30" s="4">
        <v>0</v>
      </c>
      <c r="S30" s="4">
        <v>0</v>
      </c>
    </row>
    <row r="31" spans="1:19" x14ac:dyDescent="0.3">
      <c r="A31" s="96" t="s">
        <v>27</v>
      </c>
      <c r="B31" s="97"/>
      <c r="C31" s="97"/>
      <c r="D31" s="97"/>
      <c r="E31" s="97"/>
      <c r="F31" s="97"/>
      <c r="G31" s="97"/>
      <c r="H31" s="36">
        <f>H27+H28+H29+H30</f>
        <v>23.865363636363636</v>
      </c>
      <c r="I31" s="74">
        <f>I27+I28+I29+I30</f>
        <v>2625.19</v>
      </c>
      <c r="J31">
        <v>5</v>
      </c>
    </row>
    <row r="32" spans="1:19" x14ac:dyDescent="0.3">
      <c r="B32" s="2">
        <v>5</v>
      </c>
      <c r="C32" s="3" t="s">
        <v>34</v>
      </c>
      <c r="D32" s="5" t="s">
        <v>35</v>
      </c>
      <c r="G32" s="30">
        <v>28</v>
      </c>
      <c r="H32" s="38">
        <f>1152.28/G32</f>
        <v>41.152857142857144</v>
      </c>
      <c r="I32" s="29">
        <f>G32*H32</f>
        <v>1152.28</v>
      </c>
      <c r="J32">
        <v>1</v>
      </c>
    </row>
    <row r="33" spans="1:19" x14ac:dyDescent="0.3">
      <c r="D33" s="15" t="str">
        <f>SUBSTITUTE("Sp.mat: 0.00%",".",IF(VALUE("1.2")=1.2,".",","),2)</f>
        <v>Sp.mat: 0.00%</v>
      </c>
      <c r="F33" s="15" t="str">
        <f>SUBSTITUTE("Sp.man: 0.00%",".",IF(VALUE("1.2")=1.2,".",","),2)</f>
        <v>Sp.man: 0.00%</v>
      </c>
      <c r="G33" s="35" t="str">
        <f>SUBSTITUTE("Sp.uti: 0.00%",".",IF(VALUE("1.2")=1.2,".",","),2)</f>
        <v>Sp.uti: 0.00%</v>
      </c>
      <c r="H33" s="38">
        <f>273.57/G32</f>
        <v>9.7703571428571419</v>
      </c>
      <c r="I33" s="29">
        <f>G32*H33</f>
        <v>273.57</v>
      </c>
      <c r="J33">
        <v>2</v>
      </c>
    </row>
    <row r="34" spans="1:19" x14ac:dyDescent="0.3">
      <c r="A34" s="88" t="s">
        <v>36</v>
      </c>
      <c r="B34" s="98"/>
      <c r="C34" s="98"/>
      <c r="D34" s="98"/>
      <c r="E34" s="98"/>
      <c r="F34" s="98"/>
      <c r="G34" s="98"/>
      <c r="H34" s="38">
        <f>(1+IF(OR(ISERR(FIND(":",G33)),ISERR(FIND("%",G33))),0,MID(G33,FIND(":",G33)+2,FIND("%",G33)-FIND(":",G33)-2)/100))*0</f>
        <v>0</v>
      </c>
      <c r="I34" s="29">
        <f>G32*H34</f>
        <v>0</v>
      </c>
      <c r="J34">
        <v>3</v>
      </c>
      <c r="K34" s="4">
        <v>0</v>
      </c>
      <c r="L34" s="4">
        <v>0</v>
      </c>
      <c r="M34" s="4">
        <f>I34-K34-L34</f>
        <v>0</v>
      </c>
    </row>
    <row r="35" spans="1:19" x14ac:dyDescent="0.3">
      <c r="A35" s="98"/>
      <c r="B35" s="98"/>
      <c r="C35" s="98"/>
      <c r="D35" s="98"/>
      <c r="E35" s="98"/>
      <c r="F35" s="98"/>
      <c r="G35" s="98"/>
      <c r="H35" s="38">
        <f>0</f>
        <v>0</v>
      </c>
      <c r="I35" s="29">
        <f>G32*H35</f>
        <v>0</v>
      </c>
      <c r="J35">
        <v>4</v>
      </c>
      <c r="N35" s="4">
        <f>IF(ISERR(SEARCH("TRA* 82",C32)),IF(Q35+R35+S35=0,0,I35*(Q35/(Q35+R35+S35))),I35)</f>
        <v>0</v>
      </c>
      <c r="O35" s="4">
        <f>IF(ISERR(SEARCH("TRA* 82",C32)),IF(Q35+R35+S35=0,0,I35*(R35/(Q35+R35+S35))),0)</f>
        <v>0</v>
      </c>
      <c r="P35" s="4">
        <f>IF(ISERR(SEARCH("TRA* 82",C32)),I35-N35-O35,0)</f>
        <v>0</v>
      </c>
      <c r="Q35" s="4">
        <v>0</v>
      </c>
      <c r="R35" s="4">
        <v>0</v>
      </c>
      <c r="S35" s="4">
        <v>0</v>
      </c>
    </row>
    <row r="36" spans="1:19" x14ac:dyDescent="0.3">
      <c r="A36" s="96" t="s">
        <v>27</v>
      </c>
      <c r="B36" s="97"/>
      <c r="C36" s="97"/>
      <c r="D36" s="97"/>
      <c r="E36" s="97"/>
      <c r="F36" s="97"/>
      <c r="G36" s="97"/>
      <c r="H36" s="36">
        <f>H32+H33+H34+H35</f>
        <v>50.923214285714288</v>
      </c>
      <c r="I36" s="74">
        <f>I32+I33+I34+I35</f>
        <v>1425.85</v>
      </c>
      <c r="J36">
        <v>5</v>
      </c>
    </row>
    <row r="37" spans="1:19" x14ac:dyDescent="0.3">
      <c r="B37" s="2">
        <v>6</v>
      </c>
      <c r="C37" s="3" t="s">
        <v>886</v>
      </c>
      <c r="D37" s="5" t="s">
        <v>35</v>
      </c>
      <c r="G37" s="30">
        <v>110</v>
      </c>
      <c r="H37" s="38">
        <f>(1+IF(OR(ISERR(FIND(":",D38)),ISERR(FIND("%",D38))),0,MID(D38,FIND(":",D38)+2,FIND("%",D38)-FIND(":",D38)-2)/100))*0</f>
        <v>0</v>
      </c>
      <c r="I37" s="29">
        <f>G37*H37</f>
        <v>0</v>
      </c>
      <c r="J37">
        <v>1</v>
      </c>
    </row>
    <row r="38" spans="1:19" x14ac:dyDescent="0.3">
      <c r="D38" s="15" t="str">
        <f>SUBSTITUTE("Sp.mat: 0.00%",".",IF(VALUE("1.2")=1.2,".",","),2)</f>
        <v>Sp.mat: 0.00%</v>
      </c>
      <c r="F38" s="15" t="str">
        <f>SUBSTITUTE("Sp.man: 0.00%",".",IF(VALUE("1.2")=1.2,".",","),2)</f>
        <v>Sp.man: 0.00%</v>
      </c>
      <c r="G38" s="35" t="str">
        <f>SUBSTITUTE("Sp.uti: 0.00%",".",IF(VALUE("1.2")=1.2,".",","),2)</f>
        <v>Sp.uti: 0.00%</v>
      </c>
      <c r="H38" s="38">
        <f>762.89/G37</f>
        <v>6.9353636363636362</v>
      </c>
      <c r="I38" s="29">
        <f>G37*H38</f>
        <v>762.89</v>
      </c>
      <c r="J38">
        <v>2</v>
      </c>
    </row>
    <row r="39" spans="1:19" x14ac:dyDescent="0.3">
      <c r="A39" s="88" t="s">
        <v>887</v>
      </c>
      <c r="B39" s="98"/>
      <c r="C39" s="98"/>
      <c r="D39" s="98"/>
      <c r="E39" s="98"/>
      <c r="F39" s="98"/>
      <c r="G39" s="98"/>
      <c r="H39" s="38">
        <f>(1+IF(OR(ISERR(FIND(":",G38)),ISERR(FIND("%",G38))),0,MID(G38,FIND(":",G38)+2,FIND("%",G38)-FIND(":",G38)-2)/100))*0</f>
        <v>0</v>
      </c>
      <c r="I39" s="29">
        <f>G37*H39</f>
        <v>0</v>
      </c>
      <c r="J39">
        <v>3</v>
      </c>
      <c r="K39" s="4">
        <v>0</v>
      </c>
      <c r="L39" s="4">
        <v>0</v>
      </c>
      <c r="M39" s="4">
        <f>I39-K39-L39</f>
        <v>0</v>
      </c>
    </row>
    <row r="40" spans="1:19" x14ac:dyDescent="0.3">
      <c r="A40" s="98"/>
      <c r="B40" s="98"/>
      <c r="C40" s="98"/>
      <c r="D40" s="98"/>
      <c r="E40" s="98"/>
      <c r="F40" s="98"/>
      <c r="G40" s="98"/>
      <c r="H40" s="38">
        <f>0</f>
        <v>0</v>
      </c>
      <c r="I40" s="29">
        <f>G37*H40</f>
        <v>0</v>
      </c>
      <c r="J40">
        <v>4</v>
      </c>
      <c r="N40" s="4">
        <f>IF(ISERR(SEARCH("TRA* 82",C37)),IF(Q40+R40+S40=0,0,I40*(Q40/(Q40+R40+S40))),I40)</f>
        <v>0</v>
      </c>
      <c r="O40" s="4">
        <f>IF(ISERR(SEARCH("TRA* 82",C37)),IF(Q40+R40+S40=0,0,I40*(R40/(Q40+R40+S40))),0)</f>
        <v>0</v>
      </c>
      <c r="P40" s="4">
        <f>IF(ISERR(SEARCH("TRA* 82",C37)),I40-N40-O40,0)</f>
        <v>0</v>
      </c>
      <c r="Q40" s="4">
        <v>0</v>
      </c>
      <c r="R40" s="4">
        <v>0</v>
      </c>
      <c r="S40" s="4">
        <v>0</v>
      </c>
    </row>
    <row r="41" spans="1:19" x14ac:dyDescent="0.3">
      <c r="A41" s="96" t="s">
        <v>27</v>
      </c>
      <c r="B41" s="97"/>
      <c r="C41" s="97"/>
      <c r="D41" s="97"/>
      <c r="E41" s="97"/>
      <c r="F41" s="97"/>
      <c r="G41" s="97"/>
      <c r="H41" s="36">
        <f>H37+H38+H39+H40</f>
        <v>6.9353636363636362</v>
      </c>
      <c r="I41" s="74">
        <f>I37+I38+I39+I40</f>
        <v>762.89</v>
      </c>
      <c r="J41">
        <v>5</v>
      </c>
    </row>
    <row r="42" spans="1:19" x14ac:dyDescent="0.3">
      <c r="B42" s="2">
        <v>7</v>
      </c>
      <c r="C42" s="3" t="s">
        <v>1178</v>
      </c>
      <c r="D42" s="5" t="s">
        <v>35</v>
      </c>
      <c r="G42" s="30">
        <v>82</v>
      </c>
      <c r="H42" s="38">
        <f>22.11/G42</f>
        <v>0.26963414634146343</v>
      </c>
      <c r="I42" s="29">
        <f>G42*H42</f>
        <v>22.110000000000003</v>
      </c>
      <c r="J42">
        <v>1</v>
      </c>
    </row>
    <row r="43" spans="1:19" x14ac:dyDescent="0.3">
      <c r="D43" s="15" t="str">
        <f>SUBSTITUTE("Sp.mat: 0.00%",".",IF(VALUE("1.2")=1.2,".",","),2)</f>
        <v>Sp.mat: 0.00%</v>
      </c>
      <c r="F43" s="15" t="str">
        <f>SUBSTITUTE("Sp.man: 0.00%",".",IF(VALUE("1.2")=1.2,".",","),2)</f>
        <v>Sp.man: 0.00%</v>
      </c>
      <c r="G43" s="35" t="str">
        <f>SUBSTITUTE("Sp.uti: 0.00%",".",IF(VALUE("1.2")=1.2,".",","),2)</f>
        <v>Sp.uti: 0.00%</v>
      </c>
      <c r="H43" s="38">
        <f>1142.65/G42</f>
        <v>13.934756097560976</v>
      </c>
      <c r="I43" s="29">
        <f>G42*H43</f>
        <v>1142.6500000000001</v>
      </c>
      <c r="J43">
        <v>2</v>
      </c>
    </row>
    <row r="44" spans="1:19" x14ac:dyDescent="0.3">
      <c r="A44" s="88" t="s">
        <v>1179</v>
      </c>
      <c r="B44" s="98"/>
      <c r="C44" s="98"/>
      <c r="D44" s="98"/>
      <c r="E44" s="98"/>
      <c r="F44" s="98"/>
      <c r="G44" s="98"/>
      <c r="H44" s="38">
        <f>(1+IF(OR(ISERR(FIND(":",G43)),ISERR(FIND("%",G43))),0,MID(G43,FIND(":",G43)+2,FIND("%",G43)-FIND(":",G43)-2)/100))*0</f>
        <v>0</v>
      </c>
      <c r="I44" s="29">
        <f>G42*H44</f>
        <v>0</v>
      </c>
      <c r="J44">
        <v>3</v>
      </c>
      <c r="K44" s="4">
        <v>0</v>
      </c>
      <c r="L44" s="4">
        <v>0</v>
      </c>
      <c r="M44" s="4">
        <f>I44-K44-L44</f>
        <v>0</v>
      </c>
    </row>
    <row r="45" spans="1:19" x14ac:dyDescent="0.3">
      <c r="A45" s="98"/>
      <c r="B45" s="98"/>
      <c r="C45" s="98"/>
      <c r="D45" s="98"/>
      <c r="E45" s="98"/>
      <c r="F45" s="98"/>
      <c r="G45" s="98"/>
      <c r="H45" s="38">
        <f>0</f>
        <v>0</v>
      </c>
      <c r="I45" s="29">
        <f>G42*H45</f>
        <v>0</v>
      </c>
      <c r="J45">
        <v>4</v>
      </c>
      <c r="N45" s="4">
        <f>IF(ISERR(SEARCH("TRA* 82",C42)),IF(Q45+R45+S45=0,0,I45*(Q45/(Q45+R45+S45))),I45)</f>
        <v>0</v>
      </c>
      <c r="O45" s="4">
        <f>IF(ISERR(SEARCH("TRA* 82",C42)),IF(Q45+R45+S45=0,0,I45*(R45/(Q45+R45+S45))),0)</f>
        <v>0</v>
      </c>
      <c r="P45" s="4">
        <f>IF(ISERR(SEARCH("TRA* 82",C42)),I45-N45-O45,0)</f>
        <v>0</v>
      </c>
      <c r="Q45" s="4">
        <v>0</v>
      </c>
      <c r="R45" s="4">
        <v>0</v>
      </c>
      <c r="S45" s="4">
        <v>0</v>
      </c>
    </row>
    <row r="46" spans="1:19" x14ac:dyDescent="0.3">
      <c r="A46" s="96" t="s">
        <v>27</v>
      </c>
      <c r="B46" s="97"/>
      <c r="C46" s="97"/>
      <c r="D46" s="97"/>
      <c r="E46" s="97"/>
      <c r="F46" s="97"/>
      <c r="G46" s="97"/>
      <c r="H46" s="36">
        <f>H42+H43+H44+H45</f>
        <v>14.20439024390244</v>
      </c>
      <c r="I46" s="74">
        <f>I42+I43+I44+I45</f>
        <v>1164.76</v>
      </c>
      <c r="J46">
        <v>5</v>
      </c>
    </row>
    <row r="47" spans="1:19" x14ac:dyDescent="0.3">
      <c r="B47" s="2">
        <v>8</v>
      </c>
      <c r="C47" s="3" t="s">
        <v>119</v>
      </c>
      <c r="D47" s="5" t="s">
        <v>25</v>
      </c>
      <c r="G47" s="30">
        <v>70</v>
      </c>
      <c r="H47" s="38">
        <f>794.19/G47</f>
        <v>11.345571428571429</v>
      </c>
      <c r="I47" s="29">
        <f>G47*H47</f>
        <v>794.19</v>
      </c>
      <c r="J47">
        <v>1</v>
      </c>
    </row>
    <row r="48" spans="1:19" x14ac:dyDescent="0.3">
      <c r="D48" s="15" t="str">
        <f>SUBSTITUTE("Sp.mat: 0.00%",".",IF(VALUE("1.2")=1.2,".",","),2)</f>
        <v>Sp.mat: 0.00%</v>
      </c>
      <c r="F48" s="15" t="str">
        <f>SUBSTITUTE("Sp.man: 0.00%",".",IF(VALUE("1.2")=1.2,".",","),2)</f>
        <v>Sp.man: 0.00%</v>
      </c>
      <c r="G48" s="35" t="str">
        <f>SUBSTITUTE("Sp.uti: 0.00%",".",IF(VALUE("1.2")=1.2,".",","),2)</f>
        <v>Sp.uti: 0.00%</v>
      </c>
      <c r="H48" s="38">
        <f>213.03/G47</f>
        <v>3.0432857142857141</v>
      </c>
      <c r="I48" s="29">
        <f>G47*H48</f>
        <v>213.03</v>
      </c>
      <c r="J48">
        <v>2</v>
      </c>
    </row>
    <row r="49" spans="1:19" x14ac:dyDescent="0.3">
      <c r="A49" s="88" t="s">
        <v>120</v>
      </c>
      <c r="B49" s="98"/>
      <c r="C49" s="98"/>
      <c r="D49" s="98"/>
      <c r="E49" s="98"/>
      <c r="F49" s="98"/>
      <c r="G49" s="98"/>
      <c r="H49" s="38">
        <f>0.1/G47</f>
        <v>1.4285714285714286E-3</v>
      </c>
      <c r="I49" s="29">
        <f>G47*H49</f>
        <v>0.1</v>
      </c>
      <c r="J49">
        <v>3</v>
      </c>
      <c r="K49" s="4">
        <v>0.17849999999999999</v>
      </c>
      <c r="L49" s="4">
        <v>0</v>
      </c>
      <c r="M49" s="4">
        <f>I49-K49-L49</f>
        <v>-7.8499999999999986E-2</v>
      </c>
    </row>
    <row r="50" spans="1:19" x14ac:dyDescent="0.3">
      <c r="A50" s="98"/>
      <c r="B50" s="98"/>
      <c r="C50" s="98"/>
      <c r="D50" s="98"/>
      <c r="E50" s="98"/>
      <c r="F50" s="98"/>
      <c r="G50" s="98"/>
      <c r="H50" s="38">
        <f>0</f>
        <v>0</v>
      </c>
      <c r="I50" s="29">
        <f>G47*H50</f>
        <v>0</v>
      </c>
      <c r="J50">
        <v>4</v>
      </c>
      <c r="N50" s="4">
        <f>IF(ISERR(SEARCH("TRA* 82",C47)),IF(Q50+R50+S50=0,0,I50*(Q50/(Q50+R50+S50))),I50)</f>
        <v>0</v>
      </c>
      <c r="O50" s="4">
        <f>IF(ISERR(SEARCH("TRA* 82",C47)),IF(Q50+R50+S50=0,0,I50*(R50/(Q50+R50+S50))),0)</f>
        <v>0</v>
      </c>
      <c r="P50" s="4">
        <f>IF(ISERR(SEARCH("TRA* 82",C47)),I50-N50-O50,0)</f>
        <v>0</v>
      </c>
      <c r="Q50" s="4">
        <v>0</v>
      </c>
      <c r="R50" s="4">
        <v>0</v>
      </c>
      <c r="S50" s="4">
        <v>0</v>
      </c>
    </row>
    <row r="51" spans="1:19" x14ac:dyDescent="0.3">
      <c r="A51" s="100" t="s">
        <v>27</v>
      </c>
      <c r="B51" s="101"/>
      <c r="C51" s="101"/>
      <c r="D51" s="101"/>
      <c r="E51" s="101"/>
      <c r="F51" s="101"/>
      <c r="G51" s="101"/>
      <c r="H51" s="33">
        <f>H47+H48+H49+H50</f>
        <v>14.390285714285714</v>
      </c>
      <c r="I51" s="37">
        <f>I47+I48+I49+I50</f>
        <v>1007.32</v>
      </c>
      <c r="J51">
        <v>5</v>
      </c>
    </row>
    <row r="52" spans="1:19" x14ac:dyDescent="0.3">
      <c r="A52" s="99" t="s">
        <v>1180</v>
      </c>
      <c r="B52" s="99"/>
      <c r="C52" s="99"/>
      <c r="D52" s="99"/>
      <c r="E52" s="99"/>
      <c r="F52" s="99"/>
      <c r="G52" s="99"/>
      <c r="H52" s="99"/>
      <c r="I52" s="99"/>
    </row>
    <row r="53" spans="1:19" x14ac:dyDescent="0.3">
      <c r="B53" s="2">
        <v>9</v>
      </c>
      <c r="C53" s="3" t="s">
        <v>1181</v>
      </c>
      <c r="D53" s="5" t="s">
        <v>29</v>
      </c>
      <c r="G53" s="30">
        <v>5</v>
      </c>
      <c r="H53" s="38">
        <v>707.08</v>
      </c>
      <c r="I53" s="29">
        <f>G53*H53</f>
        <v>3535.4</v>
      </c>
      <c r="J53">
        <v>1</v>
      </c>
    </row>
    <row r="54" spans="1:19" x14ac:dyDescent="0.3">
      <c r="D54" s="15" t="str">
        <f>SUBSTITUTE("Sp.mat: 0.00%",".",IF(VALUE("1.2")=1.2,".",","),2)</f>
        <v>Sp.mat: 0.00%</v>
      </c>
      <c r="F54" s="15" t="str">
        <f>SUBSTITUTE("Sp.man: 0.00%",".",IF(VALUE("1.2")=1.2,".",","),2)</f>
        <v>Sp.man: 0.00%</v>
      </c>
      <c r="G54" s="35" t="str">
        <f>SUBSTITUTE("Sp.uti: 0.00%",".",IF(VALUE("1.2")=1.2,".",","),2)</f>
        <v>Sp.uti: 0.00%</v>
      </c>
      <c r="H54" s="38">
        <v>16.5</v>
      </c>
      <c r="I54" s="29">
        <f>G53*H54</f>
        <v>82.5</v>
      </c>
      <c r="J54">
        <v>2</v>
      </c>
    </row>
    <row r="55" spans="1:19" x14ac:dyDescent="0.3">
      <c r="A55" s="88" t="s">
        <v>1182</v>
      </c>
      <c r="B55" s="98"/>
      <c r="C55" s="98"/>
      <c r="D55" s="98"/>
      <c r="E55" s="98"/>
      <c r="F55" s="98"/>
      <c r="G55" s="98"/>
      <c r="H55" s="38">
        <f>(1+IF(OR(ISERR(FIND(":",G54)),ISERR(FIND("%",G54))),0,MID(G54,FIND(":",G54)+2,FIND("%",G54)-FIND(":",G54)-2)/100))*0</f>
        <v>0</v>
      </c>
      <c r="I55" s="29">
        <f>G53*H55</f>
        <v>0</v>
      </c>
      <c r="J55">
        <v>3</v>
      </c>
      <c r="K55" s="4">
        <v>0</v>
      </c>
      <c r="L55" s="4">
        <v>0</v>
      </c>
      <c r="M55" s="4">
        <f>I55-K55-L55</f>
        <v>0</v>
      </c>
    </row>
    <row r="56" spans="1:19" x14ac:dyDescent="0.3">
      <c r="A56" s="98"/>
      <c r="B56" s="98"/>
      <c r="C56" s="98"/>
      <c r="D56" s="98"/>
      <c r="E56" s="98"/>
      <c r="F56" s="98"/>
      <c r="G56" s="98"/>
      <c r="H56" s="38">
        <f>0</f>
        <v>0</v>
      </c>
      <c r="I56" s="29">
        <f>G53*H56</f>
        <v>0</v>
      </c>
      <c r="J56">
        <v>4</v>
      </c>
      <c r="N56" s="4">
        <f>IF(ISERR(SEARCH("TRA* 82",C53)),IF(Q56+R56+S56=0,0,I56*(Q56/(Q56+R56+S56))),I56)</f>
        <v>0</v>
      </c>
      <c r="O56" s="4">
        <f>IF(ISERR(SEARCH("TRA* 82",C53)),IF(Q56+R56+S56=0,0,I56*(R56/(Q56+R56+S56))),0)</f>
        <v>0</v>
      </c>
      <c r="P56" s="4">
        <f>IF(ISERR(SEARCH("TRA* 82",C53)),I56-N56-O56,0)</f>
        <v>0</v>
      </c>
      <c r="Q56" s="4">
        <v>0</v>
      </c>
      <c r="R56" s="4">
        <v>0</v>
      </c>
      <c r="S56" s="4">
        <v>0</v>
      </c>
    </row>
    <row r="57" spans="1:19" x14ac:dyDescent="0.3">
      <c r="A57" s="96" t="s">
        <v>27</v>
      </c>
      <c r="B57" s="97"/>
      <c r="C57" s="97"/>
      <c r="D57" s="97"/>
      <c r="E57" s="97"/>
      <c r="F57" s="97"/>
      <c r="G57" s="97"/>
      <c r="H57" s="36">
        <f>H53+H54+H55+H56</f>
        <v>723.58</v>
      </c>
      <c r="I57" s="74">
        <f>I53+I54+I55+I56</f>
        <v>3617.9</v>
      </c>
      <c r="J57">
        <v>5</v>
      </c>
    </row>
    <row r="58" spans="1:19" x14ac:dyDescent="0.3">
      <c r="B58" s="16"/>
      <c r="E58" s="4">
        <f>SUMIF(J12:J57,"1",I12:I57)</f>
        <v>15649.520000000002</v>
      </c>
      <c r="F58" s="4">
        <f>SUMIF(J12:J57,"2",I12:I57)</f>
        <v>12733.05</v>
      </c>
      <c r="G58" s="29">
        <f>SUMIF(J12:J57,"3",I12:I57)</f>
        <v>0.1</v>
      </c>
      <c r="H58" s="29">
        <f>SUMIF(J12:J57,"4",I12:I57)</f>
        <v>0</v>
      </c>
      <c r="I58" s="29">
        <f>SUMIF(J12:J57,"5",I12:I57)</f>
        <v>28382.67</v>
      </c>
      <c r="K58" s="4">
        <f>SUMIF(J12:J57,"3",K12:K57)</f>
        <v>0.17849999999999999</v>
      </c>
      <c r="L58" s="4">
        <f>SUMIF(J12:J57,"3",L12:L57)</f>
        <v>0</v>
      </c>
      <c r="M58" s="4">
        <f>SUMIF(J12:J57,"3",M12:M57)</f>
        <v>-7.8499999999999986E-2</v>
      </c>
      <c r="N58" s="4">
        <f>SUMIF(J12:J57,"4",N12:N57)</f>
        <v>0</v>
      </c>
      <c r="O58" s="4">
        <f>SUMIF(J12:J57,"4",O12:O57)</f>
        <v>0</v>
      </c>
      <c r="P58" s="4">
        <f>SUMIF(J12:J57,"4",P12:P57)</f>
        <v>0</v>
      </c>
      <c r="Q58" s="4">
        <f>SUMIF(J12:J57,"4",Q12:Q57)</f>
        <v>0</v>
      </c>
      <c r="R58" s="4">
        <f>SUMIF(J12:J57,"4",R12:R57)</f>
        <v>0</v>
      </c>
      <c r="S58" s="4">
        <f>SUMIF(J12:J57,"4",S12:S57)</f>
        <v>0</v>
      </c>
    </row>
    <row r="59" spans="1:19" x14ac:dyDescent="0.3">
      <c r="B59" s="107" t="s">
        <v>1556</v>
      </c>
      <c r="C59" s="108"/>
      <c r="D59" s="26"/>
      <c r="E59" s="26"/>
      <c r="F59" s="26"/>
      <c r="G59" s="109"/>
      <c r="H59" s="36"/>
      <c r="I59" s="110">
        <f>I58</f>
        <v>28382.67</v>
      </c>
    </row>
  </sheetData>
  <mergeCells count="24">
    <mergeCell ref="A29:G30"/>
    <mergeCell ref="A1:D1"/>
    <mergeCell ref="A2:I2"/>
    <mergeCell ref="A3:I3"/>
    <mergeCell ref="A4:I4"/>
    <mergeCell ref="A5:H5"/>
    <mergeCell ref="A14:G15"/>
    <mergeCell ref="A16:G16"/>
    <mergeCell ref="A19:G20"/>
    <mergeCell ref="A21:G21"/>
    <mergeCell ref="A24:G25"/>
    <mergeCell ref="A26:G26"/>
    <mergeCell ref="A57:G57"/>
    <mergeCell ref="A31:G31"/>
    <mergeCell ref="A34:G35"/>
    <mergeCell ref="A36:G36"/>
    <mergeCell ref="A39:G40"/>
    <mergeCell ref="A41:G41"/>
    <mergeCell ref="A44:G45"/>
    <mergeCell ref="A46:G46"/>
    <mergeCell ref="A49:G50"/>
    <mergeCell ref="A51:G51"/>
    <mergeCell ref="A52:I52"/>
    <mergeCell ref="A55:G56"/>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1" manualBreakCount="1">
    <brk id="46"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8BB60-5DFE-4E80-9BF8-3DD7C79B476E}">
  <sheetPr>
    <tabColor rgb="FF92D050"/>
  </sheetPr>
  <dimension ref="A1:T19"/>
  <sheetViews>
    <sheetView topLeftCell="A6" workbookViewId="0">
      <selection activeCell="I20" sqref="I20"/>
    </sheetView>
  </sheetViews>
  <sheetFormatPr defaultRowHeight="14.4" outlineLevelCol="1" x14ac:dyDescent="0.3"/>
  <cols>
    <col min="1" max="1" width="0.33203125" style="1" customWidth="1"/>
    <col min="2" max="2" width="5.77734375" style="2" customWidth="1"/>
    <col min="3" max="3" width="25.33203125" style="3" customWidth="1"/>
    <col min="4" max="4" width="11.5546875" style="5" customWidth="1"/>
    <col min="5" max="6" width="11.5546875" customWidth="1"/>
    <col min="7" max="7" width="11.5546875" style="30" customWidth="1"/>
    <col min="8" max="8" width="11.5546875" style="38" customWidth="1"/>
    <col min="9" max="9" width="14.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1155</v>
      </c>
      <c r="B4" s="98"/>
      <c r="C4" s="98"/>
      <c r="D4" s="98"/>
      <c r="E4" s="98"/>
      <c r="F4" s="98"/>
      <c r="G4" s="98"/>
      <c r="H4" s="98"/>
      <c r="I4" s="98"/>
    </row>
    <row r="5" spans="1:19" ht="15" thickBot="1" x14ac:dyDescent="0.35">
      <c r="A5" s="82" t="s">
        <v>1183</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1184</v>
      </c>
      <c r="D12" s="13" t="s">
        <v>29</v>
      </c>
      <c r="E12" s="14"/>
      <c r="F12" s="14"/>
      <c r="G12" s="41">
        <v>1</v>
      </c>
      <c r="H12" s="71">
        <v>8.76</v>
      </c>
      <c r="I12" s="32">
        <f>G12*H12</f>
        <v>8.76</v>
      </c>
      <c r="J12">
        <v>1</v>
      </c>
    </row>
    <row r="13" spans="1:19" x14ac:dyDescent="0.3">
      <c r="D13" s="15" t="str">
        <f>SUBSTITUTE("Sp.mat: 0.00%",".",IF(VALUE("1.2")=1.2,".",","),2)</f>
        <v>Sp.mat: 0.00%</v>
      </c>
      <c r="F13" s="15" t="str">
        <f>SUBSTITUTE("Sp.man: 0.00%",".",IF(VALUE("1.2")=1.2,".",","),2)</f>
        <v>Sp.man: 0.00%</v>
      </c>
      <c r="G13" s="35" t="str">
        <f>SUBSTITUTE("Sp.uti: 0.00%",".",IF(VALUE("1.2")=1.2,".",","),2)</f>
        <v>Sp.uti: 0.00%</v>
      </c>
      <c r="H13" s="38">
        <v>195.41</v>
      </c>
      <c r="I13" s="29">
        <f>G12*H13</f>
        <v>195.41</v>
      </c>
      <c r="J13">
        <v>2</v>
      </c>
    </row>
    <row r="14" spans="1:19" x14ac:dyDescent="0.3">
      <c r="A14" s="88" t="s">
        <v>1185</v>
      </c>
      <c r="B14" s="98"/>
      <c r="C14" s="98"/>
      <c r="D14" s="98"/>
      <c r="E14" s="98"/>
      <c r="F14" s="98"/>
      <c r="G14" s="98"/>
      <c r="H14" s="38">
        <v>24.03</v>
      </c>
      <c r="I14" s="29">
        <f>G12*H14</f>
        <v>24.03</v>
      </c>
      <c r="J14">
        <v>3</v>
      </c>
      <c r="K14" s="4">
        <v>45</v>
      </c>
      <c r="L14" s="4">
        <v>0</v>
      </c>
      <c r="M14" s="4">
        <f>I14-K14-L14</f>
        <v>-20.97</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27</v>
      </c>
      <c r="B16" s="101"/>
      <c r="C16" s="101"/>
      <c r="D16" s="101"/>
      <c r="E16" s="101"/>
      <c r="F16" s="101"/>
      <c r="G16" s="101"/>
      <c r="H16" s="33">
        <f>H12+H13+H14+H15</f>
        <v>228.2</v>
      </c>
      <c r="I16" s="37">
        <f>I12+I13+I14+I15</f>
        <v>228.2</v>
      </c>
      <c r="J16">
        <v>5</v>
      </c>
    </row>
    <row r="17" spans="1:19" x14ac:dyDescent="0.3">
      <c r="A17" s="99" t="s">
        <v>1186</v>
      </c>
      <c r="B17" s="99"/>
      <c r="C17" s="99"/>
      <c r="D17" s="99"/>
      <c r="E17" s="99"/>
      <c r="F17" s="99"/>
      <c r="G17" s="99"/>
      <c r="H17" s="99"/>
      <c r="I17" s="99"/>
    </row>
    <row r="18" spans="1:19" x14ac:dyDescent="0.3">
      <c r="B18" s="16"/>
      <c r="E18" s="4">
        <f>SUMIF(J12:J16,"1",I12:I16)</f>
        <v>8.76</v>
      </c>
      <c r="F18" s="4">
        <f>SUMIF(J12:J16,"2",I12:I16)</f>
        <v>195.41</v>
      </c>
      <c r="G18" s="29">
        <f>SUMIF(J12:J16,"3",I12:I16)</f>
        <v>24.03</v>
      </c>
      <c r="H18" s="29">
        <f>SUMIF(J12:J16,"4",I12:I16)</f>
        <v>0</v>
      </c>
      <c r="I18" s="29">
        <f>SUMIF(J12:J16,"5",I12:I16)</f>
        <v>228.2</v>
      </c>
      <c r="K18" s="4">
        <f>SUMIF(J12:J16,"3",K12:K16)</f>
        <v>45</v>
      </c>
      <c r="L18" s="4">
        <f>SUMIF(J12:J16,"3",L12:L16)</f>
        <v>0</v>
      </c>
      <c r="M18" s="4">
        <f>SUMIF(J12:J16,"3",M12:M16)</f>
        <v>-20.97</v>
      </c>
      <c r="N18" s="4">
        <f>SUMIF(J12:J16,"4",N12:N16)</f>
        <v>0</v>
      </c>
      <c r="O18" s="4">
        <f>SUMIF(J12:J16,"4",O12:O16)</f>
        <v>0</v>
      </c>
      <c r="P18" s="4">
        <f>SUMIF(J12:J16,"4",P12:P16)</f>
        <v>0</v>
      </c>
      <c r="Q18" s="4">
        <f>SUMIF(J12:J16,"4",Q12:Q16)</f>
        <v>0</v>
      </c>
      <c r="R18" s="4">
        <f>SUMIF(J12:J16,"4",R12:R16)</f>
        <v>0</v>
      </c>
      <c r="S18" s="4">
        <f>SUMIF(J12:J16,"4",S12:S16)</f>
        <v>0</v>
      </c>
    </row>
    <row r="19" spans="1:19" x14ac:dyDescent="0.3">
      <c r="A19" s="79"/>
      <c r="B19" s="107" t="s">
        <v>1554</v>
      </c>
      <c r="C19" s="108"/>
      <c r="D19" s="26"/>
      <c r="E19" s="26"/>
      <c r="F19" s="26"/>
      <c r="G19" s="109"/>
      <c r="H19" s="36"/>
      <c r="I19" s="110">
        <f>I18</f>
        <v>228.2</v>
      </c>
    </row>
  </sheetData>
  <mergeCells count="8">
    <mergeCell ref="A16:G16"/>
    <mergeCell ref="A17:I17"/>
    <mergeCell ref="A1:D1"/>
    <mergeCell ref="A2:I2"/>
    <mergeCell ref="A3:I3"/>
    <mergeCell ref="A4:I4"/>
    <mergeCell ref="A5:H5"/>
    <mergeCell ref="A14:G15"/>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DBF3C-EC3E-48C9-BC3C-32D51360B2AC}">
  <sheetPr>
    <tabColor rgb="FF92D050"/>
  </sheetPr>
  <dimension ref="A1:T76"/>
  <sheetViews>
    <sheetView topLeftCell="A63" workbookViewId="0">
      <selection activeCell="E84" sqref="E84"/>
    </sheetView>
  </sheetViews>
  <sheetFormatPr defaultRowHeight="14.4" outlineLevelCol="1" x14ac:dyDescent="0.3"/>
  <cols>
    <col min="1" max="1" width="0.33203125" style="1" customWidth="1"/>
    <col min="2" max="2" width="5.77734375" style="2" customWidth="1"/>
    <col min="3" max="3" width="25.33203125" style="3" customWidth="1"/>
    <col min="4" max="4" width="10.109375" style="5" customWidth="1"/>
    <col min="5" max="6" width="10.109375" customWidth="1"/>
    <col min="7" max="7" width="10.109375" style="30" customWidth="1"/>
    <col min="8" max="8" width="10.109375" style="38" customWidth="1"/>
    <col min="9" max="9" width="10.1093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1187</v>
      </c>
      <c r="B4" s="98"/>
      <c r="C4" s="98"/>
      <c r="D4" s="98"/>
      <c r="E4" s="98"/>
      <c r="F4" s="98"/>
      <c r="G4" s="98"/>
      <c r="H4" s="98"/>
      <c r="I4" s="98"/>
    </row>
    <row r="5" spans="1:19" ht="15" thickBot="1" x14ac:dyDescent="0.35">
      <c r="A5" s="82" t="s">
        <v>1188</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1189</v>
      </c>
      <c r="D12" s="13" t="s">
        <v>29</v>
      </c>
      <c r="E12" s="14"/>
      <c r="F12" s="14"/>
      <c r="G12" s="41">
        <v>1</v>
      </c>
      <c r="H12" s="71">
        <v>258.69</v>
      </c>
      <c r="I12" s="32">
        <f>G12*H12</f>
        <v>258.69</v>
      </c>
      <c r="J12">
        <v>1</v>
      </c>
    </row>
    <row r="13" spans="1:19" x14ac:dyDescent="0.3">
      <c r="D13" s="15" t="str">
        <f>SUBSTITUTE("Sp.mat: 0.00%",".",IF(VALUE("1.2")=1.2,".",","),2)</f>
        <v>Sp.mat: 0.00%</v>
      </c>
      <c r="F13" s="15" t="str">
        <f>SUBSTITUTE("Sp.man: 0.00%",".",IF(VALUE("1.2")=1.2,".",","),2)</f>
        <v>Sp.man: 0.00%</v>
      </c>
      <c r="G13" s="35" t="str">
        <f>SUBSTITUTE("Sp.uti: 0.00%",".",IF(VALUE("1.2")=1.2,".",","),2)</f>
        <v>Sp.uti: 0.00%</v>
      </c>
      <c r="H13" s="38">
        <v>5.96</v>
      </c>
      <c r="I13" s="29">
        <f>G12*H13</f>
        <v>5.96</v>
      </c>
      <c r="J13">
        <v>2</v>
      </c>
    </row>
    <row r="14" spans="1:19" x14ac:dyDescent="0.3">
      <c r="A14" s="88" t="s">
        <v>1190</v>
      </c>
      <c r="B14" s="98"/>
      <c r="C14" s="98"/>
      <c r="D14" s="98"/>
      <c r="E14" s="98"/>
      <c r="F14" s="98"/>
      <c r="G14" s="98"/>
      <c r="H14" s="38">
        <f>(1+IF(OR(ISERR(FIND(":",G13)),ISERR(FIND("%",G13))),0,MID(G13,FIND(":",G13)+2,FIND("%",G13)-FIND(":",G13)-2)/100))*0</f>
        <v>0</v>
      </c>
      <c r="I14" s="29">
        <f>G12*H14</f>
        <v>0</v>
      </c>
      <c r="J14">
        <v>3</v>
      </c>
      <c r="K14" s="4">
        <v>0</v>
      </c>
      <c r="L14" s="4">
        <v>0</v>
      </c>
      <c r="M14" s="4">
        <f>I14-K14-L14</f>
        <v>0</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87</v>
      </c>
      <c r="B16" s="101"/>
      <c r="C16" s="101"/>
      <c r="D16" s="101"/>
      <c r="E16" s="101"/>
      <c r="F16" s="101"/>
      <c r="G16" s="101"/>
      <c r="H16" s="33">
        <f>H12+H13+H14+H15</f>
        <v>264.64999999999998</v>
      </c>
      <c r="I16" s="37">
        <f>I12+I13+I14+I15</f>
        <v>264.64999999999998</v>
      </c>
      <c r="J16">
        <v>5</v>
      </c>
    </row>
    <row r="17" spans="1:19" x14ac:dyDescent="0.3">
      <c r="A17" s="99" t="s">
        <v>1191</v>
      </c>
      <c r="B17" s="99"/>
      <c r="C17" s="99"/>
      <c r="D17" s="99"/>
      <c r="E17" s="99"/>
      <c r="F17" s="99"/>
      <c r="G17" s="99"/>
      <c r="H17" s="99"/>
      <c r="I17" s="99"/>
    </row>
    <row r="18" spans="1:19" x14ac:dyDescent="0.3">
      <c r="B18" s="2">
        <v>2</v>
      </c>
      <c r="C18" s="3" t="s">
        <v>1192</v>
      </c>
      <c r="D18" s="5" t="s">
        <v>29</v>
      </c>
      <c r="G18" s="30">
        <v>1</v>
      </c>
      <c r="H18" s="38">
        <v>241.06</v>
      </c>
      <c r="I18" s="29">
        <f>G18*H18</f>
        <v>241.06</v>
      </c>
      <c r="J18">
        <v>1</v>
      </c>
    </row>
    <row r="19" spans="1:19" x14ac:dyDescent="0.3">
      <c r="D19" s="15" t="str">
        <f>SUBSTITUTE("Sp.mat: 0.00%",".",IF(VALUE("1.2")=1.2,".",","),2)</f>
        <v>Sp.mat: 0.00%</v>
      </c>
      <c r="F19" s="15" t="str">
        <f>SUBSTITUTE("Sp.man: 0.00%",".",IF(VALUE("1.2")=1.2,".",","),2)</f>
        <v>Sp.man: 0.00%</v>
      </c>
      <c r="G19" s="35" t="str">
        <f>SUBSTITUTE("Sp.uti: 0.00%",".",IF(VALUE("1.2")=1.2,".",","),2)</f>
        <v>Sp.uti: 0.00%</v>
      </c>
      <c r="H19" s="38">
        <v>16.02</v>
      </c>
      <c r="I19" s="29">
        <f>G18*H19</f>
        <v>16.02</v>
      </c>
      <c r="J19">
        <v>2</v>
      </c>
    </row>
    <row r="20" spans="1:19" x14ac:dyDescent="0.3">
      <c r="A20" s="88" t="s">
        <v>1193</v>
      </c>
      <c r="B20" s="98"/>
      <c r="C20" s="98"/>
      <c r="D20" s="98"/>
      <c r="E20" s="98"/>
      <c r="F20" s="98"/>
      <c r="G20" s="98"/>
      <c r="H20" s="38">
        <f>(1+IF(OR(ISERR(FIND(":",G19)),ISERR(FIND("%",G19))),0,MID(G19,FIND(":",G19)+2,FIND("%",G19)-FIND(":",G19)-2)/100))*0</f>
        <v>0</v>
      </c>
      <c r="I20" s="29">
        <f>G18*H20</f>
        <v>0</v>
      </c>
      <c r="J20">
        <v>3</v>
      </c>
      <c r="K20" s="4">
        <v>0</v>
      </c>
      <c r="L20" s="4">
        <v>0</v>
      </c>
      <c r="M20" s="4">
        <f>I20-K20-L20</f>
        <v>0</v>
      </c>
    </row>
    <row r="21" spans="1:19" x14ac:dyDescent="0.3">
      <c r="A21" s="98"/>
      <c r="B21" s="98"/>
      <c r="C21" s="98"/>
      <c r="D21" s="98"/>
      <c r="E21" s="98"/>
      <c r="F21" s="98"/>
      <c r="G21" s="98"/>
      <c r="H21" s="38">
        <f>0</f>
        <v>0</v>
      </c>
      <c r="I21" s="29">
        <f>G18*H21</f>
        <v>0</v>
      </c>
      <c r="J21">
        <v>4</v>
      </c>
      <c r="N21" s="4">
        <f>IF(ISERR(SEARCH("TRA* 82",C18)),IF(Q21+R21+S21=0,0,I21*(Q21/(Q21+R21+S21))),I21)</f>
        <v>0</v>
      </c>
      <c r="O21" s="4">
        <f>IF(ISERR(SEARCH("TRA* 82",C18)),IF(Q21+R21+S21=0,0,I21*(R21/(Q21+R21+S21))),0)</f>
        <v>0</v>
      </c>
      <c r="P21" s="4">
        <f>IF(ISERR(SEARCH("TRA* 82",C18)),I21-N21-O21,0)</f>
        <v>0</v>
      </c>
      <c r="Q21" s="4">
        <v>0</v>
      </c>
      <c r="R21" s="4">
        <v>0</v>
      </c>
      <c r="S21" s="4">
        <v>0</v>
      </c>
    </row>
    <row r="22" spans="1:19" x14ac:dyDescent="0.3">
      <c r="A22" s="96" t="s">
        <v>27</v>
      </c>
      <c r="B22" s="97"/>
      <c r="C22" s="97"/>
      <c r="D22" s="97"/>
      <c r="E22" s="97"/>
      <c r="F22" s="97"/>
      <c r="G22" s="97"/>
      <c r="H22" s="36">
        <f>H18+H19+H20+H21</f>
        <v>257.08</v>
      </c>
      <c r="I22" s="74">
        <f>I18+I19+I20+I21</f>
        <v>257.08</v>
      </c>
      <c r="J22">
        <v>5</v>
      </c>
    </row>
    <row r="23" spans="1:19" x14ac:dyDescent="0.3">
      <c r="B23" s="2">
        <v>3</v>
      </c>
      <c r="C23" s="3" t="s">
        <v>1194</v>
      </c>
      <c r="D23" s="5" t="s">
        <v>29</v>
      </c>
      <c r="G23" s="30">
        <v>3</v>
      </c>
      <c r="H23" s="38">
        <v>20.350000000000001</v>
      </c>
      <c r="I23" s="29">
        <f>G23*H23</f>
        <v>61.050000000000004</v>
      </c>
      <c r="J23">
        <v>1</v>
      </c>
    </row>
    <row r="24" spans="1:19" x14ac:dyDescent="0.3">
      <c r="D24" s="15" t="str">
        <f>SUBSTITUTE("Sp.mat: 0.00%",".",IF(VALUE("1.2")=1.2,".",","),2)</f>
        <v>Sp.mat: 0.00%</v>
      </c>
      <c r="F24" s="15" t="str">
        <f>SUBSTITUTE("Sp.man: 0.00%",".",IF(VALUE("1.2")=1.2,".",","),2)</f>
        <v>Sp.man: 0.00%</v>
      </c>
      <c r="G24" s="35" t="str">
        <f>SUBSTITUTE("Sp.uti: 0.00%",".",IF(VALUE("1.2")=1.2,".",","),2)</f>
        <v>Sp.uti: 0.00%</v>
      </c>
      <c r="H24" s="38">
        <v>10.09</v>
      </c>
      <c r="I24" s="29">
        <f>G23*H24</f>
        <v>30.27</v>
      </c>
      <c r="J24">
        <v>2</v>
      </c>
    </row>
    <row r="25" spans="1:19" x14ac:dyDescent="0.3">
      <c r="A25" s="88" t="s">
        <v>1195</v>
      </c>
      <c r="B25" s="98"/>
      <c r="C25" s="98"/>
      <c r="D25" s="98"/>
      <c r="E25" s="98"/>
      <c r="F25" s="98"/>
      <c r="G25" s="98"/>
      <c r="H25" s="38">
        <f>(1+IF(OR(ISERR(FIND(":",G24)),ISERR(FIND("%",G24))),0,MID(G24,FIND(":",G24)+2,FIND("%",G24)-FIND(":",G24)-2)/100))*0</f>
        <v>0</v>
      </c>
      <c r="I25" s="29">
        <f>G23*H25</f>
        <v>0</v>
      </c>
      <c r="J25">
        <v>3</v>
      </c>
      <c r="K25" s="4">
        <v>0</v>
      </c>
      <c r="L25" s="4">
        <v>0</v>
      </c>
      <c r="M25" s="4">
        <f>I25-K25-L25</f>
        <v>0</v>
      </c>
    </row>
    <row r="26" spans="1:19" x14ac:dyDescent="0.3">
      <c r="A26" s="98"/>
      <c r="B26" s="98"/>
      <c r="C26" s="98"/>
      <c r="D26" s="98"/>
      <c r="E26" s="98"/>
      <c r="F26" s="98"/>
      <c r="G26" s="98"/>
      <c r="H26" s="38">
        <f>0</f>
        <v>0</v>
      </c>
      <c r="I26" s="29">
        <f>G23*H26</f>
        <v>0</v>
      </c>
      <c r="J26">
        <v>4</v>
      </c>
      <c r="N26" s="4">
        <f>IF(ISERR(SEARCH("TRA* 82",C23)),IF(Q26+R26+S26=0,0,I26*(Q26/(Q26+R26+S26))),I26)</f>
        <v>0</v>
      </c>
      <c r="O26" s="4">
        <f>IF(ISERR(SEARCH("TRA* 82",C23)),IF(Q26+R26+S26=0,0,I26*(R26/(Q26+R26+S26))),0)</f>
        <v>0</v>
      </c>
      <c r="P26" s="4">
        <f>IF(ISERR(SEARCH("TRA* 82",C23)),I26-N26-O26,0)</f>
        <v>0</v>
      </c>
      <c r="Q26" s="4">
        <v>0</v>
      </c>
      <c r="R26" s="4">
        <v>0</v>
      </c>
      <c r="S26" s="4">
        <v>0</v>
      </c>
    </row>
    <row r="27" spans="1:19" x14ac:dyDescent="0.3">
      <c r="A27" s="96" t="s">
        <v>27</v>
      </c>
      <c r="B27" s="97"/>
      <c r="C27" s="97"/>
      <c r="D27" s="97"/>
      <c r="E27" s="97"/>
      <c r="F27" s="97"/>
      <c r="G27" s="97"/>
      <c r="H27" s="36">
        <f>H23+H24+H25+H26</f>
        <v>30.44</v>
      </c>
      <c r="I27" s="74">
        <f>I23+I24+I25+I26</f>
        <v>91.320000000000007</v>
      </c>
      <c r="J27">
        <v>5</v>
      </c>
    </row>
    <row r="28" spans="1:19" x14ac:dyDescent="0.3">
      <c r="B28" s="2">
        <v>4</v>
      </c>
      <c r="C28" s="3" t="s">
        <v>1174</v>
      </c>
      <c r="D28" s="5" t="s">
        <v>29</v>
      </c>
      <c r="G28" s="30">
        <v>2</v>
      </c>
      <c r="H28" s="38">
        <v>26.29</v>
      </c>
      <c r="I28" s="29">
        <f>G28*H28</f>
        <v>52.58</v>
      </c>
      <c r="J28">
        <v>1</v>
      </c>
    </row>
    <row r="29" spans="1:19" x14ac:dyDescent="0.3">
      <c r="D29" s="15" t="str">
        <f>SUBSTITUTE("Sp.mat: 0.00%",".",IF(VALUE("1.2")=1.2,".",","),2)</f>
        <v>Sp.mat: 0.00%</v>
      </c>
      <c r="F29" s="15" t="str">
        <f>SUBSTITUTE("Sp.man: 0.00%",".",IF(VALUE("1.2")=1.2,".",","),2)</f>
        <v>Sp.man: 0.00%</v>
      </c>
      <c r="G29" s="35" t="str">
        <f>SUBSTITUTE("Sp.uti: 0.00%",".",IF(VALUE("1.2")=1.2,".",","),2)</f>
        <v>Sp.uti: 0.00%</v>
      </c>
      <c r="H29" s="38">
        <v>2.72</v>
      </c>
      <c r="I29" s="29">
        <f>G28*H29</f>
        <v>5.44</v>
      </c>
      <c r="J29">
        <v>2</v>
      </c>
    </row>
    <row r="30" spans="1:19" x14ac:dyDescent="0.3">
      <c r="A30" s="88" t="s">
        <v>1175</v>
      </c>
      <c r="B30" s="98"/>
      <c r="C30" s="98"/>
      <c r="D30" s="98"/>
      <c r="E30" s="98"/>
      <c r="F30" s="98"/>
      <c r="G30" s="98"/>
      <c r="H30" s="38">
        <f>(1+IF(OR(ISERR(FIND(":",G29)),ISERR(FIND("%",G29))),0,MID(G29,FIND(":",G29)+2,FIND("%",G29)-FIND(":",G29)-2)/100))*0</f>
        <v>0</v>
      </c>
      <c r="I30" s="29">
        <f>G28*H30</f>
        <v>0</v>
      </c>
      <c r="J30">
        <v>3</v>
      </c>
      <c r="K30" s="4">
        <v>0</v>
      </c>
      <c r="L30" s="4">
        <v>0</v>
      </c>
      <c r="M30" s="4">
        <f>I30-K30-L30</f>
        <v>0</v>
      </c>
    </row>
    <row r="31" spans="1:19" x14ac:dyDescent="0.3">
      <c r="A31" s="98"/>
      <c r="B31" s="98"/>
      <c r="C31" s="98"/>
      <c r="D31" s="98"/>
      <c r="E31" s="98"/>
      <c r="F31" s="98"/>
      <c r="G31" s="98"/>
      <c r="H31" s="38">
        <f>0</f>
        <v>0</v>
      </c>
      <c r="I31" s="29">
        <f>G28*H31</f>
        <v>0</v>
      </c>
      <c r="J31">
        <v>4</v>
      </c>
      <c r="N31" s="4">
        <f>IF(ISERR(SEARCH("TRA* 82",C28)),IF(Q31+R31+S31=0,0,I31*(Q31/(Q31+R31+S31))),I31)</f>
        <v>0</v>
      </c>
      <c r="O31" s="4">
        <f>IF(ISERR(SEARCH("TRA* 82",C28)),IF(Q31+R31+S31=0,0,I31*(R31/(Q31+R31+S31))),0)</f>
        <v>0</v>
      </c>
      <c r="P31" s="4">
        <f>IF(ISERR(SEARCH("TRA* 82",C28)),I31-N31-O31,0)</f>
        <v>0</v>
      </c>
      <c r="Q31" s="4">
        <v>0</v>
      </c>
      <c r="R31" s="4">
        <v>0</v>
      </c>
      <c r="S31" s="4">
        <v>0</v>
      </c>
    </row>
    <row r="32" spans="1:19" x14ac:dyDescent="0.3">
      <c r="A32" s="96" t="s">
        <v>27</v>
      </c>
      <c r="B32" s="97"/>
      <c r="C32" s="97"/>
      <c r="D32" s="97"/>
      <c r="E32" s="97"/>
      <c r="F32" s="97"/>
      <c r="G32" s="97"/>
      <c r="H32" s="36">
        <f>H28+H29+H30+H31</f>
        <v>29.009999999999998</v>
      </c>
      <c r="I32" s="74">
        <f>I28+I29+I30+I31</f>
        <v>58.019999999999996</v>
      </c>
      <c r="J32">
        <v>5</v>
      </c>
    </row>
    <row r="33" spans="1:19" x14ac:dyDescent="0.3">
      <c r="B33" s="2">
        <v>5</v>
      </c>
      <c r="C33" s="3" t="s">
        <v>1172</v>
      </c>
      <c r="D33" s="5" t="s">
        <v>25</v>
      </c>
      <c r="G33" s="30">
        <v>72</v>
      </c>
      <c r="H33" s="38">
        <f>304.11/G33</f>
        <v>4.2237499999999999</v>
      </c>
      <c r="I33" s="29">
        <f>G33*H33</f>
        <v>304.11</v>
      </c>
      <c r="J33">
        <v>1</v>
      </c>
    </row>
    <row r="34" spans="1:19" x14ac:dyDescent="0.3">
      <c r="D34" s="15" t="str">
        <f>SUBSTITUTE("Sp.mat: 0.00%",".",IF(VALUE("1.2")=1.2,".",","),2)</f>
        <v>Sp.mat: 0.00%</v>
      </c>
      <c r="F34" s="15" t="str">
        <f>SUBSTITUTE("Sp.man: 0.00%",".",IF(VALUE("1.2")=1.2,".",","),2)</f>
        <v>Sp.man: 0.00%</v>
      </c>
      <c r="G34" s="35" t="str">
        <f>SUBSTITUTE("Sp.uti: 0.00%",".",IF(VALUE("1.2")=1.2,".",","),2)</f>
        <v>Sp.uti: 0.00%</v>
      </c>
      <c r="H34" s="38">
        <f>1695.24/G33</f>
        <v>23.545000000000002</v>
      </c>
      <c r="I34" s="29">
        <f>G33*H34</f>
        <v>1695.2400000000002</v>
      </c>
      <c r="J34">
        <v>2</v>
      </c>
    </row>
    <row r="35" spans="1:19" x14ac:dyDescent="0.3">
      <c r="A35" s="88" t="s">
        <v>1173</v>
      </c>
      <c r="B35" s="98"/>
      <c r="C35" s="98"/>
      <c r="D35" s="98"/>
      <c r="E35" s="98"/>
      <c r="F35" s="98"/>
      <c r="G35" s="98"/>
      <c r="H35" s="38">
        <f>(1+IF(OR(ISERR(FIND(":",G34)),ISERR(FIND("%",G34))),0,MID(G34,FIND(":",G34)+2,FIND("%",G34)-FIND(":",G34)-2)/100))*0</f>
        <v>0</v>
      </c>
      <c r="I35" s="29">
        <f>G33*H35</f>
        <v>0</v>
      </c>
      <c r="J35">
        <v>3</v>
      </c>
      <c r="K35" s="4">
        <v>0</v>
      </c>
      <c r="L35" s="4">
        <v>0</v>
      </c>
      <c r="M35" s="4">
        <f>I35-K35-L35</f>
        <v>0</v>
      </c>
    </row>
    <row r="36" spans="1:19" x14ac:dyDescent="0.3">
      <c r="A36" s="98"/>
      <c r="B36" s="98"/>
      <c r="C36" s="98"/>
      <c r="D36" s="98"/>
      <c r="E36" s="98"/>
      <c r="F36" s="98"/>
      <c r="G36" s="98"/>
      <c r="H36" s="38">
        <f>0</f>
        <v>0</v>
      </c>
      <c r="I36" s="29">
        <f>G33*H36</f>
        <v>0</v>
      </c>
      <c r="J36">
        <v>4</v>
      </c>
      <c r="N36" s="4">
        <f>IF(ISERR(SEARCH("TRA* 82",C33)),IF(Q36+R36+S36=0,0,I36*(Q36/(Q36+R36+S36))),I36)</f>
        <v>0</v>
      </c>
      <c r="O36" s="4">
        <f>IF(ISERR(SEARCH("TRA* 82",C33)),IF(Q36+R36+S36=0,0,I36*(R36/(Q36+R36+S36))),0)</f>
        <v>0</v>
      </c>
      <c r="P36" s="4">
        <f>IF(ISERR(SEARCH("TRA* 82",C33)),I36-N36-O36,0)</f>
        <v>0</v>
      </c>
      <c r="Q36" s="4">
        <v>0</v>
      </c>
      <c r="R36" s="4">
        <v>0</v>
      </c>
      <c r="S36" s="4">
        <v>0</v>
      </c>
    </row>
    <row r="37" spans="1:19" x14ac:dyDescent="0.3">
      <c r="A37" s="96" t="s">
        <v>27</v>
      </c>
      <c r="B37" s="97"/>
      <c r="C37" s="97"/>
      <c r="D37" s="97"/>
      <c r="E37" s="97"/>
      <c r="F37" s="97"/>
      <c r="G37" s="97"/>
      <c r="H37" s="36">
        <f>H33+H34+H35+H36</f>
        <v>27.768750000000001</v>
      </c>
      <c r="I37" s="74">
        <f>I33+I34+I35+I36</f>
        <v>1999.3500000000004</v>
      </c>
      <c r="J37">
        <v>5</v>
      </c>
    </row>
    <row r="38" spans="1:19" x14ac:dyDescent="0.3">
      <c r="B38" s="2">
        <v>6</v>
      </c>
      <c r="C38" s="3" t="s">
        <v>1196</v>
      </c>
      <c r="D38" s="5" t="s">
        <v>29</v>
      </c>
      <c r="G38" s="30">
        <v>16</v>
      </c>
      <c r="H38" s="38">
        <v>328.35</v>
      </c>
      <c r="I38" s="29">
        <f>G38*H38</f>
        <v>5253.6</v>
      </c>
      <c r="J38">
        <v>1</v>
      </c>
    </row>
    <row r="39" spans="1:19" x14ac:dyDescent="0.3">
      <c r="D39" s="15" t="str">
        <f>SUBSTITUTE("Sp.mat: 0.00%",".",IF(VALUE("1.2")=1.2,".",","),2)</f>
        <v>Sp.mat: 0.00%</v>
      </c>
      <c r="F39" s="15" t="str">
        <f>SUBSTITUTE("Sp.man: 0.00%",".",IF(VALUE("1.2")=1.2,".",","),2)</f>
        <v>Sp.man: 0.00%</v>
      </c>
      <c r="G39" s="35" t="str">
        <f>SUBSTITUTE("Sp.uti: 0.00%",".",IF(VALUE("1.2")=1.2,".",","),2)</f>
        <v>Sp.uti: 0.00%</v>
      </c>
      <c r="H39" s="38">
        <f>76.88/G38</f>
        <v>4.8049999999999997</v>
      </c>
      <c r="I39" s="29">
        <f>G38*H39</f>
        <v>76.88</v>
      </c>
      <c r="J39">
        <v>2</v>
      </c>
    </row>
    <row r="40" spans="1:19" x14ac:dyDescent="0.3">
      <c r="A40" s="88" t="s">
        <v>1197</v>
      </c>
      <c r="B40" s="98"/>
      <c r="C40" s="98"/>
      <c r="D40" s="98"/>
      <c r="E40" s="98"/>
      <c r="F40" s="98"/>
      <c r="G40" s="98"/>
      <c r="H40" s="38">
        <f>(1+IF(OR(ISERR(FIND(":",G39)),ISERR(FIND("%",G39))),0,MID(G39,FIND(":",G39)+2,FIND("%",G39)-FIND(":",G39)-2)/100))*0</f>
        <v>0</v>
      </c>
      <c r="I40" s="29">
        <f>G38*H40</f>
        <v>0</v>
      </c>
      <c r="J40">
        <v>3</v>
      </c>
      <c r="K40" s="4">
        <v>0</v>
      </c>
      <c r="L40" s="4">
        <v>0</v>
      </c>
      <c r="M40" s="4">
        <f>I40-K40-L40</f>
        <v>0</v>
      </c>
    </row>
    <row r="41" spans="1:19" x14ac:dyDescent="0.3">
      <c r="A41" s="98"/>
      <c r="B41" s="98"/>
      <c r="C41" s="98"/>
      <c r="D41" s="98"/>
      <c r="E41" s="98"/>
      <c r="F41" s="98"/>
      <c r="G41" s="98"/>
      <c r="H41" s="38">
        <f>0</f>
        <v>0</v>
      </c>
      <c r="I41" s="29">
        <f>G38*H41</f>
        <v>0</v>
      </c>
      <c r="J41">
        <v>4</v>
      </c>
      <c r="N41" s="4">
        <f>IF(ISERR(SEARCH("TRA* 82",C38)),IF(Q41+R41+S41=0,0,I41*(Q41/(Q41+R41+S41))),I41)</f>
        <v>0</v>
      </c>
      <c r="O41" s="4">
        <f>IF(ISERR(SEARCH("TRA* 82",C38)),IF(Q41+R41+S41=0,0,I41*(R41/(Q41+R41+S41))),0)</f>
        <v>0</v>
      </c>
      <c r="P41" s="4">
        <f>IF(ISERR(SEARCH("TRA* 82",C38)),I41-N41-O41,0)</f>
        <v>0</v>
      </c>
      <c r="Q41" s="4">
        <v>0</v>
      </c>
      <c r="R41" s="4">
        <v>0</v>
      </c>
      <c r="S41" s="4">
        <v>0</v>
      </c>
    </row>
    <row r="42" spans="1:19" x14ac:dyDescent="0.3">
      <c r="A42" s="96" t="s">
        <v>27</v>
      </c>
      <c r="B42" s="97"/>
      <c r="C42" s="97"/>
      <c r="D42" s="97"/>
      <c r="E42" s="97"/>
      <c r="F42" s="97"/>
      <c r="G42" s="97"/>
      <c r="H42" s="36">
        <f>H38+H39+H40+H41</f>
        <v>333.15500000000003</v>
      </c>
      <c r="I42" s="74">
        <f>I38+I39+I40+I41</f>
        <v>5330.4800000000005</v>
      </c>
      <c r="J42">
        <v>5</v>
      </c>
    </row>
    <row r="43" spans="1:19" x14ac:dyDescent="0.3">
      <c r="B43" s="2">
        <v>7</v>
      </c>
      <c r="C43" s="3" t="s">
        <v>119</v>
      </c>
      <c r="D43" s="5" t="s">
        <v>25</v>
      </c>
      <c r="G43" s="30">
        <v>60</v>
      </c>
      <c r="H43" s="38">
        <f>680.73/G43</f>
        <v>11.345499999999999</v>
      </c>
      <c r="I43" s="29">
        <f>G43*H43</f>
        <v>680.73</v>
      </c>
      <c r="J43">
        <v>1</v>
      </c>
    </row>
    <row r="44" spans="1:19" x14ac:dyDescent="0.3">
      <c r="D44" s="15" t="str">
        <f>SUBSTITUTE("Sp.mat: 0.00%",".",IF(VALUE("1.2")=1.2,".",","),2)</f>
        <v>Sp.mat: 0.00%</v>
      </c>
      <c r="F44" s="15" t="str">
        <f>SUBSTITUTE("Sp.man: 0.00%",".",IF(VALUE("1.2")=1.2,".",","),2)</f>
        <v>Sp.man: 0.00%</v>
      </c>
      <c r="G44" s="35" t="str">
        <f>SUBSTITUTE("Sp.uti: 0.00%",".",IF(VALUE("1.2")=1.2,".",","),2)</f>
        <v>Sp.uti: 0.00%</v>
      </c>
      <c r="H44" s="38">
        <f>182.59/G43</f>
        <v>3.0431666666666666</v>
      </c>
      <c r="I44" s="29">
        <f>G43*H44</f>
        <v>182.59</v>
      </c>
      <c r="J44">
        <v>2</v>
      </c>
    </row>
    <row r="45" spans="1:19" x14ac:dyDescent="0.3">
      <c r="A45" s="88" t="s">
        <v>120</v>
      </c>
      <c r="B45" s="98"/>
      <c r="C45" s="98"/>
      <c r="D45" s="98"/>
      <c r="E45" s="98"/>
      <c r="F45" s="98"/>
      <c r="G45" s="98"/>
      <c r="H45" s="38">
        <v>0</v>
      </c>
      <c r="I45" s="29">
        <f>G43*H45</f>
        <v>0</v>
      </c>
      <c r="J45">
        <v>3</v>
      </c>
      <c r="K45" s="4">
        <v>0.153</v>
      </c>
      <c r="L45" s="4">
        <v>0</v>
      </c>
      <c r="M45" s="4">
        <f>I45-K45-L45</f>
        <v>-0.153</v>
      </c>
    </row>
    <row r="46" spans="1:19" x14ac:dyDescent="0.3">
      <c r="A46" s="98"/>
      <c r="B46" s="98"/>
      <c r="C46" s="98"/>
      <c r="D46" s="98"/>
      <c r="E46" s="98"/>
      <c r="F46" s="98"/>
      <c r="G46" s="98"/>
      <c r="H46" s="38">
        <f>0</f>
        <v>0</v>
      </c>
      <c r="I46" s="29">
        <f>G43*H46</f>
        <v>0</v>
      </c>
      <c r="J46">
        <v>4</v>
      </c>
      <c r="N46" s="4">
        <f>IF(ISERR(SEARCH("TRA* 82",C43)),IF(Q46+R46+S46=0,0,I46*(Q46/(Q46+R46+S46))),I46)</f>
        <v>0</v>
      </c>
      <c r="O46" s="4">
        <f>IF(ISERR(SEARCH("TRA* 82",C43)),IF(Q46+R46+S46=0,0,I46*(R46/(Q46+R46+S46))),0)</f>
        <v>0</v>
      </c>
      <c r="P46" s="4">
        <f>IF(ISERR(SEARCH("TRA* 82",C43)),I46-N46-O46,0)</f>
        <v>0</v>
      </c>
      <c r="Q46" s="4">
        <v>0</v>
      </c>
      <c r="R46" s="4">
        <v>0</v>
      </c>
      <c r="S46" s="4">
        <v>0</v>
      </c>
    </row>
    <row r="47" spans="1:19" x14ac:dyDescent="0.3">
      <c r="A47" s="100" t="s">
        <v>27</v>
      </c>
      <c r="B47" s="101"/>
      <c r="C47" s="101"/>
      <c r="D47" s="101"/>
      <c r="E47" s="101"/>
      <c r="F47" s="101"/>
      <c r="G47" s="101"/>
      <c r="H47" s="33">
        <f>H43+H44+H45+H46</f>
        <v>14.388666666666666</v>
      </c>
      <c r="I47" s="37">
        <f>I43+I44+I45+I46</f>
        <v>863.32</v>
      </c>
      <c r="J47">
        <v>5</v>
      </c>
    </row>
    <row r="48" spans="1:19" x14ac:dyDescent="0.3">
      <c r="A48" s="99" t="s">
        <v>1198</v>
      </c>
      <c r="B48" s="99"/>
      <c r="C48" s="99"/>
      <c r="D48" s="99"/>
      <c r="E48" s="99"/>
      <c r="F48" s="99"/>
      <c r="G48" s="99"/>
      <c r="H48" s="99"/>
      <c r="I48" s="99"/>
    </row>
    <row r="49" spans="1:19" x14ac:dyDescent="0.3">
      <c r="B49" s="2">
        <v>8</v>
      </c>
      <c r="C49" s="3" t="s">
        <v>1199</v>
      </c>
      <c r="D49" s="5" t="s">
        <v>29</v>
      </c>
      <c r="G49" s="30">
        <v>1</v>
      </c>
      <c r="H49" s="38">
        <v>1122.3</v>
      </c>
      <c r="I49" s="29">
        <f>G49*H49</f>
        <v>1122.3</v>
      </c>
      <c r="J49">
        <v>1</v>
      </c>
    </row>
    <row r="50" spans="1:19" x14ac:dyDescent="0.3">
      <c r="D50" s="15" t="str">
        <f>SUBSTITUTE("Sp.mat: 0.00%",".",IF(VALUE("1.2")=1.2,".",","),2)</f>
        <v>Sp.mat: 0.00%</v>
      </c>
      <c r="F50" s="15" t="str">
        <f>SUBSTITUTE("Sp.man: 0.00%",".",IF(VALUE("1.2")=1.2,".",","),2)</f>
        <v>Sp.man: 0.00%</v>
      </c>
      <c r="G50" s="35" t="str">
        <f>SUBSTITUTE("Sp.uti: 0.00%",".",IF(VALUE("1.2")=1.2,".",","),2)</f>
        <v>Sp.uti: 0.00%</v>
      </c>
      <c r="H50" s="38">
        <v>8.3800000000000008</v>
      </c>
      <c r="I50" s="29">
        <f>G49*H50</f>
        <v>8.3800000000000008</v>
      </c>
      <c r="J50">
        <v>2</v>
      </c>
    </row>
    <row r="51" spans="1:19" x14ac:dyDescent="0.3">
      <c r="A51" s="88" t="s">
        <v>1200</v>
      </c>
      <c r="B51" s="98"/>
      <c r="C51" s="98"/>
      <c r="D51" s="98"/>
      <c r="E51" s="98"/>
      <c r="F51" s="98"/>
      <c r="G51" s="98"/>
      <c r="H51" s="38">
        <f>(1+IF(OR(ISERR(FIND(":",G50)),ISERR(FIND("%",G50))),0,MID(G50,FIND(":",G50)+2,FIND("%",G50)-FIND(":",G50)-2)/100))*0</f>
        <v>0</v>
      </c>
      <c r="I51" s="29">
        <f>G49*H51</f>
        <v>0</v>
      </c>
      <c r="J51">
        <v>3</v>
      </c>
      <c r="K51" s="4">
        <v>0</v>
      </c>
      <c r="L51" s="4">
        <v>0</v>
      </c>
      <c r="M51" s="4">
        <f>I51-K51-L51</f>
        <v>0</v>
      </c>
    </row>
    <row r="52" spans="1:19" x14ac:dyDescent="0.3">
      <c r="A52" s="98"/>
      <c r="B52" s="98"/>
      <c r="C52" s="98"/>
      <c r="D52" s="98"/>
      <c r="E52" s="98"/>
      <c r="F52" s="98"/>
      <c r="G52" s="98"/>
      <c r="H52" s="38">
        <f>0</f>
        <v>0</v>
      </c>
      <c r="I52" s="29">
        <f>G49*H52</f>
        <v>0</v>
      </c>
      <c r="J52">
        <v>4</v>
      </c>
      <c r="N52" s="4">
        <f>IF(ISERR(SEARCH("TRA* 82",C49)),IF(Q52+R52+S52=0,0,I52*(Q52/(Q52+R52+S52))),I52)</f>
        <v>0</v>
      </c>
      <c r="O52" s="4">
        <f>IF(ISERR(SEARCH("TRA* 82",C49)),IF(Q52+R52+S52=0,0,I52*(R52/(Q52+R52+S52))),0)</f>
        <v>0</v>
      </c>
      <c r="P52" s="4">
        <f>IF(ISERR(SEARCH("TRA* 82",C49)),I52-N52-O52,0)</f>
        <v>0</v>
      </c>
      <c r="Q52" s="4">
        <v>0</v>
      </c>
      <c r="R52" s="4">
        <v>0</v>
      </c>
      <c r="S52" s="4">
        <v>0</v>
      </c>
    </row>
    <row r="53" spans="1:19" x14ac:dyDescent="0.3">
      <c r="A53" s="100" t="s">
        <v>87</v>
      </c>
      <c r="B53" s="101"/>
      <c r="C53" s="101"/>
      <c r="D53" s="101"/>
      <c r="E53" s="101"/>
      <c r="F53" s="101"/>
      <c r="G53" s="101"/>
      <c r="H53" s="33">
        <f>H49+H50+H51+H52</f>
        <v>1130.68</v>
      </c>
      <c r="I53" s="37">
        <f>I49+I50+I51+I52</f>
        <v>1130.68</v>
      </c>
      <c r="J53">
        <v>5</v>
      </c>
    </row>
    <row r="54" spans="1:19" x14ac:dyDescent="0.3">
      <c r="A54" s="99" t="s">
        <v>1201</v>
      </c>
      <c r="B54" s="99"/>
      <c r="C54" s="99"/>
      <c r="D54" s="99"/>
      <c r="E54" s="99"/>
      <c r="F54" s="99"/>
      <c r="G54" s="99"/>
      <c r="H54" s="99"/>
      <c r="I54" s="99"/>
    </row>
    <row r="55" spans="1:19" x14ac:dyDescent="0.3">
      <c r="B55" s="2">
        <v>9</v>
      </c>
      <c r="C55" s="3" t="s">
        <v>135</v>
      </c>
      <c r="D55" s="5" t="s">
        <v>35</v>
      </c>
      <c r="G55" s="30">
        <v>42</v>
      </c>
      <c r="H55" s="38">
        <f>(1+IF(OR(ISERR(FIND(":",D56)),ISERR(FIND("%",D56))),0,MID(D56,FIND(":",D56)+2,FIND("%",D56)-FIND(":",D56)-2)/100))*0</f>
        <v>0</v>
      </c>
      <c r="I55" s="29">
        <f>G55*H55</f>
        <v>0</v>
      </c>
      <c r="J55">
        <v>1</v>
      </c>
    </row>
    <row r="56" spans="1:19" x14ac:dyDescent="0.3">
      <c r="D56" s="15" t="str">
        <f>SUBSTITUTE("Sp.mat: 0.00%",".",IF(VALUE("1.2")=1.2,".",","),2)</f>
        <v>Sp.mat: 0.00%</v>
      </c>
      <c r="F56" s="15" t="str">
        <f>SUBSTITUTE("Sp.man: 0.00%",".",IF(VALUE("1.2")=1.2,".",","),2)</f>
        <v>Sp.man: 0.00%</v>
      </c>
      <c r="G56" s="35" t="str">
        <f>SUBSTITUTE("Sp.uti: 0.00%",".",IF(VALUE("1.2")=1.2,".",","),2)</f>
        <v>Sp.uti: 0.00%</v>
      </c>
      <c r="H56" s="38">
        <f>1002.34/G55</f>
        <v>23.865238095238094</v>
      </c>
      <c r="I56" s="29">
        <f>G55*H56</f>
        <v>1002.3399999999999</v>
      </c>
      <c r="J56">
        <v>2</v>
      </c>
    </row>
    <row r="57" spans="1:19" x14ac:dyDescent="0.3">
      <c r="A57" s="88" t="s">
        <v>136</v>
      </c>
      <c r="B57" s="98"/>
      <c r="C57" s="98"/>
      <c r="D57" s="98"/>
      <c r="E57" s="98"/>
      <c r="F57" s="98"/>
      <c r="G57" s="98"/>
      <c r="H57" s="38">
        <f>(1+IF(OR(ISERR(FIND(":",G56)),ISERR(FIND("%",G56))),0,MID(G56,FIND(":",G56)+2,FIND("%",G56)-FIND(":",G56)-2)/100))*0</f>
        <v>0</v>
      </c>
      <c r="I57" s="29">
        <f>G55*H57</f>
        <v>0</v>
      </c>
      <c r="J57">
        <v>3</v>
      </c>
      <c r="K57" s="4">
        <v>0</v>
      </c>
      <c r="L57" s="4">
        <v>0</v>
      </c>
      <c r="M57" s="4">
        <f>I57-K57-L57</f>
        <v>0</v>
      </c>
    </row>
    <row r="58" spans="1:19" x14ac:dyDescent="0.3">
      <c r="A58" s="98"/>
      <c r="B58" s="98"/>
      <c r="C58" s="98"/>
      <c r="D58" s="98"/>
      <c r="E58" s="98"/>
      <c r="F58" s="98"/>
      <c r="G58" s="98"/>
      <c r="H58" s="38">
        <f>0</f>
        <v>0</v>
      </c>
      <c r="I58" s="29">
        <f>G55*H58</f>
        <v>0</v>
      </c>
      <c r="J58">
        <v>4</v>
      </c>
      <c r="N58" s="4">
        <f>IF(ISERR(SEARCH("TRA* 82",C55)),IF(Q58+R58+S58=0,0,I58*(Q58/(Q58+R58+S58))),I58)</f>
        <v>0</v>
      </c>
      <c r="O58" s="4">
        <f>IF(ISERR(SEARCH("TRA* 82",C55)),IF(Q58+R58+S58=0,0,I58*(R58/(Q58+R58+S58))),0)</f>
        <v>0</v>
      </c>
      <c r="P58" s="4">
        <f>IF(ISERR(SEARCH("TRA* 82",C55)),I58-N58-O58,0)</f>
        <v>0</v>
      </c>
      <c r="Q58" s="4">
        <v>0</v>
      </c>
      <c r="R58" s="4">
        <v>0</v>
      </c>
      <c r="S58" s="4">
        <v>0</v>
      </c>
    </row>
    <row r="59" spans="1:19" x14ac:dyDescent="0.3">
      <c r="A59" s="96" t="s">
        <v>27</v>
      </c>
      <c r="B59" s="97"/>
      <c r="C59" s="97"/>
      <c r="D59" s="97"/>
      <c r="E59" s="97"/>
      <c r="F59" s="97"/>
      <c r="G59" s="97"/>
      <c r="H59" s="36">
        <f>H55+H56+H57+H58</f>
        <v>23.865238095238094</v>
      </c>
      <c r="I59" s="74">
        <f>I55+I56+I57+I58</f>
        <v>1002.3399999999999</v>
      </c>
      <c r="J59">
        <v>5</v>
      </c>
    </row>
    <row r="60" spans="1:19" x14ac:dyDescent="0.3">
      <c r="B60" s="2">
        <v>10</v>
      </c>
      <c r="C60" s="3" t="s">
        <v>34</v>
      </c>
      <c r="D60" s="5" t="s">
        <v>35</v>
      </c>
      <c r="G60" s="30">
        <v>9</v>
      </c>
      <c r="H60" s="38">
        <v>41.15</v>
      </c>
      <c r="I60" s="29">
        <f>G60*H60</f>
        <v>370.34999999999997</v>
      </c>
      <c r="J60">
        <v>1</v>
      </c>
    </row>
    <row r="61" spans="1:19" x14ac:dyDescent="0.3">
      <c r="D61" s="15" t="str">
        <f>SUBSTITUTE("Sp.mat: 0.00%",".",IF(VALUE("1.2")=1.2,".",","),2)</f>
        <v>Sp.mat: 0.00%</v>
      </c>
      <c r="F61" s="15" t="str">
        <f>SUBSTITUTE("Sp.man: 0.00%",".",IF(VALUE("1.2")=1.2,".",","),2)</f>
        <v>Sp.man: 0.00%</v>
      </c>
      <c r="G61" s="35" t="str">
        <f>SUBSTITUTE("Sp.uti: 0.00%",".",IF(VALUE("1.2")=1.2,".",","),2)</f>
        <v>Sp.uti: 0.00%</v>
      </c>
      <c r="H61" s="38">
        <v>9.77</v>
      </c>
      <c r="I61" s="29">
        <f>G60*H61</f>
        <v>87.929999999999993</v>
      </c>
      <c r="J61">
        <v>2</v>
      </c>
    </row>
    <row r="62" spans="1:19" x14ac:dyDescent="0.3">
      <c r="A62" s="88" t="s">
        <v>36</v>
      </c>
      <c r="B62" s="98"/>
      <c r="C62" s="98"/>
      <c r="D62" s="98"/>
      <c r="E62" s="98"/>
      <c r="F62" s="98"/>
      <c r="G62" s="98"/>
      <c r="H62" s="38">
        <f>(1+IF(OR(ISERR(FIND(":",G61)),ISERR(FIND("%",G61))),0,MID(G61,FIND(":",G61)+2,FIND("%",G61)-FIND(":",G61)-2)/100))*0</f>
        <v>0</v>
      </c>
      <c r="I62" s="29">
        <f>G60*H62</f>
        <v>0</v>
      </c>
      <c r="J62">
        <v>3</v>
      </c>
      <c r="K62" s="4">
        <v>0</v>
      </c>
      <c r="L62" s="4">
        <v>0</v>
      </c>
      <c r="M62" s="4">
        <f>I62-K62-L62</f>
        <v>0</v>
      </c>
    </row>
    <row r="63" spans="1:19" x14ac:dyDescent="0.3">
      <c r="A63" s="98"/>
      <c r="B63" s="98"/>
      <c r="C63" s="98"/>
      <c r="D63" s="98"/>
      <c r="E63" s="98"/>
      <c r="F63" s="98"/>
      <c r="G63" s="98"/>
      <c r="H63" s="38">
        <f>0</f>
        <v>0</v>
      </c>
      <c r="I63" s="29">
        <f>G60*H63</f>
        <v>0</v>
      </c>
      <c r="J63">
        <v>4</v>
      </c>
      <c r="N63" s="4">
        <f>IF(ISERR(SEARCH("TRA* 82",C60)),IF(Q63+R63+S63=0,0,I63*(Q63/(Q63+R63+S63))),I63)</f>
        <v>0</v>
      </c>
      <c r="O63" s="4">
        <f>IF(ISERR(SEARCH("TRA* 82",C60)),IF(Q63+R63+S63=0,0,I63*(R63/(Q63+R63+S63))),0)</f>
        <v>0</v>
      </c>
      <c r="P63" s="4">
        <f>IF(ISERR(SEARCH("TRA* 82",C60)),I63-N63-O63,0)</f>
        <v>0</v>
      </c>
      <c r="Q63" s="4">
        <v>0</v>
      </c>
      <c r="R63" s="4">
        <v>0</v>
      </c>
      <c r="S63" s="4">
        <v>0</v>
      </c>
    </row>
    <row r="64" spans="1:19" x14ac:dyDescent="0.3">
      <c r="A64" s="96" t="s">
        <v>27</v>
      </c>
      <c r="B64" s="97"/>
      <c r="C64" s="97"/>
      <c r="D64" s="97"/>
      <c r="E64" s="97"/>
      <c r="F64" s="97"/>
      <c r="G64" s="97"/>
      <c r="H64" s="36">
        <f>H60+H61+H62+H63</f>
        <v>50.92</v>
      </c>
      <c r="I64" s="74">
        <f>I60+I61+I62+I63</f>
        <v>458.28</v>
      </c>
      <c r="J64">
        <v>5</v>
      </c>
    </row>
    <row r="65" spans="1:19" x14ac:dyDescent="0.3">
      <c r="B65" s="2">
        <v>11</v>
      </c>
      <c r="C65" s="3" t="s">
        <v>886</v>
      </c>
      <c r="D65" s="5" t="s">
        <v>35</v>
      </c>
      <c r="G65" s="30">
        <v>33</v>
      </c>
      <c r="H65" s="38">
        <f>(1+IF(OR(ISERR(FIND(":",D66)),ISERR(FIND("%",D66))),0,MID(D66,FIND(":",D66)+2,FIND("%",D66)-FIND(":",D66)-2)/100))*0</f>
        <v>0</v>
      </c>
      <c r="I65" s="29">
        <f>G65*H65</f>
        <v>0</v>
      </c>
      <c r="J65">
        <v>1</v>
      </c>
    </row>
    <row r="66" spans="1:19" x14ac:dyDescent="0.3">
      <c r="D66" s="15" t="str">
        <f>SUBSTITUTE("Sp.mat: 0.00%",".",IF(VALUE("1.2")=1.2,".",","),2)</f>
        <v>Sp.mat: 0.00%</v>
      </c>
      <c r="F66" s="15" t="str">
        <f>SUBSTITUTE("Sp.man: 0.00%",".",IF(VALUE("1.2")=1.2,".",","),2)</f>
        <v>Sp.man: 0.00%</v>
      </c>
      <c r="G66" s="35" t="str">
        <f>SUBSTITUTE("Sp.uti: 0.00%",".",IF(VALUE("1.2")=1.2,".",","),2)</f>
        <v>Sp.uti: 0.00%</v>
      </c>
      <c r="H66" s="38">
        <f>228.87/G65</f>
        <v>6.9354545454545455</v>
      </c>
      <c r="I66" s="29">
        <f>G65*H66</f>
        <v>228.87</v>
      </c>
      <c r="J66">
        <v>2</v>
      </c>
    </row>
    <row r="67" spans="1:19" x14ac:dyDescent="0.3">
      <c r="A67" s="88" t="s">
        <v>887</v>
      </c>
      <c r="B67" s="98"/>
      <c r="C67" s="98"/>
      <c r="D67" s="98"/>
      <c r="E67" s="98"/>
      <c r="F67" s="98"/>
      <c r="G67" s="98"/>
      <c r="H67" s="38">
        <f>(1+IF(OR(ISERR(FIND(":",G66)),ISERR(FIND("%",G66))),0,MID(G66,FIND(":",G66)+2,FIND("%",G66)-FIND(":",G66)-2)/100))*0</f>
        <v>0</v>
      </c>
      <c r="I67" s="29">
        <f>G65*H67</f>
        <v>0</v>
      </c>
      <c r="J67">
        <v>3</v>
      </c>
      <c r="K67" s="4">
        <v>0</v>
      </c>
      <c r="L67" s="4">
        <v>0</v>
      </c>
      <c r="M67" s="4">
        <f>I67-K67-L67</f>
        <v>0</v>
      </c>
    </row>
    <row r="68" spans="1:19" x14ac:dyDescent="0.3">
      <c r="A68" s="98"/>
      <c r="B68" s="98"/>
      <c r="C68" s="98"/>
      <c r="D68" s="98"/>
      <c r="E68" s="98"/>
      <c r="F68" s="98"/>
      <c r="G68" s="98"/>
      <c r="H68" s="38">
        <f>0</f>
        <v>0</v>
      </c>
      <c r="I68" s="29">
        <f>G65*H68</f>
        <v>0</v>
      </c>
      <c r="J68">
        <v>4</v>
      </c>
      <c r="N68" s="4">
        <f>IF(ISERR(SEARCH("TRA* 82",C65)),IF(Q68+R68+S68=0,0,I68*(Q68/(Q68+R68+S68))),I68)</f>
        <v>0</v>
      </c>
      <c r="O68" s="4">
        <f>IF(ISERR(SEARCH("TRA* 82",C65)),IF(Q68+R68+S68=0,0,I68*(R68/(Q68+R68+S68))),0)</f>
        <v>0</v>
      </c>
      <c r="P68" s="4">
        <f>IF(ISERR(SEARCH("TRA* 82",C65)),I68-N68-O68,0)</f>
        <v>0</v>
      </c>
      <c r="Q68" s="4">
        <v>0</v>
      </c>
      <c r="R68" s="4">
        <v>0</v>
      </c>
      <c r="S68" s="4">
        <v>0</v>
      </c>
    </row>
    <row r="69" spans="1:19" x14ac:dyDescent="0.3">
      <c r="A69" s="96" t="s">
        <v>27</v>
      </c>
      <c r="B69" s="97"/>
      <c r="C69" s="97"/>
      <c r="D69" s="97"/>
      <c r="E69" s="97"/>
      <c r="F69" s="97"/>
      <c r="G69" s="97"/>
      <c r="H69" s="36">
        <f>H65+H66+H67+H68</f>
        <v>6.9354545454545455</v>
      </c>
      <c r="I69" s="74">
        <f>I65+I66+I67+I68</f>
        <v>228.87</v>
      </c>
      <c r="J69">
        <v>5</v>
      </c>
    </row>
    <row r="70" spans="1:19" x14ac:dyDescent="0.3">
      <c r="B70" s="2">
        <v>12</v>
      </c>
      <c r="C70" s="3" t="s">
        <v>1178</v>
      </c>
      <c r="D70" s="5" t="s">
        <v>35</v>
      </c>
      <c r="G70" s="30">
        <v>0.33</v>
      </c>
      <c r="H70" s="38">
        <v>0.28000000000000003</v>
      </c>
      <c r="I70" s="29">
        <f>G70*H70</f>
        <v>9.240000000000001E-2</v>
      </c>
      <c r="J70">
        <v>1</v>
      </c>
    </row>
    <row r="71" spans="1:19" x14ac:dyDescent="0.3">
      <c r="D71" s="15" t="str">
        <f>SUBSTITUTE("Sp.mat: 0.00%",".",IF(VALUE("1.2")=1.2,".",","),2)</f>
        <v>Sp.mat: 0.00%</v>
      </c>
      <c r="F71" s="15" t="str">
        <f>SUBSTITUTE("Sp.man: 0.00%",".",IF(VALUE("1.2")=1.2,".",","),2)</f>
        <v>Sp.man: 0.00%</v>
      </c>
      <c r="G71" s="35" t="str">
        <f>SUBSTITUTE("Sp.uti: 0.00%",".",IF(VALUE("1.2")=1.2,".",","),2)</f>
        <v>Sp.uti: 0.00%</v>
      </c>
      <c r="H71" s="38">
        <v>13.93</v>
      </c>
      <c r="I71" s="29">
        <f>G70*H71</f>
        <v>4.5968999999999998</v>
      </c>
      <c r="J71">
        <v>2</v>
      </c>
    </row>
    <row r="72" spans="1:19" x14ac:dyDescent="0.3">
      <c r="A72" s="88" t="s">
        <v>1179</v>
      </c>
      <c r="B72" s="98"/>
      <c r="C72" s="98"/>
      <c r="D72" s="98"/>
      <c r="E72" s="98"/>
      <c r="F72" s="98"/>
      <c r="G72" s="98"/>
      <c r="H72" s="38">
        <f>(1+IF(OR(ISERR(FIND(":",G71)),ISERR(FIND("%",G71))),0,MID(G71,FIND(":",G71)+2,FIND("%",G71)-FIND(":",G71)-2)/100))*0</f>
        <v>0</v>
      </c>
      <c r="I72" s="29">
        <f>G70*H72</f>
        <v>0</v>
      </c>
      <c r="J72">
        <v>3</v>
      </c>
      <c r="K72" s="4">
        <v>0</v>
      </c>
      <c r="L72" s="4">
        <v>0</v>
      </c>
      <c r="M72" s="4">
        <f>I72-K72-L72</f>
        <v>0</v>
      </c>
    </row>
    <row r="73" spans="1:19" x14ac:dyDescent="0.3">
      <c r="A73" s="98"/>
      <c r="B73" s="98"/>
      <c r="C73" s="98"/>
      <c r="D73" s="98"/>
      <c r="E73" s="98"/>
      <c r="F73" s="98"/>
      <c r="G73" s="98"/>
      <c r="H73" s="38">
        <f>0</f>
        <v>0</v>
      </c>
      <c r="I73" s="29">
        <f>G70*H73</f>
        <v>0</v>
      </c>
      <c r="J73">
        <v>4</v>
      </c>
      <c r="N73" s="4">
        <f>IF(ISERR(SEARCH("TRA* 82",C70)),IF(Q73+R73+S73=0,0,I73*(Q73/(Q73+R73+S73))),I73)</f>
        <v>0</v>
      </c>
      <c r="O73" s="4">
        <f>IF(ISERR(SEARCH("TRA* 82",C70)),IF(Q73+R73+S73=0,0,I73*(R73/(Q73+R73+S73))),0)</f>
        <v>0</v>
      </c>
      <c r="P73" s="4">
        <f>IF(ISERR(SEARCH("TRA* 82",C70)),I73-N73-O73,0)</f>
        <v>0</v>
      </c>
      <c r="Q73" s="4">
        <v>0</v>
      </c>
      <c r="R73" s="4">
        <v>0</v>
      </c>
      <c r="S73" s="4">
        <v>0</v>
      </c>
    </row>
    <row r="74" spans="1:19" x14ac:dyDescent="0.3">
      <c r="A74" s="96" t="s">
        <v>27</v>
      </c>
      <c r="B74" s="97"/>
      <c r="C74" s="97"/>
      <c r="D74" s="97"/>
      <c r="E74" s="97"/>
      <c r="F74" s="97"/>
      <c r="G74" s="97"/>
      <c r="H74" s="36">
        <f>H70+H71+H72+H73</f>
        <v>14.209999999999999</v>
      </c>
      <c r="I74" s="74">
        <f>I70+I71+I72+I73</f>
        <v>4.6892999999999994</v>
      </c>
      <c r="J74">
        <v>5</v>
      </c>
    </row>
    <row r="75" spans="1:19" x14ac:dyDescent="0.3">
      <c r="B75" s="16"/>
      <c r="E75" s="4">
        <f>SUMIF(J12:J74,"1",I12:I74)</f>
        <v>8344.5623999999989</v>
      </c>
      <c r="F75" s="4">
        <f>SUMIF(J12:J74,"2",I12:I74)</f>
        <v>3344.5169000000001</v>
      </c>
      <c r="G75" s="29">
        <f>SUMIF(J12:J74,"3",I12:I74)</f>
        <v>0</v>
      </c>
      <c r="H75" s="29">
        <f>SUMIF(J12:J74,"4",I12:I74)</f>
        <v>0</v>
      </c>
      <c r="I75" s="29">
        <f>SUMIF(J12:J74,"5",I12:I74)</f>
        <v>11689.079300000003</v>
      </c>
      <c r="K75" s="4">
        <f>SUMIF(J12:J74,"3",K12:K74)</f>
        <v>0.153</v>
      </c>
      <c r="L75" s="4">
        <f>SUMIF(J12:J74,"3",L12:L74)</f>
        <v>0</v>
      </c>
      <c r="M75" s="4">
        <f>SUMIF(J12:J74,"3",M12:M74)</f>
        <v>-0.153</v>
      </c>
      <c r="N75" s="4">
        <f>SUMIF(J12:J74,"4",N12:N74)</f>
        <v>0</v>
      </c>
      <c r="O75" s="4">
        <f>SUMIF(J12:J74,"4",O12:O74)</f>
        <v>0</v>
      </c>
      <c r="P75" s="4">
        <f>SUMIF(J12:J74,"4",P12:P74)</f>
        <v>0</v>
      </c>
      <c r="Q75" s="4">
        <f>SUMIF(J12:J74,"4",Q12:Q74)</f>
        <v>0</v>
      </c>
      <c r="R75" s="4">
        <f>SUMIF(J12:J74,"4",R12:R74)</f>
        <v>0</v>
      </c>
      <c r="S75" s="4">
        <f>SUMIF(J12:J74,"4",S12:S74)</f>
        <v>0</v>
      </c>
    </row>
    <row r="76" spans="1:19" x14ac:dyDescent="0.3">
      <c r="B76" s="107" t="s">
        <v>1554</v>
      </c>
      <c r="C76" s="108"/>
      <c r="D76" s="26"/>
      <c r="E76" s="26"/>
      <c r="F76" s="26"/>
      <c r="G76" s="109"/>
      <c r="H76" s="36"/>
      <c r="I76" s="110">
        <f>I75</f>
        <v>11689.079300000003</v>
      </c>
    </row>
  </sheetData>
  <mergeCells count="32">
    <mergeCell ref="A27:G27"/>
    <mergeCell ref="A1:D1"/>
    <mergeCell ref="A2:I2"/>
    <mergeCell ref="A3:I3"/>
    <mergeCell ref="A4:I4"/>
    <mergeCell ref="A5:H5"/>
    <mergeCell ref="A14:G15"/>
    <mergeCell ref="A16:G16"/>
    <mergeCell ref="A17:I17"/>
    <mergeCell ref="A20:G21"/>
    <mergeCell ref="A22:G22"/>
    <mergeCell ref="A25:G26"/>
    <mergeCell ref="A54:I54"/>
    <mergeCell ref="A30:G31"/>
    <mergeCell ref="A32:G32"/>
    <mergeCell ref="A35:G36"/>
    <mergeCell ref="A37:G37"/>
    <mergeCell ref="A40:G41"/>
    <mergeCell ref="A42:G42"/>
    <mergeCell ref="A45:G46"/>
    <mergeCell ref="A47:G47"/>
    <mergeCell ref="A48:I48"/>
    <mergeCell ref="A51:G52"/>
    <mergeCell ref="A53:G53"/>
    <mergeCell ref="A72:G73"/>
    <mergeCell ref="A74:G74"/>
    <mergeCell ref="A57:G58"/>
    <mergeCell ref="A59:G59"/>
    <mergeCell ref="A62:G63"/>
    <mergeCell ref="A64:G64"/>
    <mergeCell ref="A67:G68"/>
    <mergeCell ref="A69:G69"/>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rowBreaks count="1" manualBreakCount="1">
    <brk id="42"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5658E-9975-44FE-A285-CA4621FC36C9}">
  <sheetPr>
    <tabColor rgb="FF92D050"/>
  </sheetPr>
  <dimension ref="A1:T19"/>
  <sheetViews>
    <sheetView topLeftCell="A16" workbookViewId="0">
      <selection activeCell="I24" sqref="I23:I24"/>
    </sheetView>
  </sheetViews>
  <sheetFormatPr defaultRowHeight="14.4" outlineLevelCol="1" x14ac:dyDescent="0.3"/>
  <cols>
    <col min="1" max="1" width="0.33203125" style="1" customWidth="1"/>
    <col min="2" max="2" width="5.77734375" style="2" customWidth="1"/>
    <col min="3" max="3" width="25.33203125" style="3" customWidth="1"/>
    <col min="4" max="4" width="14.5546875" style="5" customWidth="1"/>
    <col min="5" max="5" width="14.5546875" customWidth="1"/>
    <col min="7" max="7" width="15.77734375" style="30" customWidth="1"/>
    <col min="8" max="8" width="14.5546875" style="38" customWidth="1"/>
    <col min="9" max="9" width="14.5546875" style="29" customWidth="1"/>
    <col min="10" max="10" width="0" hidden="1" customWidth="1" outlineLevel="1"/>
    <col min="11" max="19" width="0" style="4" hidden="1" customWidth="1" outlineLevel="1"/>
    <col min="20" max="20" width="8.88671875" collapsed="1"/>
  </cols>
  <sheetData>
    <row r="1" spans="1:19" ht="25.8" customHeight="1" x14ac:dyDescent="0.3">
      <c r="A1" s="92" t="s">
        <v>0</v>
      </c>
      <c r="B1" s="98"/>
      <c r="C1" s="98"/>
      <c r="D1" s="98"/>
      <c r="J1">
        <v>1</v>
      </c>
    </row>
    <row r="2" spans="1:19" ht="27.6" customHeight="1" x14ac:dyDescent="0.3">
      <c r="A2" s="82" t="s">
        <v>2</v>
      </c>
      <c r="B2" s="98"/>
      <c r="C2" s="98"/>
      <c r="D2" s="98"/>
      <c r="E2" s="98"/>
      <c r="F2" s="98"/>
      <c r="G2" s="98"/>
      <c r="H2" s="98"/>
      <c r="I2" s="98"/>
    </row>
    <row r="3" spans="1:19" ht="46.8" customHeight="1" x14ac:dyDescent="0.3">
      <c r="A3" s="84" t="s">
        <v>3</v>
      </c>
      <c r="B3" s="98"/>
      <c r="C3" s="98"/>
      <c r="D3" s="98"/>
      <c r="E3" s="98"/>
      <c r="F3" s="98"/>
      <c r="G3" s="98"/>
      <c r="H3" s="98"/>
      <c r="I3" s="98"/>
    </row>
    <row r="4" spans="1:19" x14ac:dyDescent="0.3">
      <c r="A4" s="82" t="s">
        <v>1187</v>
      </c>
      <c r="B4" s="98"/>
      <c r="C4" s="98"/>
      <c r="D4" s="98"/>
      <c r="E4" s="98"/>
      <c r="F4" s="98"/>
      <c r="G4" s="98"/>
      <c r="H4" s="98"/>
      <c r="I4" s="98"/>
    </row>
    <row r="5" spans="1:19" ht="15" thickBot="1" x14ac:dyDescent="0.35">
      <c r="A5" s="82" t="s">
        <v>1202</v>
      </c>
      <c r="B5" s="98"/>
      <c r="C5" s="98"/>
      <c r="D5" s="98"/>
      <c r="E5" s="98"/>
      <c r="F5" s="98"/>
      <c r="G5" s="98"/>
      <c r="H5" s="98"/>
      <c r="I5" s="29" t="s">
        <v>5</v>
      </c>
    </row>
    <row r="6" spans="1:19" x14ac:dyDescent="0.3">
      <c r="A6" s="8"/>
      <c r="B6" s="9" t="s">
        <v>7</v>
      </c>
      <c r="C6" s="10" t="s">
        <v>8</v>
      </c>
      <c r="D6" s="11" t="s">
        <v>9</v>
      </c>
      <c r="E6" s="12"/>
      <c r="F6" s="12"/>
      <c r="G6" s="41" t="s">
        <v>10</v>
      </c>
      <c r="H6" s="41" t="s">
        <v>11</v>
      </c>
      <c r="I6" s="32" t="s">
        <v>12</v>
      </c>
    </row>
    <row r="7" spans="1:19" x14ac:dyDescent="0.3">
      <c r="B7" s="2" t="s">
        <v>13</v>
      </c>
      <c r="C7" s="3" t="s">
        <v>14</v>
      </c>
      <c r="D7" s="6"/>
      <c r="E7" s="7"/>
      <c r="F7" s="7"/>
      <c r="H7" s="30" t="s">
        <v>15</v>
      </c>
    </row>
    <row r="8" spans="1:19" x14ac:dyDescent="0.3">
      <c r="C8" s="3" t="s">
        <v>16</v>
      </c>
      <c r="D8" s="6"/>
      <c r="E8" s="7"/>
      <c r="F8" s="7"/>
      <c r="H8" s="30" t="s">
        <v>17</v>
      </c>
    </row>
    <row r="9" spans="1:19" x14ac:dyDescent="0.3">
      <c r="C9" s="3" t="s">
        <v>18</v>
      </c>
      <c r="D9" s="6"/>
      <c r="E9" s="7"/>
      <c r="F9" s="7"/>
      <c r="H9" s="30" t="s">
        <v>19</v>
      </c>
    </row>
    <row r="10" spans="1:19" x14ac:dyDescent="0.3">
      <c r="C10" s="3" t="s">
        <v>20</v>
      </c>
      <c r="D10" s="6"/>
      <c r="E10" s="7"/>
      <c r="F10" s="7"/>
      <c r="H10" s="30" t="s">
        <v>21</v>
      </c>
    </row>
    <row r="11" spans="1:19" ht="15" thickBot="1" x14ac:dyDescent="0.35">
      <c r="C11" s="3" t="s">
        <v>22</v>
      </c>
      <c r="D11" s="6"/>
      <c r="E11" s="7"/>
      <c r="F11" s="7"/>
      <c r="H11" s="30" t="s">
        <v>23</v>
      </c>
    </row>
    <row r="12" spans="1:19" x14ac:dyDescent="0.3">
      <c r="A12" s="8"/>
      <c r="B12" s="9">
        <v>1</v>
      </c>
      <c r="C12" s="10" t="s">
        <v>1203</v>
      </c>
      <c r="D12" s="13" t="s">
        <v>29</v>
      </c>
      <c r="E12" s="14"/>
      <c r="F12" s="14"/>
      <c r="G12" s="41">
        <v>1</v>
      </c>
      <c r="H12" s="71">
        <v>12.52</v>
      </c>
      <c r="I12" s="32">
        <f>G12*H12</f>
        <v>12.52</v>
      </c>
      <c r="J12">
        <v>1</v>
      </c>
    </row>
    <row r="13" spans="1:19" x14ac:dyDescent="0.3">
      <c r="D13" s="15" t="str">
        <f>SUBSTITUTE("Sp.mat: 0.00%",".",IF(VALUE("1.2")=1.2,".",","),2)</f>
        <v>Sp.mat: 0.00%</v>
      </c>
      <c r="F13" s="15" t="str">
        <f>SUBSTITUTE("Sp.man: 0.00%",".",IF(VALUE("1.2")=1.2,".",","),2)</f>
        <v>Sp.man: 0.00%</v>
      </c>
      <c r="G13" s="35" t="str">
        <f>SUBSTITUTE("Sp.uti: 0.00%",".",IF(VALUE("1.2")=1.2,".",","),2)</f>
        <v>Sp.uti: 0.00%</v>
      </c>
      <c r="H13" s="38">
        <v>214.63</v>
      </c>
      <c r="I13" s="29">
        <f>G12*H13</f>
        <v>214.63</v>
      </c>
      <c r="J13">
        <v>2</v>
      </c>
    </row>
    <row r="14" spans="1:19" x14ac:dyDescent="0.3">
      <c r="A14" s="88" t="s">
        <v>1204</v>
      </c>
      <c r="B14" s="98"/>
      <c r="C14" s="98"/>
      <c r="D14" s="98"/>
      <c r="E14" s="98"/>
      <c r="F14" s="98"/>
      <c r="G14" s="98"/>
      <c r="H14" s="38">
        <v>41.05</v>
      </c>
      <c r="I14" s="29">
        <f>G12*H14</f>
        <v>41.05</v>
      </c>
      <c r="J14">
        <v>3</v>
      </c>
      <c r="K14" s="4">
        <v>76.875</v>
      </c>
      <c r="L14" s="4">
        <v>0</v>
      </c>
      <c r="M14" s="4">
        <f>I14-K14-L14</f>
        <v>-35.825000000000003</v>
      </c>
    </row>
    <row r="15" spans="1:19" x14ac:dyDescent="0.3">
      <c r="A15" s="98"/>
      <c r="B15" s="98"/>
      <c r="C15" s="98"/>
      <c r="D15" s="98"/>
      <c r="E15" s="98"/>
      <c r="F15" s="98"/>
      <c r="G15" s="98"/>
      <c r="H15" s="38">
        <f>0</f>
        <v>0</v>
      </c>
      <c r="I15" s="29">
        <f>G12*H15</f>
        <v>0</v>
      </c>
      <c r="J15">
        <v>4</v>
      </c>
      <c r="N15" s="4">
        <f>IF(ISERR(SEARCH("TRA* 82",C12)),IF(Q15+R15+S15=0,0,I15*(Q15/(Q15+R15+S15))),I15)</f>
        <v>0</v>
      </c>
      <c r="O15" s="4">
        <f>IF(ISERR(SEARCH("TRA* 82",C12)),IF(Q15+R15+S15=0,0,I15*(R15/(Q15+R15+S15))),0)</f>
        <v>0</v>
      </c>
      <c r="P15" s="4">
        <f>IF(ISERR(SEARCH("TRA* 82",C12)),I15-N15-O15,0)</f>
        <v>0</v>
      </c>
      <c r="Q15" s="4">
        <v>0</v>
      </c>
      <c r="R15" s="4">
        <v>0</v>
      </c>
      <c r="S15" s="4">
        <v>0</v>
      </c>
    </row>
    <row r="16" spans="1:19" x14ac:dyDescent="0.3">
      <c r="A16" s="100" t="s">
        <v>110</v>
      </c>
      <c r="B16" s="101"/>
      <c r="C16" s="101"/>
      <c r="D16" s="101"/>
      <c r="E16" s="101"/>
      <c r="F16" s="101"/>
      <c r="G16" s="101"/>
      <c r="H16" s="33">
        <f>H12+H13+H14+H15</f>
        <v>268.2</v>
      </c>
      <c r="I16" s="37">
        <f>I12+I13+I14+I15</f>
        <v>268.2</v>
      </c>
      <c r="J16">
        <v>5</v>
      </c>
    </row>
    <row r="17" spans="1:19" x14ac:dyDescent="0.3">
      <c r="A17" s="99" t="s">
        <v>1205</v>
      </c>
      <c r="B17" s="99"/>
      <c r="C17" s="99"/>
      <c r="D17" s="99"/>
      <c r="E17" s="99"/>
      <c r="F17" s="99"/>
      <c r="G17" s="99"/>
      <c r="H17" s="99"/>
      <c r="I17" s="99"/>
    </row>
    <row r="18" spans="1:19" x14ac:dyDescent="0.3">
      <c r="B18" s="16"/>
      <c r="E18" s="4">
        <f>SUMIF(J12:J16,"1",I12:I16)</f>
        <v>12.52</v>
      </c>
      <c r="F18" s="4">
        <f>SUMIF(J12:J16,"2",I12:I16)</f>
        <v>214.63</v>
      </c>
      <c r="G18" s="29">
        <f>SUMIF(J12:J16,"3",I12:I16)</f>
        <v>41.05</v>
      </c>
      <c r="H18" s="29">
        <f>SUMIF(J12:J16,"4",I12:I16)</f>
        <v>0</v>
      </c>
      <c r="I18" s="29">
        <f>SUMIF(J12:J16,"5",I12:I16)</f>
        <v>268.2</v>
      </c>
      <c r="K18" s="4">
        <f>SUMIF(J12:J16,"3",K12:K16)</f>
        <v>76.875</v>
      </c>
      <c r="L18" s="4">
        <f>SUMIF(J12:J16,"3",L12:L16)</f>
        <v>0</v>
      </c>
      <c r="M18" s="4">
        <f>SUMIF(J12:J16,"3",M12:M16)</f>
        <v>-35.825000000000003</v>
      </c>
      <c r="N18" s="4">
        <f>SUMIF(J12:J16,"4",N12:N16)</f>
        <v>0</v>
      </c>
      <c r="O18" s="4">
        <f>SUMIF(J12:J16,"4",O12:O16)</f>
        <v>0</v>
      </c>
      <c r="P18" s="4">
        <f>SUMIF(J12:J16,"4",P12:P16)</f>
        <v>0</v>
      </c>
      <c r="Q18" s="4">
        <f>SUMIF(J12:J16,"4",Q12:Q16)</f>
        <v>0</v>
      </c>
      <c r="R18" s="4">
        <f>SUMIF(J12:J16,"4",R12:R16)</f>
        <v>0</v>
      </c>
      <c r="S18" s="4">
        <f>SUMIF(J12:J16,"4",S12:S16)</f>
        <v>0</v>
      </c>
    </row>
    <row r="19" spans="1:19" x14ac:dyDescent="0.3">
      <c r="B19" s="107" t="s">
        <v>1554</v>
      </c>
      <c r="C19" s="108"/>
      <c r="D19" s="26"/>
      <c r="E19" s="26"/>
      <c r="F19" s="26"/>
      <c r="G19" s="109"/>
      <c r="H19" s="36"/>
      <c r="I19" s="110">
        <f>I18</f>
        <v>268.2</v>
      </c>
    </row>
  </sheetData>
  <mergeCells count="8">
    <mergeCell ref="A16:G16"/>
    <mergeCell ref="A17:I17"/>
    <mergeCell ref="A1:D1"/>
    <mergeCell ref="A2:I2"/>
    <mergeCell ref="A3:I3"/>
    <mergeCell ref="A4:I4"/>
    <mergeCell ref="A5:H5"/>
    <mergeCell ref="A14:G15"/>
  </mergeCells>
  <printOptions horizontalCentered="1"/>
  <pageMargins left="0.4" right="0.2" top="0.4" bottom="0.7" header="0.4" footer="0.5"/>
  <pageSetup paperSize="9" orientation="portrait" horizontalDpi="300" verticalDpi="300" r:id="rId1"/>
  <headerFooter>
    <oddFooter>&amp;L&amp;"Lucida Handwriting"&amp;08Sistem informatic proiectat de SofteH Plus srl. Tel:323.78.37&amp;R&amp;"Lucida Handwriting"&amp;08Data listarii:&amp;D  &amp;BPag.&amp;P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25</vt:i4>
      </vt:variant>
    </vt:vector>
  </HeadingPairs>
  <TitlesOfParts>
    <vt:vector size="53" baseType="lpstr">
      <vt:lpstr>Centraliz.General</vt:lpstr>
      <vt:lpstr>Centralizator</vt:lpstr>
      <vt:lpstr>F4</vt:lpstr>
      <vt:lpstr>O.00 D.2</vt:lpstr>
      <vt:lpstr>O.000 D.6.2</vt:lpstr>
      <vt:lpstr>O.01 D.04</vt:lpstr>
      <vt:lpstr>O.01 D.05</vt:lpstr>
      <vt:lpstr>O.01 D.06</vt:lpstr>
      <vt:lpstr>O.01 D.07</vt:lpstr>
      <vt:lpstr>O.01 D.08</vt:lpstr>
      <vt:lpstr>O.01 D.09</vt:lpstr>
      <vt:lpstr>O.01 D.10</vt:lpstr>
      <vt:lpstr>O.01 D.11</vt:lpstr>
      <vt:lpstr>O.02 D.04</vt:lpstr>
      <vt:lpstr>O.02 D.05</vt:lpstr>
      <vt:lpstr>O.02 D.06</vt:lpstr>
      <vt:lpstr>O.02 D.07</vt:lpstr>
      <vt:lpstr>O.02 D.08</vt:lpstr>
      <vt:lpstr>O.02 D.09</vt:lpstr>
      <vt:lpstr>O.02 D.10</vt:lpstr>
      <vt:lpstr>O.02 D.11</vt:lpstr>
      <vt:lpstr>O.03 D.02</vt:lpstr>
      <vt:lpstr>O.03 D.03</vt:lpstr>
      <vt:lpstr>O.04 D.01</vt:lpstr>
      <vt:lpstr>O.04 D.07</vt:lpstr>
      <vt:lpstr>O.04 D.08</vt:lpstr>
      <vt:lpstr>O.05 D.03</vt:lpstr>
      <vt:lpstr>O.05 D.04</vt:lpstr>
      <vt:lpstr>'O.00 D.2'!Print_Titles</vt:lpstr>
      <vt:lpstr>'O.000 D.6.2'!Print_Titles</vt:lpstr>
      <vt:lpstr>'O.01 D.04'!Print_Titles</vt:lpstr>
      <vt:lpstr>'O.01 D.05'!Print_Titles</vt:lpstr>
      <vt:lpstr>'O.01 D.06'!Print_Titles</vt:lpstr>
      <vt:lpstr>'O.01 D.07'!Print_Titles</vt:lpstr>
      <vt:lpstr>'O.01 D.08'!Print_Titles</vt:lpstr>
      <vt:lpstr>'O.01 D.09'!Print_Titles</vt:lpstr>
      <vt:lpstr>'O.01 D.10'!Print_Titles</vt:lpstr>
      <vt:lpstr>'O.01 D.11'!Print_Titles</vt:lpstr>
      <vt:lpstr>'O.02 D.04'!Print_Titles</vt:lpstr>
      <vt:lpstr>'O.02 D.05'!Print_Titles</vt:lpstr>
      <vt:lpstr>'O.02 D.06'!Print_Titles</vt:lpstr>
      <vt:lpstr>'O.02 D.07'!Print_Titles</vt:lpstr>
      <vt:lpstr>'O.02 D.08'!Print_Titles</vt:lpstr>
      <vt:lpstr>'O.02 D.09'!Print_Titles</vt:lpstr>
      <vt:lpstr>'O.02 D.10'!Print_Titles</vt:lpstr>
      <vt:lpstr>'O.02 D.11'!Print_Titles</vt:lpstr>
      <vt:lpstr>'O.03 D.02'!Print_Titles</vt:lpstr>
      <vt:lpstr>'O.03 D.03'!Print_Titles</vt:lpstr>
      <vt:lpstr>'O.04 D.01'!Print_Titles</vt:lpstr>
      <vt:lpstr>'O.04 D.07'!Print_Titles</vt:lpstr>
      <vt:lpstr>'O.04 D.08'!Print_Titles</vt:lpstr>
      <vt:lpstr>'O.05 D.03'!Print_Titles</vt:lpstr>
      <vt:lpstr>'O.05 D.04'!Print_Titles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Ovidiu Fejer</dc:creator>
  <cp:lastModifiedBy>Ovidiu Fejer</cp:lastModifiedBy>
  <dcterms:created xsi:type="dcterms:W3CDTF">2024-07-08T13:58:44Z</dcterms:created>
  <dcterms:modified xsi:type="dcterms:W3CDTF">2024-10-09T17:34:39Z</dcterms:modified>
</cp:coreProperties>
</file>