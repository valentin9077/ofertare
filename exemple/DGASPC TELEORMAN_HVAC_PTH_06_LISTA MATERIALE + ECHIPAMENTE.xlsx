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X:\DGASPC Teleorman\10.PT\3. INSTALATII\1. DOCUMENTATIE IN LUCRU\1. LUCRU INSTALATII\1. HVAC\1.Parte scrisa\"/>
    </mc:Choice>
  </mc:AlternateContent>
  <xr:revisionPtr revIDLastSave="0" documentId="13_ncr:1_{AFA21D86-12CB-4364-984D-5C735D5D0B30}" xr6:coauthVersionLast="47" xr6:coauthVersionMax="47" xr10:uidLastSave="{00000000-0000-0000-0000-000000000000}"/>
  <bookViews>
    <workbookView xWindow="28680" yWindow="-120" windowWidth="29040" windowHeight="15720" activeTab="1" xr2:uid="{00000000-000D-0000-FFFF-FFFF00000000}"/>
  </bookViews>
  <sheets>
    <sheet name="F3 - LISTA DE CANTITATI" sheetId="1" r:id="rId1"/>
    <sheet name="F4 - LISTA ECHIPAMENTE" sheetId="2" r:id="rId2"/>
  </sheets>
  <definedNames>
    <definedName name="_xlnm.Print_Area" localSheetId="0">'F3 - LISTA DE CANTITATI'!$A$1:$M$212</definedName>
    <definedName name="_xlnm.Print_Area" localSheetId="1">'F4 - LISTA ECHIPAMENTE'!$A$1:$P$63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1" i="1" l="1"/>
  <c r="I120" i="1"/>
  <c r="I117" i="1"/>
  <c r="I116" i="1"/>
  <c r="I23" i="1"/>
  <c r="I27" i="1"/>
  <c r="I28" i="1"/>
  <c r="I29" i="1"/>
  <c r="I30" i="1"/>
  <c r="I33" i="1"/>
  <c r="I34" i="1"/>
  <c r="I26" i="1"/>
  <c r="I168" i="1"/>
  <c r="I161" i="1"/>
  <c r="I155" i="1"/>
  <c r="I153" i="1"/>
  <c r="I149" i="1"/>
  <c r="I142" i="1"/>
  <c r="I132" i="1"/>
  <c r="I131" i="1"/>
  <c r="I119" i="1"/>
  <c r="I118" i="1"/>
  <c r="I115" i="1"/>
  <c r="I114" i="1"/>
  <c r="I84" i="1"/>
  <c r="I82" i="1"/>
  <c r="I83" i="1" s="1"/>
  <c r="I81" i="1"/>
  <c r="I80" i="1"/>
  <c r="I77" i="1"/>
  <c r="I76" i="1"/>
  <c r="I66" i="1"/>
  <c r="I72" i="1" s="1"/>
  <c r="I126" i="1" l="1"/>
  <c r="I127" i="1" s="1"/>
</calcChain>
</file>

<file path=xl/sharedStrings.xml><?xml version="1.0" encoding="utf-8"?>
<sst xmlns="http://schemas.openxmlformats.org/spreadsheetml/2006/main" count="605" uniqueCount="319">
  <si>
    <t>FORMULARUL F3</t>
  </si>
  <si>
    <t>Specialitatea:</t>
  </si>
  <si>
    <t xml:space="preserve">Proiect: </t>
  </si>
  <si>
    <t>Adresa proiect:</t>
  </si>
  <si>
    <t>Proiectant:</t>
  </si>
  <si>
    <t>Obiect:</t>
  </si>
  <si>
    <t>LISTA cu cantităţi de lucrări pe categorii de lucrări</t>
  </si>
  <si>
    <t>Nr. crt</t>
  </si>
  <si>
    <t>UM</t>
  </si>
  <si>
    <t>Cantitate</t>
  </si>
  <si>
    <t>Cod articol</t>
  </si>
  <si>
    <t>Observatii</t>
  </si>
  <si>
    <t>Cod echipament</t>
  </si>
  <si>
    <t>Denumire echipament</t>
  </si>
  <si>
    <t>buc</t>
  </si>
  <si>
    <t>PU echipament</t>
  </si>
  <si>
    <t xml:space="preserve">Denumire lucrare </t>
  </si>
  <si>
    <t>(rev.1/….......)</t>
  </si>
  <si>
    <t>(rev.2/….......)</t>
  </si>
  <si>
    <t>(rev.3/….......)</t>
  </si>
  <si>
    <t xml:space="preserve">UM </t>
  </si>
  <si>
    <t xml:space="preserve">Cantitate </t>
  </si>
  <si>
    <t xml:space="preserve">Observatii </t>
  </si>
  <si>
    <t xml:space="preserve">PU echipament </t>
  </si>
  <si>
    <t>FORMULARUL F4</t>
  </si>
  <si>
    <t>S.C. GLOBEXTERRA S.R.L.</t>
  </si>
  <si>
    <t>Incalzire, ventilare si aer conditionat</t>
  </si>
  <si>
    <t xml:space="preserve">Instalatii </t>
  </si>
  <si>
    <t>2.1. MATERIALE</t>
  </si>
  <si>
    <t>1.1. MATERIALE</t>
  </si>
  <si>
    <t>ml</t>
  </si>
  <si>
    <t>ans</t>
  </si>
  <si>
    <t>mp</t>
  </si>
  <si>
    <t>kg</t>
  </si>
  <si>
    <t>FT.01</t>
  </si>
  <si>
    <t>Piese speciale   din tabla de otel galvanizat (coturi, teuri, reductii) pentru tubulatura rectangulara materialul marunt, de etansare, imbinare si fixare  cu urmatoarele grosimi ale tablei functie de perimetru canalului circular dimensiunile:
 100 …  250--------------------------0.6 mm
 260 …  550--------------------------0.7 mm
 560 …1000--------------------------0.9 mm
1000…2000--------------------------1,0 mm 
-Transport si operatii de montaj;</t>
  </si>
  <si>
    <t>Izolatie termica (flexibila) din polietilena expandata cu grosimea de 9 mm  pentru conducte din metal/plastic ce transporta agent termic avand dimensiune DN 25
-Procurare, transport, operatii de montaj;</t>
  </si>
  <si>
    <t>Izolatie termica (flexibila) din polietilena expandata cu grosimea de 9 mm  pentru conducte din metal/plastic ce transporta agent termic avand dimensiune DN 32
-Procurare, transport, operatii de montaj;</t>
  </si>
  <si>
    <t>Izolatie termica (flexibila) din polietilena expandata cu grosimea de 9 mm  pentru conducte din metal/plastic ce transporta agent termic avand dimensiune DN 50
-Procurare, transport, operatii de montaj;</t>
  </si>
  <si>
    <t>Izolatie termica (flexibila) din polietilena expandata cu grosimea de 9 mm  pentru conducte din metal/plastic ce transporta agent termic avand dimensiune DN 65
-Procurare, transport, operatii de montaj;</t>
  </si>
  <si>
    <t>Izolatie termica (flexibila) din polietilena expandata cu grosimea de 9 mm  pentru conducte din metal/plastic ce transporta agent termic avand dimensiune DN 100
-Procurare, transport, operatii de montaj;</t>
  </si>
  <si>
    <t>Robineti de trecere imbinati prin infiletare:
-Materiale si accesorii pentru etansare si fixare;
-Procurare, transport, operatii de montaj;
-Diametru: DN15;</t>
  </si>
  <si>
    <t>Robineti de trecere imbinati prin infiletare:
-Materiale si accesorii pentru etansare si fixare;
-Procurare, transport, operatii de montaj;
-Diametru: DN25;</t>
  </si>
  <si>
    <t>Robineti de trecere imbinati prin infiletare:
-Materiale si accesorii pentru etansare si fixare;
-Procurare, transport, operatii de montaj;
-Diametru: DN50;</t>
  </si>
  <si>
    <t>Robineti de trecere imbinati prin infiletare:
-Materiale si accesorii pentru etansare si fixare;
-Procurare, transport, operatii de montaj;
-Diametru: DN65;</t>
  </si>
  <si>
    <t>Robineti de trecere imbinati prin infiletare:
-Materiale si accesorii pentru etansare si fixare;
-Procurare, transport, operatii de montaj;
-Diametru: DN100;</t>
  </si>
  <si>
    <t>Racord antivibrant complet echipat , garnituri, suruburi, piulite, saibe, piese speciale Pn 6  :
-Materiale si accesorii pentru etansare si fixare;
-Procurare, transport, operatii de montaj;
-Diametrul Dn50;</t>
  </si>
  <si>
    <t>Racord antivibrant complet echipat , garnituri, suruburi, piulite, saibe, piese speciale Pn 6  :
-Materiale si accesorii pentru etansare si fixare;
-Procurare, transport, operatii de montaj;
-Diametrul Dn65;</t>
  </si>
  <si>
    <t>Racord antivibrant complet echipat , garnituri, suruburi, piulite, saibe, piese speciale Pn 6  :
-Materiale si accesorii pentru etansare si fixare;
-Procurare, transport, operatii de montaj;
-Diametrul Dn100;</t>
  </si>
  <si>
    <t>Clapeta de sens; cu mufe filetate/flanse pentru montaj aparent:
-Materiale si accesorii pentru etansare si fixare;
-Procurare, transport, operatii de montaj;
-Diametrul Dn25;</t>
  </si>
  <si>
    <t>Clapeta de sens; cu mufe filetate/flanse pentru montaj aparent:
-Materiale si accesorii pentru etansare si fixare;
-Procurare, transport, operatii de montaj;
-Diametrul Dn50;</t>
  </si>
  <si>
    <t>Clapeta de sens; cu mufe filetate/flanse pentru montaj aparent:
-Materiale si accesorii pentru etansare si fixare;
-Procurare, transport, operatii de montaj;
-Diametrul Dn65;</t>
  </si>
  <si>
    <t>Clapeta de sens; cu mufe filetate/flanse pentru montaj aparent:
-Materiale si accesorii pentru etansare si fixare;
-Procurare, transport, operatii de montaj;
-Diametrul Dn100;</t>
  </si>
  <si>
    <t>Filtru de impuritati Y cu mufe filetate/flanse pentru montaj aparent:
-Materiale si accesorii pentru etansare si fixare;
-Procurare, transport, operatii de montaj;
-Diametrul Dn25;</t>
  </si>
  <si>
    <t>Filtru de impuritati Y cu mufe filetate/flanse pentru montaj aparent:
-Materiale si accesorii pentru etansare si fixare;
-Procurare, transport, operatii de montaj;
-Diametrul Dn65;</t>
  </si>
  <si>
    <t>Filtru de impuritati Y cu mufe filetate/flanse pentru montaj aparent:
-Materiale si accesorii pentru etansare si fixare;
-Procurare, transport, operatii de montaj;
-Diametrul Dn100;</t>
  </si>
  <si>
    <t>Robinet de golire
- Materiale si accesorii pentru etansare si fixare;
- Procurare, transport, operatii de montaj;
- Diametru: DN15</t>
  </si>
  <si>
    <t>Robinet de golire
- Materiale si accesorii pentru etansare si fixare;
- Procurare, transport, operatii de montaj;
- Diametru: DN20</t>
  </si>
  <si>
    <t>Robineti de trecere imbinati prin infiletare:
-Materiale si accesorii pentru etansare si fixare;
-Procurare, transport, operatii de montaj;
-Diametru: DN32;</t>
  </si>
  <si>
    <t>Supapa de siguranta
- Materiale si accesorii pentru etansare si fixare;
- Procurare, transport, operatii de montaj;
- Diametru: DN25</t>
  </si>
  <si>
    <t>Termometru 
-Materiale si accesorii pentru etansare si fixare;
-Procurare, transport, operatii de montaj;</t>
  </si>
  <si>
    <t>Manometru
-Materiale si accesorii pentru etansare si fixare;
-Procurare, transport, operatii de montaj;</t>
  </si>
  <si>
    <t>Ventil automat de aerisire
-Materiale si accesorii pentru etansare si fixare;
-Procurare, transport, operatii de montaj;</t>
  </si>
  <si>
    <t>Senzor de temperatura
-Materiale si accesorii pentru etansare si fixare;
-Procurare, transport, operatii de montaj;</t>
  </si>
  <si>
    <t>Senzor de temperatura cu carcasa de otel si microcip
-Materiale si accesorii pentru etansare si fixare;
-Procurare, transport, operatii de montaj;</t>
  </si>
  <si>
    <t>Spalarea conductelor</t>
  </si>
  <si>
    <t>Trecere etanse prin plansee, pentru conducte, izolate la exterior cu diametrul cuprins intre 15-125 mm</t>
  </si>
  <si>
    <t>Efectuarea probei la rece a instalatiei de incalzire ;</t>
  </si>
  <si>
    <t>Efectuarea probei la cald a instalatiei de incalzire ;</t>
  </si>
  <si>
    <t>Efectuarea probei de eficacitate a instalatiei de incalzire ;</t>
  </si>
  <si>
    <t>Efectuarea probei de functionare a instalatiei de incalzire ;</t>
  </si>
  <si>
    <t>Vopsirea conductelor cu vopsea de ulei</t>
  </si>
  <si>
    <t>Vană 3 căi avand caracteristicile:
- Diametru: DN125;
- Kvs = 280.</t>
  </si>
  <si>
    <t>Robinet de echilibrare montat pe circuitul de distributie agent termic apa calda de consum avand urmatoarele caracteristici:
- Diametru nominal: DN50;
- Kv: 20,2.</t>
  </si>
  <si>
    <t>Vană 3 căi avand caracteristicile:
- Diametru: DN100;
- Kvs = 160.</t>
  </si>
  <si>
    <t>Robinet de echilibrare montat pe circuitul de distributie agent termic incalzire in pardoseala avand urmatoarele caracteristici:
- Diametru nominal: DN80;
- Kv: 121,24.</t>
  </si>
  <si>
    <t>Vană 3 căi avand caracteristicile:
- Diametru: DN65;
- Kvs = 63.</t>
  </si>
  <si>
    <t>Robinet de echilibrare montat pe circuitul de distributie agent termic incalzire in pardoseala avand urmatoarele caracteristici:
- Diametru nominal: DN65;
- Kv: 35,27.</t>
  </si>
  <si>
    <t>1.2. ECHIPAMENTE</t>
  </si>
  <si>
    <t>Centrală termică murală cu condensare pentru încălzire avand urmatoarele caracteristici:
- Putere termica: 80 kW;
- Suprapresiune de lucru admisa: 4 bar;
- Putere electrica consumata: 150 W;
- Grad de protectie: IP X4 D;
- Dimensiuni: 530 x 480 x 850 mm;
- Consum maxim de gaze: 12,12 mc/h;
- Temperatura maxima admisa pe tur: 90 °C;
- Racord gaze arse (dublu, coaxial): 110/150 mm;
- Inclus racord de gaze arse al cazanului:
- Complet echipat;
- Clasă eficienţă energetică A pentru încălzire.</t>
  </si>
  <si>
    <t>Pompa de caldura aer-apa monobloc de inalta eficienta, destinata climatizarii si producerii de apa calda, avand urmatoarele caracteristici:
- Sarcină răcire: 127 kW;
- Sarcină încălzire: 130 kW;
- Alimentare: 400V / 3 faze / 50 Hz;
- Putere electrică: 50,7 kW;
- EER (coeficient de eficiență la răcire): 2.51;
- SCOP (coeficient de performanță sezonier la încălzire): 4.12;
- Dimensiuni: 3310 x 1200 x 1900 mm;
- Greutate: 966 kg;
-Agent frigorific: R-32;
- Temperatura maximă pe tur: 60°C;
- Agent termic: Poate funcționa cu apă cu conținut de glicol pentru protecție împotriva înghețului;
- Tip schimbător de căldură: Plăci din oțel inoxidabil AISI 316;
- Ventilatoare: Axiale, cu motor brushless DC;
- Nivel de zgomot: 85 dB(A);
- Racorduri hidraulice: 2” 1/2 Victaulic;
- Complet echipată cu toate accesoriile de montaj, montare, transport, inclusiv automatizare, cu opțiuni pentru conectare în cascadă.</t>
  </si>
  <si>
    <t>Boiler de capacitate mare cu montaj pe pardoseala cu doua schimbatoare de caldura avand urmatoarele caracteristici:
- Temperatura maxima de lucru: 95°C;
- Capacitate: 1000 de litri;
- Izolatie: 50 mm din poliuretan;
- Inaltime: 2050 mm;
- Diametru: 1050 mm;
- Test presiune rezervor: 15 bar;
- Rezistență electrica: 2 x 7,5 kW;
- Greutate: 315 kg;
- Capacitate serpentine S1/S2: 16,65/11,72:
- Suprafața de schimb de căldură S1/S2: 2,7/1,9 mp;
- Putere schimbătoare S1/S2: 105/62 kW;
- Inclusiv termostat, gură de inspecție, flanșe, racord de scurgere, termometru, anod;
- Complet echipat, inclusiv accesorii de montaj, montare, transport, punere în funcțiune.</t>
  </si>
  <si>
    <t>Vas de acumulare de capacitate mare cu montaj pe pardoseală fără serpentine având următoarele caracteristici:
- Capacitate: 4000 de litri;
- Diametru cu izolație: 1600 mm;
- Înălțime cu izolație: 2796 mm;
- Presiune funcționare: 3 bar;
- Manta PVC cu izolație din poliuretan moale:
- Inclusiv termometru;
- Greutate: 474 kg;
- Inclusiv teacă pentru senzor;
- Complet echipat, inclusiv accesorii de montaj, montare, transport, punere în funcțiune.</t>
  </si>
  <si>
    <t>Vas de expansiune cu montaj pe pardoseală având următoarele caracteristici:
- Capacitate: 200 de litri;
- Presiune de preîncărcare: 1,5 bar;
- Presiune maximă de lucru: 10 bar;
- Înălțime: 1065 mm;
- Diametru: 600 mm;
- Racord: 1";
- Complet echipat, inclusiv accesorii de montaj, montare, transport, punere în funcțiune.</t>
  </si>
  <si>
    <t>Statie dedurizare pentru alimentare apa de adaos avand urmatoarele caracteristici:
- Debit specific: 2 mc/h;
- Capacitate ciclica: 75;
- Cantitate de rasina: 25 l;
- Presiune maxima de lucru: 6 bar;
- Presiune minima de lucru: 2 bar;
- Volum rezervor de sare: 28 l;
- Consum de sare la o regenerare: 2,5 kg;
- Durata regenerarii: 40 - 150 min;
- Putere electrica: 30W;
- Alimentare: 230V / 50Hz / 1~;
- Racord: 1".</t>
  </si>
  <si>
    <t>Butelie de egalizare a presiunii avand urmatoarele caracteristici:
- Constructie din otel;
- Diametru nominal: DN 150;
- Complet echipat cu robineti de golire, ventile de aerisire, termomanometre cu teaca si izolatie termica.</t>
  </si>
  <si>
    <t>Distribuitor/colector avand urmatoarele caracteristici:
- Constructie din otel;
- Diametru nominal: DN 125;
- Complet echipat cu robineti de golire, ventile de aerisire, termomanometre cu teaca si izolatie termica.</t>
  </si>
  <si>
    <t>P2 - Pompa simpla  de circulatie cu turatie variabila, circuit cazan, avand urmatoarele caracteristici:
- Debit Q = 4 m³/h;
- Inaltime de pompare Hp = 4 mH2O;
- Putere electrica: 110W;
- Alimentare: 230V / 50Hz / 1~.</t>
  </si>
  <si>
    <t>P1 - Pompa simpla  de circulatie cu turatie variabila, circuit cazan, avand urmatoarele caracteristici:
- Debit Q = 4 m³/h;
- Inaltime de pompare Hp = 4 mH2O;
- Putere electrica: 110W;
- Alimentare: 230V / 50Hz / 1~.</t>
  </si>
  <si>
    <t>P3 - Pompa simpla  de circulatie cu turatie variabila, circuit circulatie apa calda incalzire, avand urmatoarele caracteristici:
- Debit Q = 7 m³/h;
- Inaltime de pompare Hp = 5 mH2O;
- Putere electrica: 200W;
- Alimentare: 230V / 50Hz / 1~.</t>
  </si>
  <si>
    <t>P4 - Pompa simpla  de circulatie cu turatie variabila, circuit apa calda menajera, avand urmatoarele caracteristici:
- Debit Q = 3,5 m³/h;
- Inaltime de pompare Hp = 5 mH2O;
- Putere electrica: 200W;
- Alimentare: 230V / 50Hz / 1~.</t>
  </si>
  <si>
    <t>P5 - Pompa simpla  de circulatie cu turatie variabila, circuit apa calda incalzire in pardoseala, avand urmatoarele caracteristici:
- Debit Q = 21 m³/h;
- Inaltime de pompare Hp = 5 mH2O;
- Putere electrica: 200W;
- Alimentare: 230V / 50Hz / 1~.</t>
  </si>
  <si>
    <t>P6 - Pompa simpla  de circulatie cu turatie variabila, alimentare baterii CTA, avand urmatoarele caracteristici:
- Debit Q = 12 m³/h;
- Inaltime de pompare Hp = 7 mH2O;
- Putere electrica: 700W;
- Alimentare: 230V / 50Hz / 1~.</t>
  </si>
  <si>
    <t>2. INSTALAȚII DE ÎNCĂLZIRE</t>
  </si>
  <si>
    <t>2.1. INCALZIRE IN PARDOSEALA</t>
  </si>
  <si>
    <t>3.1. MATERIALE</t>
  </si>
  <si>
    <t>3. INSTALAȚII DE CLIMATIZARE</t>
  </si>
  <si>
    <t>Unitate exterioară de tip VRF, cu montaj pe postament, cu funcționare în pompă de căldură, concepută pentru eficiență ridicată și flexibilitate în instalații de climatizare. Aceasta utilizează tehnologia DC inverter cu injecție de vapori pentru performanță optimă chiar și în condiții extreme de temperatură. Designul compact permite economisirea spațiului, iar sistemul inteligent de control asigură o funcționare fiabilă și adaptabilă. Caractersitici:
- Sarcina de răcire: 33,5 kW
- Sarcina de încălzire (nominal/maxim): 33,5/37,5 kW
- Tip compresor: DC Inverter
- Refrigerant: R-410A
- Cantitate refrigerant: 6,4 kg
- Alimentare electrică: 380-415V / 3Ph / 50Hz
- Putere electrică: 9,5 kW
- Dimensiuni (L x H x A): 1130 × 1760 × 580 mm
- Greutate: 180 kg
- Debit de aer: 12.500 m³/h
- Nivel de zgomot: 81 dB(A)
- Domeniu de funcționare:
- Răcire: -15°C ~ 55°C
- Încălzire: -30°C ~ 30°C
- Complet echipat, inclusiv accesorii de montaj, montare, transport, punere în funcțiune, automatizare, etc.</t>
  </si>
  <si>
    <t>Unitate exterioară de tip VRF, cu montaj pe postament, cu funcționare în pompă de căldură, concepută pentru eficiență ridicată și flexibilitate în instalații de climatizare. Aceasta utilizează tehnologia DC inverter cu injecție de vapori pentru performanță optimă chiar și în condiții extreme de temperatură. Designul compact permite economisirea spațiului, iar sistemul inteligent de control asigură o funcționare fiabilă și adaptabilă. Caractersitici:
- Sarcina de răcire: 50,0 kW
- Sarcina de încălzire (nominal/maxim): 50,0/56,5 kW
- Tip compresor: DC Inverter
- Refrigerant: R-410A
- Cantitate refrigerant: 8,0 kg
- Alimentare electrică: 380-415V / 3Ph / 50Hz
- Dimensiuni (L x H x A): 1250 × 1760 × 580 mm
- Greutate: 208 kg
- Debit de aer: 20.000 m³/h
- Nivel de zgomot: 88 dB(A)
- Domeniu de funcționare:
- Răcire: -15°C ~ 55°C
- Încălzire: -30°C ~ 30°C
- Complet echipat, inclusiv accesorii de montaj, montare, transport, punere în funcțiune, automatizare, etc.</t>
  </si>
  <si>
    <t>sist</t>
  </si>
  <si>
    <r>
      <t xml:space="preserve">Sistem de climatizare de tip split, alcătuit dintr-o unitate interioară și una exterioară, sistem proiectat pentru eficiență ridicată și confort sporit. Echipat cu filtre de purificare a aerului și tehnologie de control inteligent, acest sistem asigură o distribuție uniformă a aerului și un consum redus de energie. Caracteristici:
</t>
    </r>
    <r>
      <rPr>
        <b/>
        <sz val="11"/>
        <color theme="1"/>
        <rFont val="Calibri"/>
        <family val="2"/>
        <scheme val="minor"/>
      </rPr>
      <t>Unitate exterioara</t>
    </r>
    <r>
      <rPr>
        <sz val="11"/>
        <color theme="1"/>
        <rFont val="Calibri"/>
        <family val="2"/>
        <scheme val="minor"/>
      </rPr>
      <t xml:space="preserve">
- Dimensiuni: 765 x 303 x 555 mm;
- Greutate: 26,4 kg;
- Nivel de zgomot: 61 dB(A);
- Domeniu de functionare:
- Răcire: -15°C ~ 55°C;
- Încălzire: -20°C ~ 24°C;
- Sarcina de racire: 3,52 kW;
- Sarcina de incalzire: 3,81 kW;
- Putere electrica: 1 kW;
- Alimentare: 230V 50Hz 1~
</t>
    </r>
    <r>
      <rPr>
        <b/>
        <sz val="11"/>
        <color theme="1"/>
        <rFont val="Calibri"/>
        <family val="2"/>
        <scheme val="minor"/>
      </rPr>
      <t xml:space="preserve">Unitate interioara
</t>
    </r>
    <r>
      <rPr>
        <sz val="11"/>
        <color theme="1"/>
        <rFont val="Calibri"/>
        <family val="2"/>
        <scheme val="minor"/>
      </rPr>
      <t>- Dimensiuni: 802 x 200 x 295 mm;
- Greutate: 8,7 kg;
- Tip filtru aer: PUF;
- Debit de aer: 520 / 370 / 310 mc/h;
- Capacitate dezumidificare: 1,2 l/h;
- Nivel de zgomot la nivel maxim: 55 dB(A);
- Temperatura reglabila intre 16 si 30 de grade celsius;
- Alimentare: 230V 50Hz 1~
- Putere electrica: 0,03 kW</t>
    </r>
  </si>
  <si>
    <r>
      <t xml:space="preserve">Sistem de climatizare de tip split, alcătuit dintr-o unitate interioară și una exterioară, sistem proiectat pentru eficiență ridicată și confort sporit. Echipat cu filtre de purificare a aerului și tehnologie de control inteligent, acest sistem asigură o distribuție uniformă a aerului și un consum redus de energie. Caracteristici:
</t>
    </r>
    <r>
      <rPr>
        <b/>
        <sz val="11"/>
        <color theme="1"/>
        <rFont val="Calibri"/>
        <family val="2"/>
        <scheme val="minor"/>
      </rPr>
      <t>Unitate exterioara</t>
    </r>
    <r>
      <rPr>
        <sz val="11"/>
        <color theme="1"/>
        <rFont val="Calibri"/>
        <family val="2"/>
        <scheme val="minor"/>
      </rPr>
      <t xml:space="preserve">
- Dimensiuni: 805 x 330 x 554 mm;
- Greutate: 33,5 kg;
- Nivel de zgomot: 65 dB(A);
- Domeniu de functionare:
- Răcire: -15°C ~ 50°C;
- Încălzire: -15°C ~ 24°C;
- Sarcina de racire: 5,27 kW;
- Sarcina de incalzire: 5,39 kW;
- Putere electrica: 1,5 kW;
- Alimentare: 230V 50Hz 1~
</t>
    </r>
    <r>
      <rPr>
        <b/>
        <sz val="11"/>
        <color theme="1"/>
        <rFont val="Calibri"/>
        <family val="2"/>
        <scheme val="minor"/>
      </rPr>
      <t xml:space="preserve">Unitate interioara
</t>
    </r>
    <r>
      <rPr>
        <sz val="11"/>
        <color theme="1"/>
        <rFont val="Calibri"/>
        <family val="2"/>
        <scheme val="minor"/>
      </rPr>
      <t>- Dimensiuni: 969x241x320 mm;
- Greutate: 11,2 kg;
- Tip filtru aer: PUF;
- Debit de aer: 800 / 600 / 500 mc/h;
- Capacitate dezumidificare: 1,8 l/h;
- Nivel de zgomot la nivel maxim: 56 dB(A);
- Temperatura reglabila intre 16 si 30 de grade celsius;
- Alimentare: 230V 50Hz 1~
- Putere electrica: 0,03 kW</t>
    </r>
  </si>
  <si>
    <t>Unități de aer condiționat tip casetă, proiectate pentru a fi compacte și ușor de instalat, potrivindu-se în spații cu tavan fals redus. Au un design nou al panoului pentru o distribuție mai uniformă a aerului și control independent al celor patru direcții ale fluxului de aer. Includ o pompă de drenaj cu ridicare înaltă și o intrare pentru aer proaspăt. De asemenea, au un detector de prezență umană încorporat pentru gestionarea automată a unității. Caracteristici:
- Sarcina răcire: 1.5 kW
- Sarcina încălzire: 1.8 kW
- Putere electrică (răcire): 14 W
- Putere electrică (încălzire): 14 W
- Alimentare: 220-240/1/50 V/Ph/Hz
- Dimensiuni unitate principală (lățime x înălțime x adâncime): 575 x 235 x 638 mm
- Greutate unitate principală: 13 kg
- Dimensiuni panou (lățime x înălțime x adâncime): 620 x 65 x 620 mm
- Greutate panou: 2.3 kg
- Debit de aer: 450/425/400/370/345/320/295 m³/h
- Nivel presiune sonoră: 29/28/27/27/26/26/25 dB(A)
- Nivel putere sonoră: 40/39/39 dB(A)
- Conexiuni țevi (lichid): Φ6.35 mm
- Conexiuni țevi (gaz): Φ12.7 mm
- Racord condens: DN25 mm
- Complet echipat, inclusiv accesorii de montaj, montare, transport, punere în funcțiune, automatizare, etc.</t>
  </si>
  <si>
    <t>Unități de aer condiționat tip casetă, proiectate pentru a fi compacte și ușor de instalat, potrivindu-se în spații cu tavan fals redus. Au un design nou al panoului pentru o distribuție mai uniformă a aerului și control independent al celor patru direcții ale fluxului de aer. Includ o pompă de drenaj cu ridicare înaltă și o intrare pentru aer proaspăt. De asemenea, au un detector de prezență umană încorporat pentru gestionarea automată a unității. Caracteristici:
- Sarcina răcire: 2.2 kW
- Sarcina încălzire: 2.4 kW
- Putere electrică (răcire): 14 W
- Putere electrică (încălzire): 14 W
- Alimentare: 220-240/1/50 V/Ph/Hz
- Dimensiuni unitate principală (lățime x înălțime x adâncime): 575 x 235 x 638 mm
- Greutate unitate principală: 13 kg
- Dimensiuni panou (lățime x înălțime x adâncime): 620 x 65 x 620 mm
- Greutate panou: 2.3 kg
- Debit de aer: 450/425/400/370/345/320/295 m³/h
- Nivel presiune sonoră: 29/28/27/27/26/26/25 dB(A)
- Nivel putere sonoră: 40/39/39 dB(A)
- Conexiuni țevi (lichid): Φ6.35 mm
- Conexiuni țevi (gaz): Φ12.7 mm
- Racord condens: DN25 mm
- Complet echipat, inclusiv accesorii de montaj, montare, transport, punere în funcțiune, automatizare, etc.</t>
  </si>
  <si>
    <t>Unități de aer condiționat tip duct, cu presiune statică medie, proiectate pentru a fi compacte și ușor de poziționat în tavan, având o înălțime de 245 mm. Includ o pompă de drenaj cu ridicare înaltă (1200 mm) și oferă un flux de aer constant datorită unui ventilator controlat digital. Presiunea statică poate fi reglată în 20 de trepte, între 10 și 160 Pa. Au o flexibilitate mare, cu posibilitatea de a poziționa intrarea de aer fie pe partea inferioară, fie pe partea din spate a unității. Caracteristici:
- Sarcina răcire: 1.5 kW
- Putere electrică (răcire): 33 W
- Sarcina încălzire: 1.8 kW
- Putere electrică (încălzire): 33 W
- Conexiuni țevi (lichid): Φ6.35 mm
- Conexiuni țevi (gaz): Φ12.7 mm
- Racord condens: DN25 mm
- Dimensiuni (lățime x înălțime x adâncime): 680 x 245 x 750 mm
- Greutate: 18,5 kg
- Presiune statică externă: 30 (10-160) Pa
- Debit de aer: 470/438/407/375/343/312/280 m³/h
- Nivel presiune sonoră: 26.5/26/25/24/23/22.5/22 dB(A)
- Nivel putere sonoră: 46/44.5/43/41.5/40/38.5/37 dB(A)
- Alimentare: 220-240/1/50 V/Ph/Hz
- Complet echipat, inclusiv accesorii de montaj, montare, transport, punere în funcțiune, automatizare, etc.</t>
  </si>
  <si>
    <t>Unități de aer condiționat tip duct, cu presiune statică medie, proiectate pentru a fi compacte și ușor de poziționat în tavan, având o înălțime de 245 mm. Includ o pompă de drenaj cu ridicare înaltă (1200 mm) și oferă un flux de aer constant datorită unui ventilator controlat digital. Presiunea statică poate fi reglată în 20 de trepte, între 10 și 160 Pa. Au o flexibilitate mare, cu posibilitatea de a poziționa intrarea de aer fie pe partea inferioară, fie pe partea din spate a unității. Caracteristici:
- Sarcina răcire: 2.2 kW
- Putere electrică (răcire): 36 W
- Sarcina încălzire: 2.5 kW
- Putere electrică (încălzire): 36 W
- Conexiuni țevi (lichid): Φ6.35 mm
- Conexiuni țevi (gaz): Φ12.7 mm
- Țeavă de drenaj: OD Φ25 mm
- Dimensiuni (lățime x înălțime x adâncime): 680 x 245 x 750 mm
- Greutate: 18,5 kg
- Presiune statică externă: 30 (10-160) Pa
- Debit de aer: 500/467/433/400/367/333/300 m³/h
- Nivel presiune sonoră: 26.5/26/25/24/23/22.5/22 dB(A)
- Nivel putere sonoră: 47/45.5/44/42.5/41/39.5/38 dB(A)
- Alimentare: 220-240/1/50 V/Ph/Hz
- Complet echipat, inclusiv accesorii de montaj, montare, transport, punere în funcțiune, automatizare, etc.</t>
  </si>
  <si>
    <t>Grila interioară de introducere aer climatizat, rectangulară, din aluminiu, cu dublă deflexie, cu posibilitatea reglării lamelelor la unghi de 45 de grade, inclusiv accesorii de montaj, montare, transport, etc., având dimensiunile 600 x 150 mm.</t>
  </si>
  <si>
    <t>Ramificatie din cupru (refnet branch piping kit)</t>
  </si>
  <si>
    <t>Telecomanda (controller)</t>
  </si>
  <si>
    <t>Izolarea conductelor de agent frigorific cu tuburi din cauciuc elastomeric de 20mm, sau cu strat de polietilena si un strat superior protector care acopera polietilena ce creeaza o bariera rezistenta impotriva pierderilor de caldura</t>
  </si>
  <si>
    <t>Vacuumare trasee frigorifice</t>
  </si>
  <si>
    <t>Reglare si echilibrare instalatie de climatizare</t>
  </si>
  <si>
    <t xml:space="preserve">Teava cupru pentru instalatii frigorifice montata prin sudura
D= 6,35mm pentru freon, inclusiv sistemul de prindere si fixare (procurare si montare), slituri in zidarie si acoperire tencuiala </t>
  </si>
  <si>
    <t xml:space="preserve">Teava cupru pentru instalatii frigorifice montata prin sudura
D= 9,52mm pentru freon, inclusiv sistemul de prindere si fixare (procurare si montare), slituri in zidarie si acoperire tencuiala </t>
  </si>
  <si>
    <t xml:space="preserve">Teava cupru pentru instalatii frigorifice montata prin sudura
D= 12,7mm pentru freon, inclusiv sistemul de prindere si fixare (procurare si montare), slituri in zidarie si acoperire tencuiala </t>
  </si>
  <si>
    <t xml:space="preserve">Teava cupru pentru instalatii frigorifice montata prin sudura
D= 15,88mm pentru freon, inclusiv sistemul de prindere si fixare (procurare si montare), slituri in zidarie si acoperire tencuiala </t>
  </si>
  <si>
    <t xml:space="preserve">Teava cupru pentru instalatii frigorifice montata prin sudura
D= 19,1mm pentru freon, inclusiv sistemul de prindere si fixare (procurare si montare), slituri in zidarie si acoperire tencuiala </t>
  </si>
  <si>
    <t xml:space="preserve">Teava cupru pentru instalatii frigorifice montata prin sudura
D= 22,2mm pentru freon, inclusiv sistemul de prindere si fixare (procurare si montare), slituri in zidarie si acoperire tencuiala </t>
  </si>
  <si>
    <t xml:space="preserve">Teava cupru pentru instalatii frigorifice montata prin sudura
D= 28,58mm pentru freon, inclusiv sistemul de prindere si fixare (procurare si montare), slituri in zidarie si acoperire tencuiala </t>
  </si>
  <si>
    <t>Umplere extra cu refrigerant</t>
  </si>
  <si>
    <t xml:space="preserve">Teava cupru pentru instalatii frigorifice montata prin sudura
D= 25,4mm pentru freon, inclusiv sistemul de prindere si fixare (procurare si montare), slituri in zidarie si acoperire tencuiala </t>
  </si>
  <si>
    <t>3.1. ECHIPAMENTE</t>
  </si>
  <si>
    <t>Mastic acrilic antifoc ce asigura o etansare antifoc flexibila pentru rosturi si gauri de trecere</t>
  </si>
  <si>
    <t>4. INSTALAȚII DE VENTILARE</t>
  </si>
  <si>
    <t>4.1. MATERIALE</t>
  </si>
  <si>
    <t>Tubulatură flexibila confecționată din folie de aluminiu de grosime 80 microni, inclusiv materialul mărunt, de etanșare, îmbinare și fixare, inclusiv toate accesoriile necesare, având dimensiunile:
- Diametru: 100 mm;
- Inclusiv transport, operații de montaj și accesorii.</t>
  </si>
  <si>
    <t>Piese speciale din tablă de oțel galvanizat (coturi, teuri, reducții) pentru tubulatură rectangulara pentru evacuare aer viciat, materialul mărunt, de etanșare, îmbinare și fixare cu următoarele grosimi ale tablei în funcție de perimetrul canalului circular:
- 100 …  250--------------------------0.6 mm
- 260 …  550--------------------------0.7 mm
- 560 …1000--------------------------0.9 mm
- 1000…2000--------------------------1,0 mm 
- Inclusiv transport, operații de montaj.</t>
  </si>
  <si>
    <t>Grilă interioară tip valvă circulară de evacuare aer viciat având următoarele caracteristici:
- Dimensiuni racord: 125 mm;
- Posibilitate reglaj prin înșurubare;
- Inclusiv transport, operații de montaj și accesorii.</t>
  </si>
  <si>
    <t>Microventilator cu montaj pe perete si conexiune la tubulatura pentru evacuare aer viciat având următoarele caracteristici:
- Dimensiuni racord: 100 mm;
- Putere electrica: 14 [W];
- I = 0,085 [A];
- Alimentare: 230V / 50Hz / 1~;
- Debit: 95 [mc/h];
- Inclusiv transport, operații de montaj și accesorii.</t>
  </si>
  <si>
    <t>Caciula de protectie avand urmatoarele caracteristici:
- Diametru: 100 [mm];
- Inclusiv transport, operatii de montaj si accesorii.</t>
  </si>
  <si>
    <t>Caciula de protectie avand urmatoarele caracteristici:
- Diametru: 160 [mm];
- Inclusiv transport, operatii de montaj si accesorii.</t>
  </si>
  <si>
    <t>Efectuarea probei de etanșeitate a rețelei de conducte de aer.</t>
  </si>
  <si>
    <t>Efectuarea probei de funcționare a instalației.</t>
  </si>
  <si>
    <t>Punerea în funcțiune a instalației.</t>
  </si>
  <si>
    <t>Grila de transfer (GrT), rectangulara, avand dimensiunea 400x200 [mm]
- Inclusiv transport, operatii de montaj si accesorii.</t>
  </si>
  <si>
    <t>Grila de transfer (GrT), rectangulara, avand dimensiunea 600x400 [mm]
- Inclusiv transport, operatii de montaj si accesorii.</t>
  </si>
  <si>
    <t>5. INSTALAȚII DE PRODUCERE AGENT TERMIC FOLOSIND PANOURI SOLARE</t>
  </si>
  <si>
    <t>5.1. MATERIALE</t>
  </si>
  <si>
    <t>4.1. ECHIPAMENTE</t>
  </si>
  <si>
    <t>Clapeta de reglaj debit pentru tubulatura rectangulara avand.
- Dimensiune: 200x200 [mm];
- Inclusiv transport, operatii de montaj si accesorii.</t>
  </si>
  <si>
    <t>Clapeta de reglaj debit pentru tubulatura rectangulara avand.
- Dimensiune: 300x200 [mm];
- Inclusiv transport, operatii de montaj si accesorii.</t>
  </si>
  <si>
    <t>Clapeta de reglaj debit pentru tubulatura rectangulara avand.
- Dimensiune: 300x300 [mm];
- Inclusiv transport, operatii de montaj si accesorii.</t>
  </si>
  <si>
    <t>Clapeta de reglaj debit pentru tubulatura rectangulara avand.
- Dimensiune: 500x250 [mm];
- Inclusiv transport, operatii de montaj si accesorii.</t>
  </si>
  <si>
    <t>Tubulatură circulară confecționată din tablă de oțel zincat, tip spiro, inclusiv materialul mărunt, de etanșare, îmbinare și fixare, inclusiv toate accesoriile necesare, având dimensiunile:
- Diametru: 100 mm;
- Inclusiv izolatie din vata minerala;
- Inclusiv transport, operații de montaj și accesorii.</t>
  </si>
  <si>
    <t>Tubulatură circulară confecționată din tablă de oțel zincat, tip spiro, inclusiv materialul mărunt, de etanșare, îmbinare și fixare, inclusiv toate accesoriile necesare, având dimensiunile:
- Diametru: 125 mm;
- Inclusiv izolatie din vata minerala;
- Inclusiv transport, operații de montaj și accesorii.</t>
  </si>
  <si>
    <t>Tubulatură circulară confecționată din tablă de oțel zincat, tip spiro, inclusiv materialul mărunt, de etanșare, îmbinare și fixare, inclusiv toate accesoriile necesare, având dimensiunile:
- Diametru: 160 mm;
- Inclusiv izolatie din vata minerala;
- Inclusiv transport, operații de montaj și accesorii.</t>
  </si>
  <si>
    <t>Tubulatură circulară confecționată din tablă de oțel zincat, tip spiro, inclusiv materialul mărunt, de etanșare, îmbinare și fixare, inclusiv toate accesoriile necesare, având dimensiunile:
- Diametru: 200 mm;
- Inclusiv izolatie din vata minerala;
- Inclusiv transport, operații de montaj și accesorii.</t>
  </si>
  <si>
    <t>Tubulatură circulară confecționată din tablă de oțel zincat, tip spiro, inclusiv materialul mărunt, de etanșare, îmbinare și fixare, inclusiv toate accesoriile necesare, având dimensiunile:
- Diametru: 250 mm;
- Inclusiv izolatie din vata minerala;
- Inclusiv transport, operații de montaj și accesorii.</t>
  </si>
  <si>
    <t>Tubulatură circulară confecționată din tablă de oțel zincat, tip spiro, inclusiv materialul mărunt, de etanșare, îmbinare și fixare, inclusiv toate accesoriile necesare, având dimensiunile:
- Diametru: 315 mm;
- Inclusiv izolatie din vata minerala;
- Inclusiv transport, operații de montaj și accesorii.</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</si>
  <si>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:200x150mm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</si>
  <si>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:200x200mm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</si>
  <si>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:250x250mm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</si>
  <si>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:300x150mm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</si>
  <si>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:300x200mm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</si>
  <si>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:300x300mm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</si>
  <si>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:400x200mm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</si>
  <si>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:500x250mm</t>
  </si>
  <si>
    <t>Tubulatura cu sectiune rectangulara din tabla zincata, izolata termic cu vata minerala de 20mm,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:600x400mm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</si>
  <si>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60 (ve i↔️o) S 500 cu montaj in perete rigid avand dimensiunea:600x400 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</si>
  <si>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180 (ve i↔️o) S 500 cu montaj in perete rigid avand dimensiunea:600x400 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</si>
  <si>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60 (ve i↔️o) S 500 cu montaj in perete rigid avand dimensiunea:ɸ160 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</si>
  <si>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180 (ve i↔️o) S 500 cu montaj in perete rigid avand dimensiunea:ɸ160 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</si>
  <si>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180 (ve i↔️o) S 500 cu montaj in perete rigid avand dimensiunea:ɸ250 mm</t>
  </si>
  <si>
    <t>Clapeta rezistenta la foc, inclusiv fuzibil, declansare la 72°C, actionate de servomotor alimentat 230V cu arc de revenire , prevazute cu un contact de inceput si sfarsit de cursa, cu garnitura/flanse complet cu accesorii montaj, prindere, etansare rezistenta la foc a spatiului intre clapeta si elementul de constructie in care este montata, rearmare automata.
Inclusiv mastic rezistent la foc pentru montaj in perete.
Clasificare : EI 180 (ve i↔️o) S 500 cu montaj in perete rigid avand dimensiunea:ɸ315 mm</t>
  </si>
  <si>
    <r>
      <t xml:space="preserve">Centrala de tratare aer este o unitate de tratare a aerului (CTA) proiectată pentru a asigura ventilarea. Aceasta este o unitate de ventilare nerezidențială (NRVU) și o unitate de ventilare bidirecțională (BVU), ceea ce înseamnă că furnizează aer proaspăt și evacuează aerul viciat. Caracteristici:
</t>
    </r>
    <r>
      <rPr>
        <b/>
        <sz val="10"/>
        <color theme="1"/>
        <rFont val="Calibri"/>
        <family val="2"/>
        <scheme val="minor"/>
      </rPr>
      <t>Debite:</t>
    </r>
    <r>
      <rPr>
        <sz val="10"/>
        <color theme="1"/>
        <rFont val="Calibri"/>
        <family val="2"/>
        <scheme val="minor"/>
      </rPr>
      <t xml:space="preserve">
 - Debit de aer refulat: 4700 m³/h
 - Debit de aer evacuat: 3700 m³/h
</t>
    </r>
    <r>
      <rPr>
        <b/>
        <sz val="10"/>
        <color theme="1"/>
        <rFont val="Calibri"/>
        <family val="2"/>
        <scheme val="minor"/>
      </rPr>
      <t>Presiuni:</t>
    </r>
    <r>
      <rPr>
        <sz val="10"/>
        <color theme="1"/>
        <rFont val="Calibri"/>
        <family val="2"/>
        <scheme val="minor"/>
      </rPr>
      <t xml:space="preserve">
 - Cădere de presiune externă (aer refulat): 400 Pa
 - Cădere de presiune externă (aer evacuat): 400 Pa
</t>
    </r>
    <r>
      <rPr>
        <b/>
        <sz val="10"/>
        <color theme="1"/>
        <rFont val="Calibri"/>
        <family val="2"/>
        <scheme val="minor"/>
      </rPr>
      <t>Alimentare:</t>
    </r>
    <r>
      <rPr>
        <sz val="10"/>
        <color theme="1"/>
        <rFont val="Calibri"/>
        <family val="2"/>
        <scheme val="minor"/>
      </rPr>
      <t xml:space="preserve">
 - Motor ventilator refulare: 2,75 kW, 400 V / 50 Hz
 - Motor ventilator evacuare: 1,5 kW, 400 V / 50 Hz
</t>
    </r>
    <r>
      <rPr>
        <b/>
        <sz val="10"/>
        <color theme="1"/>
        <rFont val="Calibri"/>
        <family val="2"/>
        <scheme val="minor"/>
      </rPr>
      <t>Baterie de încălzire:</t>
    </r>
    <r>
      <rPr>
        <sz val="10"/>
        <color theme="1"/>
        <rFont val="Calibri"/>
        <family val="2"/>
        <scheme val="minor"/>
      </rPr>
      <t xml:space="preserve">
 - Capacitate de încălzire: 37,84 kW
 - Cădere de presiune: 101 Pa
</t>
    </r>
    <r>
      <rPr>
        <b/>
        <sz val="10"/>
        <color theme="1"/>
        <rFont val="Calibri"/>
        <family val="2"/>
        <scheme val="minor"/>
      </rPr>
      <t xml:space="preserve">Baterie de răcire:
</t>
    </r>
    <r>
      <rPr>
        <sz val="10"/>
        <color theme="1"/>
        <rFont val="Calibri"/>
        <family val="2"/>
        <scheme val="minor"/>
      </rPr>
      <t xml:space="preserve"> - Capacitate de răcire: 18,36 kW
 - Cădere de presiune (uscată): 86 Pa
</t>
    </r>
    <r>
      <rPr>
        <b/>
        <sz val="10"/>
        <color theme="1"/>
        <rFont val="Calibri"/>
        <family val="2"/>
        <scheme val="minor"/>
      </rPr>
      <t xml:space="preserve">Schimbător de căldură:
</t>
    </r>
    <r>
      <rPr>
        <sz val="10"/>
        <color theme="1"/>
        <rFont val="Calibri"/>
        <family val="2"/>
        <scheme val="minor"/>
      </rPr>
      <t xml:space="preserve"> - Tip: Schimbător de căldură cu plăci
 - Eficiență termică (EN308): 77,5 %
 - Cădere de presiune: 220 Pa
</t>
    </r>
    <r>
      <rPr>
        <b/>
        <sz val="10"/>
        <color theme="1"/>
        <rFont val="Calibri"/>
        <family val="2"/>
        <scheme val="minor"/>
      </rPr>
      <t>Filtre</t>
    </r>
    <r>
      <rPr>
        <sz val="10"/>
        <color theme="1"/>
        <rFont val="Calibri"/>
        <family val="2"/>
        <scheme val="minor"/>
      </rPr>
      <t xml:space="preserve">
- Filtru cu sac ISO Coarse - 60%
- Filtru cu sac ISO ePM 1 - 50%
- Conformitate ErP cu regulamentul (UE) 1253/2014/EC și EUROVENT-EVIA FAQ on EU 1253/2014.</t>
    </r>
  </si>
  <si>
    <r>
      <t xml:space="preserve">Centrala de tratare aer este o unitate de tratare a aerului (CTA) proiectată pentru a asigura ventilarea. Aceasta este o unitate de ventilare nerezidențială (NRVU) și o unitate de ventilare bidirecțională (BVU), ceea ce înseamnă că furnizează aer proaspăt și evacuează aerul viciat. Caracteristici:
</t>
    </r>
    <r>
      <rPr>
        <b/>
        <sz val="10"/>
        <color theme="1"/>
        <rFont val="Calibri"/>
        <family val="2"/>
        <scheme val="minor"/>
      </rPr>
      <t xml:space="preserve">Debite:
- </t>
    </r>
    <r>
      <rPr>
        <sz val="10"/>
        <color theme="1"/>
        <rFont val="Calibri"/>
        <family val="2"/>
        <scheme val="minor"/>
      </rPr>
      <t xml:space="preserve">Debit de aer refulat: 1400 m³/h
 - Debit de aer evacuat: 2500 m³/h
</t>
    </r>
    <r>
      <rPr>
        <b/>
        <sz val="10"/>
        <color theme="1"/>
        <rFont val="Calibri"/>
        <family val="2"/>
        <scheme val="minor"/>
      </rPr>
      <t>Presiuni:</t>
    </r>
    <r>
      <rPr>
        <sz val="10"/>
        <color theme="1"/>
        <rFont val="Calibri"/>
        <family val="2"/>
        <scheme val="minor"/>
      </rPr>
      <t xml:space="preserve">
 - Cădere de presiune externă (aer refulat): 400 Pa
 - Cădere de presiune externă (aer evacuat): 400 Pa
</t>
    </r>
    <r>
      <rPr>
        <b/>
        <sz val="10"/>
        <color theme="1"/>
        <rFont val="Calibri"/>
        <family val="2"/>
        <scheme val="minor"/>
      </rPr>
      <t>Alimentare:</t>
    </r>
    <r>
      <rPr>
        <sz val="10"/>
        <color theme="1"/>
        <rFont val="Calibri"/>
        <family val="2"/>
        <scheme val="minor"/>
      </rPr>
      <t xml:space="preserve">
 - Motor ventilator refulare: 1,5 kW, 400 V / 50 Hz
 - Motor ventilator evacuare: 1,5 kW, 400 V / 50 Hz
</t>
    </r>
    <r>
      <rPr>
        <b/>
        <sz val="10"/>
        <color theme="1"/>
        <rFont val="Calibri"/>
        <family val="2"/>
        <scheme val="minor"/>
      </rPr>
      <t>Baterie de încălzire:</t>
    </r>
    <r>
      <rPr>
        <sz val="10"/>
        <color theme="1"/>
        <rFont val="Calibri"/>
        <family val="2"/>
        <scheme val="minor"/>
      </rPr>
      <t xml:space="preserve">
 - Capacitate de încălzire: 7,51 kW
 - Cădere de presiune: 21 Pa
</t>
    </r>
    <r>
      <rPr>
        <b/>
        <sz val="10"/>
        <color theme="1"/>
        <rFont val="Calibri"/>
        <family val="2"/>
        <scheme val="minor"/>
      </rPr>
      <t>Baterie de răcire:</t>
    </r>
    <r>
      <rPr>
        <sz val="10"/>
        <color theme="1"/>
        <rFont val="Calibri"/>
        <family val="2"/>
        <scheme val="minor"/>
      </rPr>
      <t xml:space="preserve">
 - Capacitate de răcire: 3,45 kW
 - Cădere de presiune (uscată): 15 Pa
</t>
    </r>
    <r>
      <rPr>
        <b/>
        <sz val="10"/>
        <color theme="1"/>
        <rFont val="Calibri"/>
        <family val="2"/>
        <scheme val="minor"/>
      </rPr>
      <t>Schimbător de căldură:</t>
    </r>
    <r>
      <rPr>
        <sz val="10"/>
        <color theme="1"/>
        <rFont val="Calibri"/>
        <family val="2"/>
        <scheme val="minor"/>
      </rPr>
      <t xml:space="preserve">
 - Tip: Schimbător de căldură cu plăci
  - Eficiență termică (EN308): 78,6 %
 - Cădere de presiune: 81 Pa (refulare), 194 Pa (evacuare)
</t>
    </r>
    <r>
      <rPr>
        <b/>
        <sz val="10"/>
        <color theme="1"/>
        <rFont val="Calibri"/>
        <family val="2"/>
        <scheme val="minor"/>
      </rPr>
      <t>Filtre</t>
    </r>
    <r>
      <rPr>
        <sz val="10"/>
        <color theme="1"/>
        <rFont val="Calibri"/>
        <family val="2"/>
        <scheme val="minor"/>
      </rPr>
      <t xml:space="preserve">
- Filtru cu sac ISO Coarse - 60%
- Filtru cu sac ISO ePM 1 - 50%
- Conformitate ErP (Energy-related Products) cu regulamentul (UE) 1253/2014/EC și EUROVENT-EVIA FAQ on EU 1253/2014.</t>
    </r>
  </si>
  <si>
    <t>VENTILATOR EVACUARE AER  GRUPURI SANITARE
Parametrii tehnici şi funcţionali: 
- Tip : axial in-line
- Diametru: φ125 [mm]
- Debit de aer : 150 [m³/h]
- Disponibil de presiune : ΔP=250 [Pa]
- Alimentare : 230 V/50 Hz
- Putere electrica : 0,116 [kW]    
- Curent absorbit : 0,92 [A]    
Accesorii : 
- Complet echipat cu accesorii de prindere si montaj, support antiseismic antivibranti,racorduri flexibile, cablu de alimentare, elemente de automatizare;
- Temporizator ;
- Clapeta etansa antiretur montata pe racord refulare ventilator;
- Buton de actionare</t>
  </si>
  <si>
    <t>5.1. ECHIPAMENTE</t>
  </si>
  <si>
    <t>Colector cu tuburi vidate cu strat antireflectorizant, cu functionare pe principiul tuburilor termice (Heatpipe), cu deconectarea temperaturii tuburilor vidate, pentru o functionare sigura.
Suprafata de captare insensibila la murdarire, integrata in tuburile vidate, cu acoperire inalt selectiva. Transferul eficient al caldurii prin intermediul condensatoarelor inconjurate complet de schimbatorul de caldura cu sistem dublu de tuburi.
Tuburile care pot fi rotite individual se pot orienta optim catre soare si astfel se maximizeaza utilizarea energiei. Racordare uscata, tuburile pot fi introduse sau inlocuite cu instalatia plina. Termoizolatia de inalta eficienta a carcasei minimizeaza pierderile de caldura.
Date tehnice:
- Numar de tuburi: 24
- Suprafata bruta: 4,62 m² 
- Suprafata absorber: 3,03 m² 
- Suprafata de apertura: 3,19 m²
- Presiune maxima de exploatare: 6 bar
- Randament optic: 80,2%
- Temperatura maxima in stand-by: 160 °C
- Dimensiuni BxHxA: 2061x2241x150 mm; 
- Greutate: 79 kg</t>
  </si>
  <si>
    <t>Stație solară cu tur și retur (două linii) cu pompă de înaltă eficiență sunt: pomparea, reglarea debitului din circuit și dezaerisirea instalației în mod automat.
Date tehnice:
• Temperatura maximă de lucru pe tur este de 160°C, iar temperatura maximă de lucru pe retur (partea unde se află pompa) este de 100°C.
• Presiunea maximă de lucru este de 8 bar. Supapa de siguranță este reglată la 6 bar.
• Pompa are 2 termometre tur/retur și un manometru pentru controlul presiunii din instalație.
• Aparatele au o precizie de măsurare de +/-10% din valoarea finală.
• Racorduri: 3/4"" filet exterior tur/retur
• Dezaerisirea instalației se face în mod automat.
• Componentele pompei sunt din inox, alamă și plastic.
• Garniturile de etanșare sunt din materiale speciale cu rezistență la temperaturile înalte.
• Izolație este din EPP.
• Este echipată cu pompa de recirculare și debitmetru din alamă cu vizor din borosilicat
• debit 2,0 – 12,0 l/min."</t>
  </si>
  <si>
    <t xml:space="preserve">Vasul de expansiune solar este proiectat pentru sisteme de incalzire inchise cu energie solara si functia lui este de a compensa variatia volumului lichidului in functie de temperatura intr-un sistem de energie solara. Acesta este echipat cu o membrana speciala din material EPDM-HT capabila sa reziste la temperaturi de pana la 140 ° C si este potrivit pentru functionarea cu solutii de glicol.
Date tehnice:
­ Presiunea max. de lucru: 10 bar
­ Temperatura admisibila a apei: 140°C
­ Volum nominal:  25 l
­ Diametru: 280 mm
­ Inaltimea totala: 518 mm
- Agent termic: apa + glycol
- Presiunea de pre-incarcare: 2.5 bar </t>
  </si>
  <si>
    <t>Supapele de siguranta sunt utilizate in instalatii hidro-sanitare si de incalzire pentru controlarea presiunilor, atunci cand sunt prezente acumulari de apa calda sau pe generatoarele de caldura.
Folosirea supapei de siguranta evita deteriorarea instalatiilor si a componentelor acestora, prin descarcarea presiunilor mai mari decat valoarea setata a supapei.
Date tehnice:
Temperatura maxima de exercitiu                                       160°C
Temperatura minima de exercitiu                                       - 5°C
Presiune nominala                                                                 PN10
Utilizarea fluidului                                                                 apă și soluție glicol
Procentul maxim de glicol                                                    50%
Filete                                                                                          3/4 interior si 1 iesire 
Presiune de lucru                                                                    6 bari</t>
  </si>
  <si>
    <t>Regulatorul digital, se utilizeaza pentru controlul automat al sisteme solare si de incalzire de tip mic si medie.
Date tehnice:
- 4 intrari pentru senzorii de temperatura Pentru 1000, Pentru 500 sau KTY
- echipat cu 3 sonde de temperatura Pentru1000;
- 2 iesiri de tip PWM pentru comanda pompelor de inalta eficienta cu turatie reglabila;
- 1 intrare impuls pentru debitmetru V4,
- 4 taste de apasare si 1 roata de reglare (Lightwheel) pentru accesarea rapida a modului manual si a setarilor pentru vacanta;
- carcasa este fabricata din plastic, PC-ABS (Policarbonat/Acrilonitril Butadien Stiren) si PMMA (polimer termoplastic)
- 10 configurari de baza presetate;
- ecran de monitorizare a sistemului de tip System-Monitoring-Display pentru vizualizarea instalatiei 16 afisaje segment, 8
simboluri, lampa de control (Lightwheel) si iluminare de fundal;
- functii: contor pentru orele de functionare, functie colectorul solar, functie de termostat, reglarea turatiei pompei,
masurarea cantitati de caldura absorbita, reglare parametrilor sistemului, functii optionale, functie de echilibrare si diagnostic, functie de control</t>
  </si>
  <si>
    <t>Panouri solare pentru incalzire</t>
  </si>
  <si>
    <t>Statie de pompare solara</t>
  </si>
  <si>
    <t>Vas de expansiune solar</t>
  </si>
  <si>
    <t>Supapa de siguranta solara D = 3/4”</t>
  </si>
  <si>
    <t>Regulator solar</t>
  </si>
  <si>
    <t>Set de racordare panouri solare</t>
  </si>
  <si>
    <t>Suport panouri solare</t>
  </si>
  <si>
    <t>Robinet de trecere cu etansare sferica avand D = 1/2”</t>
  </si>
  <si>
    <t>Robinet ventil automat de aerisire având D= 1/2”</t>
  </si>
  <si>
    <t>Robinet cu cep (cana) golire D= 1/2”</t>
  </si>
  <si>
    <t>Canistra cu glicol de 20 litri</t>
  </si>
  <si>
    <t>m</t>
  </si>
  <si>
    <t>Conducte din cupru pentru instalatia solara (tur,retur) pentru circuit agent termic, inclusiv fitingurile pentru imbinare (curbe, mufe, reductii, etc) si materiale necesare montajului  (material marunt, pierderi de material,material de etansare, de fixare etc).                                                              
Diametru: 25x1,5 mm</t>
  </si>
  <si>
    <t>Conducte din cupru pentru instalatia solara (tur,retur) pentru circuit agent termic, inclusiv fitingurile pentru imbinare (curbe, mufe, reductii, etc) si materiale necesare montajului  (material marunt, pierderi de material,material de etansare, de fixare etc).                                                              
Diametru: 35x1,5 mm</t>
  </si>
  <si>
    <t>"Construire, dotare, imprejmuire si racord utilitati "Centru de ingrijire si asistenta persoane adulte cu dizabilitati Olteni""</t>
  </si>
  <si>
    <t>Sos. Alexandriei, nr. 27, parcela 1493, N.C. 20529, comuna Olteni, jud. Teleorman</t>
  </si>
  <si>
    <t>2.2. INCALZIRE SPATII TEHNICE</t>
  </si>
  <si>
    <t>2.2. ECHIPAMENTE</t>
  </si>
  <si>
    <t>FT.02</t>
  </si>
  <si>
    <t>FT.03</t>
  </si>
  <si>
    <t>FT.04</t>
  </si>
  <si>
    <t>FT.05</t>
  </si>
  <si>
    <t>FT.06</t>
  </si>
  <si>
    <t>FT.07</t>
  </si>
  <si>
    <t>FT.08</t>
  </si>
  <si>
    <t>FT.09</t>
  </si>
  <si>
    <t>FT.10</t>
  </si>
  <si>
    <t>FT.11</t>
  </si>
  <si>
    <t>FT.12</t>
  </si>
  <si>
    <t>FT.13</t>
  </si>
  <si>
    <t>FT.14</t>
  </si>
  <si>
    <t>FT.15</t>
  </si>
  <si>
    <t>FT.16</t>
  </si>
  <si>
    <t>FT.17</t>
  </si>
  <si>
    <t>FT.27</t>
  </si>
  <si>
    <t>FT.37</t>
  </si>
  <si>
    <t>FT.18</t>
  </si>
  <si>
    <t>FT.19</t>
  </si>
  <si>
    <t>FT.20</t>
  </si>
  <si>
    <t>FT.21</t>
  </si>
  <si>
    <t>FT.22</t>
  </si>
  <si>
    <t>FT.23</t>
  </si>
  <si>
    <t>FT.24</t>
  </si>
  <si>
    <t>FT.25</t>
  </si>
  <si>
    <t>FT.26</t>
  </si>
  <si>
    <t>FT.28</t>
  </si>
  <si>
    <t>FT.29</t>
  </si>
  <si>
    <t>FT.30</t>
  </si>
  <si>
    <t>FT.31</t>
  </si>
  <si>
    <t>FT.32</t>
  </si>
  <si>
    <t>FT.33</t>
  </si>
  <si>
    <t>FT.34</t>
  </si>
  <si>
    <t>FT.35</t>
  </si>
  <si>
    <t>FT.36</t>
  </si>
  <si>
    <t>FT.38</t>
  </si>
  <si>
    <t>FT.39</t>
  </si>
  <si>
    <t>Teava din polietilenta reticulata la inalta presiune, avand dimensiunea 17x2mm, cu strat de protectie contra difuziunii oxigenului</t>
  </si>
  <si>
    <t>Tub de protectie gofrat din material plastic, pentru protejarea conductelor tip Pe-XA 17x2 mm in zona introducerii tevilor in distribuitor si a traversarii rosturilor de dilatare, avand Φ24mm</t>
  </si>
  <si>
    <t>Placa cu nuturi pe folie fonoizolatoare tip 30-2 pe partea inferioara. Element termoizolant cu amprente circulare, pentru fixarea tevilor de pardoseala fara a utiliza alte elemente de fixare</t>
  </si>
  <si>
    <t>Banda perimetrala cu striatii din spuma PE extrudata, pentru fixarea pe perete; profilata pentru adaptarea flexibila la colturile spatiilor</t>
  </si>
  <si>
    <t>Rost de dilatare pentru a asigura sapei un spatiu de dilatare</t>
  </si>
  <si>
    <t>Aditiv pentru sapa, material suplimentar pentru ciment, pentru imbunatatirea conditiilor termice si pentru cresterea rezistentei la presiune si indoire</t>
  </si>
  <si>
    <t>Racord demontabil la distribuitor, stut, inel de strangere si piulita pentru teava 17mm</t>
  </si>
  <si>
    <t>Curba conducatoare 17mm</t>
  </si>
  <si>
    <t>Punte pentru nuturi</t>
  </si>
  <si>
    <t>Caseta distribuitor-colector cu montaj ingropat, dimensiuni 800x705x125 mm (5-8 circuite)</t>
  </si>
  <si>
    <t>Caseta distribuitor-colector cu montaj ingropat, dimensiuni 1000x705x125 mm (9-12 circuite)</t>
  </si>
  <si>
    <t>FT.41</t>
  </si>
  <si>
    <t>FT.42</t>
  </si>
  <si>
    <t xml:space="preserve">Punere in functiune echipamente relocate din centrala termica </t>
  </si>
  <si>
    <t>Grila interioară de recirculare aer climatizat, rectangulară, din aluminiu, cu simplă deflexie, cu filtru pentru praf și impurități, cu lamele fixe la 45 de grade, inclusiv accesorii de montaj, montare, transport, etc., având dimensiunile 600 x 300 mm.</t>
  </si>
  <si>
    <t>Tubulatura  din tabla de otel galvanizat, rectangulara pentru aer evacuat, inclusiv, materialul marunt, de etansare, imbinare si fixare, inclusiv izolatie cu vata minerala, cu urmatoarele grosimi ale tablei functie de perimetru canalului rectangular:
 100 …  250--------------------------0.6 mm
 260 …  550--------------------------0.7 mm
 560 …1000--------------------------0.9 mm
1000…2000--------------------------1,0 mm 
-Transport si operatii de montaj;
- Dimensiuni: 680x245 mm
- Dimensiuni: 600x300 mm
- Dimensiuni: 600x150 mm</t>
  </si>
  <si>
    <t>Hotă profesională de înaltă calitate este proiectată pentru a asigura o extracție eficientă a fumului și a poluanților din bucătăriile profesionale, menținând un mediu de lucru curat și sigur. Cu o lungime de 1100 mm, este ideală pentru bucătăriile de dimensiuni medii, oferind un echilibru perfect între performanță și dimensiuni. Caracteristici:
- Lungime: 1100 mm
- Înălțime vizieră: 400 mm
- Adâncime: 1100 mm
- Motor: Ventilator 225/0,55 kW
- Debit maxim: 3500 m³/h
- Presiune disponibilă: 400 Pa la 1000 m³/h, 300 Pa la 1500 m³/h
- Clasificare la foc: 400°C/1h
- Material: Conform specificațiilor producătorului
- Structură: Sudată, conform normei NF EN 16282-2
- Filtre: Filtre cu șoc de protecție împotriva flăcărilor, conform normei NF EN 16282-6
- Iluminare: LED de înaltă temperatură
- Siguranță: Robinet de incendiu CID
- Alimentare: Trifazată 230/400V - 50 Hz
- Instalare: Plug &amp; Play
- Complet echipat, inclusiv accesorii de montaj, montare, transport, punere în funcțiune, automatizare, etc.</t>
  </si>
  <si>
    <t>Conducte din OTEL NEGRU pentru instalatii de incalzire (tur,retur) pentru circuit agent termic, inclusiv fitingurile pentru imbinare (curbe, mufe, reductii, etc) si materiale necesare montajului  (material marunt, pierderi de material,material de etansare, de fixare etc).                                                              
Diametru: Ø 1 1/4" - Dn32</t>
  </si>
  <si>
    <r>
      <t xml:space="preserve">Conducte din OTEL NEGRU pentru instalatii de incalzire (tur,retur) pentru circuit agent termic, inclusiv fitingurile pentru imbinare (curbe, mufe, reductii, etc) si materiale necesare montajului  (material marunt, pierderi de material,material de etansare, de fixare etc).                                                              
</t>
    </r>
    <r>
      <rPr>
        <sz val="11"/>
        <rFont val="Calibri"/>
        <family val="2"/>
        <scheme val="minor"/>
      </rPr>
      <t>Diametru: Ø 1 - Dn25</t>
    </r>
  </si>
  <si>
    <t>Conducte din OTEL NEGRU pentru instalatii de incalzire (tur,retur) pentru circuit agent termic, inclusiv fitingurile pentru imbinare (curbe, mufe, reductii, etc) si materiale necesare montajului  (material marunt, pierderi de material,material de etansare, de fixare etc).                                                              
Diametru: Ø 2" - Dn50</t>
  </si>
  <si>
    <t>Conducte din OTEL NEGRU pentru instalatii de incalzire (tur,retur) pentru circuit agent termic, inclusiv fitingurile pentru imbinare (curbe, mufe, reductii, etc) si materiale necesare montajului  (material marunt, pierderi de material,material de etansare, de fixare etc).                                                              
Diametru: Ø 2 1/2" - Dn65</t>
  </si>
  <si>
    <t>Conducte din OTEL NEGRU pentru instalatii de incalzire (tur,retur) pentru circuit agent termic, inclusiv fitingurile pentru imbinare (curbe, mufe, reductii, etc) si materiale necesare montajului  (material marunt, pierderi de material,material de etansare, de fixare etc).                                                              
Diametru: Ø 4" - Dn100</t>
  </si>
  <si>
    <t>Piese speciale din tablă de oțel galvanizat (coturi, teuri, reducții) pentru tubulatură circulară pentru evacuare aer viciat, materialul mărunt, de etanșare, îmbinare și fixare cu următoarele grosimi ale tablei în funcție de perimetrul canalului circular: 
- 100 …  250--------------------------0.6 mm
- 260 …  550--------------------------0.7 mm
- 560 …1000--------------------------0.9 mm
- 1000…2000--------------------------1,0 mm 
- Inclusiv transport, operații de montaj.</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</si>
  <si>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:200x150mm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</si>
  <si>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:200x200mm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</si>
  <si>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:250x250mm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</si>
  <si>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:300x150mm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</si>
  <si>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:300x200mm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</si>
  <si>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:300x300mm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</si>
  <si>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:400x200mm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</si>
  <si>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:400x300mm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</si>
  <si>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:400x400mm</t>
  </si>
  <si>
    <t>Tubulatura cu sectiune rectangulara din tabla zincat,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:500x200mm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</si>
  <si>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:500x250mm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</si>
  <si>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:500x300mm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</si>
  <si>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:500x400mm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</si>
  <si>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:500x500mm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</si>
  <si>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:800x400mm</t>
  </si>
  <si>
    <t>Tubulatura cu sectiune rectangulara din tabla zincata, izolata termic cu vata minerala de 20mm si jacketare, complet cu garnituri de etansare la imbinare, accesorii de sustinere (tija reglabila filetata, tamburi de cauciuc, sina de montaj, console metalice), accesorii de cuplare si etansare,  avand urmatoarele dimensiuni ale tablei:
 100 …  250--------------------------0.6 mm
 260 …  550--------------------------0.7 mm
 560 …1000--------------------------0.9 mm
1000…2000--------------------------1,0 mm 
Nota: in pretul final vor fi incluse accesoriile de montaj si sustinere, precum si piese speciale : reductii , teuri, coturi , ramificatii , izolatie din vata minerala, etc
Dimensiune :1000x400mm</t>
  </si>
  <si>
    <t>Grila interioara de introducere aer tratat de tip anemostat cu refulare pe 4 directii avand urmatoarele caracteristici:
- Dimensiuni: 225x225 [mm];
- Dimensiuni racord: 160 [mm];
- Posibilitate reglaj prin înșurubare;
- Inclusiv plenum de racord;
- Inclusiv transport, operații de montaj și accesorii.</t>
  </si>
  <si>
    <t>Grila interioara de introducere aer tratat de tip anemostat cu refulare pe 4 directii avand urmatoarele caracteristici:
- Dimensiuni: 300x300 [mm];
- Dimensiuni racord: 200 [mm];
- Posibilitate reglaj prin înșurubare;
- Inclusiv plenum de racord;
- Inclusiv transport, operații de montaj și accesorii.</t>
  </si>
  <si>
    <t>Grila interioara de introducere aer tratat de tip anemostat cu refulare pe 4 directii avand urmatoarele caracteristici:
- Dimensiuni: 450x450 [mm];
- Dimensiuni racord: 315 [mm];
- Posibilitate reglaj prin înșurubare;
- Inclusiv plenum de racord;
- Inclusiv transport, operații de montaj și accesorii.</t>
  </si>
  <si>
    <t>Grila interioara de introducere aer tratat de tip grila rectangulara cu lamele si registru reglaj debit avand urmatoarele caracteristici:
- Dimensiuni: 1000x300 [mm];
- Posibilitate reglaj prin înșurubare;
- Inclusiv plenum de racord;
- Inclusiv transport, operații de montaj și accesorii.</t>
  </si>
  <si>
    <t>Grila interioara de evacuare aer viciat de tip grila rectangulara fagure avand urmatoarele caracteristici:
- Dimensiuni: 300x300 [mm];
- Posibilitate reglaj prin înșurubare;
- Inclusiv plenum de racord;
- Inclusiv transport, operații de montaj și accesorii.</t>
  </si>
  <si>
    <t>Grila interioara de evacuare aer viciat de tip grila rectangulara fagure avand urmatoarele caracteristici:
- Dimensiuni: 600x600 [mm];
- Posibilitate reglaj prin înșurubare;
- Inclusiv plenum de racord;
- Inclusiv transport, operații de montaj și accesorii.</t>
  </si>
  <si>
    <r>
      <t xml:space="preserve">Grila de transfer rezistente la foc EI180' (GrT RF), rectangulara, avand dimensiunea 600x400 [mm] </t>
    </r>
    <r>
      <rPr>
        <sz val="11"/>
        <rFont val="Calibri"/>
        <family val="2"/>
        <scheme val="minor"/>
      </rPr>
      <t>(grile pe ambele fete si clapeta anti-foc intre ele)</t>
    </r>
    <r>
      <rPr>
        <sz val="11"/>
        <color theme="1"/>
        <rFont val="Calibri"/>
        <family val="2"/>
        <scheme val="minor"/>
      </rPr>
      <t xml:space="preserve">
- Inclusiv transport, operatii de montaj si accesorii.</t>
    </r>
  </si>
  <si>
    <r>
      <t xml:space="preserve">Grila rectangulara de exterior cu protectie antiploaie, pentru evacuare aer viciat (GEX), cu rama si lamele din tabla de aluminiu, </t>
    </r>
    <r>
      <rPr>
        <sz val="11"/>
        <rFont val="Calibri"/>
        <family val="2"/>
        <scheme val="minor"/>
      </rPr>
      <t>plasa din sarma galvanizata anti insecte</t>
    </r>
    <r>
      <rPr>
        <sz val="11"/>
        <color theme="1"/>
        <rFont val="Calibri"/>
        <family val="2"/>
        <scheme val="minor"/>
      </rPr>
      <t>, flansa gaurita, sectiune libera aprox 60% avand dimensiunea de 400x600 [mm], inclusiv plenum si suporti de prindere
- Inclusiv transport, operatii de montaj si accesorii.</t>
    </r>
  </si>
  <si>
    <t>Grila rectangulara de exterior cu protectie antiploaie, pentru evacuare aer viciat (GEX), cu rama si lamele din tabla de aluminiu, plasa din sarma galvanizata anti insecte, flansa gaurita, sectiune libera aprox 60% avand dimensiunea de 500x700 [mm], inclusiv plenum si suporti de prindere
- Inclusiv transport, operatii de montaj si accesorii.</t>
  </si>
  <si>
    <t>Grila rectangulara de exterior cu protectie antiploaie, pentru aport aer proaspat (PA), cu rama si lamele din tabla de aluminiu, plasa din sarma galvanizata anti insecte, flansa gaurita, sectiune libera aprox 60% avand dimensiunea de 1000x800 [mm], inclusiv plenum si suporti de prindere
- Inclusiv transport, operatii de montaj si accesorii.</t>
  </si>
  <si>
    <t>Grila rectangulara de exterior cu protectie antiploaie, pentru aport aer proaspat (PA), cu rama si lamele din tabla de aluminiu, plasa din sarma galvanizata anti insecte, flansa gaurita, sectiune libera aprox 60% avand dimensiunea de 400x600 [mm], inclusiv plenum si suporti de prindere
- Inclusiv transport, operatii de montaj si accesorii.</t>
  </si>
  <si>
    <r>
      <rPr>
        <sz val="11"/>
        <rFont val="Calibri"/>
        <family val="2"/>
        <scheme val="minor"/>
      </rPr>
      <t>Regulator automat de debit</t>
    </r>
    <r>
      <rPr>
        <sz val="11"/>
        <color theme="1"/>
        <rFont val="Calibri"/>
        <family val="2"/>
        <scheme val="minor"/>
      </rPr>
      <t xml:space="preserve"> pentru tubulatura circulara avand.
- Dimensiune: 160 [mm];
- Inclusiv transport, operatii de montaj si accesorii.</t>
    </r>
  </si>
  <si>
    <t>Regulator automat de debit pentru tubulatura circulara avand.
- Dimensiune: 200 [mm];
- Inclusiv transport, operatii de montaj si accesorii.</t>
  </si>
  <si>
    <t>Regulator automat de debit pentru tubulatura circulara avand.
- Dimensiune: 250 [mm];
- Inclusiv transport, operatii de montaj si accesorii.</t>
  </si>
  <si>
    <t>Regulator automat de debit pentru tubulatura circulara avand.
- Dimensiune: 315 [mm];
- Inclusiv transport, operatii de montaj si accesorii.</t>
  </si>
  <si>
    <t>Robinet de trecere cu etansare sferica avand D = 1 1/4"</t>
  </si>
  <si>
    <t>Denumire lucrare</t>
  </si>
  <si>
    <t>Distribuitor-colector Dp5-Cp5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2 termostate (1 termostat pentru panou 1, 2; 1 termostat pentru panou 3)</t>
  </si>
  <si>
    <t>Distribuitor-colector Dp1-Cp1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</si>
  <si>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Dp2-Cp2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</si>
  <si>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Dp3-Cp3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</si>
  <si>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Dp4-Cp4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</si>
  <si>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Dp6-Cp6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</si>
  <si>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Dp7-Cp7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2; 1 termostat pentru panou 3; 1 termostat pentru panou 4, 5; 1 termostat pentru panou 6)</t>
  </si>
  <si>
    <t>Distribuitor-colector Dp8-Cp8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6 incaperi individuale pe 4 termostate (1 termostat pentru panou 1, 6; 1 termostat pentru panou 2; 1 termostat pentru panou 5; 1 termostat pentru panou 3, 4)</t>
  </si>
  <si>
    <t>Distribuitor-colector Dp9-Cp9
Cuprinde urmatoarele:
- 2 buc. tevi de distributie 1'' pentru tur si retur cu 9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1 incapere individuala pe 1 termostat (1 termostat pentru panou 1-9)</t>
  </si>
  <si>
    <t>Distribuitor-colector Dp10-Cp10
Cuprinde urmatoarele:
- 2 buc. tevi de distributie 1'' pentru tur si retur cu 9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1 incapere individuala pe 1 termostat (1 termostat pentru panou 1-9)</t>
  </si>
  <si>
    <t>Distribuitor-colector Dp11-Cp11
Cuprinde urmatoarele:
- 2 buc. tevi de distributie 1'' pentru tur si retur cu 9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4 incapere individuala pe 4 termostat (1 termostat pentru panou 1; 1 termostat pentru panou 2, 3; 1 termostat pentru panou 4-8; 1 termostat pentru panou 9)</t>
  </si>
  <si>
    <t>Distribuitor-colector Dp12-Cp12
Cuprinde urmatoarele:
- 2 buc. tevi de distributie 1'' pentru tur si retur cu 7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2 incaperi individuale pe 2 termostate (1 termostat pentru panou 1, 2; 1 termostat pentru panou 3-7)</t>
  </si>
  <si>
    <t>Distribuitor-colector Dp13-Cp13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1 incapere individuala pe 1 termostat (1 termostat pentru panou 1-6)</t>
  </si>
  <si>
    <t>Distribuitor-colector Dp14-Cp14
Cuprinde urmatoarele:
- 2 buc. tevi de distributie 1'' pentru tur si retur cu 11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1 incapere individuala pe 1 termostat (1 termostat pentru panou 1-11)</t>
  </si>
  <si>
    <t>Distribuitor-colector Dp15-Cp15
Cuprinde urmatoarele:
- 2 buc. tevi de distributie 1'' pentru tur si retur cu 7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2 incaperi individuale pe 2 termostate (1 termostat pentru panou 1-5; 1 termostat pentru panou 6, 7)</t>
  </si>
  <si>
    <t>Distribuitor-colector Dp16-Cp16
Cuprinde urmatoarele:
- 2 buc. tevi de distributie 1'' pentru tur si retur cu 10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2 incaperi individuale pe 2 termostate (1 termostat pentru panou 1; 1 termostat pentru panou 2-11)</t>
  </si>
  <si>
    <t>Distribuitor-colector Dp17-Cp17
Cuprinde urmatoarele:
- 2 buc. tevi de distributie 1'' pentru tur si retur cu 9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1 incapere individuala pe 1 termostat (1 termostat pentru panou 1-9)</t>
  </si>
  <si>
    <t>Distribuitor-colector Dp18-Cp18
Cuprinde urmatoarele:
- 2 buc. tevi de distributie 1'' pentru tur si retur cu 7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3 incaperi individuale pe 3 termostate (1 termostat pentru panou 7, 1 termostat pentru panou 4, 5, 6; 1 termostat pentru panou 1, 2, 3)</t>
  </si>
  <si>
    <t>Distribuitor-colector Dp19-Cp19
Cuprinde urmatoarele:
- 2 buc. tevi de distributie 1'' pentru tur si retur cu 12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3 incaperi individuale pe 3 termostate (1 termostat pentru panou 7-12; 1 termostat pentru panou 1-3; 1 termostat pentru panou 4-6)</t>
  </si>
  <si>
    <t>Distribuitor-colector Dp20-Cp20
Cuprinde urmatoarele:
- 2 buc. tevi de distributie 1'' pentru tur si retur cu 9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2 incaperi individuale pe 2 termostate (1 termostat pentru panou 1; 1 termostat pentru panou 2-9)</t>
  </si>
  <si>
    <t>Distribuitor-colector Dp21-Cp21
Cuprinde urmatoarele:
- 2 buc. tevi de distributie 1'' pentru tur si retur cu 8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5 incaperi individuale pe 5 termostate (1 termostat pentru panou 1; 1 termostat pentru panou 2-3; 1 termostat pentru panou 4-5; 1 termostat pentru panou 6; 1 termostat pentru panou 7-8</t>
  </si>
  <si>
    <t>Distribuitor-colector Dp22-Cp22
Cuprinde urmatoarele:
- 2 buc. tevi de distributie 1'' pentru tur si retur cu 6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3 incaperi individuale pe 3 termostate (1 termostat pentru panou 1-3; 1 termostat pentru panou 4; 1 termostat pentru panou 5-6)</t>
  </si>
  <si>
    <t>Distribuitor-colector Dp23-Cp23
Cuprinde urmatoarele:
- 2 buc. tevi de distributie 1'' pentru tur si retur cu 7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3 incaperi individuale pe 3 termostate (1 termostat pentru panou 1-2; 1 termostat pentru panou 5-7; 1 termostat pentru panou 3-4)</t>
  </si>
  <si>
    <t>Distribuitor-colector Dp24-Cp24
Cuprinde urmatoarele:
- 2 buc. tevi de distributie 1'' pentru tur si retur cu 8 racorduri fiecare;
- montat pe console zincate, izolate fonic;
- tur cu debitmetru 0-4 l/min.
- ventil de retur cu cu inchidere si reglarea debitului;
- filet de racordare M30x1,5 a servomotorului;servomotor-230
- piesa terminala distribuitor 1'' cu piulita, garnitura, ventil de aerisire 1/2'' si robinet de umplere 1/2'';
- 2 robineti sferici 1'' cu piulita 1'' si garnitura;
- set de fixare;
- tablite cu denumirea;
- bloc reglaj pentru 3 incaperi individuale pe 3 termostate (1 termostat pentru panou 1-4; 1 termostat pentru panou 7-8; 1 termostat pentru panou 5-6)</t>
  </si>
  <si>
    <t>Convector electric avand control online, constructie metalica robusta cu un design modern. Conectare rapida si intuitiva prin aplicatie, control electronic intuitiv, afisaj LCD care arata temperatura dorita in camera. Montaj pe perete sau. Caracteristici:
- Greutate: 3,88 kg;
- Putere maxima: 1000 W;
- Regulator al temperaturii: electronic;
- Suprafata incalzita: 8-12 mp;
- L x l x H: 0,56 x 0,09 x 0,45 m;
- Complet echipat, inclusiv accesorii de montaj, montare, transport, punere în funcțiune, automatizare, etc.</t>
  </si>
  <si>
    <t>Convector electric avand control online, constructie metalica robusta cu un design modern. Conectare rapida si intuitiva prin aplicatie, control electronic intuitiv, afisaj LCD care arata temperatura dorita in camera. Montaj pe perete sau. Caracteristici:
- Greutate: 4,44 kg;
- Putere maxima: 1500 W;
- Regulator al temperaturii: electronic;
- Suprafata incalzita: 12-18 mp;
- L x l x H: 0,63 x 0,09 x 0,45 m;
- Complet echipat, inclusiv accesorii de montaj, montare, transport, punere în funcțiune, automatizare, etc.</t>
  </si>
  <si>
    <t>1. INSTALAȚII DE DISTRIBUȚIE AGENT TERMIC</t>
  </si>
  <si>
    <r>
      <t xml:space="preserve">Conducte din OTEL NEGRU pentru instalatii de incalzire (tur,retur) pentru circuit agent termic, inclusiv fitingurile pentru imbinare (curbe, mufe, reductii, etc) si materiale necesare montajului  (material marunt, pierderi de material,material de etansare, de fixare etc).                                                              
</t>
    </r>
    <r>
      <rPr>
        <sz val="11"/>
        <rFont val="Calibri"/>
        <family val="2"/>
        <scheme val="minor"/>
      </rPr>
      <t>Diametru: Ø 3/4 - Dn20</t>
    </r>
  </si>
  <si>
    <t>Conducte din OTEL NEGRU pentru instalatii de incalzire (tur,retur) pentru circuit agent termic, inclusiv fitingurile pentru imbinare (curbe, mufe, reductii, etc) si materiale necesare montajului  (material marunt, pierderi de material,material de etansare, de fixare etc).                                                              
Diametru: Ø 1 1/2" - Dn40</t>
  </si>
  <si>
    <t>Conducte din OTEL NEGRU pentru instalatii de incalzire (tur,retur) pentru circuit agent termic, inclusiv fitingurile pentru imbinare (curbe, mufe, reductii, etc) si materiale necesare montajului  (material marunt, pierderi de material,material de etansare, de fixare etc).                                                              
Diametru: Ø 3" - Dn80</t>
  </si>
  <si>
    <t>Izolatie termica (flexibila) din polietilena expandata cu grosimea de 9 mm  pentru conducte din metal/plastic ce transporta agent termic avand dimensiune DN 20
-Procurare, transport, operatii de montaj;</t>
  </si>
  <si>
    <t>Izolatie termica (flexibila) din polietilena expandata cu grosimea de 9 mm  pentru conducte din metal/plastic ce transporta agent termic avand dimensiune DN 40
-Procurare, transport, operatii de montaj;</t>
  </si>
  <si>
    <t>Izolatie termica (flexibila) din polietilena expandata cu grosimea de 9 mm  pentru conducte din metal/plastic ce transporta agent termic avand dimensiune DN 80
-Procurare, transport, operatii de montaj;</t>
  </si>
  <si>
    <t>Izolatie termica (flexibila) + jacketare pentru conducte de distributie la exterior pentru alimentare baterii CTA pentru conducte din metal/plastic ce transporta agent termic avand dimensiune DN 65
-Procurare, transport, operatii de montaj;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</si>
</sst>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0\ &quot;lei&quot;;\-#,##0\ &quot;lei&quot;"/>
    <numFmt numFmtId="43" formatCode="_-* #,##0.00_-;\-* #,##0.00_-;_-* &quot;-&quot;??_-;_-@_-"/>
    <numFmt numFmtId="164" formatCode="#,##0.00000"/>
    <numFmt numFmtId="165" formatCode="#,##0.000"/>
    <numFmt numFmtId="166" formatCode="#,##0.00;\-#,##0.00;[White]General"/>
    <numFmt numFmtId="167" formatCode="#,##0.0000%;\ &quot; &quot;"/>
    <numFmt numFmtId="168" formatCode="#,##0.00%;\ &quot; &quot;"/>
    <numFmt numFmtId="169" formatCode="_-* #.##0.00\ _l_e_i_-;\-* #.##0.00\ _l_e_i_-;_-* &quot;-&quot;??\ _l_e_i_-;_-@_-"/>
    <numFmt numFmtId="170" formatCode="_-* #,##0.00\ _l_e_i_-;\-* #,##0.00\ _l_e_i_-;_-* &quot;-&quot;??\ _l_e_i_-;_-@_-"/>
    <numFmt numFmtId="171" formatCode="_-&quot;£&quot;* #,##0.00_-;\-&quot;£&quot;* #,##0.00_-;_-&quot;£&quot;* &quot;-&quot;??_-;_-@_-"/>
    <numFmt numFmtId="172" formatCode="_-* #,##0.00&quot;₴&quot;_-;\-* #,##0.00&quot;₴&quot;_-;_-* &quot;-&quot;??&quot;₴&quot;_-;_-@_-"/>
    <numFmt numFmtId="173" formatCode="_-* #,##0.00_р_._-;\-* #,##0.00_р_._-;_-* &quot;-&quot;??_р_._-;_-@_-"/>
    <numFmt numFmtId="174" formatCode="_-* #,##0_-;\-* #,##0_-;_-* &quot;-&quot;??_-;_-@_-"/>
  </numFmts>
  <fonts count="55">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sz val="10"/>
      <name val="Arial"/>
      <family val="2"/>
    </font>
    <font>
      <b/>
      <sz val="12"/>
      <name val="Arial"/>
      <family val="2"/>
    </font>
    <font>
      <b/>
      <sz val="14"/>
      <color theme="1"/>
      <name val="Calibri"/>
      <family val="2"/>
      <scheme val="minor"/>
    </font>
    <font>
      <b/>
      <sz val="11"/>
      <color theme="1"/>
      <name val="Calibri"/>
      <family val="2"/>
      <scheme val="minor"/>
    </font>
    <font>
      <b/>
      <i/>
      <sz val="11"/>
      <color theme="1"/>
      <name val="Calibri"/>
      <family val="2"/>
      <scheme val="minor"/>
    </font>
    <font>
      <sz val="11"/>
      <color indexed="8"/>
      <name val="Calibri"/>
      <family val="2"/>
    </font>
    <font>
      <sz val="10"/>
      <name val="Helv"/>
    </font>
    <font>
      <sz val="10"/>
      <color indexed="8"/>
      <name val="Arial"/>
      <family val="2"/>
    </font>
    <font>
      <sz val="10"/>
      <color theme="1"/>
      <name val="Calibri"/>
      <family val="2"/>
      <scheme val="minor"/>
    </font>
    <font>
      <b/>
      <sz val="9"/>
      <color theme="1"/>
      <name val="Calibri"/>
      <family val="2"/>
      <scheme val="minor"/>
    </font>
    <font>
      <sz val="8"/>
      <color theme="1"/>
      <name val="Calibri"/>
      <family val="2"/>
      <scheme val="minor"/>
    </font>
    <font>
      <b/>
      <sz val="18"/>
      <color theme="1"/>
      <name val="Lucida Handwriting"/>
      <family val="4"/>
    </font>
    <font>
      <b/>
      <i/>
      <sz val="18"/>
      <color theme="1"/>
      <name val="Lucida Handwriting"/>
      <family val="4"/>
    </font>
    <font>
      <sz val="9"/>
      <color theme="1"/>
      <name val="Calibri"/>
      <family val="2"/>
      <scheme val="minor"/>
    </font>
    <font>
      <sz val="8"/>
      <color theme="1"/>
      <name val="Courier New"/>
      <family val="3"/>
    </font>
    <font>
      <b/>
      <sz val="8"/>
      <color theme="1"/>
      <name val="Calibri"/>
      <family val="2"/>
      <scheme val="minor"/>
    </font>
    <font>
      <b/>
      <i/>
      <sz val="16"/>
      <color theme="1"/>
      <name val="Lucida Handwriting"/>
      <family val="4"/>
    </font>
    <font>
      <sz val="10"/>
      <name val="Arial"/>
      <family val="2"/>
      <charset val="238"/>
    </font>
    <font>
      <sz val="10"/>
      <name val="MS Sans Serif"/>
    </font>
    <font>
      <sz val="9.5"/>
      <color theme="1"/>
      <name val="Calibri"/>
      <family val="2"/>
      <scheme val="minor"/>
    </font>
    <font>
      <sz val="9.5"/>
      <color theme="1"/>
      <name val="Calibri"/>
      <family val="2"/>
      <charset val="238"/>
      <scheme val="minor"/>
    </font>
    <font>
      <sz val="10"/>
      <color rgb="FF000000"/>
      <name val="Times New Roman"/>
      <family val="1"/>
    </font>
    <font>
      <u/>
      <sz val="11"/>
      <color theme="10"/>
      <name val="Calibri"/>
      <family val="2"/>
      <scheme val="minor"/>
    </font>
    <font>
      <b/>
      <sz val="13"/>
      <color theme="1"/>
      <name val="Calibri"/>
      <family val="2"/>
      <scheme val="minor"/>
    </font>
    <font>
      <b/>
      <sz val="10"/>
      <color theme="1"/>
      <name val="Calibri"/>
      <family val="2"/>
      <scheme val="minor"/>
    </font>
    <font>
      <sz val="10"/>
      <name val="Arial"/>
      <family val="2"/>
    </font>
    <font>
      <sz val="11"/>
      <color indexed="8"/>
      <name val="Calibri"/>
      <family val="2"/>
      <charset val="238"/>
    </font>
    <font>
      <sz val="10"/>
      <name val="MS Sans Serif"/>
      <family val="2"/>
    </font>
    <font>
      <sz val="10"/>
      <name val="Tahoma"/>
      <family val="2"/>
    </font>
    <font>
      <sz val="10"/>
      <name val="Helv"/>
      <family val="2"/>
    </font>
    <font>
      <b/>
      <sz val="12"/>
      <color indexed="18"/>
      <name val="Tahoma"/>
      <family val="2"/>
      <charset val="204"/>
    </font>
    <font>
      <sz val="9"/>
      <name val="AvantGarde CondBook"/>
      <family val="2"/>
    </font>
    <font>
      <sz val="11"/>
      <name val="AvantGarde CondBook"/>
      <family val="2"/>
    </font>
    <font>
      <sz val="10"/>
      <name val="AvantGarde CondBook"/>
      <family val="2"/>
    </font>
    <font>
      <sz val="10"/>
      <name val="Arial"/>
      <family val="2"/>
      <charset val="204"/>
    </font>
    <font>
      <sz val="14"/>
      <name val="Arial"/>
      <family val="2"/>
    </font>
    <font>
      <u/>
      <sz val="10"/>
      <color indexed="12"/>
      <name val="Tahoma"/>
      <family val="2"/>
    </font>
    <font>
      <sz val="10"/>
      <name val="Arial"/>
      <family val="2"/>
      <charset val="162"/>
    </font>
    <font>
      <sz val="11"/>
      <name val="Calibri"/>
      <family val="2"/>
    </font>
    <font>
      <u/>
      <sz val="7.5"/>
      <color indexed="12"/>
      <name val="Arial"/>
      <family val="2"/>
    </font>
    <font>
      <sz val="10"/>
      <name val="Arial Narrow"/>
      <family val="2"/>
    </font>
    <font>
      <sz val="14"/>
      <color theme="0"/>
      <name val="Arial"/>
      <family val="2"/>
    </font>
    <font>
      <b/>
      <sz val="14"/>
      <color theme="0"/>
      <name val="Arial"/>
      <family val="2"/>
    </font>
    <font>
      <sz val="11"/>
      <color theme="1"/>
      <name val="Calibri"/>
      <family val="2"/>
      <charset val="204"/>
      <scheme val="minor"/>
    </font>
    <font>
      <u/>
      <sz val="10"/>
      <color theme="10"/>
      <name val="Arial"/>
      <family val="2"/>
    </font>
    <font>
      <sz val="11"/>
      <color theme="1"/>
      <name val="Georgia"/>
      <family val="2"/>
      <charset val="162"/>
    </font>
    <font>
      <sz val="8"/>
      <name val="Calibri"/>
      <family val="2"/>
      <scheme val="minor"/>
    </font>
    <font>
      <b/>
      <sz val="14"/>
      <name val="Calibri"/>
      <family val="2"/>
      <scheme val="minor"/>
    </font>
    <font>
      <b/>
      <sz val="11"/>
      <name val="Calibri"/>
      <family val="2"/>
      <scheme val="minor"/>
    </font>
    <font>
      <sz val="13"/>
      <color theme="1"/>
      <name val="Calibri"/>
      <family val="2"/>
      <scheme val="minor"/>
    </font>
    <font>
      <sz val="11"/>
      <name val="Calibri"/>
      <family val="2"/>
      <scheme val="minor"/>
    </font>
  </fonts>
  <fills count="33">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6" tint="0.59999389629810485"/>
        <bgColor indexed="65"/>
      </patternFill>
    </fill>
    <fill>
      <patternFill patternType="solid">
        <fgColor theme="5" tint="0.59999389629810485"/>
        <bgColor indexed="64"/>
      </patternFill>
    </fill>
    <fill>
      <patternFill patternType="solid">
        <fgColor rgb="FFFF00FF"/>
        <bgColor indexed="64"/>
      </patternFill>
    </fill>
    <fill>
      <patternFill patternType="solid">
        <fgColor rgb="FFCCCCCC"/>
        <bgColor theme="0"/>
      </patternFill>
    </fill>
    <fill>
      <patternFill patternType="solid">
        <fgColor rgb="FFCCF0F9"/>
        <bgColor theme="0"/>
      </patternFill>
    </fill>
    <fill>
      <patternFill patternType="solid">
        <fgColor rgb="FFE5F1D9"/>
        <bgColor theme="0"/>
      </patternFill>
    </fill>
    <fill>
      <patternFill patternType="solid">
        <fgColor rgb="FFEDD0E5"/>
        <bgColor theme="0"/>
      </patternFill>
    </fill>
    <fill>
      <patternFill patternType="solid">
        <fgColor rgb="FFFDE7D2"/>
        <bgColor theme="0"/>
      </patternFill>
    </fill>
    <fill>
      <patternFill patternType="solid">
        <fgColor rgb="FFEAE9E7"/>
        <bgColor theme="0"/>
      </patternFill>
    </fill>
    <fill>
      <patternFill patternType="solid">
        <fgColor rgb="FF999999"/>
        <bgColor theme="0"/>
      </patternFill>
    </fill>
    <fill>
      <patternFill patternType="solid">
        <fgColor rgb="FF99E1F4"/>
        <bgColor theme="0"/>
      </patternFill>
    </fill>
    <fill>
      <patternFill patternType="solid">
        <fgColor rgb="FFCBE3B3"/>
        <bgColor theme="0"/>
      </patternFill>
    </fill>
    <fill>
      <patternFill patternType="solid">
        <fgColor rgb="FFD8A1CC"/>
        <bgColor theme="0"/>
      </patternFill>
    </fill>
    <fill>
      <patternFill patternType="solid">
        <fgColor rgb="FFFBD0A5"/>
        <bgColor theme="0"/>
      </patternFill>
    </fill>
    <fill>
      <patternFill patternType="solid">
        <fgColor rgb="FFD6D2CF"/>
        <bgColor theme="0"/>
      </patternFill>
    </fill>
    <fill>
      <patternFill patternType="solid">
        <fgColor rgb="FF666666"/>
        <bgColor theme="0"/>
      </patternFill>
    </fill>
    <fill>
      <patternFill patternType="solid">
        <fgColor rgb="FF66D2EF"/>
        <bgColor theme="0"/>
      </patternFill>
    </fill>
    <fill>
      <patternFill patternType="solid">
        <fgColor rgb="FFB2D68D"/>
        <bgColor theme="0"/>
      </patternFill>
    </fill>
    <fill>
      <patternFill patternType="solid">
        <fgColor rgb="FFC973B3"/>
        <bgColor theme="0"/>
      </patternFill>
    </fill>
    <fill>
      <patternFill patternType="solid">
        <fgColor rgb="FFF9B978"/>
        <bgColor theme="0"/>
      </patternFill>
    </fill>
    <fill>
      <patternFill patternType="solid">
        <fgColor rgb="FFC1BCB6"/>
        <bgColor theme="0"/>
      </patternFill>
    </fill>
    <fill>
      <patternFill patternType="solid">
        <fgColor rgb="FF333333"/>
        <bgColor theme="0"/>
      </patternFill>
    </fill>
    <fill>
      <patternFill patternType="solid">
        <fgColor rgb="FF33C3EA"/>
        <bgColor indexed="64"/>
      </patternFill>
    </fill>
    <fill>
      <patternFill patternType="solid">
        <fgColor rgb="FF98C867"/>
        <bgColor indexed="64"/>
      </patternFill>
    </fill>
    <fill>
      <patternFill patternType="solid">
        <fgColor rgb="FFB7449A"/>
        <bgColor theme="0"/>
      </patternFill>
    </fill>
    <fill>
      <patternFill patternType="solid">
        <fgColor rgb="FFF7A24B"/>
        <bgColor indexed="64"/>
      </patternFill>
    </fill>
    <fill>
      <patternFill patternType="solid">
        <fgColor rgb="FFADA59E"/>
        <bgColor theme="0"/>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503">
    <xf numFmtId="0" fontId="0" fillId="0" borderId="0"/>
    <xf numFmtId="43" fontId="3" fillId="0" borderId="0" applyFont="0" applyFill="0" applyBorder="0" applyAlignment="0" applyProtection="0"/>
    <xf numFmtId="0" fontId="4" fillId="0" borderId="0"/>
    <xf numFmtId="49" fontId="12" fillId="0" borderId="0" applyFill="0" applyBorder="0" applyProtection="0">
      <alignment horizontal="left" vertical="center" wrapText="1"/>
    </xf>
    <xf numFmtId="164" fontId="13" fillId="0" borderId="0" applyFill="0" applyBorder="0" applyProtection="0">
      <alignment vertical="center"/>
    </xf>
    <xf numFmtId="0" fontId="13" fillId="0" borderId="0" applyNumberFormat="0" applyFill="0" applyBorder="0" applyProtection="0">
      <alignment horizontal="center"/>
    </xf>
    <xf numFmtId="49" fontId="13" fillId="0" borderId="0" applyFill="0" applyBorder="0" applyProtection="0">
      <alignment horizontal="left" vertical="center" wrapText="1"/>
    </xf>
    <xf numFmtId="43" fontId="4" fillId="0" borderId="0" applyFont="0" applyFill="0" applyBorder="0" applyAlignment="0" applyProtection="0"/>
    <xf numFmtId="43" fontId="4" fillId="0" borderId="0" applyFont="0" applyFill="0" applyBorder="0" applyAlignment="0" applyProtection="0"/>
    <xf numFmtId="49" fontId="14" fillId="0" borderId="0" applyFill="0" applyBorder="0" applyProtection="0">
      <alignment horizontal="left" vertical="center"/>
    </xf>
    <xf numFmtId="49" fontId="13" fillId="0" borderId="0" applyFill="0" applyBorder="0" applyProtection="0">
      <alignment horizontal="left" vertical="center" wrapText="1"/>
    </xf>
    <xf numFmtId="49" fontId="15" fillId="0" borderId="0" applyFill="0" applyBorder="0" applyProtection="0">
      <alignment horizontal="left" vertical="center" wrapText="1"/>
    </xf>
    <xf numFmtId="49" fontId="16" fillId="0" borderId="0" applyFill="0" applyBorder="0" applyProtection="0">
      <alignment horizontal="left" vertical="center" wrapText="1"/>
    </xf>
    <xf numFmtId="165" fontId="13" fillId="0" borderId="0" applyFill="0" applyBorder="0" applyAlignment="0" applyProtection="0"/>
    <xf numFmtId="165" fontId="17" fillId="0" borderId="0" applyFill="0" applyBorder="0" applyAlignment="0" applyProtection="0"/>
    <xf numFmtId="0" fontId="11" fillId="0" borderId="0"/>
    <xf numFmtId="0" fontId="3" fillId="0" borderId="0"/>
    <xf numFmtId="0" fontId="9" fillId="0" borderId="0"/>
    <xf numFmtId="49" fontId="13" fillId="0" borderId="0" applyFill="0" applyBorder="0" applyProtection="0">
      <alignment horizontal="center" vertical="center"/>
    </xf>
    <xf numFmtId="4" fontId="17" fillId="0" borderId="0" applyFill="0" applyBorder="0" applyAlignment="0" applyProtection="0"/>
    <xf numFmtId="4" fontId="13" fillId="0" borderId="0" applyFill="0" applyBorder="0" applyProtection="0">
      <alignment horizontal="center" vertical="center"/>
    </xf>
    <xf numFmtId="164" fontId="17" fillId="0" borderId="0" applyFill="0" applyBorder="0" applyProtection="0">
      <alignment vertical="center"/>
    </xf>
    <xf numFmtId="167" fontId="13" fillId="0" borderId="0" applyFill="0" applyBorder="0" applyProtection="0">
      <alignment horizontal="right"/>
    </xf>
    <xf numFmtId="49" fontId="18" fillId="0" borderId="0" applyFill="0" applyBorder="0" applyProtection="0">
      <alignment horizontal="left"/>
    </xf>
    <xf numFmtId="168" fontId="19" fillId="0" borderId="0" applyFill="0" applyBorder="0" applyAlignment="0" applyProtection="0">
      <alignment vertical="center"/>
    </xf>
    <xf numFmtId="168" fontId="14" fillId="0" borderId="0" applyFill="0" applyBorder="0" applyProtection="0">
      <alignment horizontal="right" vertical="center"/>
    </xf>
    <xf numFmtId="0" fontId="10" fillId="0" borderId="0"/>
    <xf numFmtId="166" fontId="13" fillId="0" borderId="0" applyFill="0" applyBorder="0" applyProtection="0">
      <alignment vertical="top"/>
    </xf>
    <xf numFmtId="49" fontId="13" fillId="0" borderId="0" applyFill="0" applyBorder="0" applyProtection="0"/>
    <xf numFmtId="49" fontId="20" fillId="0" borderId="0" applyFill="0" applyBorder="0" applyProtection="0">
      <alignment horizontal="center" vertical="center" wrapText="1"/>
    </xf>
    <xf numFmtId="164" fontId="17" fillId="0" borderId="0" applyFill="0" applyBorder="0" applyAlignment="0" applyProtection="0"/>
    <xf numFmtId="4" fontId="13" fillId="0" borderId="0" applyFill="0" applyBorder="0" applyProtection="0">
      <alignment horizontal="right" vertical="center"/>
    </xf>
    <xf numFmtId="166" fontId="13" fillId="0" borderId="0" applyFill="0" applyBorder="0" applyProtection="0">
      <alignment horizontal="right" vertical="center"/>
    </xf>
    <xf numFmtId="43" fontId="4" fillId="0" borderId="0" applyFont="0" applyFill="0" applyBorder="0" applyAlignment="0" applyProtection="0"/>
    <xf numFmtId="0" fontId="3" fillId="0" borderId="0"/>
    <xf numFmtId="0" fontId="4" fillId="0" borderId="0"/>
    <xf numFmtId="0" fontId="21" fillId="0" borderId="0"/>
    <xf numFmtId="0" fontId="22" fillId="0" borderId="0"/>
    <xf numFmtId="169" fontId="23" fillId="0" borderId="0" applyFont="0" applyFill="0" applyBorder="0" applyAlignment="0" applyProtection="0"/>
    <xf numFmtId="0" fontId="23" fillId="0" borderId="0"/>
    <xf numFmtId="0" fontId="24" fillId="6" borderId="0" applyNumberFormat="0" applyBorder="0" applyAlignment="0" applyProtection="0"/>
    <xf numFmtId="0" fontId="25" fillId="0" borderId="0"/>
    <xf numFmtId="0" fontId="26" fillId="0" borderId="0" applyNumberFormat="0" applyFill="0" applyBorder="0" applyAlignment="0" applyProtection="0"/>
    <xf numFmtId="0" fontId="29" fillId="0" borderId="0"/>
    <xf numFmtId="0" fontId="4" fillId="0" borderId="0"/>
    <xf numFmtId="0" fontId="4" fillId="0" borderId="0"/>
    <xf numFmtId="0" fontId="39" fillId="9" borderId="0" applyBorder="0" applyProtection="0">
      <alignment horizontal="center" vertical="center"/>
    </xf>
    <xf numFmtId="0" fontId="39" fillId="10" borderId="0" applyBorder="0" applyProtection="0">
      <alignment horizontal="center" vertical="center"/>
    </xf>
    <xf numFmtId="0" fontId="39" fillId="11" borderId="0" applyBorder="0" applyProtection="0">
      <alignment horizontal="center" vertical="center"/>
    </xf>
    <xf numFmtId="0" fontId="39" fillId="12" borderId="0" applyBorder="0" applyProtection="0">
      <alignment horizontal="center" vertical="center"/>
    </xf>
    <xf numFmtId="0" fontId="39" fillId="13" borderId="0" applyBorder="0" applyProtection="0">
      <alignment horizontal="center" vertical="center"/>
    </xf>
    <xf numFmtId="0" fontId="39" fillId="14" borderId="0" applyBorder="0" applyProtection="0">
      <alignment horizontal="center" vertical="center"/>
    </xf>
    <xf numFmtId="0" fontId="39" fillId="15" borderId="0" applyBorder="0" applyProtection="0">
      <alignment horizontal="center" vertical="center"/>
    </xf>
    <xf numFmtId="0" fontId="39" fillId="16" borderId="0" applyBorder="0" applyProtection="0">
      <alignment horizontal="center" vertical="center"/>
    </xf>
    <xf numFmtId="0" fontId="39" fillId="17" borderId="0" applyBorder="0" applyProtection="0">
      <alignment horizontal="center" vertical="center"/>
    </xf>
    <xf numFmtId="0" fontId="39" fillId="18" borderId="0" applyBorder="0" applyProtection="0">
      <alignment horizontal="center" vertical="center"/>
    </xf>
    <xf numFmtId="0" fontId="39" fillId="19" borderId="0" applyBorder="0" applyProtection="0">
      <alignment horizontal="center" vertical="center"/>
    </xf>
    <xf numFmtId="0" fontId="39" fillId="20" borderId="0" applyBorder="0" applyProtection="0">
      <alignment horizontal="center" vertical="center"/>
    </xf>
    <xf numFmtId="0" fontId="45" fillId="21" borderId="0" applyBorder="0" applyProtection="0">
      <alignment horizontal="center" vertical="center"/>
    </xf>
    <xf numFmtId="0" fontId="39" fillId="22" borderId="0" applyBorder="0" applyProtection="0">
      <alignment horizontal="center" vertical="center"/>
    </xf>
    <xf numFmtId="0" fontId="39" fillId="23" borderId="0" applyBorder="0" applyProtection="0">
      <alignment horizontal="center" vertical="center"/>
    </xf>
    <xf numFmtId="0" fontId="39" fillId="24" borderId="0" applyBorder="0" applyProtection="0">
      <alignment horizontal="center" vertical="center"/>
    </xf>
    <xf numFmtId="0" fontId="39" fillId="25" borderId="0" applyBorder="0" applyProtection="0">
      <alignment horizontal="center" vertical="center"/>
    </xf>
    <xf numFmtId="0" fontId="39" fillId="26" borderId="0" applyBorder="0" applyProtection="0">
      <alignment horizontal="center" vertical="center"/>
    </xf>
    <xf numFmtId="0" fontId="46" fillId="27" borderId="0" applyBorder="0" applyProtection="0">
      <alignment horizontal="center" vertical="center"/>
    </xf>
    <xf numFmtId="0" fontId="46" fillId="28" borderId="0" applyBorder="0" applyProtection="0">
      <alignment horizontal="center" vertical="center"/>
    </xf>
    <xf numFmtId="0" fontId="46" fillId="29" borderId="0" applyBorder="0" applyProtection="0">
      <alignment horizontal="center" vertical="center"/>
    </xf>
    <xf numFmtId="0" fontId="46" fillId="30" borderId="0" applyBorder="0" applyProtection="0">
      <alignment horizontal="center" vertical="center"/>
    </xf>
    <xf numFmtId="0" fontId="46" fillId="31" borderId="0" applyBorder="0" applyProtection="0">
      <alignment horizontal="center" vertical="center"/>
    </xf>
    <xf numFmtId="0" fontId="46" fillId="32" borderId="0" applyBorder="0" applyProtection="0">
      <alignment horizontal="center" vertical="center"/>
    </xf>
    <xf numFmtId="0" fontId="34" fillId="0" borderId="0" applyNumberFormat="0" applyBorder="0" applyAlignment="0">
      <alignment vertical="top"/>
    </xf>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170" fontId="30" fillId="0" borderId="0" applyFont="0" applyFill="0" applyBorder="0" applyAlignment="0" applyProtection="0"/>
    <xf numFmtId="5"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73" fontId="47" fillId="0" borderId="0" applyFont="0" applyFill="0" applyBorder="0" applyAlignment="0" applyProtection="0"/>
    <xf numFmtId="173" fontId="47"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35" fillId="0" borderId="0">
      <alignment horizontal="left" vertical="top" wrapText="1"/>
    </xf>
    <xf numFmtId="0" fontId="35" fillId="0" borderId="0">
      <alignment horizontal="left" vertical="top" wrapText="1" indent="3"/>
    </xf>
    <xf numFmtId="0" fontId="35" fillId="0" borderId="0">
      <alignment horizontal="left" vertical="top" wrapText="1" indent="6"/>
    </xf>
    <xf numFmtId="0" fontId="48" fillId="0" borderId="0" applyNumberFormat="0" applyFill="0" applyBorder="0" applyAlignment="0" applyProtection="0"/>
    <xf numFmtId="0" fontId="48"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 fillId="0" borderId="0"/>
    <xf numFmtId="0" fontId="4"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1" fillId="0" borderId="0"/>
    <xf numFmtId="0" fontId="41" fillId="0" borderId="0"/>
    <xf numFmtId="0" fontId="38" fillId="0" borderId="0"/>
    <xf numFmtId="0" fontId="4" fillId="0" borderId="0"/>
    <xf numFmtId="0" fontId="4" fillId="0" borderId="0"/>
    <xf numFmtId="0" fontId="21" fillId="0" borderId="0"/>
    <xf numFmtId="0" fontId="4" fillId="0" borderId="0">
      <alignment horizontal="justify" vertical="top" wrapText="1"/>
    </xf>
    <xf numFmtId="0" fontId="4" fillId="0" borderId="0"/>
    <xf numFmtId="0" fontId="4" fillId="0" borderId="0"/>
    <xf numFmtId="0" fontId="3" fillId="0" borderId="0"/>
    <xf numFmtId="0" fontId="32" fillId="0" borderId="0"/>
    <xf numFmtId="0" fontId="32" fillId="0" borderId="0"/>
    <xf numFmtId="0" fontId="3" fillId="0" borderId="0"/>
    <xf numFmtId="0" fontId="4" fillId="0" borderId="0"/>
    <xf numFmtId="0" fontId="3" fillId="0" borderId="0"/>
    <xf numFmtId="0" fontId="4" fillId="0" borderId="0"/>
    <xf numFmtId="0" fontId="4" fillId="0" borderId="0"/>
    <xf numFmtId="0" fontId="32" fillId="0" borderId="0"/>
    <xf numFmtId="0" fontId="32" fillId="0" borderId="0"/>
    <xf numFmtId="0" fontId="32" fillId="0" borderId="0"/>
    <xf numFmtId="0" fontId="32" fillId="0" borderId="0"/>
    <xf numFmtId="0" fontId="4" fillId="0" borderId="0"/>
    <xf numFmtId="0" fontId="4" fillId="0" borderId="0"/>
    <xf numFmtId="0" fontId="32" fillId="0" borderId="0"/>
    <xf numFmtId="0" fontId="4" fillId="0" borderId="0"/>
    <xf numFmtId="0" fontId="44" fillId="0" borderId="0"/>
    <xf numFmtId="0" fontId="4" fillId="0" borderId="0"/>
    <xf numFmtId="0" fontId="4" fillId="0" borderId="0">
      <alignment horizontal="center" vertical="center"/>
    </xf>
    <xf numFmtId="0" fontId="4" fillId="0" borderId="0">
      <alignment horizontal="center" vertical="center"/>
    </xf>
    <xf numFmtId="0" fontId="41" fillId="0" borderId="0"/>
    <xf numFmtId="0" fontId="21" fillId="0" borderId="0"/>
    <xf numFmtId="0" fontId="21"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horizontal="center" vertical="center"/>
    </xf>
    <xf numFmtId="0" fontId="21" fillId="0" borderId="0"/>
    <xf numFmtId="0" fontId="21" fillId="0" borderId="0"/>
    <xf numFmtId="0" fontId="4" fillId="0" borderId="0"/>
    <xf numFmtId="0" fontId="9" fillId="0" borderId="0"/>
    <xf numFmtId="0" fontId="32" fillId="0" borderId="0"/>
    <xf numFmtId="0" fontId="4" fillId="0" borderId="0"/>
    <xf numFmtId="0" fontId="4" fillId="0" borderId="0"/>
    <xf numFmtId="0" fontId="32" fillId="0" borderId="0"/>
    <xf numFmtId="0" fontId="4" fillId="0" borderId="0"/>
    <xf numFmtId="0" fontId="4" fillId="0" borderId="0"/>
    <xf numFmtId="0" fontId="4" fillId="0" borderId="0"/>
    <xf numFmtId="0" fontId="4" fillId="0" borderId="0"/>
    <xf numFmtId="0" fontId="21" fillId="0" borderId="0"/>
    <xf numFmtId="0" fontId="21" fillId="0" borderId="0"/>
    <xf numFmtId="0" fontId="4" fillId="0" borderId="0"/>
    <xf numFmtId="0" fontId="4" fillId="0" borderId="0"/>
    <xf numFmtId="0" fontId="3" fillId="0" borderId="0"/>
    <xf numFmtId="0" fontId="47" fillId="0" borderId="0"/>
    <xf numFmtId="0" fontId="3" fillId="0" borderId="0"/>
    <xf numFmtId="0" fontId="47" fillId="0" borderId="0"/>
    <xf numFmtId="0" fontId="47" fillId="0" borderId="0"/>
    <xf numFmtId="0" fontId="4" fillId="0" borderId="0"/>
    <xf numFmtId="0" fontId="2" fillId="0" borderId="0"/>
    <xf numFmtId="0" fontId="4" fillId="0" borderId="0"/>
    <xf numFmtId="0" fontId="21" fillId="0" borderId="0"/>
    <xf numFmtId="0" fontId="21" fillId="0" borderId="0"/>
    <xf numFmtId="0" fontId="49" fillId="0" borderId="0"/>
    <xf numFmtId="0" fontId="49" fillId="0" borderId="0"/>
    <xf numFmtId="0" fontId="4" fillId="0" borderId="0"/>
    <xf numFmtId="0" fontId="4" fillId="0" borderId="0"/>
    <xf numFmtId="0" fontId="3" fillId="0" borderId="0"/>
    <xf numFmtId="0" fontId="4" fillId="0" borderId="0"/>
    <xf numFmtId="0" fontId="38" fillId="0" borderId="0"/>
    <xf numFmtId="0" fontId="38" fillId="0" borderId="0"/>
    <xf numFmtId="0" fontId="3" fillId="0" borderId="0"/>
    <xf numFmtId="0" fontId="3" fillId="0" borderId="0"/>
    <xf numFmtId="0" fontId="4"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21" fillId="0" borderId="0"/>
    <xf numFmtId="0" fontId="4" fillId="0" borderId="0"/>
    <xf numFmtId="0" fontId="49" fillId="0" borderId="0"/>
    <xf numFmtId="0" fontId="49" fillId="0" borderId="0"/>
    <xf numFmtId="0" fontId="21"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21" fillId="0" borderId="0"/>
    <xf numFmtId="0" fontId="21" fillId="0" borderId="0"/>
    <xf numFmtId="0" fontId="3" fillId="0" borderId="0"/>
    <xf numFmtId="0" fontId="3" fillId="0" borderId="0"/>
    <xf numFmtId="0" fontId="4" fillId="0" borderId="0"/>
    <xf numFmtId="0" fontId="2" fillId="0" borderId="0"/>
    <xf numFmtId="0" fontId="4" fillId="0" borderId="0"/>
    <xf numFmtId="0" fontId="4" fillId="0" borderId="0"/>
    <xf numFmtId="0" fontId="41" fillId="0" borderId="0"/>
    <xf numFmtId="0" fontId="41" fillId="0" borderId="0"/>
    <xf numFmtId="0" fontId="3" fillId="0" borderId="0"/>
    <xf numFmtId="0" fontId="3" fillId="0" borderId="0"/>
    <xf numFmtId="0" fontId="2" fillId="0" borderId="0"/>
    <xf numFmtId="0" fontId="2" fillId="0" borderId="0"/>
    <xf numFmtId="0" fontId="42" fillId="0" borderId="0"/>
    <xf numFmtId="0" fontId="42" fillId="0" borderId="0"/>
    <xf numFmtId="0" fontId="42" fillId="0" borderId="0"/>
    <xf numFmtId="0" fontId="42" fillId="0" borderId="0"/>
    <xf numFmtId="0" fontId="3" fillId="0" borderId="0"/>
    <xf numFmtId="0" fontId="4" fillId="0" borderId="0"/>
    <xf numFmtId="0" fontId="3" fillId="0" borderId="0"/>
    <xf numFmtId="0" fontId="4" fillId="0" borderId="0"/>
    <xf numFmtId="0" fontId="4" fillId="0" borderId="0"/>
    <xf numFmtId="9" fontId="2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6" fillId="0" borderId="0">
      <alignment vertical="center"/>
    </xf>
    <xf numFmtId="0" fontId="31" fillId="0" borderId="0"/>
    <xf numFmtId="0" fontId="33" fillId="0" borderId="0"/>
    <xf numFmtId="0" fontId="37" fillId="0" borderId="0">
      <alignment horizontal="left" vertical="top" wrapText="1"/>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0" fontId="31" fillId="0" borderId="0" applyFont="0" applyFill="0" applyBorder="0" applyAlignment="0" applyProtection="0"/>
    <xf numFmtId="172" fontId="38" fillId="0" borderId="0" applyFont="0" applyFill="0" applyBorder="0" applyAlignment="0" applyProtection="0"/>
    <xf numFmtId="172" fontId="38" fillId="0" borderId="0" applyFont="0" applyFill="0" applyBorder="0" applyAlignment="0" applyProtection="0"/>
    <xf numFmtId="0" fontId="38" fillId="0" borderId="0"/>
    <xf numFmtId="43" fontId="4" fillId="0" borderId="0" applyFont="0" applyFill="0" applyBorder="0" applyAlignment="0" applyProtection="0"/>
    <xf numFmtId="5"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75">
    <xf numFmtId="0" fontId="0" fillId="0" borderId="0" xfId="0"/>
    <xf numFmtId="0" fontId="0" fillId="0" borderId="0" xfId="0" applyProtection="1">
      <protection locked="0"/>
    </xf>
    <xf numFmtId="0" fontId="5" fillId="0" borderId="0" xfId="2" applyFont="1" applyAlignment="1" applyProtection="1">
      <alignment vertical="center" wrapText="1"/>
      <protection locked="0"/>
    </xf>
    <xf numFmtId="0" fontId="5" fillId="0" borderId="0" xfId="2" applyFont="1" applyAlignment="1" applyProtection="1">
      <alignment vertical="center"/>
      <protection locked="0"/>
    </xf>
    <xf numFmtId="43" fontId="5" fillId="0" borderId="0" xfId="1" applyFont="1" applyBorder="1" applyAlignment="1" applyProtection="1">
      <alignment vertical="center" wrapText="1"/>
    </xf>
    <xf numFmtId="43" fontId="0" fillId="0" borderId="0" xfId="1" applyFont="1" applyAlignment="1" applyProtection="1">
      <alignment vertical="center"/>
    </xf>
    <xf numFmtId="0" fontId="0" fillId="0" borderId="0" xfId="0" applyAlignment="1" applyProtection="1">
      <alignment vertical="center"/>
      <protection locked="0"/>
    </xf>
    <xf numFmtId="0" fontId="8" fillId="0" borderId="0" xfId="0" applyFont="1" applyAlignment="1" applyProtection="1">
      <alignment vertical="center"/>
      <protection locked="0"/>
    </xf>
    <xf numFmtId="0" fontId="0" fillId="2" borderId="4" xfId="0" applyFill="1" applyBorder="1" applyAlignment="1" applyProtection="1">
      <alignment vertical="center"/>
      <protection locked="0"/>
    </xf>
    <xf numFmtId="0" fontId="0" fillId="4" borderId="4" xfId="0" applyFill="1" applyBorder="1" applyAlignment="1" applyProtection="1">
      <alignment vertical="center"/>
      <protection locked="0"/>
    </xf>
    <xf numFmtId="0" fontId="0" fillId="5" borderId="4" xfId="0" applyFill="1" applyBorder="1" applyAlignment="1" applyProtection="1">
      <alignment vertical="center"/>
      <protection locked="0"/>
    </xf>
    <xf numFmtId="0" fontId="7" fillId="5" borderId="4" xfId="0" applyFont="1" applyFill="1" applyBorder="1" applyAlignment="1" applyProtection="1">
      <alignment horizontal="center" vertical="center"/>
      <protection locked="0"/>
    </xf>
    <xf numFmtId="0" fontId="7" fillId="0" borderId="0" xfId="0" applyFont="1" applyProtection="1">
      <protection locked="0"/>
    </xf>
    <xf numFmtId="43" fontId="7" fillId="7" borderId="5" xfId="1" applyFont="1" applyFill="1" applyBorder="1" applyAlignment="1" applyProtection="1">
      <alignment horizontal="center" vertical="center" wrapText="1"/>
    </xf>
    <xf numFmtId="0" fontId="7" fillId="7" borderId="5" xfId="0" applyFont="1" applyFill="1" applyBorder="1" applyAlignment="1" applyProtection="1">
      <alignment horizontal="center" vertical="center" wrapText="1"/>
      <protection locked="0"/>
    </xf>
    <xf numFmtId="0" fontId="7" fillId="0" borderId="0" xfId="0" applyFont="1" applyAlignment="1" applyProtection="1">
      <alignment wrapText="1"/>
      <protection locked="0"/>
    </xf>
    <xf numFmtId="0" fontId="7" fillId="2" borderId="4" xfId="0" applyFont="1" applyFill="1" applyBorder="1" applyAlignment="1" applyProtection="1">
      <alignment horizontal="center" vertical="center"/>
      <protection locked="0"/>
    </xf>
    <xf numFmtId="43" fontId="7" fillId="4" borderId="4" xfId="1" applyFont="1" applyFill="1" applyBorder="1" applyAlignment="1" applyProtection="1">
      <alignment horizontal="center" vertical="center"/>
    </xf>
    <xf numFmtId="0" fontId="7" fillId="4" borderId="4" xfId="0" applyFont="1" applyFill="1" applyBorder="1" applyAlignment="1" applyProtection="1">
      <alignment horizontal="center" vertical="center"/>
      <protection locked="0"/>
    </xf>
    <xf numFmtId="43" fontId="7" fillId="7" borderId="7" xfId="1" applyFont="1" applyFill="1" applyBorder="1" applyAlignment="1" applyProtection="1">
      <alignment horizontal="center" vertical="center" wrapText="1"/>
    </xf>
    <xf numFmtId="0" fontId="7" fillId="2" borderId="4" xfId="0" applyFont="1" applyFill="1" applyBorder="1" applyAlignment="1" applyProtection="1">
      <alignment horizontal="center" vertical="center" wrapText="1"/>
      <protection locked="0"/>
    </xf>
    <xf numFmtId="0" fontId="27" fillId="8" borderId="4" xfId="0" applyFont="1" applyFill="1" applyBorder="1" applyAlignment="1" applyProtection="1">
      <alignment horizontal="center" vertical="center"/>
      <protection locked="0"/>
    </xf>
    <xf numFmtId="0" fontId="7" fillId="3" borderId="4" xfId="0" applyFont="1" applyFill="1" applyBorder="1" applyAlignment="1" applyProtection="1">
      <alignment horizontal="center" vertical="center"/>
      <protection locked="0"/>
    </xf>
    <xf numFmtId="0" fontId="0" fillId="3" borderId="4" xfId="0" applyFill="1" applyBorder="1" applyAlignment="1" applyProtection="1">
      <alignment vertical="center"/>
      <protection locked="0"/>
    </xf>
    <xf numFmtId="0" fontId="0" fillId="0" borderId="0" xfId="0" applyAlignment="1">
      <alignment vertical="center"/>
    </xf>
    <xf numFmtId="0" fontId="5" fillId="0" borderId="0" xfId="2" applyFont="1" applyAlignment="1">
      <alignment vertical="center" wrapText="1"/>
    </xf>
    <xf numFmtId="0" fontId="0" fillId="2" borderId="4" xfId="0" applyFill="1" applyBorder="1" applyAlignment="1">
      <alignment vertical="center"/>
    </xf>
    <xf numFmtId="0" fontId="0" fillId="2" borderId="4" xfId="0" applyFill="1" applyBorder="1" applyAlignment="1">
      <alignment vertical="center" wrapText="1"/>
    </xf>
    <xf numFmtId="0" fontId="7" fillId="5" borderId="4" xfId="0" applyFont="1" applyFill="1" applyBorder="1" applyAlignment="1">
      <alignment horizontal="center" vertical="center"/>
    </xf>
    <xf numFmtId="0" fontId="0" fillId="5" borderId="4" xfId="0" applyFill="1" applyBorder="1" applyAlignment="1">
      <alignment vertical="center"/>
    </xf>
    <xf numFmtId="0" fontId="12" fillId="0" borderId="0" xfId="0" applyFont="1" applyAlignment="1" applyProtection="1">
      <alignment vertical="center"/>
      <protection locked="0"/>
    </xf>
    <xf numFmtId="0" fontId="12" fillId="0" borderId="0" xfId="0" applyFont="1" applyAlignment="1">
      <alignment vertical="center"/>
    </xf>
    <xf numFmtId="0" fontId="28" fillId="0" borderId="0" xfId="0" applyFont="1"/>
    <xf numFmtId="0" fontId="0" fillId="0" borderId="0" xfId="0" applyAlignment="1">
      <alignment horizontal="center" vertical="center"/>
    </xf>
    <xf numFmtId="0" fontId="5" fillId="0" borderId="0" xfId="2" applyFont="1" applyAlignment="1">
      <alignment horizontal="center" vertical="center" wrapText="1"/>
    </xf>
    <xf numFmtId="0" fontId="0" fillId="3" borderId="4" xfId="0" applyFill="1" applyBorder="1" applyAlignment="1">
      <alignment horizontal="center" vertical="center"/>
    </xf>
    <xf numFmtId="43" fontId="0" fillId="0" borderId="0" xfId="1" applyFont="1" applyAlignment="1" applyProtection="1">
      <alignment horizontal="center" vertical="center"/>
    </xf>
    <xf numFmtId="43" fontId="5" fillId="0" borderId="0" xfId="1" applyFont="1" applyBorder="1" applyAlignment="1" applyProtection="1">
      <alignment horizontal="center" vertical="center" wrapText="1"/>
    </xf>
    <xf numFmtId="43" fontId="0" fillId="4" borderId="4" xfId="1" applyFont="1" applyFill="1" applyBorder="1" applyAlignment="1" applyProtection="1">
      <alignment horizontal="center" vertical="center"/>
    </xf>
    <xf numFmtId="0" fontId="0" fillId="0" borderId="4" xfId="0"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0" fillId="2" borderId="4" xfId="0" applyFill="1" applyBorder="1" applyAlignment="1">
      <alignment horizontal="left" vertical="center" wrapText="1"/>
    </xf>
    <xf numFmtId="0" fontId="0" fillId="3" borderId="4" xfId="0" applyFill="1" applyBorder="1" applyAlignment="1" applyProtection="1">
      <alignment horizontal="center" vertical="center"/>
      <protection locked="0"/>
    </xf>
    <xf numFmtId="43" fontId="3" fillId="4" borderId="4" xfId="1" applyFont="1" applyFill="1" applyBorder="1" applyAlignment="1" applyProtection="1">
      <alignment horizontal="center" vertical="center"/>
    </xf>
    <xf numFmtId="0" fontId="53" fillId="8" borderId="4" xfId="0" applyFont="1" applyFill="1" applyBorder="1" applyAlignment="1" applyProtection="1">
      <alignment horizontal="center" vertical="center"/>
      <protection locked="0"/>
    </xf>
    <xf numFmtId="0" fontId="0" fillId="5" borderId="4" xfId="0" applyFill="1" applyBorder="1" applyAlignment="1">
      <alignment horizontal="center" vertical="center"/>
    </xf>
    <xf numFmtId="174" fontId="0" fillId="4" borderId="4" xfId="1" applyNumberFormat="1" applyFont="1" applyFill="1" applyBorder="1" applyAlignment="1" applyProtection="1">
      <alignment horizontal="center" vertical="center"/>
    </xf>
    <xf numFmtId="0" fontId="12" fillId="2" borderId="4" xfId="0" applyFont="1" applyFill="1" applyBorder="1" applyAlignment="1">
      <alignment vertical="center" wrapText="1"/>
    </xf>
    <xf numFmtId="0" fontId="0" fillId="0" borderId="4" xfId="0" applyBorder="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54" fillId="2" borderId="4" xfId="0" applyFont="1" applyFill="1" applyBorder="1" applyAlignment="1">
      <alignment vertical="center" wrapText="1"/>
    </xf>
    <xf numFmtId="0" fontId="7" fillId="5" borderId="1" xfId="0" applyFont="1" applyFill="1" applyBorder="1" applyAlignment="1" applyProtection="1">
      <alignment horizontal="center" vertical="center"/>
      <protection locked="0"/>
    </xf>
    <xf numFmtId="0" fontId="27" fillId="8" borderId="1" xfId="0" applyFont="1" applyFill="1" applyBorder="1" applyAlignment="1" applyProtection="1">
      <alignment horizontal="center" vertical="center"/>
      <protection locked="0"/>
    </xf>
    <xf numFmtId="0" fontId="0" fillId="5" borderId="1" xfId="0" applyFill="1" applyBorder="1" applyAlignment="1" applyProtection="1">
      <alignment vertical="center"/>
      <protection locked="0"/>
    </xf>
    <xf numFmtId="0" fontId="12" fillId="0" borderId="0" xfId="0" applyFont="1" applyAlignment="1" applyProtection="1">
      <alignment horizontal="left" vertical="center" wrapText="1"/>
      <protection locked="0"/>
    </xf>
    <xf numFmtId="0" fontId="7" fillId="0" borderId="4" xfId="0" applyFont="1" applyBorder="1" applyAlignment="1" applyProtection="1">
      <alignment horizontal="center" vertical="center"/>
      <protection locked="0"/>
    </xf>
    <xf numFmtId="0" fontId="7" fillId="2" borderId="4" xfId="0" applyFont="1" applyFill="1" applyBorder="1" applyAlignment="1">
      <alignment horizontal="center" vertical="center"/>
    </xf>
    <xf numFmtId="0" fontId="7" fillId="3" borderId="4" xfId="0" applyFont="1" applyFill="1" applyBorder="1" applyAlignment="1">
      <alignment horizontal="center" vertical="center"/>
    </xf>
    <xf numFmtId="43" fontId="7" fillId="4" borderId="5" xfId="1" applyFont="1" applyFill="1" applyBorder="1" applyAlignment="1" applyProtection="1">
      <alignment horizontal="center" vertical="center"/>
    </xf>
    <xf numFmtId="43" fontId="7" fillId="4" borderId="6" xfId="1" applyFont="1" applyFill="1" applyBorder="1" applyAlignment="1" applyProtection="1">
      <alignment horizontal="center" vertical="center"/>
    </xf>
    <xf numFmtId="0" fontId="7" fillId="5" borderId="5" xfId="0" applyFont="1" applyFill="1" applyBorder="1" applyAlignment="1">
      <alignment horizontal="center" vertical="center"/>
    </xf>
    <xf numFmtId="0" fontId="7" fillId="5" borderId="6" xfId="0" applyFont="1" applyFill="1" applyBorder="1" applyAlignment="1">
      <alignment horizontal="center" vertical="center"/>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7" fillId="0" borderId="2" xfId="0" applyFont="1" applyBorder="1" applyAlignment="1" applyProtection="1">
      <alignment horizontal="left" vertical="center"/>
      <protection locked="0"/>
    </xf>
    <xf numFmtId="0" fontId="7" fillId="0" borderId="3" xfId="0" applyFont="1" applyBorder="1" applyAlignment="1" applyProtection="1">
      <alignment horizontal="left" vertical="center"/>
      <protection locked="0"/>
    </xf>
    <xf numFmtId="0" fontId="51" fillId="0" borderId="1" xfId="0" applyFont="1" applyBorder="1" applyAlignment="1" applyProtection="1">
      <alignment horizontal="left" vertical="center"/>
      <protection locked="0"/>
    </xf>
    <xf numFmtId="0" fontId="51" fillId="0" borderId="2" xfId="0" applyFont="1" applyBorder="1" applyAlignment="1" applyProtection="1">
      <alignment horizontal="left" vertical="center"/>
      <protection locked="0"/>
    </xf>
    <xf numFmtId="0" fontId="51" fillId="0" borderId="3" xfId="0" applyFont="1" applyBorder="1" applyAlignment="1" applyProtection="1">
      <alignment horizontal="left" vertical="center"/>
      <protection locked="0"/>
    </xf>
    <xf numFmtId="0" fontId="52" fillId="0" borderId="1" xfId="0" applyFont="1" applyBorder="1" applyAlignment="1" applyProtection="1">
      <alignment horizontal="left" vertical="center"/>
      <protection locked="0"/>
    </xf>
    <xf numFmtId="0" fontId="52" fillId="0" borderId="2" xfId="0" applyFont="1" applyBorder="1" applyAlignment="1" applyProtection="1">
      <alignment horizontal="left" vertical="center"/>
      <protection locked="0"/>
    </xf>
    <xf numFmtId="0" fontId="52" fillId="0" borderId="3" xfId="0" applyFont="1" applyBorder="1" applyAlignment="1" applyProtection="1">
      <alignment horizontal="left" vertical="center"/>
      <protection locked="0"/>
    </xf>
  </cellXfs>
  <cellStyles count="503">
    <cellStyle name="0,0_x000d__x000a_NA_x000d__x000a_" xfId="44" xr:uid="{523C35E8-52FF-44B1-A16B-E903165209F6}"/>
    <cellStyle name="0,0_x000d__x000a_NA_x000d__x000a_ 2" xfId="45" xr:uid="{AFE5A243-4EC3-4F35-AEDD-4ED03A2B5A3D}"/>
    <cellStyle name="20% Black" xfId="46" xr:uid="{3875B199-84FE-41D3-A928-CE004EAA2E20}"/>
    <cellStyle name="20% Blue" xfId="47" xr:uid="{1F4F1506-BBF9-4380-B0FA-2EF6EBD514D9}"/>
    <cellStyle name="20% Green" xfId="48" xr:uid="{01A4A57A-A5D7-488F-A8BB-3E60D69BFDC0}"/>
    <cellStyle name="20% Magenta" xfId="49" xr:uid="{1F735BE6-784D-4524-A2C7-CFF4B00A4D6C}"/>
    <cellStyle name="20% Orange" xfId="50" xr:uid="{9B3F60C6-2BFD-420D-9FE2-255A9433D06C}"/>
    <cellStyle name="20% Warm Grey" xfId="51" xr:uid="{5C8842D7-8E9D-48E1-964F-7D13CB1810FD}"/>
    <cellStyle name="40% - Accent3 2" xfId="40" xr:uid="{1A463137-827C-42C6-8FF1-FF4B8B15A47E}"/>
    <cellStyle name="40% Black" xfId="52" xr:uid="{10A9B3B2-6D4B-4780-96DE-35CA6961BD81}"/>
    <cellStyle name="40% Blue" xfId="53" xr:uid="{6621F53B-DCAB-430E-9764-E9E762DEE0CA}"/>
    <cellStyle name="40% Green" xfId="54" xr:uid="{D9E8F55E-00F9-4150-A49D-1DE60CBD8D55}"/>
    <cellStyle name="40% Magenta" xfId="55" xr:uid="{AE1EE712-BC53-4CE2-A411-92381FE117AC}"/>
    <cellStyle name="40% Orange" xfId="56" xr:uid="{53819E29-709A-4974-98AF-96FEC96583E6}"/>
    <cellStyle name="40% Warm Gray" xfId="57" xr:uid="{6669ACC0-AEE0-4DCC-A67C-156D87C07CB1}"/>
    <cellStyle name="60% Black" xfId="58" xr:uid="{A4861832-24FD-4829-A9B9-931EF1A43BC2}"/>
    <cellStyle name="60% Blue" xfId="59" xr:uid="{D7FAA19B-8FC5-4D52-9C69-60D68BEF7BB2}"/>
    <cellStyle name="60% Green" xfId="60" xr:uid="{55D16495-0916-4A01-95C8-0C10720B85C5}"/>
    <cellStyle name="60% Magenta" xfId="61" xr:uid="{FC068FFB-BFCA-458F-A259-05484F2009BA}"/>
    <cellStyle name="60% Orange" xfId="62" xr:uid="{50FAC337-E698-48B9-98AA-3F6C49A71A84}"/>
    <cellStyle name="60% Warm Gray" xfId="63" xr:uid="{A9AE9B80-D3A5-437C-918F-B53A0ABE5E19}"/>
    <cellStyle name="80% Black" xfId="64" xr:uid="{BB248210-4189-4CA8-97FE-842F4E6B0E32}"/>
    <cellStyle name="80% BLUE" xfId="65" xr:uid="{EB53D481-DFA7-44A9-A3B3-A656596A03F1}"/>
    <cellStyle name="80% Green" xfId="66" xr:uid="{5E2EAD5E-360D-44F7-8D9E-1A9E0846DA49}"/>
    <cellStyle name="80% Magenta" xfId="67" xr:uid="{44730683-F8E2-45EC-84A4-97B93B8F175D}"/>
    <cellStyle name="80% Orange" xfId="68" xr:uid="{C62168F2-6BC8-4AE6-81DF-C8C6E1BC403B}"/>
    <cellStyle name="80% Warm Gray" xfId="69" xr:uid="{CF1AD2DF-869F-4CA7-B89F-E607B0D6EB45}"/>
    <cellStyle name="Antet" xfId="3" xr:uid="{54049DE1-9CAC-4445-9D55-101689CEA917}"/>
    <cellStyle name="Cantitate" xfId="4" xr:uid="{7581A0D4-E22B-4207-BB9B-5C730FEAB130}"/>
    <cellStyle name="CapTabel" xfId="5" xr:uid="{7D211413-6458-4153-ADE3-F2B3DCD008DD}"/>
    <cellStyle name="Cat_A" xfId="70" xr:uid="{962133AE-2D2A-4EAC-B531-3F203DD27F76}"/>
    <cellStyle name="Cod" xfId="6" xr:uid="{FB2C473D-C6EA-4D5F-8896-A0F20EAC821E}"/>
    <cellStyle name="Comma" xfId="1" builtinId="3"/>
    <cellStyle name="Comma 10" xfId="71" xr:uid="{1A26FEEA-7B8A-45D7-949C-DAA7883D215F}"/>
    <cellStyle name="Comma 10 2" xfId="72" xr:uid="{2BF88BA6-5DEF-4127-8180-0ADA5AE946D4}"/>
    <cellStyle name="Comma 10 3" xfId="73" xr:uid="{7BBFAE40-ED56-44E6-AAF9-05CC7E1B7DE8}"/>
    <cellStyle name="Comma 10 4" xfId="409" xr:uid="{A471E3D4-85CE-4526-BC9B-A5B9D4C72516}"/>
    <cellStyle name="Comma 11" xfId="74" xr:uid="{481500B6-4B2C-4908-AD1F-593FB281EBA1}"/>
    <cellStyle name="Comma 12" xfId="75" xr:uid="{DFBAC07B-5FDD-47D1-98DF-9C20BF93090B}"/>
    <cellStyle name="Comma 12 2" xfId="410" xr:uid="{D8CB5D0C-5F77-462F-963A-9FC87A67AACB}"/>
    <cellStyle name="Comma 16" xfId="33" xr:uid="{F6D078D5-9F53-4859-A0ED-AF2F99E0EE66}"/>
    <cellStyle name="Comma 2" xfId="7" xr:uid="{36D5CED6-F750-432D-8F24-227F948D016A}"/>
    <cellStyle name="Comma 2 10" xfId="411" xr:uid="{6C0711FA-545E-418D-A31A-7B77DA75515D}"/>
    <cellStyle name="Comma 2 2" xfId="77" xr:uid="{4A06948C-FE19-469D-A645-EA0D7555D146}"/>
    <cellStyle name="Comma 2 2 2" xfId="78" xr:uid="{342560A5-8B0A-4438-92A0-7030CDA1583B}"/>
    <cellStyle name="Comma 2 2 2 2" xfId="79" xr:uid="{6C8E3ACA-1E99-4D16-9574-704BD66428F0}"/>
    <cellStyle name="Comma 2 2 2 2 2" xfId="80" xr:uid="{9D7CEF04-F8D3-4D44-B8C3-908D677962CF}"/>
    <cellStyle name="Comma 2 2 2 2 2 2" xfId="415" xr:uid="{2972332A-4D30-4D43-8D5B-7C28FEC99CD5}"/>
    <cellStyle name="Comma 2 2 2 2 3" xfId="414" xr:uid="{6F636485-5927-497E-82CF-1B392ED3EAAB}"/>
    <cellStyle name="Comma 2 2 2 3" xfId="81" xr:uid="{4616B47B-68E8-40B3-8056-73D1EB7A2DF8}"/>
    <cellStyle name="Comma 2 2 2 3 2" xfId="82" xr:uid="{21828798-624D-42ED-AACA-2B500C4720D0}"/>
    <cellStyle name="Comma 2 2 2 3 2 2" xfId="417" xr:uid="{7B48B9B7-645B-4CAB-A677-D7A5B9F2CB22}"/>
    <cellStyle name="Comma 2 2 2 3 3" xfId="416" xr:uid="{97409B98-F692-4060-BE8A-0263BF21A5B1}"/>
    <cellStyle name="Comma 2 2 2 4" xfId="83" xr:uid="{4F526C7C-2AA1-4443-A2E2-8F7BE5A78328}"/>
    <cellStyle name="Comma 2 2 2 4 2" xfId="418" xr:uid="{AB1A3808-1370-409C-9CB7-F17DBC9B1925}"/>
    <cellStyle name="Comma 2 2 2 5" xfId="413" xr:uid="{11547763-2294-412E-B031-4B891D078575}"/>
    <cellStyle name="Comma 2 2 3" xfId="84" xr:uid="{C8BB8FD6-5A97-47DC-B600-07B01E276496}"/>
    <cellStyle name="Comma 2 2 3 2" xfId="85" xr:uid="{007C16D5-41FF-4298-A9D3-C6562AB7E3C3}"/>
    <cellStyle name="Comma 2 2 3 2 2" xfId="86" xr:uid="{C498847D-EBA3-4253-A565-FB21334A859C}"/>
    <cellStyle name="Comma 2 2 3 2 2 2" xfId="421" xr:uid="{E5CB7421-D1C0-4B5B-80D9-E2E94BBC6241}"/>
    <cellStyle name="Comma 2 2 3 2 3" xfId="420" xr:uid="{412157FC-055B-4023-BB59-C3BE2CF73590}"/>
    <cellStyle name="Comma 2 2 3 3" xfId="87" xr:uid="{1DC0310E-1619-4271-BAAF-5DAD3D483BD5}"/>
    <cellStyle name="Comma 2 2 3 3 2" xfId="422" xr:uid="{C183AEA8-6313-4506-982B-DECE46BCE003}"/>
    <cellStyle name="Comma 2 2 3 4" xfId="419" xr:uid="{966BE1A5-C4E0-4A15-A56C-16E424B33BBB}"/>
    <cellStyle name="Comma 2 2 4" xfId="88" xr:uid="{5B1AED02-2673-44AA-80E1-37488E5DD6CE}"/>
    <cellStyle name="Comma 2 2 4 2" xfId="89" xr:uid="{8D72AD5C-97EE-4FC6-830D-9F5E520725A1}"/>
    <cellStyle name="Comma 2 2 4 2 2" xfId="424" xr:uid="{F0E2E885-250D-437E-ABF5-8A9D7F040109}"/>
    <cellStyle name="Comma 2 2 4 3" xfId="423" xr:uid="{68AF3531-F429-4C5E-B81F-EE28B764CCDA}"/>
    <cellStyle name="Comma 2 2 5" xfId="90" xr:uid="{6E794E31-CAD5-4063-AF9F-FD35CC8594BD}"/>
    <cellStyle name="Comma 2 2 5 2" xfId="425" xr:uid="{7981A059-867B-4F40-854C-44EAA94D1254}"/>
    <cellStyle name="Comma 2 2 6" xfId="91" xr:uid="{FB3F0760-62CC-43CB-B6F8-033AEE2A9A4C}"/>
    <cellStyle name="Comma 2 2 6 2" xfId="426" xr:uid="{F79C7978-6758-4100-AA0A-FDD54E458C08}"/>
    <cellStyle name="Comma 2 2 7" xfId="412" xr:uid="{8D2B20DD-213A-41BC-AEF7-D13AFD94F9EE}"/>
    <cellStyle name="Comma 2 3" xfId="92" xr:uid="{7F5F9CDC-C008-4C58-8B3C-A53107AF8F28}"/>
    <cellStyle name="Comma 2 3 2" xfId="93" xr:uid="{D0271869-DF3C-4F9F-A5D2-807C9657B75B}"/>
    <cellStyle name="Comma 2 3 2 2" xfId="94" xr:uid="{54D46A4E-851F-4F1D-A31F-A0E0EEC6EC6F}"/>
    <cellStyle name="Comma 2 3 2 2 2" xfId="428" xr:uid="{F91879EC-DCE9-4997-AE97-DF98F263FE50}"/>
    <cellStyle name="Comma 2 3 2 3" xfId="427" xr:uid="{78EB34A2-86F8-4577-A423-5FC21E67614E}"/>
    <cellStyle name="Comma 2 3 3" xfId="95" xr:uid="{821282D4-6226-4ED9-BB20-C6BDEAEEA310}"/>
    <cellStyle name="Comma 2 3 3 2" xfId="429" xr:uid="{9255CBA6-0BB3-4170-A096-21FC1A4F0466}"/>
    <cellStyle name="Comma 2 3 4" xfId="96" xr:uid="{53495F44-7B74-417B-B0E4-3559A4F0FD04}"/>
    <cellStyle name="Comma 2 3 5" xfId="97" xr:uid="{C0BE7735-BFAC-407F-8616-E9DEEF8B392D}"/>
    <cellStyle name="Comma 2 3 5 2" xfId="430" xr:uid="{BB355449-293A-4835-9126-20A2C2EFD05E}"/>
    <cellStyle name="Comma 2 3 6" xfId="98" xr:uid="{A0158CD9-8277-4249-B566-E29B2136BBA6}"/>
    <cellStyle name="Comma 2 3 6 2" xfId="431" xr:uid="{FA8C91EB-3E65-4516-A41E-D866377DA4FD}"/>
    <cellStyle name="Comma 2 4" xfId="99" xr:uid="{717C4FE0-9408-441C-BE49-3E448EC19D5F}"/>
    <cellStyle name="Comma 2 4 2" xfId="100" xr:uid="{B81DF0EE-F6B4-44EC-B832-A12D4D5A10E5}"/>
    <cellStyle name="Comma 2 4 2 2" xfId="101" xr:uid="{696564AC-A460-4BC1-81F0-B59652EAE8BF}"/>
    <cellStyle name="Comma 2 4 2 2 2" xfId="434" xr:uid="{35621349-E94B-4A16-82D6-535DB7431C25}"/>
    <cellStyle name="Comma 2 4 2 3" xfId="433" xr:uid="{4591198D-EDEB-43A5-9388-B2D33C3B4F8B}"/>
    <cellStyle name="Comma 2 4 3" xfId="102" xr:uid="{43822FEB-0285-4C1A-A11B-4F75E508037A}"/>
    <cellStyle name="Comma 2 4 3 2" xfId="435" xr:uid="{842919EA-30E2-486A-B7F8-38E947DE52EB}"/>
    <cellStyle name="Comma 2 4 4" xfId="432" xr:uid="{1A12872C-6427-4F39-8741-7007FDF3C702}"/>
    <cellStyle name="Comma 2 5" xfId="103" xr:uid="{B195B118-4D26-44C3-B2C7-58786A899AB2}"/>
    <cellStyle name="Comma 2 5 2" xfId="104" xr:uid="{5F6416CB-D5C2-4018-A2D4-0D8C61AD332C}"/>
    <cellStyle name="Comma 2 5 2 2" xfId="437" xr:uid="{00187E50-8087-4B9B-90BB-6B018894D36B}"/>
    <cellStyle name="Comma 2 5 3" xfId="436" xr:uid="{6469690E-DCCB-43C5-8F8B-0B1D82300F4C}"/>
    <cellStyle name="Comma 2 6" xfId="105" xr:uid="{76CC6D19-7741-4DAF-B4C3-096C87EBBB75}"/>
    <cellStyle name="Comma 2 6 2" xfId="438" xr:uid="{EC1D2117-9D0A-40BE-9086-DD8B5F29FBDB}"/>
    <cellStyle name="Comma 2 7" xfId="106" xr:uid="{12BDA58C-5718-40E1-8605-1AB7F4EDB813}"/>
    <cellStyle name="Comma 2 7 2" xfId="439" xr:uid="{BA2195D5-89EC-448F-83D8-AD2D6C8FBA31}"/>
    <cellStyle name="Comma 2 8" xfId="107" xr:uid="{CFBBA1C3-9433-4D10-8FE2-B0F9BD9459E9}"/>
    <cellStyle name="Comma 2 9" xfId="76" xr:uid="{3B40427C-AE6D-4B40-B899-AB779E918A1E}"/>
    <cellStyle name="Comma 22" xfId="8" xr:uid="{43D57D9F-7423-4FC7-A742-EA2F86243111}"/>
    <cellStyle name="Comma 3" xfId="38" xr:uid="{DA195FF8-0F77-4466-9757-9071AEC75308}"/>
    <cellStyle name="Comma 3 2" xfId="109" xr:uid="{DB32A15C-ECE6-428E-AEB0-4F6D885BDA90}"/>
    <cellStyle name="Comma 3 2 2" xfId="110" xr:uid="{94CB6DBF-D93B-47DF-8459-48F945870331}"/>
    <cellStyle name="Comma 3 2 2 2" xfId="111" xr:uid="{59ECE9CF-4102-4C2F-92F6-3BC5284ABC17}"/>
    <cellStyle name="Comma 3 2 2 2 2" xfId="112" xr:uid="{F3A7CFEB-3688-4DD9-B3CE-C899CEE324E6}"/>
    <cellStyle name="Comma 3 2 2 2 2 2" xfId="443" xr:uid="{718AF11D-5F19-4B61-A446-88600C9E0F30}"/>
    <cellStyle name="Comma 3 2 2 2 3" xfId="442" xr:uid="{728344E8-D6BD-486C-81E6-16139031AD00}"/>
    <cellStyle name="Comma 3 2 2 3" xfId="113" xr:uid="{80A0F8CC-D8EC-4619-AB80-72FA7FCA102D}"/>
    <cellStyle name="Comma 3 2 2 3 2" xfId="444" xr:uid="{99593C23-C91E-4FD0-88A0-FE1468D8D6CA}"/>
    <cellStyle name="Comma 3 2 2 4" xfId="114" xr:uid="{B8DD43E2-726F-464A-8B06-6D63B7E29719}"/>
    <cellStyle name="Comma 3 2 2 5" xfId="115" xr:uid="{E6CB5A45-A28B-49C7-817B-AE2F19E47BA8}"/>
    <cellStyle name="Comma 3 2 2 5 2" xfId="445" xr:uid="{0A59092C-BD64-47D5-A718-683EE02783CD}"/>
    <cellStyle name="Comma 3 2 2 6" xfId="116" xr:uid="{B16C7FFF-7C8F-4896-8BAF-D8F14377ABED}"/>
    <cellStyle name="Comma 3 2 2 6 2" xfId="446" xr:uid="{0CF9DFEF-AAE2-45A5-A319-3B6E113E6DA1}"/>
    <cellStyle name="Comma 3 2 3" xfId="117" xr:uid="{F4AC8230-BE98-44F7-A2E1-AB4DC97BD5FE}"/>
    <cellStyle name="Comma 3 2 3 2" xfId="118" xr:uid="{29A18438-123F-4CA2-BFB8-FDB351EDF93F}"/>
    <cellStyle name="Comma 3 2 3 2 2" xfId="448" xr:uid="{D8CEB1EC-E0B6-4256-BA88-206997471AD7}"/>
    <cellStyle name="Comma 3 2 3 3" xfId="119" xr:uid="{E9858370-C695-4F3B-9853-447D9F10585B}"/>
    <cellStyle name="Comma 3 2 3 3 2" xfId="449" xr:uid="{3804AD26-E497-4194-BE80-7185DF12C844}"/>
    <cellStyle name="Comma 3 2 3 4" xfId="447" xr:uid="{4D9F906E-9BC3-40C2-BF48-53E73E24E4E2}"/>
    <cellStyle name="Comma 3 2 4" xfId="441" xr:uid="{E33572FE-CAB4-4311-B807-A526A10A17D1}"/>
    <cellStyle name="Comma 3 3" xfId="120" xr:uid="{BDB9AD00-4825-4816-9B28-FAB12B7D5C99}"/>
    <cellStyle name="Comma 3 3 2" xfId="121" xr:uid="{C37F968F-FEC9-460B-B382-09966360BD9F}"/>
    <cellStyle name="Comma 3 3 2 2" xfId="122" xr:uid="{FA1039D8-8AA2-417D-812F-093C8EBE0FC1}"/>
    <cellStyle name="Comma 3 3 2 2 2" xfId="452" xr:uid="{0B892D25-047A-42FE-914A-44A675A0CEAF}"/>
    <cellStyle name="Comma 3 3 2 3" xfId="451" xr:uid="{37D10BAB-6DD6-419D-8B65-9FFD41701C8E}"/>
    <cellStyle name="Comma 3 3 3" xfId="123" xr:uid="{5317738F-8987-4B80-91BD-A9CDC1D8F593}"/>
    <cellStyle name="Comma 3 3 3 2" xfId="453" xr:uid="{59EA458B-7408-4667-9E6A-83B7BC0A2822}"/>
    <cellStyle name="Comma 3 3 4" xfId="450" xr:uid="{D330D328-1095-45EA-B651-1159CB01BB4B}"/>
    <cellStyle name="Comma 3 4" xfId="124" xr:uid="{FC30CDCE-B467-4C00-9836-77EA9BAA5E0D}"/>
    <cellStyle name="Comma 3 4 2" xfId="125" xr:uid="{854D62FC-E0E0-469E-B7BB-98C5B0A55346}"/>
    <cellStyle name="Comma 3 4 3" xfId="126" xr:uid="{39B275B5-7C8C-4DC2-8B21-90051FFB0373}"/>
    <cellStyle name="Comma 3 4 3 2" xfId="454" xr:uid="{58C216CA-A226-47F7-8895-84D2ECB960DD}"/>
    <cellStyle name="Comma 3 4 4" xfId="127" xr:uid="{E3805742-875B-480C-87A0-714B397BB420}"/>
    <cellStyle name="Comma 3 4 4 2" xfId="455" xr:uid="{7F624D4A-4D5E-45EA-B6FF-6F119A342355}"/>
    <cellStyle name="Comma 3 5" xfId="108" xr:uid="{DC4710F7-1AD5-4FF4-9900-C256FB3FB9B0}"/>
    <cellStyle name="Comma 3 6" xfId="440" xr:uid="{045C65EC-9F45-4A74-A416-1F34382648FC}"/>
    <cellStyle name="Comma 4" xfId="128" xr:uid="{E687322F-B40B-4D9E-9F35-A902A6FB3C78}"/>
    <cellStyle name="Comma 4 2" xfId="129" xr:uid="{6432F8F4-3CD6-4243-94F0-2EAB0014C970}"/>
    <cellStyle name="Comma 4 3" xfId="130" xr:uid="{248BDB50-B17A-4AC3-9058-ED18A1B001B2}"/>
    <cellStyle name="Comma 4 3 2" xfId="457" xr:uid="{3B026DE1-B03D-478C-9EE9-2292968D04A8}"/>
    <cellStyle name="Comma 4 4" xfId="131" xr:uid="{D834A844-5462-4CAD-B10B-D14C7B35EE7A}"/>
    <cellStyle name="Comma 4 5" xfId="132" xr:uid="{9213D829-0D4B-4F76-9A0B-E60407FF9BC4}"/>
    <cellStyle name="Comma 4 6" xfId="456" xr:uid="{836FCFE8-92EE-42D6-BF31-7AAD5235EA1F}"/>
    <cellStyle name="Comma 5" xfId="133" xr:uid="{88767E64-1074-49C3-A08B-8BF5A4C3EA8C}"/>
    <cellStyle name="Comma 5 2" xfId="134" xr:uid="{DC8373E3-51D8-4212-B98E-79DC4A15077D}"/>
    <cellStyle name="Comma 5 2 2" xfId="135" xr:uid="{45252FFF-895E-405B-B891-5A8AC7E82FC2}"/>
    <cellStyle name="Comma 5 2 3" xfId="459" xr:uid="{27F8962C-5159-45E2-8644-7F72A2EE1A6F}"/>
    <cellStyle name="Comma 5 3" xfId="136" xr:uid="{9B0D2EA7-6280-4F80-8BFC-6D0FFB0532AB}"/>
    <cellStyle name="Comma 5 3 2" xfId="137" xr:uid="{6CC433EE-61A7-439B-A9EC-919223E92AC9}"/>
    <cellStyle name="Comma 5 3 2 2" xfId="138" xr:uid="{81342F5A-2882-44CA-BF54-5538D8F36577}"/>
    <cellStyle name="Comma 5 3 2 3" xfId="461" xr:uid="{264C1B40-C7C4-4F90-ABE6-34EE90F9A2C8}"/>
    <cellStyle name="Comma 5 3 3" xfId="139" xr:uid="{8809A13D-E4AA-4ECB-B1F7-BE675EA79DE1}"/>
    <cellStyle name="Comma 5 3 3 2" xfId="140" xr:uid="{B0AF47D2-474B-4B08-A056-94DD417E72E6}"/>
    <cellStyle name="Comma 5 3 3 2 2" xfId="141" xr:uid="{412A6815-6214-480B-A6B4-D2E8A9D31468}"/>
    <cellStyle name="Comma 5 3 3 2 3" xfId="463" xr:uid="{D9300370-E05A-4C1E-891B-19E3F2F0F048}"/>
    <cellStyle name="Comma 5 3 3 3" xfId="142" xr:uid="{1649407D-7FE6-4241-9C89-8424F49E3091}"/>
    <cellStyle name="Comma 5 3 3 3 2" xfId="464" xr:uid="{7AF8F449-A762-46F2-BFD3-3EA32230C8F0}"/>
    <cellStyle name="Comma 5 3 3 4" xfId="143" xr:uid="{2E29292D-888E-40CC-A53A-BC85FA56B58C}"/>
    <cellStyle name="Comma 5 3 3 4 2" xfId="465" xr:uid="{BB197779-FCFE-49BF-A817-9AD545BC942D}"/>
    <cellStyle name="Comma 5 3 3 5" xfId="144" xr:uid="{82ADCF46-C165-4FA3-9E2C-8B3021DA67F3}"/>
    <cellStyle name="Comma 5 3 3 6" xfId="462" xr:uid="{65007840-90B7-4A6B-8BE5-2301C68C01D9}"/>
    <cellStyle name="Comma 5 3 4" xfId="145" xr:uid="{78332F27-21E4-4528-BD33-B19080E958A1}"/>
    <cellStyle name="Comma 5 3 4 2" xfId="146" xr:uid="{814DA375-E036-4C34-AF7D-ED152273D5C8}"/>
    <cellStyle name="Comma 5 3 4 3" xfId="466" xr:uid="{9E9A67BD-F23D-4D00-BA6A-39F15DA8EB79}"/>
    <cellStyle name="Comma 5 3 5" xfId="147" xr:uid="{614FD6A2-49FD-4587-AD86-28567EF86D6E}"/>
    <cellStyle name="Comma 5 3 6" xfId="460" xr:uid="{5E917E70-A51D-4DC0-9FA0-0B4E01B109B4}"/>
    <cellStyle name="Comma 5 4" xfId="148" xr:uid="{A68EA28D-95F1-4614-ACB6-AD27F6FC4E81}"/>
    <cellStyle name="Comma 5 4 2" xfId="149" xr:uid="{7C7B1C0C-CF5D-46C6-B699-AE0938EBD11B}"/>
    <cellStyle name="Comma 5 4 3" xfId="467" xr:uid="{B4BB6EDA-D7C7-4D95-A011-461898B95776}"/>
    <cellStyle name="Comma 5 5" xfId="150" xr:uid="{F11AB251-3B0A-4062-A64F-60B22530A304}"/>
    <cellStyle name="Comma 5 5 2" xfId="151" xr:uid="{8BABF005-E747-49ED-B9F4-E153B255C9AB}"/>
    <cellStyle name="Comma 5 5 3" xfId="468" xr:uid="{C5160B4F-0ED0-4B66-B06C-D660627DA4AC}"/>
    <cellStyle name="Comma 5 6" xfId="152" xr:uid="{D57217F7-50D4-4605-8FF7-E83E7D741D4A}"/>
    <cellStyle name="Comma 5 6 2" xfId="469" xr:uid="{5A8E1382-87A5-47DC-81D5-3C549498C1A5}"/>
    <cellStyle name="Comma 5 7" xfId="153" xr:uid="{20A98EDE-5209-4D4E-A19E-848FBA4C0B3C}"/>
    <cellStyle name="Comma 5 8" xfId="154" xr:uid="{26564781-6788-4AC4-9897-C1DB55380614}"/>
    <cellStyle name="Comma 5 8 2" xfId="470" xr:uid="{90A8DD3C-62DC-4B6C-BF59-7E107BF93879}"/>
    <cellStyle name="Comma 5 9" xfId="458" xr:uid="{7E2B23F1-3566-4C25-9A26-114651DCACE8}"/>
    <cellStyle name="Comma 6" xfId="155" xr:uid="{C97EC04C-5DAA-4134-92C0-ABB7E21A3018}"/>
    <cellStyle name="Comma 6 2" xfId="156" xr:uid="{A602DBB2-F1F9-4F0C-AB93-FE130AE415F3}"/>
    <cellStyle name="Comma 6 3" xfId="471" xr:uid="{A6AC1927-EE13-4BF8-B6CE-08EF62F9470C}"/>
    <cellStyle name="Comma 7" xfId="157" xr:uid="{8D097799-C885-4B85-B8C5-258235665981}"/>
    <cellStyle name="Comma 7 2" xfId="158" xr:uid="{33490A16-2090-470B-A706-010820A85E85}"/>
    <cellStyle name="Comma 7 2 2" xfId="159" xr:uid="{C7ED8C62-53E9-43FA-B80F-CAFB9F3BF688}"/>
    <cellStyle name="Comma 7 2 3" xfId="473" xr:uid="{31D36396-100D-4CFD-91E8-35D340090854}"/>
    <cellStyle name="Comma 7 3" xfId="160" xr:uid="{B2FC1192-8A0D-45C4-B430-8CD16CA34E77}"/>
    <cellStyle name="Comma 7 3 2" xfId="161" xr:uid="{26DF4147-74B2-48F6-8754-6E21964E9468}"/>
    <cellStyle name="Comma 7 3 2 2" xfId="162" xr:uid="{0AF4687F-E65C-4B73-B6BD-4E789157730A}"/>
    <cellStyle name="Comma 7 3 2 3" xfId="475" xr:uid="{25D82C89-0759-4045-BA30-DBE2F2E97560}"/>
    <cellStyle name="Comma 7 3 3" xfId="163" xr:uid="{40D05028-6664-48C9-9F04-056680438DB6}"/>
    <cellStyle name="Comma 7 3 3 2" xfId="164" xr:uid="{52C2431A-E5DB-4FB4-97C5-6D8F1B89F5E8}"/>
    <cellStyle name="Comma 7 3 3 2 2" xfId="165" xr:uid="{7EA48920-3212-434F-B324-A2CEB311923D}"/>
    <cellStyle name="Comma 7 3 3 2 3" xfId="477" xr:uid="{7DCB29F7-7B4D-4E72-B722-25D88E45C24F}"/>
    <cellStyle name="Comma 7 3 3 3" xfId="166" xr:uid="{67FD93B8-3C5B-4FA7-9C29-9C4906742C97}"/>
    <cellStyle name="Comma 7 3 3 3 2" xfId="478" xr:uid="{2674A32C-B70A-4894-9FCF-BF569AB88829}"/>
    <cellStyle name="Comma 7 3 3 4" xfId="167" xr:uid="{485A617A-7D54-421D-B11F-3352A8BCDA36}"/>
    <cellStyle name="Comma 7 3 3 4 2" xfId="479" xr:uid="{2728C040-C1D3-4D8D-A4DF-69372C162235}"/>
    <cellStyle name="Comma 7 3 3 5" xfId="168" xr:uid="{DFDC5A12-D988-411E-AE5B-1B490C820FA2}"/>
    <cellStyle name="Comma 7 3 3 6" xfId="476" xr:uid="{5258CC03-2E66-4785-8770-461682854E7A}"/>
    <cellStyle name="Comma 7 3 4" xfId="169" xr:uid="{80DFF381-80BC-4F83-82C0-DED872D025F5}"/>
    <cellStyle name="Comma 7 3 4 2" xfId="170" xr:uid="{1984066F-EBD2-4AA3-8A6B-2FDE2DA0E2B3}"/>
    <cellStyle name="Comma 7 3 4 3" xfId="480" xr:uid="{14ABCA71-515E-47BF-A5C7-8BDA38704EE6}"/>
    <cellStyle name="Comma 7 3 5" xfId="171" xr:uid="{67AEDDAD-A127-4FDA-9384-530076536184}"/>
    <cellStyle name="Comma 7 3 6" xfId="474" xr:uid="{6E7A8043-6F4A-44EA-BD51-C07BAC46BAA4}"/>
    <cellStyle name="Comma 7 4" xfId="172" xr:uid="{2990FEFA-DDD7-4FD2-A166-AF2CBF06DF7E}"/>
    <cellStyle name="Comma 7 4 2" xfId="173" xr:uid="{179ECB1E-4541-4245-939D-1735CF9117D2}"/>
    <cellStyle name="Comma 7 4 3" xfId="481" xr:uid="{8825FD1F-0B5F-4DB9-85BD-00A55132DF2D}"/>
    <cellStyle name="Comma 7 5" xfId="174" xr:uid="{35805FC3-4185-46FC-80BD-7CA2B4CE7D5F}"/>
    <cellStyle name="Comma 7 5 2" xfId="175" xr:uid="{0BE494E7-D426-482B-BEFD-8AFE9136025C}"/>
    <cellStyle name="Comma 7 5 3" xfId="482" xr:uid="{CC748855-217B-4C8C-A7CC-33C377188495}"/>
    <cellStyle name="Comma 7 6" xfId="176" xr:uid="{AC9E3819-AB95-4FF2-964F-011FD82B8659}"/>
    <cellStyle name="Comma 7 6 2" xfId="483" xr:uid="{12CCBC8B-E4E2-4F1A-BC7E-B9FE0C961E8C}"/>
    <cellStyle name="Comma 7 7" xfId="177" xr:uid="{1E33BF50-CBC3-4B29-8830-BE37A41DBF57}"/>
    <cellStyle name="Comma 7 8" xfId="472" xr:uid="{54CE2F1F-3E80-48CE-8C76-4C6353082DBA}"/>
    <cellStyle name="Comma 8" xfId="178" xr:uid="{0E28420D-AD35-4651-8272-492AB4A986B5}"/>
    <cellStyle name="Comma 8 2" xfId="179" xr:uid="{D015D082-5A22-4CA5-9564-D4929D057C82}"/>
    <cellStyle name="Comma 8 2 2" xfId="180" xr:uid="{9E75FBD0-5C3D-4495-8609-9F3DC360ED46}"/>
    <cellStyle name="Comma 8 2 3" xfId="485" xr:uid="{9CED516C-542C-4ADF-998A-D4E451A1FC49}"/>
    <cellStyle name="Comma 8 3" xfId="181" xr:uid="{2196E7B8-C02E-486A-9D3F-132A96962277}"/>
    <cellStyle name="Comma 8 3 2" xfId="182" xr:uid="{E0BD4A30-9684-4BAF-87C8-7A04F6F64DD4}"/>
    <cellStyle name="Comma 8 3 2 2" xfId="183" xr:uid="{D8782B35-5A53-4BE1-AD9D-BCAAC28FA246}"/>
    <cellStyle name="Comma 8 3 2 3" xfId="487" xr:uid="{FAA0B039-E8E0-471D-880E-DC984FC2D055}"/>
    <cellStyle name="Comma 8 3 3" xfId="184" xr:uid="{7C1A3517-23C3-491E-BB6A-F3BE19F11C35}"/>
    <cellStyle name="Comma 8 3 3 2" xfId="488" xr:uid="{14F51D57-7BD6-4632-BC92-A9989F3F7AC9}"/>
    <cellStyle name="Comma 8 3 4" xfId="185" xr:uid="{4D263A9F-7C9D-4BBF-AFFD-4E0703A9793C}"/>
    <cellStyle name="Comma 8 3 4 2" xfId="489" xr:uid="{E64B3943-80C0-4CF6-8BA0-1884E4F44EFD}"/>
    <cellStyle name="Comma 8 3 5" xfId="186" xr:uid="{B1A0DF7E-8D76-47A3-8D73-49B0AD89F301}"/>
    <cellStyle name="Comma 8 3 6" xfId="486" xr:uid="{1A006B38-AFCA-45F1-9CFA-961561B778F4}"/>
    <cellStyle name="Comma 8 4" xfId="187" xr:uid="{EBD7FE9C-69BC-4C28-9160-C26752A95CB5}"/>
    <cellStyle name="Comma 8 4 2" xfId="188" xr:uid="{107B80A4-9B16-4322-82A0-A0F7D6EEA2AE}"/>
    <cellStyle name="Comma 8 4 3" xfId="490" xr:uid="{19007E9B-470F-4BCD-BE00-1C258D100673}"/>
    <cellStyle name="Comma 8 5" xfId="189" xr:uid="{C9F1AFCB-27C7-47E0-9D57-F299D17BEECA}"/>
    <cellStyle name="Comma 8 6" xfId="484" xr:uid="{7D2397EA-031A-4C7A-8430-E153BB7437FD}"/>
    <cellStyle name="Comma 9" xfId="190" xr:uid="{94CCC24D-5C4E-47DD-9C6D-0AF685914EF8}"/>
    <cellStyle name="Comma 9 2" xfId="191" xr:uid="{96890793-B913-4A31-8A0E-C27480B6B823}"/>
    <cellStyle name="Comma 9 3" xfId="491" xr:uid="{DFB952B1-901B-41F2-92AB-D95989553A85}"/>
    <cellStyle name="Currency 2" xfId="192" xr:uid="{EE7B5BD7-0A13-41AD-B7C3-A9B66F38F7DD}"/>
    <cellStyle name="Currency 2 2" xfId="193" xr:uid="{25803430-E0C6-4893-8E5D-9A204A4191E4}"/>
    <cellStyle name="Currency 2 2 2" xfId="194" xr:uid="{203A0D91-EA25-4304-8EE7-7739E42B1967}"/>
    <cellStyle name="Currency 2 2 2 2" xfId="195" xr:uid="{E487C0BD-AABE-47F2-983F-4ADF12918A63}"/>
    <cellStyle name="Currency 2 2 3" xfId="196" xr:uid="{C21A3EA0-2268-4493-B882-71C00D280129}"/>
    <cellStyle name="Currency 2 3" xfId="197" xr:uid="{8A3CF45C-8B7B-4397-99B5-5B22724B6F5A}"/>
    <cellStyle name="Currency 2 3 2" xfId="198" xr:uid="{FD4AC222-C904-49BD-884A-43506A04C232}"/>
    <cellStyle name="Currency 2 3 2 2" xfId="199" xr:uid="{07A9A179-B7D4-4895-822C-33013105AD9C}"/>
    <cellStyle name="Currency 2 3 3" xfId="200" xr:uid="{47A8A525-5000-430B-8017-D693950FFEA5}"/>
    <cellStyle name="Currency 2 4" xfId="201" xr:uid="{0759B4D7-5A93-456D-8086-2EFAF5079130}"/>
    <cellStyle name="Currency 2 4 2" xfId="202" xr:uid="{0A150F9E-219A-4950-A7F9-4FC8B7252238}"/>
    <cellStyle name="Currency 2 5" xfId="203" xr:uid="{9AAEE49E-2BD5-407F-8C0A-594E04572FA0}"/>
    <cellStyle name="Denum" xfId="9" xr:uid="{C3A721A0-939B-4967-9869-1568C03771EE}"/>
    <cellStyle name="Denumire" xfId="10" xr:uid="{13D52FE9-DD18-4E25-8CE5-104294277754}"/>
    <cellStyle name="DenumireRaport" xfId="11" xr:uid="{B3D0ADAD-F123-4552-9ED7-CEED0EB1F54C}"/>
    <cellStyle name="DenumireRaport 2" xfId="12" xr:uid="{CB1D044D-E315-46C9-8F56-C35F32D84D02}"/>
    <cellStyle name="Description" xfId="204" xr:uid="{4DC8E957-0DA0-45E2-80D5-279D028C66C9}"/>
    <cellStyle name="Description Indent 1" xfId="205" xr:uid="{6EC238C9-4D17-4646-8BBD-9A5BD1F64EC0}"/>
    <cellStyle name="Description Indent 2" xfId="206" xr:uid="{BBD2765F-A7D0-45C6-9E2F-7EB3F1E779F6}"/>
    <cellStyle name="Greutate" xfId="13" xr:uid="{D615344A-AAA9-45FB-AE74-5A6B8FC8029E}"/>
    <cellStyle name="Hyperlink 2" xfId="42" xr:uid="{DF904940-52A0-48E8-A6DD-6A583AAC0503}"/>
    <cellStyle name="Hyperlink 2 2" xfId="207" xr:uid="{5A2E93E8-CBA3-4189-B506-57C15409A808}"/>
    <cellStyle name="Hyperlink 2 2 2" xfId="208" xr:uid="{D913404A-B79E-4064-81B9-3E43CEF08959}"/>
    <cellStyle name="Hyperlink 2 2 3" xfId="209" xr:uid="{79F001C7-57DA-486C-BBB0-726D86606773}"/>
    <cellStyle name="Hyperlink 2 3" xfId="210" xr:uid="{FF766C6F-42F4-4D8A-963A-F8FF9AE3211D}"/>
    <cellStyle name="Hyperlink 2 4" xfId="211" xr:uid="{493B8038-F901-48F5-BD42-60B015D4697A}"/>
    <cellStyle name="Hyperlink 2 5" xfId="212" xr:uid="{502B0CC6-696D-45BE-A929-6979743404C4}"/>
    <cellStyle name="Hyperlink 2 6" xfId="213" xr:uid="{084ACC29-D6EF-49CF-8A0A-E2C4F9DEC01B}"/>
    <cellStyle name="Hyperlink 3" xfId="214" xr:uid="{B32BA5C4-C4FB-40EF-A8C0-E84931EB6EF7}"/>
    <cellStyle name="kmparcurs" xfId="14" xr:uid="{FE285E3F-99FB-4279-8E76-DF8AF1ADFEE8}"/>
    <cellStyle name="Normal" xfId="0" builtinId="0"/>
    <cellStyle name="Normal 10" xfId="215" xr:uid="{D660CD9F-DFD7-473B-A892-D806E014CBB3}"/>
    <cellStyle name="Normal 10 2" xfId="216" xr:uid="{3FEAB566-E4DF-4005-91CC-FF2861240628}"/>
    <cellStyle name="Normal 11" xfId="217" xr:uid="{BCA20F3D-4B7D-4391-937B-9D686C6EC006}"/>
    <cellStyle name="Normal 110 2" xfId="218" xr:uid="{E39EA9E5-DCD8-477C-AD51-CEA5096C194C}"/>
    <cellStyle name="Normal 110 2 2" xfId="219" xr:uid="{37BA56B7-A73B-48C9-B4A1-B01270FE858E}"/>
    <cellStyle name="Normal 110 2 2 2" xfId="220" xr:uid="{8C02EC8F-F82D-4F73-AF37-E8D00A1E84B0}"/>
    <cellStyle name="Normal 110 2 2 2 2" xfId="221" xr:uid="{3B2508FD-C5DE-4EB0-B2FD-E8F595A4574A}"/>
    <cellStyle name="Normal 110 2 2 2 2 2" xfId="222" xr:uid="{445A49C3-9C37-4C89-A863-7EB57CC29BDB}"/>
    <cellStyle name="Normal 110 2 2 2 3" xfId="223" xr:uid="{4C8353D4-32F6-437C-BE44-5B424B7C6F43}"/>
    <cellStyle name="Normal 110 2 2 3" xfId="224" xr:uid="{45750A20-2FD4-4906-A045-EA35C8D8E55D}"/>
    <cellStyle name="Normal 110 2 2 3 2" xfId="225" xr:uid="{239BB481-8D47-4FDA-98A7-64BE86670117}"/>
    <cellStyle name="Normal 110 2 2 3 2 2" xfId="226" xr:uid="{0E8C507D-8195-4358-A1F2-E142DCDAD9B7}"/>
    <cellStyle name="Normal 110 2 2 3 3" xfId="227" xr:uid="{67E87F06-FF7C-484D-9032-A4F173994022}"/>
    <cellStyle name="Normal 110 2 2 4" xfId="228" xr:uid="{5688C14C-5F26-4EC4-B1D1-46A17F84A8FC}"/>
    <cellStyle name="Normal 110 2 2 4 2" xfId="229" xr:uid="{D80D2FE3-7FF1-4D51-8F76-684706A86F1D}"/>
    <cellStyle name="Normal 110 2 2 5" xfId="230" xr:uid="{F337234F-E2D6-4820-8EB8-5EA7AB3960E5}"/>
    <cellStyle name="Normal 110 2 3" xfId="231" xr:uid="{6CD850FB-8592-43F7-B0A1-8A925B6AFA95}"/>
    <cellStyle name="Normal 110 2 3 2" xfId="232" xr:uid="{FBFE6C55-45DB-4BCE-B9E4-F74592837249}"/>
    <cellStyle name="Normal 110 2 3 2 2" xfId="233" xr:uid="{3DEDAF6B-FA2C-4684-BD1A-2C9548158A11}"/>
    <cellStyle name="Normal 110 2 3 3" xfId="234" xr:uid="{D643F889-23D7-4D72-8625-7CF0C8C67D2C}"/>
    <cellStyle name="Normal 110 2 4" xfId="235" xr:uid="{9E27141C-6A24-4905-8849-9FB1A9BE9E00}"/>
    <cellStyle name="Normal 110 2 4 2" xfId="236" xr:uid="{8C839C76-4039-4CAF-BBBE-3BE7D4488C05}"/>
    <cellStyle name="Normal 110 2 4 2 2" xfId="237" xr:uid="{6D7A8802-883B-4C58-B951-D363267983F8}"/>
    <cellStyle name="Normal 110 2 4 3" xfId="238" xr:uid="{30AB61B0-EE48-46A5-BFD9-BA8A76759349}"/>
    <cellStyle name="Normal 110 2 5" xfId="239" xr:uid="{4ADCB1FD-3590-4FE7-BD46-9B241101C278}"/>
    <cellStyle name="Normal 110 2 5 2" xfId="240" xr:uid="{1866CFC8-C5B5-4FBC-BA36-70B6A27EB77B}"/>
    <cellStyle name="Normal 110 2 6" xfId="241" xr:uid="{5327E89E-76F2-4E63-BB18-DA1D9EE3ECD1}"/>
    <cellStyle name="Normal 119" xfId="242" xr:uid="{2EB58B0F-70EA-4352-9EF5-5E46011EC62B}"/>
    <cellStyle name="Normal 12" xfId="243" xr:uid="{56BD5692-8917-4DA5-BA37-E702518634FD}"/>
    <cellStyle name="Normal 13" xfId="244" xr:uid="{ADC82C9B-8CE7-4680-93F1-8131CCE0CEA9}"/>
    <cellStyle name="Normal 14" xfId="245" xr:uid="{24167707-20B2-4534-9AAA-B88485C7ADF3}"/>
    <cellStyle name="Normal 15" xfId="246" xr:uid="{ED8201BD-3DFA-4010-890C-6C14F8BE9ACE}"/>
    <cellStyle name="Normal 16" xfId="43" xr:uid="{B5E14F7C-7DA4-4396-BE75-75B62E782DCB}"/>
    <cellStyle name="Normal 2" xfId="2" xr:uid="{4D467AC1-84DF-4FA2-918F-DD65DDC87AC8}"/>
    <cellStyle name="Normal 2 118" xfId="248" xr:uid="{2E384D9E-7715-4797-B9E7-CE7046D2155E}"/>
    <cellStyle name="Normal 2 19" xfId="35" xr:uid="{B9A3F87A-F963-460F-BC99-8559A6707816}"/>
    <cellStyle name="Normal 2 2" xfId="15" xr:uid="{7B68B7EA-1F50-4637-9B34-29AB0D138FF2}"/>
    <cellStyle name="Normal 2 2 2" xfId="250" xr:uid="{595E224A-60D0-40D7-B6C8-C93246A8B4E8}"/>
    <cellStyle name="Normal 2 2 3" xfId="251" xr:uid="{C59F60B2-ADF2-46FD-B037-15215A7A9E7A}"/>
    <cellStyle name="Normal 2 2 3 2" xfId="252" xr:uid="{FDC88D3F-B1CB-4E82-9EC9-E184FE7D485E}"/>
    <cellStyle name="Normal 2 2 3 2 2" xfId="253" xr:uid="{BD589A0C-D9C0-41F9-9C9C-A1E32BB27C79}"/>
    <cellStyle name="Normal 2 2 3 2 3" xfId="254" xr:uid="{FDE70BEB-4F55-42BD-8F6D-9439EA264D4D}"/>
    <cellStyle name="Normal 2 2 3 2 3 2" xfId="255" xr:uid="{499BD285-20DF-4EDB-A6F4-6DA4E3B7D278}"/>
    <cellStyle name="Normal 2 2 3 2 4" xfId="256" xr:uid="{AB9F1B10-860B-46D0-9207-EE1DEE8CFE6B}"/>
    <cellStyle name="Normal 2 2 3 2 4 2" xfId="257" xr:uid="{8AF88EAB-89A7-4861-9FF1-013309A2E89A}"/>
    <cellStyle name="Normal 2 2 3 2 5" xfId="258" xr:uid="{008FAD99-9AEC-4B30-BC07-04A63437249B}"/>
    <cellStyle name="Normal 2 2 4" xfId="259" xr:uid="{86EDB9E1-4FBE-4A51-895B-B79C7ACB8711}"/>
    <cellStyle name="Normal 2 2 5" xfId="249" xr:uid="{11452F47-A5BF-4566-A6BD-2C2D10B291A8}"/>
    <cellStyle name="Normal 2 3" xfId="41" xr:uid="{AB828F62-6ACB-493E-8325-869468668F7A}"/>
    <cellStyle name="Normal 2 3 2" xfId="261" xr:uid="{5364823D-9BFF-4135-AA41-2B577CADB6C0}"/>
    <cellStyle name="Normal 2 3 2 2" xfId="262" xr:uid="{F8BC0718-5285-4416-8589-5DB9B9E2C6AC}"/>
    <cellStyle name="Normal 2 3 2 2 2" xfId="263" xr:uid="{EC03A9A9-2EA4-4319-97DA-62B087D334ED}"/>
    <cellStyle name="Normal 2 3 2 3" xfId="264" xr:uid="{203D00B9-53F6-4FA9-AE45-C845A20E9430}"/>
    <cellStyle name="Normal 2 3 3" xfId="265" xr:uid="{D2736EA6-4F76-441E-998E-9FCFD63D83E1}"/>
    <cellStyle name="Normal 2 3 3 2" xfId="266" xr:uid="{9E5E6910-15E1-405E-9E56-6C092D4D462D}"/>
    <cellStyle name="Normal 2 3 4" xfId="267" xr:uid="{ECD57F6D-918B-427D-8F5A-274B60190C9F}"/>
    <cellStyle name="Normal 2 3 5" xfId="268" xr:uid="{96BAE8AC-51CA-433C-9946-D37557DB8757}"/>
    <cellStyle name="Normal 2 3 6" xfId="260" xr:uid="{15937911-93DC-4412-8DAA-0DDB8E5994BC}"/>
    <cellStyle name="Normal 2 4" xfId="269" xr:uid="{AEFBB92B-CF8A-498D-85BA-2ACE73C1FB65}"/>
    <cellStyle name="Normal 2 4 2" xfId="270" xr:uid="{53302A15-5A90-4847-B2C1-E3D4A43E7350}"/>
    <cellStyle name="Normal 2 4 3" xfId="271" xr:uid="{416ADE81-D437-4C9A-BB1B-8636DD714213}"/>
    <cellStyle name="Normal 2 4 4" xfId="272" xr:uid="{79774E6C-3938-473C-9077-1506AFD173DF}"/>
    <cellStyle name="Normal 2 4 5" xfId="273" xr:uid="{E5E73BBF-EA36-4D2E-B824-E69F29C57D1B}"/>
    <cellStyle name="Normal 2 5" xfId="274" xr:uid="{CE6292C0-D454-4B8A-8FAF-F7DDD84D7F38}"/>
    <cellStyle name="Normal 2 5 3" xfId="275" xr:uid="{511196C7-DB32-406D-BFC0-96E0EA9997CD}"/>
    <cellStyle name="Normal 2 5 3 2" xfId="276" xr:uid="{66CEDFC4-66AA-4F77-BE7F-7CE4D9395E3E}"/>
    <cellStyle name="Normal 2 5 3 2 2" xfId="277" xr:uid="{31145A42-F156-472D-91CF-227DD5E999A8}"/>
    <cellStyle name="Normal 2 5 3 2 2 2" xfId="278" xr:uid="{E306FC7A-02FC-475A-8A99-62AD2D1D7FCC}"/>
    <cellStyle name="Normal 2 5 3 2 3" xfId="279" xr:uid="{678DDFFA-97EB-4D2E-9100-F0C3A3A6DF94}"/>
    <cellStyle name="Normal 2 5 3 3" xfId="280" xr:uid="{A89679CF-EEAB-4E52-BB2A-8B8549079D3D}"/>
    <cellStyle name="Normal 2 5 3 3 2" xfId="281" xr:uid="{22FCE327-26BC-49B7-80AD-D4E6C276FDEC}"/>
    <cellStyle name="Normal 2 5 3 3 2 2" xfId="282" xr:uid="{88C08E75-549D-4E78-AE39-923CF4939E2F}"/>
    <cellStyle name="Normal 2 5 3 3 3" xfId="283" xr:uid="{512DEAFD-4AF4-4366-A4B1-CBA60671F9A4}"/>
    <cellStyle name="Normal 2 5 3 4" xfId="284" xr:uid="{BA2777A3-9E28-4205-B6E3-B09E8772EA35}"/>
    <cellStyle name="Normal 2 5 3 4 2" xfId="285" xr:uid="{58B25048-009B-4E77-82D5-7158111E2498}"/>
    <cellStyle name="Normal 2 5 3 5" xfId="286" xr:uid="{147E2A96-4217-4291-BD26-DD90DC3190ED}"/>
    <cellStyle name="Normal 2 5 3 6" xfId="287" xr:uid="{A519A6B8-2EA4-4CC6-981D-9358ECDDFFA6}"/>
    <cellStyle name="Normal 2 6" xfId="288" xr:uid="{B9A7B5B5-7863-46C5-95D6-C6A347DD63A5}"/>
    <cellStyle name="Normal 2 7" xfId="289" xr:uid="{4439C0E6-BCD1-46FB-B731-B64E642157E0}"/>
    <cellStyle name="Normal 2 8" xfId="290" xr:uid="{E8DBE139-9626-4A10-8C38-5CCC7A7CBA78}"/>
    <cellStyle name="Normal 2 9" xfId="247" xr:uid="{4E837B22-7A76-448B-8395-ED996C3E7FBF}"/>
    <cellStyle name="Normal 20" xfId="34" xr:uid="{7253215F-FE59-4030-823B-6C91BF4605CB}"/>
    <cellStyle name="Normal 20 2" xfId="291" xr:uid="{9D16255B-46FB-4B77-864F-114D88A3C94F}"/>
    <cellStyle name="Normal 24" xfId="292" xr:uid="{1F659567-0D47-4993-B132-91B5D45DF257}"/>
    <cellStyle name="Normal 26" xfId="293" xr:uid="{2DD45D44-8F52-4BC9-83FB-C05CA0DA483D}"/>
    <cellStyle name="Normal 3" xfId="16" xr:uid="{66ED7F20-B8D1-4C0F-840E-254E980EB805}"/>
    <cellStyle name="Normal 3 10" xfId="294" xr:uid="{8ADB602D-CCBB-475A-96BC-1B914CF48D2D}"/>
    <cellStyle name="Normal 3 2" xfId="295" xr:uid="{1822BB56-6BBE-47DB-8359-4AD7E4B43342}"/>
    <cellStyle name="Normal 3 2 2" xfId="296" xr:uid="{FA480A6C-88E5-4810-B579-0457FA2E4128}"/>
    <cellStyle name="Normal 3 2 3" xfId="297" xr:uid="{2DAB0162-048A-4EB5-ABB1-7F636269199E}"/>
    <cellStyle name="Normal 3 3" xfId="298" xr:uid="{CEAC401E-A32B-4B55-9C85-A0041DE4A5AD}"/>
    <cellStyle name="Normal 3 4" xfId="299" xr:uid="{4649522D-F0F1-49CA-80A6-EAE33EDE78D4}"/>
    <cellStyle name="Normal 3 4 2" xfId="300" xr:uid="{9874E1C9-348F-4692-95B8-E5948E6DC7DB}"/>
    <cellStyle name="Normal 3 4 3" xfId="301" xr:uid="{B4501201-CEB3-4912-A630-D249EB9E3447}"/>
    <cellStyle name="Normal 3 4 4" xfId="302" xr:uid="{77324F5D-E956-4350-BB2E-ED20593F8BF2}"/>
    <cellStyle name="Normal 3 5" xfId="303" xr:uid="{50915AB5-CD76-4F07-801B-5AE579F8C4B1}"/>
    <cellStyle name="Normal 3 5 2" xfId="304" xr:uid="{4E942D99-F7BE-4563-8873-678ED3C86B54}"/>
    <cellStyle name="Normal 3 5 3" xfId="305" xr:uid="{6E7DAEB7-F89A-45D4-BAB1-3BEB0656B6BC}"/>
    <cellStyle name="Normal 3 5 3 2" xfId="306" xr:uid="{85DC9FA3-9B39-4903-BD31-80370380DE7F}"/>
    <cellStyle name="Normal 3 5 4" xfId="307" xr:uid="{202908F1-5DEA-42C6-8DAD-796BC8FCF2F9}"/>
    <cellStyle name="Normal 3 5 4 2" xfId="308" xr:uid="{9FA327BB-2C58-409B-88A6-B5E4E562938F}"/>
    <cellStyle name="Normal 3 5 5" xfId="309" xr:uid="{D0B71F98-35C5-4AAF-99CF-D205B89B07AB}"/>
    <cellStyle name="Normal 3 6" xfId="310" xr:uid="{557BB84B-2117-4B7A-A854-465E3473F9EE}"/>
    <cellStyle name="Normal 4" xfId="17" xr:uid="{C8C94908-A86B-409D-998B-DA621B43DAFE}"/>
    <cellStyle name="Normal 4 2" xfId="312" xr:uid="{431F92A3-7DFF-4C69-9B9B-20A660724946}"/>
    <cellStyle name="Normal 4 2 2" xfId="313" xr:uid="{C9C5A23C-C96C-48C6-87C5-6D12A1DC7AE8}"/>
    <cellStyle name="Normal 4 2 2 2" xfId="314" xr:uid="{D0F5A143-D5E3-41B3-8F18-10A18F480972}"/>
    <cellStyle name="Normal 4 2 2 3" xfId="315" xr:uid="{FF7A7D06-267E-4658-9BBE-317F54D7BEDD}"/>
    <cellStyle name="Normal 4 2 2 4" xfId="316" xr:uid="{B58BBB5E-B489-4D3E-9C2F-ECEA7E9A3AFE}"/>
    <cellStyle name="Normal 4 2 3" xfId="317" xr:uid="{ACB0E9AA-B37A-4711-8390-3947C0B1AAA8}"/>
    <cellStyle name="Normal 4 3" xfId="318" xr:uid="{555DE47D-87CC-412D-B766-735862C15691}"/>
    <cellStyle name="Normal 4 3 2" xfId="319" xr:uid="{8CB6A45A-FE27-4376-978C-8683B9D959CA}"/>
    <cellStyle name="Normal 4 3 3" xfId="320" xr:uid="{1020B38E-D6E2-4377-B7B1-5237BE2820AC}"/>
    <cellStyle name="Normal 4 3 4" xfId="321" xr:uid="{D70389B1-46B0-47A7-8BFA-6FEB3672165E}"/>
    <cellStyle name="Normal 4 3 5" xfId="322" xr:uid="{6E67A0F3-5DCE-48DE-8415-83219EA22402}"/>
    <cellStyle name="Normal 4 4" xfId="323" xr:uid="{2FC48418-4C21-4889-9C45-B221CBDA99AA}"/>
    <cellStyle name="Normal 4 4 2" xfId="324" xr:uid="{5B1E4D96-21FE-4F5C-9949-06751D81BDB2}"/>
    <cellStyle name="Normal 4 4 3" xfId="325" xr:uid="{2FD6A923-04A0-4C69-B266-6EA94F865E0D}"/>
    <cellStyle name="Normal 4 4 4" xfId="326" xr:uid="{648B40CB-3A69-4FAC-B7B4-0F246B46C05B}"/>
    <cellStyle name="Normal 4 5" xfId="327" xr:uid="{80392C5C-0744-4409-9EFE-8490D50399AA}"/>
    <cellStyle name="Normal 4 5 2" xfId="328" xr:uid="{B797293E-D318-47BE-916C-2A30E03B1D64}"/>
    <cellStyle name="Normal 4 5 3" xfId="329" xr:uid="{71B2D7E3-5480-42BE-96FA-EF24DAF1C449}"/>
    <cellStyle name="Normal 4 5 3 2" xfId="493" xr:uid="{FFE6F94C-521D-40A6-9F0E-2E1285AAD681}"/>
    <cellStyle name="Normal 4 6" xfId="330" xr:uid="{2315550A-6904-4662-B316-D6FA20CEBED8}"/>
    <cellStyle name="Normal 4 6 2" xfId="494" xr:uid="{381D9C21-9868-4741-8A36-729BEAEAB339}"/>
    <cellStyle name="Normal 4 7" xfId="311" xr:uid="{74707938-50D7-4E13-A7AB-2E64162B197A}"/>
    <cellStyle name="Normal 4 8" xfId="492" xr:uid="{375217FD-42B9-486F-93B6-162612E21FDA}"/>
    <cellStyle name="Normal 5" xfId="37" xr:uid="{FB923EED-93DC-438B-995F-1E809EDCD0C9}"/>
    <cellStyle name="Normal 5 2" xfId="332" xr:uid="{0BE6F633-7AF7-4E78-B0AD-66A37CB8F1C2}"/>
    <cellStyle name="Normal 5 2 2" xfId="333" xr:uid="{C9B27133-2B13-41A0-AD04-2234CE447F63}"/>
    <cellStyle name="Normal 5 2 3" xfId="334" xr:uid="{DC0D4464-86E0-4FD3-8D8F-CFDE24A086E1}"/>
    <cellStyle name="Normal 5 2 4" xfId="335" xr:uid="{F9544DBF-191B-42A0-AA9A-E230B175EFDB}"/>
    <cellStyle name="Normal 5 2 5" xfId="336" xr:uid="{A187E38C-4F0D-46B3-87C9-C5B87A36DD28}"/>
    <cellStyle name="Normal 5 3" xfId="337" xr:uid="{3129AD80-7F94-4D8A-BC61-6DF5458D012A}"/>
    <cellStyle name="Normal 5 4" xfId="338" xr:uid="{827F660A-DB68-44FC-8300-24A4F8EDCD50}"/>
    <cellStyle name="Normal 5 4 2" xfId="339" xr:uid="{0F14ED11-4C21-4685-B108-0D1C306BD6F7}"/>
    <cellStyle name="Normal 5 5" xfId="331" xr:uid="{E9CA4595-B67D-4454-8ED2-B28FCCFD3000}"/>
    <cellStyle name="Normal 6" xfId="39" xr:uid="{20A3BC56-8127-45E0-AC62-8E272AF38C36}"/>
    <cellStyle name="Normal 6 2" xfId="341" xr:uid="{6139FF16-4792-40EC-8DA0-CFA958C171B9}"/>
    <cellStyle name="Normal 6 2 2" xfId="342" xr:uid="{C06F0B52-7FF5-4770-8AC8-3DA00AD57CE9}"/>
    <cellStyle name="Normal 6 2 3" xfId="343" xr:uid="{4BB5D86F-BF9B-4566-ABFB-25EE9EAF6F37}"/>
    <cellStyle name="Normal 6 2 4" xfId="344" xr:uid="{4369ACBC-C1C8-4F6C-86B7-ED7B0D19DD83}"/>
    <cellStyle name="Normal 6 3" xfId="345" xr:uid="{A8847752-8592-41B9-8214-2AF7BE98D211}"/>
    <cellStyle name="Normal 6 3 2" xfId="346" xr:uid="{CF14BC0F-32B5-4A31-B348-A13E7BE0067F}"/>
    <cellStyle name="Normal 6 3 3" xfId="347" xr:uid="{AF6AF379-88D9-4A5B-A2BB-67F819B978C2}"/>
    <cellStyle name="Normal 6 3 4" xfId="348" xr:uid="{B465984C-7E25-411D-B064-E6EEAE100CB7}"/>
    <cellStyle name="Normal 6 4" xfId="349" xr:uid="{5C8B8EA0-8E1C-4BBB-8100-30E222D7288C}"/>
    <cellStyle name="Normal 6 5" xfId="340" xr:uid="{BEE51F62-B6F6-435E-92F9-CFF52C696014}"/>
    <cellStyle name="Normal 7" xfId="350" xr:uid="{6C443CEE-3108-4893-A637-83DE6E3F4672}"/>
    <cellStyle name="Normal 7 2" xfId="351" xr:uid="{F5E04B05-935E-44D2-82C6-5206CB04C761}"/>
    <cellStyle name="Normal 7 2 2" xfId="352" xr:uid="{4FC662E1-153F-47E4-BF9F-ECE18297FA69}"/>
    <cellStyle name="Normal 7 2 3" xfId="353" xr:uid="{204DC76E-F3FE-4A1D-B561-F7E09892DA64}"/>
    <cellStyle name="Normal 7 2 4" xfId="354" xr:uid="{C3F244AE-6C4A-4326-A0B4-6C7395F90BFE}"/>
    <cellStyle name="Normal 7 3" xfId="355" xr:uid="{B82A7AD3-9233-4CA4-BECD-200891D64F23}"/>
    <cellStyle name="Normal 7 3 2" xfId="356" xr:uid="{068C7EB9-FC7D-49E5-9B00-1EDF1DEDFAB2}"/>
    <cellStyle name="Normal 7 3 3" xfId="357" xr:uid="{5C01D5B3-4E01-42C3-BDB1-5B34BF2CDC1E}"/>
    <cellStyle name="Normal 7 3 3 2" xfId="496" xr:uid="{64F83D14-6899-409B-8400-83119DBBF774}"/>
    <cellStyle name="Normal 7 3 4" xfId="358" xr:uid="{B7D43E8D-8508-4A68-B6C4-F975FE05E926}"/>
    <cellStyle name="Normal 7 3 4 2" xfId="497" xr:uid="{030AB8B9-8734-4408-AD49-81E708A560CE}"/>
    <cellStyle name="Normal 7 4" xfId="359" xr:uid="{644D3FF7-39FD-4660-9FBE-C7EA02E7A260}"/>
    <cellStyle name="Normal 7 4 2" xfId="360" xr:uid="{BC121417-AD56-4818-BB13-815C4EF8B0C1}"/>
    <cellStyle name="Normal 7 5" xfId="361" xr:uid="{1835A444-43D7-4405-A4E8-721147499172}"/>
    <cellStyle name="Normal 7 6" xfId="362" xr:uid="{85822FDE-078F-4780-B908-588E0E33CA63}"/>
    <cellStyle name="Normal 7 7" xfId="495" xr:uid="{60663AD7-7004-426B-9D91-9BCF58F109FC}"/>
    <cellStyle name="Normal 8" xfId="363" xr:uid="{AAC95278-D671-4F4E-B3FD-3644F432E322}"/>
    <cellStyle name="Normal 8 2" xfId="364" xr:uid="{95492210-102B-49C5-BD5E-A062A729B367}"/>
    <cellStyle name="Normal 8 3" xfId="365" xr:uid="{72619ACE-0DD1-4DF9-94DE-335E4ED0A511}"/>
    <cellStyle name="Normal 8 4" xfId="366" xr:uid="{D2BACA14-8FAB-4D4C-947D-25DB7DC75A33}"/>
    <cellStyle name="Normal 9" xfId="367" xr:uid="{00EF6310-AD7F-46CE-A515-A4BA0BB11801}"/>
    <cellStyle name="NrCrt" xfId="18" xr:uid="{7A882EF6-D5E9-48A3-86F5-C05F7D9E359B}"/>
    <cellStyle name="orefunc" xfId="19" xr:uid="{ADEBD073-7313-44C1-A49A-35460E35E0C8}"/>
    <cellStyle name="Percent 2" xfId="368" xr:uid="{BDEBE44B-B061-43BE-A90D-C45C34EB0CF1}"/>
    <cellStyle name="Percent 2 2" xfId="369" xr:uid="{CF97BA6A-838D-498F-9A46-39EB297E78BD}"/>
    <cellStyle name="Percent 2 2 2" xfId="370" xr:uid="{9689C139-02D7-4F00-A503-60A14E8289C0}"/>
    <cellStyle name="Percent 2 2 2 2" xfId="371" xr:uid="{CE841931-8D6C-4E5F-B0FD-AF237719CF0A}"/>
    <cellStyle name="Percent 2 2 2 2 2" xfId="372" xr:uid="{39FB6965-2EF3-4C20-950E-E30A5500C0A5}"/>
    <cellStyle name="Percent 2 2 2 3" xfId="373" xr:uid="{B8C338C5-0516-4E79-B3E4-0A2E3973CA53}"/>
    <cellStyle name="Percent 2 2 3" xfId="374" xr:uid="{FF2C9BA8-4A56-46C5-9773-CB9B62CD976E}"/>
    <cellStyle name="Percent 2 2 3 2" xfId="375" xr:uid="{34EA1A4F-818B-4BEB-A034-5CB8973578CE}"/>
    <cellStyle name="Percent 2 2 3 2 2" xfId="376" xr:uid="{6E7CE421-D930-4049-A041-F03EDB7EE4A8}"/>
    <cellStyle name="Percent 2 2 3 3" xfId="377" xr:uid="{69EBB14F-8FB9-483C-B117-B7473ACCA2D7}"/>
    <cellStyle name="Percent 2 2 4" xfId="378" xr:uid="{22246BD3-430C-4D59-9269-144C9C6D7D2F}"/>
    <cellStyle name="Percent 2 2 4 2" xfId="379" xr:uid="{8F1B7C38-7769-4E5E-B865-FA7132A64561}"/>
    <cellStyle name="Percent 2 2 5" xfId="380" xr:uid="{3E94E211-F6F8-449D-83CB-B63A8F07F7BB}"/>
    <cellStyle name="Percent 2 3" xfId="381" xr:uid="{3361B248-3932-44C8-BF76-42A00201E898}"/>
    <cellStyle name="Percent 2 3 2" xfId="382" xr:uid="{41C2FB2D-2FC4-429A-A11B-6B04EEBA0A37}"/>
    <cellStyle name="Percent 2 3 2 2" xfId="383" xr:uid="{4CF5041A-C555-46F3-856A-BB5F22764173}"/>
    <cellStyle name="Percent 2 3 3" xfId="384" xr:uid="{F489372A-1596-47B6-B876-936007F8D069}"/>
    <cellStyle name="Percent 2 4" xfId="385" xr:uid="{46A2D53D-3196-41E3-A6E0-F7F9BEC2B691}"/>
    <cellStyle name="Percent 2 4 2" xfId="386" xr:uid="{51C41EB6-6AD4-4329-808C-8B42B82AC48F}"/>
    <cellStyle name="Percent 2 4 2 2" xfId="387" xr:uid="{0A865DCF-257C-4D31-98CD-5B0A52A4638F}"/>
    <cellStyle name="Percent 2 4 3" xfId="388" xr:uid="{7BDB5142-F88E-4DBE-BC6D-6EE380AA779D}"/>
    <cellStyle name="Percent 2 5" xfId="389" xr:uid="{C1E3820F-B397-443B-B5D4-F6B87070E344}"/>
    <cellStyle name="Percent 2 5 2" xfId="390" xr:uid="{C1F93B8E-143E-4880-B18C-CD2F8DD1B072}"/>
    <cellStyle name="Percent 2 6" xfId="391" xr:uid="{2557DB36-72D3-4435-9D64-7636D034C7DD}"/>
    <cellStyle name="Percent 2 7" xfId="392" xr:uid="{692FA651-C097-486F-B21B-20ADE8E3216D}"/>
    <cellStyle name="Percent 2 8" xfId="393" xr:uid="{6949A338-6381-4AEE-8ABE-F2368A005977}"/>
    <cellStyle name="Percent 2 9" xfId="394" xr:uid="{B4D5A2BA-BDD8-4F38-8B41-F1CEFAE6BC24}"/>
    <cellStyle name="Percent 3" xfId="395" xr:uid="{731B7AD9-6DD1-4EED-BAD3-A325020E0D4E}"/>
    <cellStyle name="Pondere" xfId="20" xr:uid="{FB015DE2-A32D-4C08-BE87-6D9D9EB75ECA}"/>
    <cellStyle name="PretUnitar" xfId="21" xr:uid="{71A18553-CAEA-4EC8-B5C9-E03C70DBCA7C}"/>
    <cellStyle name="Procente" xfId="22" xr:uid="{9EE9CE69-254B-416D-ABB6-978B841D9C4D}"/>
    <cellStyle name="Recapit" xfId="23" xr:uid="{B9CB9C77-15ED-4F4C-BF26-90C692E83E5D}"/>
    <cellStyle name="RecCoef" xfId="24" xr:uid="{9C229748-9B12-4F9C-9D2D-17F17C5F1A33}"/>
    <cellStyle name="Section Title" xfId="396" xr:uid="{3CFE6D16-0B56-4EEB-A32A-57508D9A6F18}"/>
    <cellStyle name="Sporuri" xfId="25" xr:uid="{C3C82C00-4FB8-451E-A711-58193A459ED4}"/>
    <cellStyle name="Standard_aktuell" xfId="397" xr:uid="{0286A68D-FEED-44DE-979E-6E3F1B48620D}"/>
    <cellStyle name="Style 1" xfId="26" xr:uid="{5C230A4B-7269-47BD-BFDF-93A06F3F6194}"/>
    <cellStyle name="Style 1 3" xfId="398" xr:uid="{FD307C4F-9FBC-4D2E-B74D-8241DBD6B285}"/>
    <cellStyle name="Sub Section Title" xfId="399" xr:uid="{1E53DE74-4C7E-49E9-B7FE-035E45C27AAE}"/>
    <cellStyle name="SumaIODdft" xfId="27" xr:uid="{A16AD6A0-B038-4676-BD3C-DC8C36B49B10}"/>
    <cellStyle name="TableStyleLight1" xfId="36" xr:uid="{BDB1D608-0D38-40C7-932E-839D4CE41A3E}"/>
    <cellStyle name="Text" xfId="28" xr:uid="{FA00CF07-782B-4006-9A9D-F6A49E197AD0}"/>
    <cellStyle name="TitluRap" xfId="29" xr:uid="{3F039AFA-1E6F-493A-A5D2-E086BC6C07F8}"/>
    <cellStyle name="tonaj" xfId="30" xr:uid="{61484644-E3C3-41BB-9B9B-B2B0E05A0AFC}"/>
    <cellStyle name="Valoare" xfId="31" xr:uid="{B91A70FD-FC35-4D86-BA1D-7CF18EB0F1A0}"/>
    <cellStyle name="Valoare 2" xfId="32" xr:uid="{4D936FB1-A003-4BFA-984A-4423EF0642A9}"/>
    <cellStyle name="Virgulă 2" xfId="400" xr:uid="{8D336B80-F0FE-472A-B923-0D92EF6A0311}"/>
    <cellStyle name="Virgulă 2 2" xfId="401" xr:uid="{42D15B71-CC8C-4BB5-A1B1-635FE7C4F30C}"/>
    <cellStyle name="Virgulă 2 2 2" xfId="402" xr:uid="{3C368734-1DAE-446E-AA86-41707473E0D8}"/>
    <cellStyle name="Virgulă 2 2 2 2" xfId="500" xr:uid="{0254F005-EBAF-449F-B4D9-A4B3D150108F}"/>
    <cellStyle name="Virgulă 2 2 3" xfId="499" xr:uid="{D946BC2A-4355-497C-8FA5-BE02EDC2C849}"/>
    <cellStyle name="Virgulă 2 3" xfId="403" xr:uid="{649A1FD2-992D-4981-B3D7-ED2372A0F063}"/>
    <cellStyle name="Virgulă 2 3 2" xfId="501" xr:uid="{0C0A8E15-8456-45EA-A119-9604E28ED4F4}"/>
    <cellStyle name="Virgulă 2 4" xfId="498" xr:uid="{CD501E7F-5BBF-499D-95C1-F17AEF676398}"/>
    <cellStyle name="Virgulă 3" xfId="404" xr:uid="{C4D501FC-18DE-441A-A8CF-216F9C0B2CB9}"/>
    <cellStyle name="Virgulă 3 2" xfId="502" xr:uid="{9DF82C50-6CEC-45A0-83B6-8EA1675831D5}"/>
    <cellStyle name="Virgulă_Bucharest Corporate Center Synergy" xfId="405" xr:uid="{A1F12436-119C-4D5B-8A29-9922EE0E4606}"/>
    <cellStyle name="Денежный 2" xfId="406" xr:uid="{8FA313FF-0BAD-4412-BB75-0EEF96DC7F2D}"/>
    <cellStyle name="Денежный 2 2" xfId="407" xr:uid="{0C80E9DB-B509-495B-B6F9-8ACBFB44B143}"/>
    <cellStyle name="Обычный 2" xfId="408" xr:uid="{8C189161-73DD-44B3-908C-801E8E093801}"/>
  </cellStyles>
  <dxfs count="0"/>
  <tableStyles count="0" defaultTableStyle="TableStyleMedium2" defaultPivotStyle="PivotStyleLight16"/>
  <colors>
    <mruColors>
      <color rgb="FFFF00FF"/>
      <color rgb="FFFF3399"/>
      <color rgb="FFF9D1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3981450</xdr:colOff>
      <xdr:row>3</xdr:row>
      <xdr:rowOff>72838</xdr:rowOff>
    </xdr:from>
    <xdr:to>
      <xdr:col>12</xdr:col>
      <xdr:colOff>303118</xdr:colOff>
      <xdr:row>8</xdr:row>
      <xdr:rowOff>110938</xdr:rowOff>
    </xdr:to>
    <xdr:pic>
      <xdr:nvPicPr>
        <xdr:cNvPr id="3" name="Picture 2">
          <a:extLst>
            <a:ext uri="{FF2B5EF4-FFF2-40B4-BE49-F238E27FC236}">
              <a16:creationId xmlns:a16="http://schemas.microsoft.com/office/drawing/2014/main" id="{2139DA76-82CC-8DDB-83BB-DC023E98BE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63185" y="644338"/>
          <a:ext cx="2384051" cy="99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3328618</xdr:colOff>
      <xdr:row>5</xdr:row>
      <xdr:rowOff>59120</xdr:rowOff>
    </xdr:from>
    <xdr:to>
      <xdr:col>12</xdr:col>
      <xdr:colOff>294829</xdr:colOff>
      <xdr:row>9</xdr:row>
      <xdr:rowOff>63410</xdr:rowOff>
    </xdr:to>
    <xdr:pic>
      <xdr:nvPicPr>
        <xdr:cNvPr id="2" name="Picture 1">
          <a:extLst>
            <a:ext uri="{FF2B5EF4-FFF2-40B4-BE49-F238E27FC236}">
              <a16:creationId xmlns:a16="http://schemas.microsoft.com/office/drawing/2014/main" id="{E5585429-0EAE-4A29-ACC6-F0CFAB177D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9368" y="1011620"/>
          <a:ext cx="1843011" cy="766290"/>
        </a:xfrm>
        <a:prstGeom prst="rect">
          <a:avLst/>
        </a:prstGeom>
      </xdr:spPr>
    </xdr:pic>
    <xdr:clientData/>
  </xdr:twoCellAnchor>
  <xdr:twoCellAnchor editAs="oneCell">
    <xdr:from>
      <xdr:col>2</xdr:col>
      <xdr:colOff>3328618</xdr:colOff>
      <xdr:row>5</xdr:row>
      <xdr:rowOff>59120</xdr:rowOff>
    </xdr:from>
    <xdr:to>
      <xdr:col>12</xdr:col>
      <xdr:colOff>294829</xdr:colOff>
      <xdr:row>9</xdr:row>
      <xdr:rowOff>63410</xdr:rowOff>
    </xdr:to>
    <xdr:pic>
      <xdr:nvPicPr>
        <xdr:cNvPr id="3" name="Picture 2">
          <a:extLst>
            <a:ext uri="{FF2B5EF4-FFF2-40B4-BE49-F238E27FC236}">
              <a16:creationId xmlns:a16="http://schemas.microsoft.com/office/drawing/2014/main" id="{BC69C0EB-3003-4866-80DA-A645B6EE06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19368" y="1011620"/>
          <a:ext cx="1843011" cy="7662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12"/>
  <sheetViews>
    <sheetView view="pageBreakPreview" zoomScale="85" zoomScaleNormal="100" zoomScaleSheetLayoutView="85" workbookViewId="0">
      <selection activeCell="A128" activeCellId="2" sqref="A126:XFD126 A127:XFD127 A128:XFD128"/>
    </sheetView>
  </sheetViews>
  <sheetFormatPr defaultRowHeight="15"/>
  <cols>
    <col min="1" max="1" width="15.7109375" style="6" bestFit="1" customWidth="1"/>
    <col min="2" max="2" width="10.85546875" style="6" bestFit="1" customWidth="1"/>
    <col min="3" max="3" width="74.28515625" style="24" customWidth="1"/>
    <col min="4" max="4" width="19.7109375" style="6" hidden="1" customWidth="1"/>
    <col min="5" max="5" width="19" style="6" hidden="1" customWidth="1"/>
    <col min="6" max="6" width="13" style="6" hidden="1" customWidth="1"/>
    <col min="7" max="7" width="5.7109375" style="33" customWidth="1"/>
    <col min="8" max="8" width="16.7109375" style="6" hidden="1" customWidth="1"/>
    <col min="9" max="9" width="10.85546875" style="36" bestFit="1" customWidth="1"/>
    <col min="10" max="10" width="17.5703125" style="6" hidden="1" customWidth="1"/>
    <col min="11" max="12" width="17.7109375" style="6" hidden="1" customWidth="1"/>
    <col min="13" max="13" width="10.5703125" style="24" bestFit="1" customWidth="1"/>
    <col min="14" max="14" width="17.42578125" style="6" hidden="1" customWidth="1"/>
    <col min="15" max="15" width="17" style="6" hidden="1" customWidth="1"/>
    <col min="16" max="16" width="10.42578125" style="6" hidden="1" customWidth="1"/>
    <col min="17" max="16384" width="9.140625" style="1"/>
  </cols>
  <sheetData>
    <row r="1" spans="1:17">
      <c r="A1" s="7" t="s">
        <v>0</v>
      </c>
    </row>
    <row r="2" spans="1:17">
      <c r="A2" s="6" t="s">
        <v>2</v>
      </c>
      <c r="B2" s="55" t="s">
        <v>187</v>
      </c>
      <c r="C2" s="55"/>
    </row>
    <row r="3" spans="1:17">
      <c r="B3" s="55"/>
      <c r="C3" s="55"/>
    </row>
    <row r="4" spans="1:17">
      <c r="A4" s="6" t="s">
        <v>3</v>
      </c>
      <c r="B4" s="31" t="s">
        <v>188</v>
      </c>
    </row>
    <row r="5" spans="1:17">
      <c r="A5" s="6" t="s">
        <v>4</v>
      </c>
      <c r="B5" s="32" t="s">
        <v>25</v>
      </c>
    </row>
    <row r="6" spans="1:17">
      <c r="A6" s="6" t="s">
        <v>1</v>
      </c>
      <c r="B6" s="30" t="s">
        <v>27</v>
      </c>
    </row>
    <row r="7" spans="1:17">
      <c r="A7" s="6" t="s">
        <v>5</v>
      </c>
      <c r="B7" s="30" t="s">
        <v>26</v>
      </c>
    </row>
    <row r="10" spans="1:17" ht="20.25" customHeight="1">
      <c r="B10" s="2"/>
      <c r="C10" s="25"/>
      <c r="D10" s="2"/>
      <c r="E10" s="3" t="s">
        <v>6</v>
      </c>
      <c r="F10" s="2"/>
      <c r="G10" s="34"/>
      <c r="H10" s="2"/>
      <c r="I10" s="37"/>
      <c r="J10" s="2"/>
      <c r="K10" s="2"/>
      <c r="L10" s="2"/>
      <c r="M10" s="25"/>
      <c r="N10" s="2"/>
      <c r="O10" s="2"/>
      <c r="P10" s="2"/>
      <c r="Q10" s="2"/>
    </row>
    <row r="12" spans="1:17" s="12" customFormat="1" ht="15.75">
      <c r="A12" s="6"/>
      <c r="B12" s="2"/>
      <c r="C12" s="25"/>
      <c r="D12" s="2"/>
      <c r="E12" s="3" t="s">
        <v>6</v>
      </c>
      <c r="F12" s="2"/>
      <c r="G12" s="34"/>
      <c r="H12" s="2"/>
      <c r="I12" s="37"/>
      <c r="J12" s="2"/>
      <c r="K12" s="2"/>
      <c r="L12" s="2"/>
      <c r="M12" s="25"/>
      <c r="N12" s="2"/>
      <c r="O12" s="2"/>
      <c r="P12" s="2"/>
    </row>
    <row r="13" spans="1:17" s="12" customFormat="1">
      <c r="A13" s="6"/>
      <c r="B13" s="6"/>
      <c r="C13" s="24"/>
      <c r="D13" s="6"/>
      <c r="E13" s="6"/>
      <c r="F13" s="6"/>
      <c r="G13" s="33"/>
      <c r="H13" s="6"/>
      <c r="I13" s="36"/>
      <c r="J13" s="6"/>
      <c r="K13" s="6"/>
      <c r="L13" s="6"/>
      <c r="M13" s="24"/>
      <c r="N13" s="6"/>
      <c r="O13" s="6"/>
      <c r="P13" s="6"/>
    </row>
    <row r="14" spans="1:17" s="12" customFormat="1">
      <c r="A14" s="56" t="s">
        <v>7</v>
      </c>
      <c r="B14" s="56" t="s">
        <v>10</v>
      </c>
      <c r="C14" s="57" t="s">
        <v>284</v>
      </c>
      <c r="D14" s="16" t="s">
        <v>16</v>
      </c>
      <c r="E14" s="16" t="s">
        <v>16</v>
      </c>
      <c r="F14" s="16" t="s">
        <v>16</v>
      </c>
      <c r="G14" s="58" t="s">
        <v>8</v>
      </c>
      <c r="H14" s="22" t="s">
        <v>20</v>
      </c>
      <c r="I14" s="59" t="s">
        <v>9</v>
      </c>
      <c r="J14" s="18" t="s">
        <v>21</v>
      </c>
      <c r="K14" s="18" t="s">
        <v>21</v>
      </c>
      <c r="L14" s="18" t="s">
        <v>21</v>
      </c>
      <c r="M14" s="61" t="s">
        <v>11</v>
      </c>
      <c r="N14" s="11" t="s">
        <v>22</v>
      </c>
      <c r="O14" s="11" t="s">
        <v>22</v>
      </c>
      <c r="P14" s="52" t="s">
        <v>22</v>
      </c>
    </row>
    <row r="15" spans="1:17" s="12" customFormat="1" ht="17.25">
      <c r="A15" s="56"/>
      <c r="B15" s="56"/>
      <c r="C15" s="57"/>
      <c r="D15" s="21" t="s">
        <v>17</v>
      </c>
      <c r="E15" s="21" t="s">
        <v>18</v>
      </c>
      <c r="F15" s="21" t="s">
        <v>19</v>
      </c>
      <c r="G15" s="58"/>
      <c r="H15" s="21" t="s">
        <v>17</v>
      </c>
      <c r="I15" s="60"/>
      <c r="J15" s="21" t="s">
        <v>17</v>
      </c>
      <c r="K15" s="21" t="s">
        <v>18</v>
      </c>
      <c r="L15" s="21" t="s">
        <v>19</v>
      </c>
      <c r="M15" s="62"/>
      <c r="N15" s="21" t="s">
        <v>17</v>
      </c>
      <c r="O15" s="21" t="s">
        <v>18</v>
      </c>
      <c r="P15" s="53" t="s">
        <v>19</v>
      </c>
    </row>
    <row r="16" spans="1:17" s="12" customFormat="1" ht="18.75">
      <c r="A16" s="63" t="s">
        <v>311</v>
      </c>
      <c r="B16" s="64"/>
      <c r="C16" s="64"/>
      <c r="D16" s="64"/>
      <c r="E16" s="64"/>
      <c r="F16" s="64"/>
      <c r="G16" s="64"/>
      <c r="H16" s="64"/>
      <c r="I16" s="64"/>
      <c r="J16" s="64"/>
      <c r="K16" s="64"/>
      <c r="L16" s="64"/>
      <c r="M16" s="65"/>
      <c r="N16" s="21"/>
      <c r="O16" s="21"/>
      <c r="P16" s="53"/>
    </row>
    <row r="17" spans="1:16" s="12" customFormat="1" ht="17.25">
      <c r="A17" s="66" t="s">
        <v>29</v>
      </c>
      <c r="B17" s="67"/>
      <c r="C17" s="67"/>
      <c r="D17" s="67"/>
      <c r="E17" s="67"/>
      <c r="F17" s="67"/>
      <c r="G17" s="67"/>
      <c r="H17" s="67"/>
      <c r="I17" s="67"/>
      <c r="J17" s="67"/>
      <c r="K17" s="67"/>
      <c r="L17" s="67"/>
      <c r="M17" s="68"/>
      <c r="N17" s="21"/>
      <c r="O17" s="21"/>
      <c r="P17" s="53"/>
    </row>
    <row r="18" spans="1:16" s="12" customFormat="1" ht="75">
      <c r="A18" s="39">
        <v>1</v>
      </c>
      <c r="B18" s="40"/>
      <c r="C18" s="41" t="s">
        <v>312</v>
      </c>
      <c r="D18" s="21"/>
      <c r="E18" s="21"/>
      <c r="F18" s="21"/>
      <c r="G18" s="35" t="s">
        <v>30</v>
      </c>
      <c r="H18" s="21"/>
      <c r="I18" s="43">
        <v>10</v>
      </c>
      <c r="J18" s="44"/>
      <c r="K18" s="44"/>
      <c r="L18" s="44"/>
      <c r="M18" s="45"/>
      <c r="N18" s="21"/>
      <c r="O18" s="21"/>
      <c r="P18" s="53"/>
    </row>
    <row r="19" spans="1:16" s="12" customFormat="1" ht="75">
      <c r="A19" s="39">
        <v>2</v>
      </c>
      <c r="B19" s="40"/>
      <c r="C19" s="41" t="s">
        <v>247</v>
      </c>
      <c r="D19" s="21"/>
      <c r="E19" s="21"/>
      <c r="F19" s="21"/>
      <c r="G19" s="35" t="s">
        <v>30</v>
      </c>
      <c r="H19" s="21"/>
      <c r="I19" s="43">
        <v>100</v>
      </c>
      <c r="J19" s="44"/>
      <c r="K19" s="44"/>
      <c r="L19" s="44"/>
      <c r="M19" s="45"/>
      <c r="N19" s="21"/>
      <c r="O19" s="21"/>
      <c r="P19" s="53"/>
    </row>
    <row r="20" spans="1:16" s="12" customFormat="1" ht="75">
      <c r="A20" s="39">
        <v>3</v>
      </c>
      <c r="B20" s="40"/>
      <c r="C20" s="41" t="s">
        <v>246</v>
      </c>
      <c r="D20" s="21"/>
      <c r="E20" s="21"/>
      <c r="F20" s="21"/>
      <c r="G20" s="35" t="s">
        <v>30</v>
      </c>
      <c r="H20" s="21"/>
      <c r="I20" s="43">
        <v>200</v>
      </c>
      <c r="J20" s="44"/>
      <c r="K20" s="44"/>
      <c r="L20" s="44"/>
      <c r="M20" s="45"/>
      <c r="N20" s="21"/>
      <c r="O20" s="21"/>
      <c r="P20" s="53"/>
    </row>
    <row r="21" spans="1:16" s="12" customFormat="1" ht="75">
      <c r="A21" s="39">
        <v>4</v>
      </c>
      <c r="B21" s="40"/>
      <c r="C21" s="41" t="s">
        <v>313</v>
      </c>
      <c r="D21" s="21"/>
      <c r="E21" s="21"/>
      <c r="F21" s="21"/>
      <c r="G21" s="35" t="s">
        <v>30</v>
      </c>
      <c r="H21" s="21"/>
      <c r="I21" s="43">
        <v>20</v>
      </c>
      <c r="J21" s="44"/>
      <c r="K21" s="44"/>
      <c r="L21" s="44"/>
      <c r="M21" s="45"/>
      <c r="N21" s="21"/>
      <c r="O21" s="21"/>
      <c r="P21" s="53"/>
    </row>
    <row r="22" spans="1:16" s="12" customFormat="1" ht="75">
      <c r="A22" s="39">
        <v>5</v>
      </c>
      <c r="B22" s="40"/>
      <c r="C22" s="41" t="s">
        <v>248</v>
      </c>
      <c r="D22" s="21"/>
      <c r="E22" s="21"/>
      <c r="F22" s="21"/>
      <c r="G22" s="35" t="s">
        <v>30</v>
      </c>
      <c r="H22" s="21"/>
      <c r="I22" s="43">
        <v>55</v>
      </c>
      <c r="J22" s="44"/>
      <c r="K22" s="44"/>
      <c r="L22" s="44"/>
      <c r="M22" s="45"/>
      <c r="N22" s="21"/>
      <c r="O22" s="21"/>
      <c r="P22" s="53"/>
    </row>
    <row r="23" spans="1:16" s="12" customFormat="1" ht="75">
      <c r="A23" s="39">
        <v>6</v>
      </c>
      <c r="B23" s="40"/>
      <c r="C23" s="41" t="s">
        <v>249</v>
      </c>
      <c r="D23" s="21"/>
      <c r="E23" s="21"/>
      <c r="F23" s="21"/>
      <c r="G23" s="35" t="s">
        <v>30</v>
      </c>
      <c r="H23" s="21"/>
      <c r="I23" s="43">
        <f>180+15</f>
        <v>195</v>
      </c>
      <c r="J23" s="44"/>
      <c r="K23" s="44"/>
      <c r="L23" s="44"/>
      <c r="M23" s="45"/>
      <c r="N23" s="21"/>
      <c r="O23" s="21"/>
      <c r="P23" s="53"/>
    </row>
    <row r="24" spans="1:16" s="12" customFormat="1" ht="75">
      <c r="A24" s="39">
        <v>7</v>
      </c>
      <c r="B24" s="40"/>
      <c r="C24" s="41" t="s">
        <v>314</v>
      </c>
      <c r="D24" s="21"/>
      <c r="E24" s="21"/>
      <c r="F24" s="21"/>
      <c r="G24" s="35" t="s">
        <v>30</v>
      </c>
      <c r="H24" s="21"/>
      <c r="I24" s="43">
        <v>60</v>
      </c>
      <c r="J24" s="44"/>
      <c r="K24" s="44"/>
      <c r="L24" s="44"/>
      <c r="M24" s="45"/>
      <c r="N24" s="21"/>
      <c r="O24" s="21"/>
      <c r="P24" s="53"/>
    </row>
    <row r="25" spans="1:16" s="12" customFormat="1" ht="75">
      <c r="A25" s="39">
        <v>8</v>
      </c>
      <c r="B25" s="40"/>
      <c r="C25" s="41" t="s">
        <v>250</v>
      </c>
      <c r="D25" s="21"/>
      <c r="E25" s="21"/>
      <c r="F25" s="21"/>
      <c r="G25" s="35" t="s">
        <v>30</v>
      </c>
      <c r="H25" s="21"/>
      <c r="I25" s="43">
        <v>105</v>
      </c>
      <c r="J25" s="44"/>
      <c r="K25" s="44"/>
      <c r="L25" s="44"/>
      <c r="M25" s="45"/>
      <c r="N25" s="21"/>
      <c r="O25" s="21"/>
      <c r="P25" s="53"/>
    </row>
    <row r="26" spans="1:16" s="12" customFormat="1" ht="60">
      <c r="A26" s="39">
        <v>9</v>
      </c>
      <c r="B26" s="40"/>
      <c r="C26" s="41" t="s">
        <v>315</v>
      </c>
      <c r="D26" s="21"/>
      <c r="E26" s="21"/>
      <c r="F26" s="21"/>
      <c r="G26" s="35" t="s">
        <v>30</v>
      </c>
      <c r="H26" s="21"/>
      <c r="I26" s="43">
        <f>I18</f>
        <v>10</v>
      </c>
      <c r="J26" s="44"/>
      <c r="K26" s="44"/>
      <c r="L26" s="44"/>
      <c r="M26" s="45"/>
      <c r="N26" s="21"/>
      <c r="O26" s="21"/>
      <c r="P26" s="53"/>
    </row>
    <row r="27" spans="1:16" s="12" customFormat="1" ht="60">
      <c r="A27" s="39">
        <v>10</v>
      </c>
      <c r="B27" s="40"/>
      <c r="C27" s="41" t="s">
        <v>36</v>
      </c>
      <c r="D27" s="21"/>
      <c r="E27" s="21"/>
      <c r="F27" s="21"/>
      <c r="G27" s="35" t="s">
        <v>30</v>
      </c>
      <c r="H27" s="21"/>
      <c r="I27" s="43">
        <f t="shared" ref="I27:I34" si="0">I19</f>
        <v>100</v>
      </c>
      <c r="J27" s="44"/>
      <c r="K27" s="44"/>
      <c r="L27" s="44"/>
      <c r="M27" s="45"/>
      <c r="N27" s="21"/>
      <c r="O27" s="21"/>
      <c r="P27" s="53"/>
    </row>
    <row r="28" spans="1:16" s="12" customFormat="1" ht="60">
      <c r="A28" s="39">
        <v>11</v>
      </c>
      <c r="B28" s="40"/>
      <c r="C28" s="41" t="s">
        <v>37</v>
      </c>
      <c r="D28" s="21"/>
      <c r="E28" s="21"/>
      <c r="F28" s="21"/>
      <c r="G28" s="35" t="s">
        <v>30</v>
      </c>
      <c r="H28" s="21"/>
      <c r="I28" s="43">
        <f t="shared" si="0"/>
        <v>200</v>
      </c>
      <c r="J28" s="44"/>
      <c r="K28" s="44"/>
      <c r="L28" s="44"/>
      <c r="M28" s="45"/>
      <c r="N28" s="21"/>
      <c r="O28" s="21"/>
      <c r="P28" s="53"/>
    </row>
    <row r="29" spans="1:16" s="12" customFormat="1" ht="60">
      <c r="A29" s="39">
        <v>12</v>
      </c>
      <c r="B29" s="40"/>
      <c r="C29" s="41" t="s">
        <v>316</v>
      </c>
      <c r="D29" s="21"/>
      <c r="E29" s="21"/>
      <c r="F29" s="21"/>
      <c r="G29" s="35" t="s">
        <v>30</v>
      </c>
      <c r="H29" s="21"/>
      <c r="I29" s="43">
        <f t="shared" si="0"/>
        <v>20</v>
      </c>
      <c r="J29" s="44"/>
      <c r="K29" s="44"/>
      <c r="L29" s="44"/>
      <c r="M29" s="45"/>
      <c r="N29" s="21"/>
      <c r="O29" s="21"/>
      <c r="P29" s="53"/>
    </row>
    <row r="30" spans="1:16" s="12" customFormat="1" ht="60">
      <c r="A30" s="39">
        <v>13</v>
      </c>
      <c r="B30" s="40"/>
      <c r="C30" s="41" t="s">
        <v>38</v>
      </c>
      <c r="D30" s="21"/>
      <c r="E30" s="21"/>
      <c r="F30" s="21"/>
      <c r="G30" s="35" t="s">
        <v>30</v>
      </c>
      <c r="H30" s="21"/>
      <c r="I30" s="43">
        <f t="shared" si="0"/>
        <v>55</v>
      </c>
      <c r="J30" s="44"/>
      <c r="K30" s="44"/>
      <c r="L30" s="44"/>
      <c r="M30" s="45"/>
      <c r="N30" s="21"/>
      <c r="O30" s="21"/>
      <c r="P30" s="53"/>
    </row>
    <row r="31" spans="1:16" s="12" customFormat="1" ht="60">
      <c r="A31" s="39">
        <v>14</v>
      </c>
      <c r="B31" s="40"/>
      <c r="C31" s="41" t="s">
        <v>39</v>
      </c>
      <c r="D31" s="21"/>
      <c r="E31" s="21"/>
      <c r="F31" s="21"/>
      <c r="G31" s="35" t="s">
        <v>30</v>
      </c>
      <c r="H31" s="21"/>
      <c r="I31" s="43">
        <v>180</v>
      </c>
      <c r="J31" s="44"/>
      <c r="K31" s="44"/>
      <c r="L31" s="44"/>
      <c r="M31" s="45"/>
      <c r="N31" s="21"/>
      <c r="O31" s="21"/>
      <c r="P31" s="53"/>
    </row>
    <row r="32" spans="1:16" s="12" customFormat="1" ht="60">
      <c r="A32" s="39">
        <v>15</v>
      </c>
      <c r="B32" s="40"/>
      <c r="C32" s="41" t="s">
        <v>318</v>
      </c>
      <c r="D32" s="21"/>
      <c r="E32" s="21"/>
      <c r="F32" s="21"/>
      <c r="G32" s="35" t="s">
        <v>30</v>
      </c>
      <c r="H32" s="21"/>
      <c r="I32" s="43">
        <v>15</v>
      </c>
      <c r="J32" s="44"/>
      <c r="K32" s="44"/>
      <c r="L32" s="44"/>
      <c r="M32" s="45"/>
      <c r="N32" s="21"/>
      <c r="O32" s="21"/>
      <c r="P32" s="53"/>
    </row>
    <row r="33" spans="1:16" ht="60">
      <c r="A33" s="39">
        <v>16</v>
      </c>
      <c r="B33" s="40"/>
      <c r="C33" s="41" t="s">
        <v>317</v>
      </c>
      <c r="D33" s="21"/>
      <c r="E33" s="21"/>
      <c r="F33" s="21"/>
      <c r="G33" s="35" t="s">
        <v>30</v>
      </c>
      <c r="H33" s="21"/>
      <c r="I33" s="43">
        <f t="shared" si="0"/>
        <v>105</v>
      </c>
      <c r="J33" s="44"/>
      <c r="K33" s="44"/>
      <c r="L33" s="44"/>
      <c r="M33" s="45"/>
      <c r="N33" s="21"/>
      <c r="O33" s="21"/>
      <c r="P33" s="53"/>
    </row>
    <row r="34" spans="1:16" ht="60">
      <c r="A34" s="39">
        <v>17</v>
      </c>
      <c r="B34" s="40"/>
      <c r="C34" s="41" t="s">
        <v>40</v>
      </c>
      <c r="D34" s="21"/>
      <c r="E34" s="21"/>
      <c r="F34" s="21"/>
      <c r="G34" s="35" t="s">
        <v>30</v>
      </c>
      <c r="H34" s="21"/>
      <c r="I34" s="43">
        <f t="shared" si="0"/>
        <v>10</v>
      </c>
      <c r="J34" s="44"/>
      <c r="K34" s="44"/>
      <c r="L34" s="44"/>
      <c r="M34" s="45"/>
      <c r="N34" s="21"/>
      <c r="O34" s="21"/>
      <c r="P34" s="53"/>
    </row>
    <row r="35" spans="1:16" ht="60">
      <c r="A35" s="39">
        <v>18</v>
      </c>
      <c r="B35" s="40"/>
      <c r="C35" s="41" t="s">
        <v>41</v>
      </c>
      <c r="D35" s="21"/>
      <c r="E35" s="21"/>
      <c r="F35" s="21"/>
      <c r="G35" s="35" t="s">
        <v>14</v>
      </c>
      <c r="H35" s="21"/>
      <c r="I35" s="43">
        <v>18</v>
      </c>
      <c r="J35" s="44"/>
      <c r="K35" s="44"/>
      <c r="L35" s="44"/>
      <c r="M35" s="45"/>
      <c r="N35" s="21"/>
      <c r="O35" s="21"/>
      <c r="P35" s="53"/>
    </row>
    <row r="36" spans="1:16" ht="60">
      <c r="A36" s="39">
        <v>19</v>
      </c>
      <c r="B36" s="40"/>
      <c r="C36" s="41" t="s">
        <v>42</v>
      </c>
      <c r="D36" s="21"/>
      <c r="E36" s="21"/>
      <c r="F36" s="21"/>
      <c r="G36" s="35" t="s">
        <v>14</v>
      </c>
      <c r="H36" s="21"/>
      <c r="I36" s="43">
        <v>5</v>
      </c>
      <c r="J36" s="44"/>
      <c r="K36" s="44"/>
      <c r="L36" s="44"/>
      <c r="M36" s="45"/>
      <c r="N36" s="10"/>
      <c r="O36" s="10"/>
      <c r="P36" s="54"/>
    </row>
    <row r="37" spans="1:16" ht="60">
      <c r="A37" s="39">
        <v>20</v>
      </c>
      <c r="B37" s="40"/>
      <c r="C37" s="41" t="s">
        <v>58</v>
      </c>
      <c r="D37" s="21"/>
      <c r="E37" s="21"/>
      <c r="F37" s="21"/>
      <c r="G37" s="35" t="s">
        <v>14</v>
      </c>
      <c r="H37" s="21"/>
      <c r="I37" s="43">
        <v>4</v>
      </c>
      <c r="J37" s="44"/>
      <c r="K37" s="44"/>
      <c r="L37" s="44"/>
      <c r="M37" s="45"/>
      <c r="N37" s="10"/>
      <c r="O37" s="10"/>
      <c r="P37" s="54"/>
    </row>
    <row r="38" spans="1:16" ht="60">
      <c r="A38" s="39">
        <v>21</v>
      </c>
      <c r="B38" s="40"/>
      <c r="C38" s="41" t="s">
        <v>43</v>
      </c>
      <c r="D38" s="21"/>
      <c r="E38" s="21"/>
      <c r="F38" s="21"/>
      <c r="G38" s="35" t="s">
        <v>14</v>
      </c>
      <c r="H38" s="21"/>
      <c r="I38" s="43">
        <v>9</v>
      </c>
      <c r="J38" s="44"/>
      <c r="K38" s="44"/>
      <c r="L38" s="44"/>
      <c r="M38" s="45"/>
      <c r="N38" s="10"/>
      <c r="O38" s="10"/>
      <c r="P38" s="54"/>
    </row>
    <row r="39" spans="1:16" ht="60">
      <c r="A39" s="39">
        <v>22</v>
      </c>
      <c r="B39" s="40"/>
      <c r="C39" s="41" t="s">
        <v>44</v>
      </c>
      <c r="D39" s="21"/>
      <c r="E39" s="21"/>
      <c r="F39" s="21"/>
      <c r="G39" s="35" t="s">
        <v>14</v>
      </c>
      <c r="H39" s="21"/>
      <c r="I39" s="38">
        <v>14</v>
      </c>
      <c r="J39" s="44"/>
      <c r="K39" s="44"/>
      <c r="L39" s="44"/>
      <c r="M39" s="45"/>
      <c r="N39" s="10"/>
      <c r="O39" s="10"/>
      <c r="P39" s="54"/>
    </row>
    <row r="40" spans="1:16" ht="60">
      <c r="A40" s="39">
        <v>23</v>
      </c>
      <c r="B40" s="40"/>
      <c r="C40" s="41" t="s">
        <v>45</v>
      </c>
      <c r="D40" s="21"/>
      <c r="E40" s="21"/>
      <c r="F40" s="21"/>
      <c r="G40" s="35" t="s">
        <v>14</v>
      </c>
      <c r="H40" s="21"/>
      <c r="I40" s="43">
        <v>12</v>
      </c>
      <c r="J40" s="44"/>
      <c r="K40" s="44"/>
      <c r="L40" s="44"/>
      <c r="M40" s="45"/>
      <c r="N40" s="10"/>
      <c r="O40" s="10"/>
      <c r="P40" s="54"/>
    </row>
    <row r="41" spans="1:16" ht="75">
      <c r="A41" s="39">
        <v>24</v>
      </c>
      <c r="B41" s="40"/>
      <c r="C41" s="41" t="s">
        <v>46</v>
      </c>
      <c r="D41" s="21"/>
      <c r="E41" s="21"/>
      <c r="F41" s="21"/>
      <c r="G41" s="35" t="s">
        <v>14</v>
      </c>
      <c r="H41" s="21"/>
      <c r="I41" s="43">
        <v>2</v>
      </c>
      <c r="J41" s="44"/>
      <c r="K41" s="44"/>
      <c r="L41" s="44"/>
      <c r="M41" s="45"/>
      <c r="N41" s="10"/>
      <c r="O41" s="10"/>
      <c r="P41" s="54"/>
    </row>
    <row r="42" spans="1:16" ht="75">
      <c r="A42" s="39">
        <v>25</v>
      </c>
      <c r="B42" s="40"/>
      <c r="C42" s="41" t="s">
        <v>47</v>
      </c>
      <c r="D42" s="21"/>
      <c r="E42" s="21"/>
      <c r="F42" s="21"/>
      <c r="G42" s="35" t="s">
        <v>14</v>
      </c>
      <c r="H42" s="21"/>
      <c r="I42" s="43">
        <v>3</v>
      </c>
      <c r="J42" s="44"/>
      <c r="K42" s="44"/>
      <c r="L42" s="44"/>
      <c r="M42" s="45"/>
      <c r="N42" s="10"/>
      <c r="O42" s="10"/>
      <c r="P42" s="54"/>
    </row>
    <row r="43" spans="1:16" ht="75">
      <c r="A43" s="39">
        <v>26</v>
      </c>
      <c r="B43" s="40"/>
      <c r="C43" s="41" t="s">
        <v>48</v>
      </c>
      <c r="D43" s="21"/>
      <c r="E43" s="21"/>
      <c r="F43" s="21"/>
      <c r="G43" s="35" t="s">
        <v>14</v>
      </c>
      <c r="H43" s="21"/>
      <c r="I43" s="43">
        <v>6</v>
      </c>
      <c r="J43" s="44"/>
      <c r="K43" s="44"/>
      <c r="L43" s="44"/>
      <c r="M43" s="45"/>
      <c r="N43" s="10"/>
      <c r="O43" s="10"/>
      <c r="P43" s="54"/>
    </row>
    <row r="44" spans="1:16" ht="60">
      <c r="A44" s="39">
        <v>27</v>
      </c>
      <c r="B44" s="40"/>
      <c r="C44" s="41" t="s">
        <v>49</v>
      </c>
      <c r="D44" s="21"/>
      <c r="E44" s="21"/>
      <c r="F44" s="21"/>
      <c r="G44" s="35" t="s">
        <v>14</v>
      </c>
      <c r="H44" s="21"/>
      <c r="I44" s="43">
        <v>1</v>
      </c>
      <c r="J44" s="44"/>
      <c r="K44" s="44"/>
      <c r="L44" s="44"/>
      <c r="M44" s="45"/>
      <c r="N44" s="10"/>
      <c r="O44" s="10"/>
      <c r="P44" s="54"/>
    </row>
    <row r="45" spans="1:16" ht="60">
      <c r="A45" s="39">
        <v>28</v>
      </c>
      <c r="B45" s="40"/>
      <c r="C45" s="41" t="s">
        <v>50</v>
      </c>
      <c r="D45" s="21"/>
      <c r="E45" s="21"/>
      <c r="F45" s="21"/>
      <c r="G45" s="35" t="s">
        <v>14</v>
      </c>
      <c r="H45" s="21"/>
      <c r="I45" s="43">
        <v>3</v>
      </c>
      <c r="J45" s="44"/>
      <c r="K45" s="44"/>
      <c r="L45" s="44"/>
      <c r="M45" s="45"/>
      <c r="N45" s="10"/>
      <c r="O45" s="10"/>
      <c r="P45" s="54"/>
    </row>
    <row r="46" spans="1:16" ht="60">
      <c r="A46" s="39">
        <v>29</v>
      </c>
      <c r="B46" s="40"/>
      <c r="C46" s="41" t="s">
        <v>51</v>
      </c>
      <c r="D46" s="21"/>
      <c r="E46" s="21"/>
      <c r="F46" s="21"/>
      <c r="G46" s="35" t="s">
        <v>14</v>
      </c>
      <c r="H46" s="21"/>
      <c r="I46" s="43">
        <v>2</v>
      </c>
      <c r="J46" s="44"/>
      <c r="K46" s="44"/>
      <c r="L46" s="44"/>
      <c r="M46" s="45"/>
      <c r="N46" s="10"/>
      <c r="O46" s="10"/>
      <c r="P46" s="54"/>
    </row>
    <row r="47" spans="1:16" ht="60">
      <c r="A47" s="39">
        <v>30</v>
      </c>
      <c r="B47" s="40"/>
      <c r="C47" s="41" t="s">
        <v>52</v>
      </c>
      <c r="D47" s="21"/>
      <c r="E47" s="21"/>
      <c r="F47" s="21"/>
      <c r="G47" s="35" t="s">
        <v>14</v>
      </c>
      <c r="H47" s="21"/>
      <c r="I47" s="43">
        <v>2</v>
      </c>
      <c r="J47" s="44"/>
      <c r="K47" s="44"/>
      <c r="L47" s="44"/>
      <c r="M47" s="45"/>
      <c r="N47" s="10"/>
      <c r="O47" s="10"/>
      <c r="P47" s="54"/>
    </row>
    <row r="48" spans="1:16" ht="60">
      <c r="A48" s="39">
        <v>31</v>
      </c>
      <c r="B48" s="40"/>
      <c r="C48" s="41" t="s">
        <v>53</v>
      </c>
      <c r="D48" s="21"/>
      <c r="E48" s="21"/>
      <c r="F48" s="21"/>
      <c r="G48" s="35" t="s">
        <v>14</v>
      </c>
      <c r="H48" s="21"/>
      <c r="I48" s="43">
        <v>1</v>
      </c>
      <c r="J48" s="44"/>
      <c r="K48" s="44"/>
      <c r="L48" s="44"/>
      <c r="M48" s="45"/>
      <c r="N48" s="10"/>
      <c r="O48" s="10"/>
      <c r="P48" s="54"/>
    </row>
    <row r="49" spans="1:16" ht="60">
      <c r="A49" s="39">
        <v>32</v>
      </c>
      <c r="B49" s="40"/>
      <c r="C49" s="41" t="s">
        <v>54</v>
      </c>
      <c r="D49" s="21"/>
      <c r="E49" s="21"/>
      <c r="F49" s="21"/>
      <c r="G49" s="35" t="s">
        <v>14</v>
      </c>
      <c r="H49" s="21"/>
      <c r="I49" s="43">
        <v>1</v>
      </c>
      <c r="J49" s="44"/>
      <c r="K49" s="44"/>
      <c r="L49" s="44"/>
      <c r="M49" s="45"/>
      <c r="N49" s="10"/>
      <c r="O49" s="10"/>
      <c r="P49" s="54"/>
    </row>
    <row r="50" spans="1:16" ht="60">
      <c r="A50" s="39">
        <v>33</v>
      </c>
      <c r="B50" s="40"/>
      <c r="C50" s="41" t="s">
        <v>55</v>
      </c>
      <c r="D50" s="21"/>
      <c r="E50" s="21"/>
      <c r="F50" s="21"/>
      <c r="G50" s="35" t="s">
        <v>14</v>
      </c>
      <c r="H50" s="21"/>
      <c r="I50" s="43">
        <v>2</v>
      </c>
      <c r="J50" s="44"/>
      <c r="K50" s="44"/>
      <c r="L50" s="44"/>
      <c r="M50" s="45"/>
      <c r="N50" s="10"/>
      <c r="O50" s="10"/>
      <c r="P50" s="54"/>
    </row>
    <row r="51" spans="1:16" ht="60">
      <c r="A51" s="39">
        <v>34</v>
      </c>
      <c r="B51" s="40"/>
      <c r="C51" s="41" t="s">
        <v>56</v>
      </c>
      <c r="D51" s="21"/>
      <c r="E51" s="21"/>
      <c r="F51" s="21"/>
      <c r="G51" s="35" t="s">
        <v>14</v>
      </c>
      <c r="H51" s="21"/>
      <c r="I51" s="43">
        <v>15</v>
      </c>
      <c r="J51" s="44"/>
      <c r="K51" s="44"/>
      <c r="L51" s="44"/>
      <c r="M51" s="45"/>
      <c r="N51" s="10"/>
      <c r="O51" s="10"/>
      <c r="P51" s="54"/>
    </row>
    <row r="52" spans="1:16" ht="60">
      <c r="A52" s="39">
        <v>35</v>
      </c>
      <c r="B52" s="40"/>
      <c r="C52" s="41" t="s">
        <v>57</v>
      </c>
      <c r="D52" s="21"/>
      <c r="E52" s="21"/>
      <c r="F52" s="21"/>
      <c r="G52" s="35" t="s">
        <v>14</v>
      </c>
      <c r="H52" s="21"/>
      <c r="I52" s="43">
        <v>5</v>
      </c>
      <c r="J52" s="44"/>
      <c r="K52" s="44"/>
      <c r="L52" s="44"/>
      <c r="M52" s="45"/>
      <c r="N52" s="10"/>
      <c r="O52" s="10"/>
      <c r="P52" s="54"/>
    </row>
    <row r="53" spans="1:16" ht="60">
      <c r="A53" s="39">
        <v>36</v>
      </c>
      <c r="B53" s="40"/>
      <c r="C53" s="41" t="s">
        <v>59</v>
      </c>
      <c r="D53" s="21"/>
      <c r="E53" s="21"/>
      <c r="F53" s="21"/>
      <c r="G53" s="35" t="s">
        <v>14</v>
      </c>
      <c r="H53" s="21"/>
      <c r="I53" s="43">
        <v>8</v>
      </c>
      <c r="J53" s="44"/>
      <c r="K53" s="44"/>
      <c r="L53" s="44"/>
      <c r="M53" s="45"/>
      <c r="N53" s="10"/>
      <c r="O53" s="10"/>
      <c r="P53" s="54"/>
    </row>
    <row r="54" spans="1:16" ht="45">
      <c r="A54" s="39">
        <v>37</v>
      </c>
      <c r="B54" s="40"/>
      <c r="C54" s="41" t="s">
        <v>60</v>
      </c>
      <c r="D54" s="21"/>
      <c r="E54" s="21"/>
      <c r="F54" s="21"/>
      <c r="G54" s="35" t="s">
        <v>14</v>
      </c>
      <c r="H54" s="21"/>
      <c r="I54" s="43">
        <v>12</v>
      </c>
      <c r="J54" s="44"/>
      <c r="K54" s="44"/>
      <c r="L54" s="44"/>
      <c r="M54" s="45"/>
      <c r="N54" s="10"/>
      <c r="O54" s="10"/>
      <c r="P54" s="54"/>
    </row>
    <row r="55" spans="1:16" ht="45">
      <c r="A55" s="39">
        <v>38</v>
      </c>
      <c r="B55" s="40"/>
      <c r="C55" s="41" t="s">
        <v>61</v>
      </c>
      <c r="D55" s="21"/>
      <c r="E55" s="21"/>
      <c r="F55" s="21"/>
      <c r="G55" s="35" t="s">
        <v>14</v>
      </c>
      <c r="H55" s="21"/>
      <c r="I55" s="43">
        <v>18</v>
      </c>
      <c r="J55" s="44"/>
      <c r="K55" s="44"/>
      <c r="L55" s="44"/>
      <c r="M55" s="45"/>
      <c r="N55" s="10"/>
      <c r="O55" s="10"/>
      <c r="P55" s="54"/>
    </row>
    <row r="56" spans="1:16" ht="45">
      <c r="A56" s="39">
        <v>39</v>
      </c>
      <c r="B56" s="40"/>
      <c r="C56" s="41" t="s">
        <v>62</v>
      </c>
      <c r="D56" s="21"/>
      <c r="E56" s="21"/>
      <c r="F56" s="21"/>
      <c r="G56" s="35" t="s">
        <v>14</v>
      </c>
      <c r="H56" s="21"/>
      <c r="I56" s="43">
        <v>8</v>
      </c>
      <c r="J56" s="44"/>
      <c r="K56" s="44"/>
      <c r="L56" s="44"/>
      <c r="M56" s="45"/>
      <c r="N56" s="10"/>
      <c r="O56" s="10"/>
      <c r="P56" s="54"/>
    </row>
    <row r="57" spans="1:16" ht="45">
      <c r="A57" s="39">
        <v>40</v>
      </c>
      <c r="B57" s="40"/>
      <c r="C57" s="41" t="s">
        <v>63</v>
      </c>
      <c r="D57" s="21"/>
      <c r="E57" s="21"/>
      <c r="F57" s="21"/>
      <c r="G57" s="35" t="s">
        <v>14</v>
      </c>
      <c r="H57" s="21"/>
      <c r="I57" s="43">
        <v>10</v>
      </c>
      <c r="J57" s="44"/>
      <c r="K57" s="44"/>
      <c r="L57" s="44"/>
      <c r="M57" s="45"/>
      <c r="N57" s="10"/>
      <c r="O57" s="10"/>
      <c r="P57" s="54"/>
    </row>
    <row r="58" spans="1:16" ht="45">
      <c r="A58" s="39">
        <v>41</v>
      </c>
      <c r="B58" s="40"/>
      <c r="C58" s="41" t="s">
        <v>64</v>
      </c>
      <c r="D58" s="21"/>
      <c r="E58" s="21"/>
      <c r="F58" s="21"/>
      <c r="G58" s="35" t="s">
        <v>14</v>
      </c>
      <c r="H58" s="21"/>
      <c r="I58" s="43">
        <v>13</v>
      </c>
      <c r="J58" s="44"/>
      <c r="K58" s="44"/>
      <c r="L58" s="44"/>
      <c r="M58" s="45"/>
      <c r="N58" s="10"/>
      <c r="O58" s="10"/>
      <c r="P58" s="54"/>
    </row>
    <row r="59" spans="1:16" ht="45">
      <c r="A59" s="39">
        <v>42</v>
      </c>
      <c r="B59" s="40"/>
      <c r="C59" s="41" t="s">
        <v>72</v>
      </c>
      <c r="D59" s="21"/>
      <c r="E59" s="21"/>
      <c r="F59" s="21"/>
      <c r="G59" s="35" t="s">
        <v>14</v>
      </c>
      <c r="H59" s="21"/>
      <c r="I59" s="43">
        <v>1</v>
      </c>
      <c r="J59" s="44"/>
      <c r="K59" s="44"/>
      <c r="L59" s="44"/>
      <c r="M59" s="45"/>
      <c r="N59" s="10"/>
      <c r="O59" s="10"/>
      <c r="P59" s="54"/>
    </row>
    <row r="60" spans="1:16" ht="60">
      <c r="A60" s="39">
        <v>43</v>
      </c>
      <c r="B60" s="40"/>
      <c r="C60" s="41" t="s">
        <v>73</v>
      </c>
      <c r="D60" s="21"/>
      <c r="E60" s="21"/>
      <c r="F60" s="21"/>
      <c r="G60" s="35" t="s">
        <v>14</v>
      </c>
      <c r="H60" s="21"/>
      <c r="I60" s="43">
        <v>1</v>
      </c>
      <c r="J60" s="44"/>
      <c r="K60" s="44"/>
      <c r="L60" s="44"/>
      <c r="M60" s="45"/>
      <c r="N60" s="10"/>
      <c r="O60" s="10"/>
      <c r="P60" s="54"/>
    </row>
    <row r="61" spans="1:16" ht="45">
      <c r="A61" s="39">
        <v>44</v>
      </c>
      <c r="B61" s="40"/>
      <c r="C61" s="41" t="s">
        <v>74</v>
      </c>
      <c r="D61" s="21"/>
      <c r="E61" s="21"/>
      <c r="F61" s="21"/>
      <c r="G61" s="35" t="s">
        <v>14</v>
      </c>
      <c r="H61" s="21"/>
      <c r="I61" s="43">
        <v>1</v>
      </c>
      <c r="J61" s="44"/>
      <c r="K61" s="44"/>
      <c r="L61" s="44"/>
      <c r="M61" s="45"/>
      <c r="N61" s="10"/>
      <c r="O61" s="10"/>
      <c r="P61" s="54"/>
    </row>
    <row r="62" spans="1:16" ht="60">
      <c r="A62" s="39">
        <v>45</v>
      </c>
      <c r="B62" s="40"/>
      <c r="C62" s="41" t="s">
        <v>75</v>
      </c>
      <c r="D62" s="21"/>
      <c r="E62" s="21"/>
      <c r="F62" s="21"/>
      <c r="G62" s="35" t="s">
        <v>14</v>
      </c>
      <c r="H62" s="21"/>
      <c r="I62" s="43">
        <v>1</v>
      </c>
      <c r="J62" s="44"/>
      <c r="K62" s="44"/>
      <c r="L62" s="44"/>
      <c r="M62" s="45"/>
      <c r="N62" s="10"/>
      <c r="O62" s="10"/>
      <c r="P62" s="54"/>
    </row>
    <row r="63" spans="1:16" ht="45">
      <c r="A63" s="39">
        <v>46</v>
      </c>
      <c r="B63" s="40"/>
      <c r="C63" s="41" t="s">
        <v>76</v>
      </c>
      <c r="D63" s="21"/>
      <c r="E63" s="21"/>
      <c r="F63" s="21"/>
      <c r="G63" s="35" t="s">
        <v>14</v>
      </c>
      <c r="H63" s="21"/>
      <c r="I63" s="43">
        <v>1</v>
      </c>
      <c r="J63" s="44"/>
      <c r="K63" s="44"/>
      <c r="L63" s="44"/>
      <c r="M63" s="45"/>
      <c r="N63" s="10"/>
      <c r="O63" s="10"/>
      <c r="P63" s="54"/>
    </row>
    <row r="64" spans="1:16" ht="60">
      <c r="A64" s="39">
        <v>47</v>
      </c>
      <c r="B64" s="40"/>
      <c r="C64" s="41" t="s">
        <v>77</v>
      </c>
      <c r="D64" s="21"/>
      <c r="E64" s="21"/>
      <c r="F64" s="21"/>
      <c r="G64" s="35" t="s">
        <v>14</v>
      </c>
      <c r="H64" s="21"/>
      <c r="I64" s="43">
        <v>1</v>
      </c>
      <c r="J64" s="44"/>
      <c r="K64" s="44"/>
      <c r="L64" s="44"/>
      <c r="M64" s="45"/>
      <c r="N64" s="10"/>
      <c r="O64" s="10"/>
      <c r="P64" s="54"/>
    </row>
    <row r="65" spans="1:16" ht="17.25">
      <c r="A65" s="39">
        <v>48</v>
      </c>
      <c r="B65" s="40"/>
      <c r="C65" s="41" t="s">
        <v>242</v>
      </c>
      <c r="D65" s="21"/>
      <c r="E65" s="21"/>
      <c r="F65" s="21"/>
      <c r="G65" s="35" t="s">
        <v>31</v>
      </c>
      <c r="H65" s="21"/>
      <c r="I65" s="43">
        <v>1</v>
      </c>
      <c r="J65" s="44"/>
      <c r="K65" s="44"/>
      <c r="L65" s="44"/>
      <c r="M65" s="45"/>
      <c r="N65" s="10"/>
      <c r="O65" s="10"/>
      <c r="P65" s="54"/>
    </row>
    <row r="66" spans="1:16" ht="17.25">
      <c r="A66" s="39">
        <v>49</v>
      </c>
      <c r="B66" s="40"/>
      <c r="C66" s="41" t="s">
        <v>65</v>
      </c>
      <c r="D66" s="21"/>
      <c r="E66" s="21"/>
      <c r="F66" s="21"/>
      <c r="G66" s="35" t="s">
        <v>30</v>
      </c>
      <c r="H66" s="21"/>
      <c r="I66" s="43">
        <f>SUM(I19:I25)</f>
        <v>735</v>
      </c>
      <c r="J66" s="44"/>
      <c r="K66" s="44"/>
      <c r="L66" s="44"/>
      <c r="M66" s="45"/>
      <c r="N66" s="10"/>
      <c r="O66" s="10"/>
      <c r="P66" s="54"/>
    </row>
    <row r="67" spans="1:16" ht="30">
      <c r="A67" s="39">
        <v>50</v>
      </c>
      <c r="B67" s="40"/>
      <c r="C67" s="41" t="s">
        <v>66</v>
      </c>
      <c r="D67" s="21"/>
      <c r="E67" s="21"/>
      <c r="F67" s="21"/>
      <c r="G67" s="35" t="s">
        <v>14</v>
      </c>
      <c r="H67" s="21"/>
      <c r="I67" s="43">
        <v>5</v>
      </c>
      <c r="J67" s="44"/>
      <c r="K67" s="44"/>
      <c r="L67" s="44"/>
      <c r="M67" s="45"/>
      <c r="N67" s="10"/>
      <c r="O67" s="10"/>
      <c r="P67" s="54"/>
    </row>
    <row r="68" spans="1:16" ht="17.25">
      <c r="A68" s="39">
        <v>51</v>
      </c>
      <c r="B68" s="40"/>
      <c r="C68" s="41" t="s">
        <v>67</v>
      </c>
      <c r="D68" s="21"/>
      <c r="E68" s="21"/>
      <c r="F68" s="21"/>
      <c r="G68" s="35" t="s">
        <v>31</v>
      </c>
      <c r="H68" s="21"/>
      <c r="I68" s="43">
        <v>1</v>
      </c>
      <c r="J68" s="44"/>
      <c r="K68" s="44"/>
      <c r="L68" s="44"/>
      <c r="M68" s="45"/>
      <c r="N68" s="10"/>
      <c r="O68" s="10"/>
      <c r="P68" s="54"/>
    </row>
    <row r="69" spans="1:16" ht="17.25">
      <c r="A69" s="39">
        <v>52</v>
      </c>
      <c r="B69" s="40"/>
      <c r="C69" s="41" t="s">
        <v>68</v>
      </c>
      <c r="D69" s="21"/>
      <c r="E69" s="21"/>
      <c r="F69" s="21"/>
      <c r="G69" s="35" t="s">
        <v>31</v>
      </c>
      <c r="H69" s="21"/>
      <c r="I69" s="43">
        <v>1</v>
      </c>
      <c r="J69" s="44"/>
      <c r="K69" s="44"/>
      <c r="L69" s="44"/>
      <c r="M69" s="45"/>
      <c r="N69" s="10"/>
      <c r="O69" s="10"/>
      <c r="P69" s="54"/>
    </row>
    <row r="70" spans="1:16" ht="17.25">
      <c r="A70" s="39">
        <v>53</v>
      </c>
      <c r="B70" s="40"/>
      <c r="C70" s="41" t="s">
        <v>69</v>
      </c>
      <c r="D70" s="21"/>
      <c r="E70" s="21"/>
      <c r="F70" s="21"/>
      <c r="G70" s="35" t="s">
        <v>31</v>
      </c>
      <c r="H70" s="21"/>
      <c r="I70" s="43">
        <v>1</v>
      </c>
      <c r="J70" s="44"/>
      <c r="K70" s="44"/>
      <c r="L70" s="44"/>
      <c r="M70" s="45"/>
      <c r="N70" s="10"/>
      <c r="O70" s="10"/>
      <c r="P70" s="54"/>
    </row>
    <row r="71" spans="1:16" ht="17.25">
      <c r="A71" s="39">
        <v>54</v>
      </c>
      <c r="B71" s="40"/>
      <c r="C71" s="41" t="s">
        <v>70</v>
      </c>
      <c r="D71" s="21"/>
      <c r="E71" s="21"/>
      <c r="F71" s="21"/>
      <c r="G71" s="35" t="s">
        <v>31</v>
      </c>
      <c r="H71" s="21"/>
      <c r="I71" s="43">
        <v>1</v>
      </c>
      <c r="J71" s="44"/>
      <c r="K71" s="44"/>
      <c r="L71" s="44"/>
      <c r="M71" s="45"/>
      <c r="N71" s="10"/>
      <c r="O71" s="10"/>
      <c r="P71" s="54"/>
    </row>
    <row r="72" spans="1:16" ht="17.25">
      <c r="A72" s="39">
        <v>55</v>
      </c>
      <c r="B72" s="40"/>
      <c r="C72" s="41" t="s">
        <v>71</v>
      </c>
      <c r="D72" s="21"/>
      <c r="E72" s="21"/>
      <c r="F72" s="21"/>
      <c r="G72" s="35" t="s">
        <v>30</v>
      </c>
      <c r="H72" s="21"/>
      <c r="I72" s="43">
        <f>I66</f>
        <v>735</v>
      </c>
      <c r="J72" s="44"/>
      <c r="K72" s="44"/>
      <c r="L72" s="44"/>
      <c r="M72" s="45"/>
      <c r="N72" s="10"/>
      <c r="O72" s="10"/>
      <c r="P72" s="54"/>
    </row>
    <row r="73" spans="1:16" ht="18.75">
      <c r="A73" s="63" t="s">
        <v>93</v>
      </c>
      <c r="B73" s="64"/>
      <c r="C73" s="64"/>
      <c r="D73" s="64"/>
      <c r="E73" s="64"/>
      <c r="F73" s="64"/>
      <c r="G73" s="64"/>
      <c r="H73" s="64"/>
      <c r="I73" s="64"/>
      <c r="J73" s="64"/>
      <c r="K73" s="64"/>
      <c r="L73" s="64"/>
      <c r="M73" s="65"/>
      <c r="N73" s="10"/>
      <c r="O73" s="10"/>
      <c r="P73" s="54"/>
    </row>
    <row r="74" spans="1:16" ht="18.75">
      <c r="A74" s="63" t="s">
        <v>94</v>
      </c>
      <c r="B74" s="64"/>
      <c r="C74" s="64"/>
      <c r="D74" s="64"/>
      <c r="E74" s="64"/>
      <c r="F74" s="64"/>
      <c r="G74" s="64"/>
      <c r="H74" s="64"/>
      <c r="I74" s="64"/>
      <c r="J74" s="64"/>
      <c r="K74" s="64"/>
      <c r="L74" s="64"/>
      <c r="M74" s="65"/>
      <c r="N74" s="10"/>
      <c r="O74" s="10"/>
      <c r="P74" s="54"/>
    </row>
    <row r="75" spans="1:16">
      <c r="A75" s="66" t="s">
        <v>28</v>
      </c>
      <c r="B75" s="67"/>
      <c r="C75" s="67"/>
      <c r="D75" s="67"/>
      <c r="E75" s="67"/>
      <c r="F75" s="67"/>
      <c r="G75" s="67"/>
      <c r="H75" s="67"/>
      <c r="I75" s="67"/>
      <c r="J75" s="67"/>
      <c r="K75" s="67"/>
      <c r="L75" s="67"/>
      <c r="M75" s="68"/>
      <c r="N75" s="10"/>
      <c r="O75" s="10"/>
      <c r="P75" s="54"/>
    </row>
    <row r="76" spans="1:16" ht="30">
      <c r="A76" s="39">
        <v>1</v>
      </c>
      <c r="B76" s="39"/>
      <c r="C76" s="27" t="s">
        <v>229</v>
      </c>
      <c r="D76" s="8"/>
      <c r="E76" s="8"/>
      <c r="F76" s="8"/>
      <c r="G76" s="35" t="s">
        <v>30</v>
      </c>
      <c r="H76" s="23"/>
      <c r="I76" s="38">
        <f>120+72+90+120+76+88+120+72+90+120+72+90+120+72+90+120+72+90+120+72+90+120+72+90+120+77+90+119+111+66+119+111+65+119+111+74+74+111+119+103+62+94+94+70+113+106+100+95+90+85+80+75+70+76+76+70+75+80+85+90+95+100+106+64+69+74+79+84+81+71+45+88+37+35+41+92+109+96+102+48+85+82+77+64+56+62+84+97+93+73+73+30+86+75+70+62+60+38+30+93+73+72+68+65+84+95+85+76+86+88+90+92+94+117+107+71+78+109+94+85+67+62+73+115+60+115+106+114+113+85+93+109+53+51+31+75+33+56+71+70+71+54+48+72+62+68+72+56+85+80+57+74+58+88+22+66+64+25+69+51+75+64+83+50+62+71+59+101+85+54+77+75+48+91+87+48+76+92+102</f>
        <v>14362</v>
      </c>
      <c r="J76" s="9"/>
      <c r="K76" s="9"/>
      <c r="L76" s="9"/>
      <c r="M76" s="29"/>
      <c r="N76" s="10"/>
      <c r="O76" s="10"/>
      <c r="P76" s="54"/>
    </row>
    <row r="77" spans="1:16" ht="45">
      <c r="A77" s="39">
        <v>2</v>
      </c>
      <c r="B77" s="39"/>
      <c r="C77" s="27" t="s">
        <v>230</v>
      </c>
      <c r="D77" s="8"/>
      <c r="E77" s="8"/>
      <c r="F77" s="8"/>
      <c r="G77" s="35" t="s">
        <v>30</v>
      </c>
      <c r="H77" s="23"/>
      <c r="I77" s="38">
        <f>(6*2*5)+(6*2)+(6*2*2)+(6*2)+(9*2*4)+(10*2)+(7*2*4)+(11*2*2)+(8*2*2)+(12*2)+(8*2)+128</f>
        <v>500</v>
      </c>
      <c r="J77" s="9"/>
      <c r="K77" s="9"/>
      <c r="L77" s="9"/>
      <c r="M77" s="29"/>
      <c r="N77" s="10"/>
      <c r="O77" s="10"/>
      <c r="P77" s="54"/>
    </row>
    <row r="78" spans="1:16" ht="45">
      <c r="A78" s="39">
        <v>3</v>
      </c>
      <c r="B78" s="39"/>
      <c r="C78" s="27" t="s">
        <v>231</v>
      </c>
      <c r="D78" s="8"/>
      <c r="E78" s="8"/>
      <c r="F78" s="8"/>
      <c r="G78" s="35" t="s">
        <v>32</v>
      </c>
      <c r="H78" s="23"/>
      <c r="I78" s="38">
        <v>1202</v>
      </c>
      <c r="J78" s="9"/>
      <c r="K78" s="9"/>
      <c r="L78" s="9"/>
      <c r="M78" s="29"/>
      <c r="N78" s="10"/>
      <c r="O78" s="10"/>
      <c r="P78" s="54"/>
    </row>
    <row r="79" spans="1:16" ht="30">
      <c r="A79" s="39">
        <v>4</v>
      </c>
      <c r="B79" s="39"/>
      <c r="C79" s="27" t="s">
        <v>232</v>
      </c>
      <c r="D79" s="8"/>
      <c r="E79" s="8"/>
      <c r="F79" s="8"/>
      <c r="G79" s="35" t="s">
        <v>30</v>
      </c>
      <c r="H79" s="23"/>
      <c r="I79" s="38">
        <v>2200</v>
      </c>
      <c r="J79" s="9"/>
      <c r="K79" s="9"/>
      <c r="L79" s="9"/>
      <c r="M79" s="29"/>
      <c r="N79" s="10"/>
      <c r="O79" s="10"/>
      <c r="P79" s="54"/>
    </row>
    <row r="80" spans="1:16">
      <c r="A80" s="39">
        <v>5</v>
      </c>
      <c r="B80" s="39"/>
      <c r="C80" s="27" t="s">
        <v>233</v>
      </c>
      <c r="D80" s="8"/>
      <c r="E80" s="8"/>
      <c r="F80" s="8"/>
      <c r="G80" s="35" t="s">
        <v>30</v>
      </c>
      <c r="H80" s="23"/>
      <c r="I80" s="38">
        <f>(5.2*13)+(3.2*2)+(2.2*29)+(4*2)+(8.1*2)+6.9+3.45+2.7+3.5+4.2+2.4+6.2+(2.5*2)+4+2.7+5.2+1.8+6+5.9+(6.1*3)+(2.1*2)+(3.1*2)+(4.5*2)+(8.1*2)+4.1+3.4+(6*2)+3.5+6.7+4.3+5.1+4.2+2+2+(2.1*3)+(3.3*2)+4+1.7+5+3.4+5.4+4.7+6.8+7.5+3.9+(1.8*5)+12.55</f>
        <v>399.99999999999989</v>
      </c>
      <c r="J80" s="9"/>
      <c r="K80" s="9"/>
      <c r="L80" s="9"/>
      <c r="M80" s="29"/>
      <c r="N80" s="10"/>
      <c r="O80" s="10"/>
      <c r="P80" s="54"/>
    </row>
    <row r="81" spans="1:16" ht="30">
      <c r="A81" s="39">
        <v>6</v>
      </c>
      <c r="B81" s="39"/>
      <c r="C81" s="27" t="s">
        <v>234</v>
      </c>
      <c r="D81" s="8"/>
      <c r="E81" s="8"/>
      <c r="F81" s="8"/>
      <c r="G81" s="35" t="s">
        <v>33</v>
      </c>
      <c r="H81" s="23"/>
      <c r="I81" s="38">
        <f>ROUNDUP(I78/4.33,-1)</f>
        <v>280</v>
      </c>
      <c r="J81" s="9"/>
      <c r="K81" s="9"/>
      <c r="L81" s="9"/>
      <c r="M81" s="29"/>
      <c r="N81" s="10"/>
      <c r="O81" s="10"/>
      <c r="P81" s="54"/>
    </row>
    <row r="82" spans="1:16" ht="30">
      <c r="A82" s="39">
        <v>7</v>
      </c>
      <c r="B82" s="39"/>
      <c r="C82" s="27" t="s">
        <v>235</v>
      </c>
      <c r="D82" s="8"/>
      <c r="E82" s="8"/>
      <c r="F82" s="8"/>
      <c r="G82" s="35" t="s">
        <v>14</v>
      </c>
      <c r="H82" s="23"/>
      <c r="I82" s="38">
        <f>(6*2*5)+(6*2)+(6*2*2)+(6*2)+(9*2*4)+(10*2)+(7*2*4)+(11*2*2)+(8*2*2)+(12*2)+(8*2)</f>
        <v>372</v>
      </c>
      <c r="J82" s="9"/>
      <c r="K82" s="9"/>
      <c r="L82" s="9"/>
      <c r="M82" s="29"/>
      <c r="N82" s="10"/>
      <c r="O82" s="10"/>
      <c r="P82" s="54"/>
    </row>
    <row r="83" spans="1:16">
      <c r="A83" s="39">
        <v>8</v>
      </c>
      <c r="B83" s="39"/>
      <c r="C83" s="27" t="s">
        <v>236</v>
      </c>
      <c r="D83" s="8"/>
      <c r="E83" s="8"/>
      <c r="F83" s="8"/>
      <c r="G83" s="35" t="s">
        <v>14</v>
      </c>
      <c r="H83" s="23"/>
      <c r="I83" s="38">
        <f>I82</f>
        <v>372</v>
      </c>
      <c r="J83" s="9"/>
      <c r="K83" s="9"/>
      <c r="L83" s="9"/>
      <c r="M83" s="29"/>
      <c r="N83" s="10"/>
      <c r="O83" s="10"/>
      <c r="P83" s="54"/>
    </row>
    <row r="84" spans="1:16">
      <c r="A84" s="39">
        <v>9</v>
      </c>
      <c r="B84" s="39"/>
      <c r="C84" s="27" t="s">
        <v>237</v>
      </c>
      <c r="D84" s="8"/>
      <c r="E84" s="8"/>
      <c r="F84" s="8"/>
      <c r="G84" s="35" t="s">
        <v>14</v>
      </c>
      <c r="H84" s="23"/>
      <c r="I84" s="38">
        <f>I78*4</f>
        <v>4808</v>
      </c>
      <c r="J84" s="9"/>
      <c r="K84" s="9"/>
      <c r="L84" s="9"/>
      <c r="M84" s="29"/>
      <c r="N84" s="10"/>
      <c r="O84" s="10"/>
      <c r="P84" s="54"/>
    </row>
    <row r="85" spans="1:16">
      <c r="A85" s="39">
        <v>10</v>
      </c>
      <c r="B85" s="39"/>
      <c r="C85" s="27" t="s">
        <v>180</v>
      </c>
      <c r="D85" s="8"/>
      <c r="E85" s="8"/>
      <c r="F85" s="8"/>
      <c r="G85" s="35" t="s">
        <v>14</v>
      </c>
      <c r="H85" s="23"/>
      <c r="I85" s="38">
        <v>24</v>
      </c>
      <c r="J85" s="9"/>
      <c r="K85" s="9"/>
      <c r="L85" s="9"/>
      <c r="M85" s="29"/>
      <c r="N85" s="10"/>
      <c r="O85" s="10"/>
      <c r="P85" s="54"/>
    </row>
    <row r="86" spans="1:16" ht="225">
      <c r="A86" s="39">
        <v>11</v>
      </c>
      <c r="B86" s="39"/>
      <c r="C86" s="27" t="s">
        <v>286</v>
      </c>
      <c r="D86" s="8"/>
      <c r="E86" s="8"/>
      <c r="F86" s="8"/>
      <c r="G86" s="35" t="s">
        <v>14</v>
      </c>
      <c r="H86" s="23"/>
      <c r="I86" s="38">
        <v>1</v>
      </c>
      <c r="J86" s="9"/>
      <c r="K86" s="9"/>
      <c r="L86" s="9"/>
      <c r="M86" s="29"/>
      <c r="N86" s="10"/>
      <c r="O86" s="10"/>
      <c r="P86" s="54"/>
    </row>
    <row r="87" spans="1:16" ht="225">
      <c r="A87" s="39">
        <v>12</v>
      </c>
      <c r="B87" s="39"/>
      <c r="C87" s="27" t="s">
        <v>287</v>
      </c>
      <c r="D87" s="8"/>
      <c r="E87" s="8"/>
      <c r="F87" s="8"/>
      <c r="G87" s="35" t="s">
        <v>14</v>
      </c>
      <c r="H87" s="23"/>
      <c r="I87" s="38">
        <v>1</v>
      </c>
      <c r="J87" s="9"/>
      <c r="K87" s="9"/>
      <c r="L87" s="9"/>
      <c r="M87" s="29"/>
      <c r="N87" s="10"/>
      <c r="O87" s="10"/>
      <c r="P87" s="54"/>
    </row>
    <row r="88" spans="1:16" ht="225">
      <c r="A88" s="39">
        <v>13</v>
      </c>
      <c r="B88" s="39"/>
      <c r="C88" s="27" t="s">
        <v>288</v>
      </c>
      <c r="D88" s="8"/>
      <c r="E88" s="8"/>
      <c r="F88" s="8"/>
      <c r="G88" s="35" t="s">
        <v>14</v>
      </c>
      <c r="H88" s="23"/>
      <c r="I88" s="38">
        <v>1</v>
      </c>
      <c r="J88" s="9"/>
      <c r="K88" s="9"/>
      <c r="L88" s="9"/>
      <c r="M88" s="29"/>
      <c r="N88" s="10"/>
      <c r="O88" s="10"/>
      <c r="P88" s="54"/>
    </row>
    <row r="89" spans="1:16" ht="225">
      <c r="A89" s="39">
        <v>14</v>
      </c>
      <c r="B89" s="39"/>
      <c r="C89" s="27" t="s">
        <v>289</v>
      </c>
      <c r="D89" s="8"/>
      <c r="E89" s="8"/>
      <c r="F89" s="8"/>
      <c r="G89" s="35" t="s">
        <v>14</v>
      </c>
      <c r="H89" s="23"/>
      <c r="I89" s="38">
        <v>1</v>
      </c>
      <c r="J89" s="9"/>
      <c r="K89" s="9"/>
      <c r="L89" s="9"/>
      <c r="M89" s="29"/>
      <c r="N89" s="10"/>
      <c r="O89" s="10"/>
      <c r="P89" s="54"/>
    </row>
    <row r="90" spans="1:16" ht="210">
      <c r="A90" s="39">
        <v>15</v>
      </c>
      <c r="B90" s="39"/>
      <c r="C90" s="27" t="s">
        <v>285</v>
      </c>
      <c r="D90" s="8"/>
      <c r="E90" s="8"/>
      <c r="F90" s="8"/>
      <c r="G90" s="35" t="s">
        <v>14</v>
      </c>
      <c r="H90" s="23"/>
      <c r="I90" s="38">
        <v>1</v>
      </c>
      <c r="J90" s="9"/>
      <c r="K90" s="9"/>
      <c r="L90" s="9"/>
      <c r="M90" s="29"/>
      <c r="N90" s="10"/>
      <c r="O90" s="10"/>
      <c r="P90" s="54"/>
    </row>
    <row r="91" spans="1:16" ht="225">
      <c r="A91" s="39">
        <v>16</v>
      </c>
      <c r="B91" s="39"/>
      <c r="C91" s="27" t="s">
        <v>290</v>
      </c>
      <c r="D91" s="8"/>
      <c r="E91" s="8"/>
      <c r="F91" s="8"/>
      <c r="G91" s="35" t="s">
        <v>14</v>
      </c>
      <c r="H91" s="23"/>
      <c r="I91" s="38">
        <v>1</v>
      </c>
      <c r="J91" s="9"/>
      <c r="K91" s="9"/>
      <c r="L91" s="9"/>
      <c r="M91" s="29"/>
      <c r="N91" s="10"/>
      <c r="O91" s="10"/>
      <c r="P91" s="54"/>
    </row>
    <row r="92" spans="1:16" ht="225">
      <c r="A92" s="39">
        <v>17</v>
      </c>
      <c r="B92" s="39"/>
      <c r="C92" s="27" t="s">
        <v>291</v>
      </c>
      <c r="D92" s="8"/>
      <c r="E92" s="8"/>
      <c r="F92" s="8"/>
      <c r="G92" s="35" t="s">
        <v>14</v>
      </c>
      <c r="H92" s="23"/>
      <c r="I92" s="38">
        <v>1</v>
      </c>
      <c r="J92" s="9"/>
      <c r="K92" s="9"/>
      <c r="L92" s="9"/>
      <c r="M92" s="29"/>
      <c r="N92" s="10"/>
      <c r="O92" s="10"/>
      <c r="P92" s="54"/>
    </row>
    <row r="93" spans="1:16" ht="225">
      <c r="A93" s="39">
        <v>18</v>
      </c>
      <c r="B93" s="39"/>
      <c r="C93" s="27" t="s">
        <v>292</v>
      </c>
      <c r="D93" s="8"/>
      <c r="E93" s="8"/>
      <c r="F93" s="8"/>
      <c r="G93" s="35" t="s">
        <v>14</v>
      </c>
      <c r="H93" s="23"/>
      <c r="I93" s="38">
        <v>1</v>
      </c>
      <c r="J93" s="9"/>
      <c r="K93" s="9"/>
      <c r="L93" s="9"/>
      <c r="M93" s="29"/>
      <c r="N93" s="10"/>
      <c r="O93" s="10"/>
      <c r="P93" s="54"/>
    </row>
    <row r="94" spans="1:16" ht="210">
      <c r="A94" s="39">
        <v>19</v>
      </c>
      <c r="B94" s="39"/>
      <c r="C94" s="27" t="s">
        <v>293</v>
      </c>
      <c r="D94" s="8"/>
      <c r="E94" s="8"/>
      <c r="F94" s="8"/>
      <c r="G94" s="35" t="s">
        <v>14</v>
      </c>
      <c r="H94" s="23"/>
      <c r="I94" s="38">
        <v>1</v>
      </c>
      <c r="J94" s="9"/>
      <c r="K94" s="9"/>
      <c r="L94" s="9"/>
      <c r="M94" s="29"/>
      <c r="N94" s="10"/>
      <c r="O94" s="10"/>
      <c r="P94" s="54"/>
    </row>
    <row r="95" spans="1:16" ht="210">
      <c r="A95" s="39">
        <v>20</v>
      </c>
      <c r="B95" s="39"/>
      <c r="C95" s="27" t="s">
        <v>294</v>
      </c>
      <c r="D95" s="8"/>
      <c r="E95" s="8"/>
      <c r="F95" s="8"/>
      <c r="G95" s="35" t="s">
        <v>14</v>
      </c>
      <c r="H95" s="23"/>
      <c r="I95" s="38">
        <v>1</v>
      </c>
      <c r="J95" s="9"/>
      <c r="K95" s="9"/>
      <c r="L95" s="9"/>
      <c r="M95" s="29"/>
      <c r="N95" s="10"/>
      <c r="O95" s="10"/>
      <c r="P95" s="54"/>
    </row>
    <row r="96" spans="1:16" ht="225">
      <c r="A96" s="39">
        <v>21</v>
      </c>
      <c r="B96" s="39"/>
      <c r="C96" s="27" t="s">
        <v>295</v>
      </c>
      <c r="D96" s="8"/>
      <c r="E96" s="8"/>
      <c r="F96" s="8"/>
      <c r="G96" s="35" t="s">
        <v>14</v>
      </c>
      <c r="H96" s="23"/>
      <c r="I96" s="38">
        <v>1</v>
      </c>
      <c r="J96" s="9"/>
      <c r="K96" s="9"/>
      <c r="L96" s="9"/>
      <c r="M96" s="29"/>
      <c r="N96" s="10"/>
      <c r="O96" s="10"/>
      <c r="P96" s="54"/>
    </row>
    <row r="97" spans="1:19" ht="210">
      <c r="A97" s="39">
        <v>22</v>
      </c>
      <c r="B97" s="39"/>
      <c r="C97" s="27" t="s">
        <v>296</v>
      </c>
      <c r="D97" s="8"/>
      <c r="E97" s="8"/>
      <c r="F97" s="8"/>
      <c r="G97" s="35" t="s">
        <v>14</v>
      </c>
      <c r="H97" s="23"/>
      <c r="I97" s="38">
        <v>1</v>
      </c>
      <c r="J97" s="9"/>
      <c r="K97" s="9"/>
      <c r="L97" s="9"/>
      <c r="M97" s="29"/>
      <c r="N97" s="10"/>
      <c r="O97" s="10"/>
      <c r="P97" s="54"/>
    </row>
    <row r="98" spans="1:19" ht="210">
      <c r="A98" s="39">
        <v>23</v>
      </c>
      <c r="B98" s="39"/>
      <c r="C98" s="27" t="s">
        <v>297</v>
      </c>
      <c r="D98" s="8"/>
      <c r="E98" s="8"/>
      <c r="F98" s="8"/>
      <c r="G98" s="35" t="s">
        <v>14</v>
      </c>
      <c r="H98" s="23"/>
      <c r="I98" s="38">
        <v>1</v>
      </c>
      <c r="J98" s="9"/>
      <c r="K98" s="9"/>
      <c r="L98" s="9"/>
      <c r="M98" s="29"/>
      <c r="N98" s="10"/>
      <c r="O98" s="10"/>
      <c r="P98" s="54"/>
    </row>
    <row r="99" spans="1:19" ht="210">
      <c r="A99" s="39">
        <v>24</v>
      </c>
      <c r="B99" s="39"/>
      <c r="C99" s="27" t="s">
        <v>298</v>
      </c>
      <c r="D99" s="8"/>
      <c r="E99" s="8"/>
      <c r="F99" s="8"/>
      <c r="G99" s="35" t="s">
        <v>14</v>
      </c>
      <c r="H99" s="23"/>
      <c r="I99" s="38">
        <v>1</v>
      </c>
      <c r="J99" s="9"/>
      <c r="K99" s="9"/>
      <c r="L99" s="9"/>
      <c r="M99" s="29"/>
      <c r="N99" s="10"/>
      <c r="O99" s="10"/>
      <c r="P99" s="54"/>
    </row>
    <row r="100" spans="1:19" ht="210">
      <c r="A100" s="39">
        <v>25</v>
      </c>
      <c r="B100" s="39"/>
      <c r="C100" s="27" t="s">
        <v>299</v>
      </c>
      <c r="D100" s="8"/>
      <c r="E100" s="8"/>
      <c r="F100" s="8"/>
      <c r="G100" s="35" t="s">
        <v>14</v>
      </c>
      <c r="H100" s="23"/>
      <c r="I100" s="38">
        <v>1</v>
      </c>
      <c r="J100" s="9"/>
      <c r="K100" s="9"/>
      <c r="L100" s="9"/>
      <c r="M100" s="29"/>
      <c r="N100" s="10"/>
      <c r="O100" s="10"/>
      <c r="P100" s="54"/>
    </row>
    <row r="101" spans="1:19" ht="210">
      <c r="A101" s="39">
        <v>26</v>
      </c>
      <c r="B101" s="39"/>
      <c r="C101" s="27" t="s">
        <v>300</v>
      </c>
      <c r="D101" s="8"/>
      <c r="E101" s="8"/>
      <c r="F101" s="8"/>
      <c r="G101" s="35" t="s">
        <v>14</v>
      </c>
      <c r="H101" s="23"/>
      <c r="I101" s="38">
        <v>1</v>
      </c>
      <c r="J101" s="9"/>
      <c r="K101" s="9"/>
      <c r="L101" s="9"/>
      <c r="M101" s="29"/>
      <c r="N101" s="10"/>
      <c r="O101" s="10"/>
      <c r="P101" s="54"/>
    </row>
    <row r="102" spans="1:19" ht="210">
      <c r="A102" s="39">
        <v>27</v>
      </c>
      <c r="B102" s="39"/>
      <c r="C102" s="27" t="s">
        <v>301</v>
      </c>
      <c r="D102" s="8"/>
      <c r="E102" s="8"/>
      <c r="F102" s="8"/>
      <c r="G102" s="35" t="s">
        <v>14</v>
      </c>
      <c r="H102" s="23"/>
      <c r="I102" s="38">
        <v>1</v>
      </c>
      <c r="J102" s="9"/>
      <c r="K102" s="9"/>
      <c r="L102" s="9"/>
      <c r="M102" s="29"/>
      <c r="N102" s="10"/>
      <c r="O102" s="10"/>
      <c r="P102" s="54"/>
    </row>
    <row r="103" spans="1:19" ht="210">
      <c r="A103" s="39">
        <v>28</v>
      </c>
      <c r="B103" s="39"/>
      <c r="C103" s="27" t="s">
        <v>302</v>
      </c>
      <c r="D103" s="8"/>
      <c r="E103" s="8"/>
      <c r="F103" s="8"/>
      <c r="G103" s="35" t="s">
        <v>14</v>
      </c>
      <c r="H103" s="23"/>
      <c r="I103" s="38">
        <v>1</v>
      </c>
      <c r="J103" s="9"/>
      <c r="K103" s="9"/>
      <c r="L103" s="9"/>
      <c r="M103" s="29"/>
      <c r="N103" s="10"/>
      <c r="O103" s="10"/>
      <c r="P103" s="54"/>
      <c r="Q103" s="6"/>
      <c r="R103" s="6"/>
      <c r="S103" s="6"/>
    </row>
    <row r="104" spans="1:19" ht="210">
      <c r="A104" s="39">
        <v>29</v>
      </c>
      <c r="B104" s="39"/>
      <c r="C104" s="27" t="s">
        <v>303</v>
      </c>
      <c r="D104" s="8"/>
      <c r="E104" s="8"/>
      <c r="F104" s="8"/>
      <c r="G104" s="35" t="s">
        <v>14</v>
      </c>
      <c r="H104" s="23"/>
      <c r="I104" s="38">
        <v>1</v>
      </c>
      <c r="J104" s="9"/>
      <c r="K104" s="9"/>
      <c r="L104" s="9"/>
      <c r="M104" s="29"/>
      <c r="N104" s="10"/>
      <c r="O104" s="10"/>
      <c r="P104" s="54"/>
      <c r="Q104" s="6"/>
      <c r="R104" s="6"/>
      <c r="S104" s="6"/>
    </row>
    <row r="105" spans="1:19" ht="210">
      <c r="A105" s="39">
        <v>30</v>
      </c>
      <c r="B105" s="39"/>
      <c r="C105" s="27" t="s">
        <v>304</v>
      </c>
      <c r="D105" s="8"/>
      <c r="E105" s="8"/>
      <c r="F105" s="8"/>
      <c r="G105" s="35" t="s">
        <v>14</v>
      </c>
      <c r="H105" s="23"/>
      <c r="I105" s="38">
        <v>1</v>
      </c>
      <c r="J105" s="9"/>
      <c r="K105" s="9"/>
      <c r="L105" s="9"/>
      <c r="M105" s="29"/>
      <c r="N105" s="10"/>
      <c r="O105" s="10"/>
      <c r="P105" s="54"/>
      <c r="Q105" s="6"/>
      <c r="R105" s="6"/>
      <c r="S105" s="6"/>
    </row>
    <row r="106" spans="1:19" ht="225">
      <c r="A106" s="39">
        <v>31</v>
      </c>
      <c r="B106" s="39"/>
      <c r="C106" s="27" t="s">
        <v>305</v>
      </c>
      <c r="D106" s="8"/>
      <c r="E106" s="8"/>
      <c r="F106" s="8"/>
      <c r="G106" s="35" t="s">
        <v>14</v>
      </c>
      <c r="H106" s="23"/>
      <c r="I106" s="38">
        <v>1</v>
      </c>
      <c r="J106" s="9"/>
      <c r="K106" s="9"/>
      <c r="L106" s="9"/>
      <c r="M106" s="29"/>
      <c r="N106" s="10"/>
      <c r="O106" s="10"/>
      <c r="P106" s="54"/>
      <c r="Q106" s="6"/>
      <c r="R106" s="6"/>
      <c r="S106" s="6"/>
    </row>
    <row r="107" spans="1:19" ht="210">
      <c r="A107" s="39">
        <v>32</v>
      </c>
      <c r="B107" s="39"/>
      <c r="C107" s="27" t="s">
        <v>306</v>
      </c>
      <c r="D107" s="8"/>
      <c r="E107" s="8"/>
      <c r="F107" s="8"/>
      <c r="G107" s="35" t="s">
        <v>14</v>
      </c>
      <c r="H107" s="23"/>
      <c r="I107" s="38">
        <v>1</v>
      </c>
      <c r="J107" s="9"/>
      <c r="K107" s="9"/>
      <c r="L107" s="9"/>
      <c r="M107" s="29"/>
      <c r="N107" s="10"/>
      <c r="O107" s="10"/>
      <c r="P107" s="54"/>
    </row>
    <row r="108" spans="1:19" ht="210">
      <c r="A108" s="39">
        <v>33</v>
      </c>
      <c r="B108" s="39"/>
      <c r="C108" s="27" t="s">
        <v>307</v>
      </c>
      <c r="D108" s="8"/>
      <c r="E108" s="8"/>
      <c r="F108" s="8"/>
      <c r="G108" s="35" t="s">
        <v>14</v>
      </c>
      <c r="H108" s="23"/>
      <c r="I108" s="38">
        <v>1</v>
      </c>
      <c r="J108" s="9"/>
      <c r="K108" s="9"/>
      <c r="L108" s="9"/>
      <c r="M108" s="29"/>
      <c r="N108" s="10"/>
      <c r="O108" s="10"/>
      <c r="P108" s="54"/>
    </row>
    <row r="109" spans="1:19" ht="210">
      <c r="A109" s="39">
        <v>34</v>
      </c>
      <c r="B109" s="39"/>
      <c r="C109" s="27" t="s">
        <v>308</v>
      </c>
      <c r="D109" s="8"/>
      <c r="E109" s="8"/>
      <c r="F109" s="8"/>
      <c r="G109" s="35" t="s">
        <v>14</v>
      </c>
      <c r="H109" s="23"/>
      <c r="I109" s="38">
        <v>1</v>
      </c>
      <c r="J109" s="9"/>
      <c r="K109" s="9"/>
      <c r="L109" s="9"/>
      <c r="M109" s="29"/>
      <c r="N109" s="10"/>
      <c r="O109" s="10"/>
      <c r="P109" s="54"/>
    </row>
    <row r="110" spans="1:19" ht="30">
      <c r="A110" s="39">
        <v>35</v>
      </c>
      <c r="B110" s="39"/>
      <c r="C110" s="27" t="s">
        <v>238</v>
      </c>
      <c r="D110" s="8"/>
      <c r="E110" s="8"/>
      <c r="F110" s="8"/>
      <c r="G110" s="35" t="s">
        <v>14</v>
      </c>
      <c r="H110" s="23"/>
      <c r="I110" s="38">
        <v>16</v>
      </c>
      <c r="J110" s="9"/>
      <c r="K110" s="9"/>
      <c r="L110" s="9"/>
      <c r="M110" s="29"/>
      <c r="N110" s="10"/>
      <c r="O110" s="10"/>
      <c r="P110" s="54"/>
    </row>
    <row r="111" spans="1:19" ht="30">
      <c r="A111" s="39">
        <v>36</v>
      </c>
      <c r="B111" s="39"/>
      <c r="C111" s="27" t="s">
        <v>239</v>
      </c>
      <c r="D111" s="8"/>
      <c r="E111" s="8"/>
      <c r="F111" s="8"/>
      <c r="G111" s="35" t="s">
        <v>14</v>
      </c>
      <c r="H111" s="23"/>
      <c r="I111" s="38">
        <v>8</v>
      </c>
      <c r="J111" s="9"/>
      <c r="K111" s="9"/>
      <c r="L111" s="9"/>
      <c r="M111" s="29"/>
      <c r="N111" s="10"/>
      <c r="O111" s="10"/>
      <c r="P111" s="54"/>
    </row>
    <row r="112" spans="1:19" ht="18.75">
      <c r="A112" s="69" t="s">
        <v>96</v>
      </c>
      <c r="B112" s="70"/>
      <c r="C112" s="70"/>
      <c r="D112" s="70"/>
      <c r="E112" s="70"/>
      <c r="F112" s="70"/>
      <c r="G112" s="70"/>
      <c r="H112" s="70"/>
      <c r="I112" s="70"/>
      <c r="J112" s="70"/>
      <c r="K112" s="70"/>
      <c r="L112" s="70"/>
      <c r="M112" s="71"/>
      <c r="N112" s="10"/>
      <c r="O112" s="10"/>
      <c r="P112" s="54"/>
    </row>
    <row r="113" spans="1:16">
      <c r="A113" s="72" t="s">
        <v>95</v>
      </c>
      <c r="B113" s="73"/>
      <c r="C113" s="73"/>
      <c r="D113" s="73"/>
      <c r="E113" s="73"/>
      <c r="F113" s="73"/>
      <c r="G113" s="73"/>
      <c r="H113" s="73"/>
      <c r="I113" s="73"/>
      <c r="J113" s="73"/>
      <c r="K113" s="73"/>
      <c r="L113" s="73"/>
      <c r="M113" s="74"/>
      <c r="N113" s="10"/>
      <c r="O113" s="10"/>
      <c r="P113" s="54"/>
    </row>
    <row r="114" spans="1:16" ht="45">
      <c r="A114" s="39">
        <v>1</v>
      </c>
      <c r="B114" s="39"/>
      <c r="C114" s="27" t="s">
        <v>112</v>
      </c>
      <c r="D114" s="8"/>
      <c r="E114" s="8"/>
      <c r="F114" s="8"/>
      <c r="G114" s="35" t="s">
        <v>30</v>
      </c>
      <c r="H114" s="23"/>
      <c r="I114" s="46">
        <f>4.35+2+2.175+2+2.957+2+6.916+2.139+2.593+1.388+5.7+1.244+1.972+14.061+9.363+4.072+4.072+7.222+1.175+1.997+2.216+1.105+9.202+5.463+0.989+1.603+9.118+1.565+8.424+2.245+0.647+0.909+2.577+2.146+1.206+2.177+2.177+16+0.835+7.27+0.7+0.992+2.599+4.495+4.332+0.5+2</f>
        <v>172.88799999999998</v>
      </c>
      <c r="J114" s="9"/>
      <c r="K114" s="9"/>
      <c r="L114" s="9"/>
      <c r="M114" s="29"/>
      <c r="N114" s="10"/>
      <c r="O114" s="10"/>
      <c r="P114" s="54"/>
    </row>
    <row r="115" spans="1:16" ht="45">
      <c r="A115" s="39">
        <v>2</v>
      </c>
      <c r="B115" s="39"/>
      <c r="C115" s="27" t="s">
        <v>113</v>
      </c>
      <c r="D115" s="8"/>
      <c r="E115" s="8"/>
      <c r="F115" s="8"/>
      <c r="G115" s="35" t="s">
        <v>30</v>
      </c>
      <c r="H115" s="23"/>
      <c r="I115" s="46">
        <f>2+0.461+2.695+5.494+2.891+1.329+3.273+6.044+0.934+0.463+0.47+4.847+2.697+2.134+6.191+3.06+0.68+1.204+2.307+1.234+6.821+0.878+1.937+6.799+8.135+1.613+1.732+3.197+3.354+1.504+1.089+1.703</f>
        <v>89.17000000000003</v>
      </c>
      <c r="J115" s="9"/>
      <c r="K115" s="9"/>
      <c r="L115" s="9"/>
      <c r="M115" s="29"/>
      <c r="N115" s="10"/>
      <c r="O115" s="10"/>
      <c r="P115" s="54"/>
    </row>
    <row r="116" spans="1:16" ht="45">
      <c r="A116" s="39">
        <v>3</v>
      </c>
      <c r="B116" s="39"/>
      <c r="C116" s="27" t="s">
        <v>114</v>
      </c>
      <c r="D116" s="8"/>
      <c r="E116" s="8"/>
      <c r="F116" s="8"/>
      <c r="G116" s="35" t="s">
        <v>30</v>
      </c>
      <c r="H116" s="23"/>
      <c r="I116" s="46">
        <f>4.35+2+2.175+2+2.957+2+6.916+2.139+2.593+1.388+5.7+1.244+1.972+14.061+9.363+4.072+4.072+7.222+1.175+1.997+2.216+1.105+9.202+5.463+0.989+1.603+9.118+1.565+8.424+2.245+0.647+0.909+2.577+2.146+1.206+2.177+2.177+16+0.835+7.27+0.7+0.992+2.599+4.495+4.332+0.5+2+4+8+25</f>
        <v>209.88799999999998</v>
      </c>
      <c r="J116" s="9"/>
      <c r="K116" s="9"/>
      <c r="L116" s="9"/>
      <c r="M116" s="29"/>
      <c r="N116" s="10"/>
      <c r="O116" s="10"/>
      <c r="P116" s="54"/>
    </row>
    <row r="117" spans="1:16" ht="45">
      <c r="A117" s="39">
        <v>4</v>
      </c>
      <c r="B117" s="39"/>
      <c r="C117" s="27" t="s">
        <v>115</v>
      </c>
      <c r="D117" s="8"/>
      <c r="E117" s="8"/>
      <c r="F117" s="8"/>
      <c r="G117" s="35" t="s">
        <v>30</v>
      </c>
      <c r="H117" s="23"/>
      <c r="I117" s="46">
        <f>0.461+2.695+5.494+1.329+3.273+0.463+0.47+4.847+2.697+2.134+1.676+1.067+4.936+2+8+20</f>
        <v>61.542000000000002</v>
      </c>
      <c r="J117" s="9"/>
      <c r="K117" s="9"/>
      <c r="L117" s="9"/>
      <c r="M117" s="29"/>
      <c r="N117" s="10"/>
      <c r="O117" s="10"/>
      <c r="P117" s="54"/>
    </row>
    <row r="118" spans="1:16" ht="45">
      <c r="A118" s="39">
        <v>5</v>
      </c>
      <c r="B118" s="39"/>
      <c r="C118" s="27" t="s">
        <v>116</v>
      </c>
      <c r="D118" s="8"/>
      <c r="E118" s="8"/>
      <c r="F118" s="8"/>
      <c r="G118" s="35" t="s">
        <v>30</v>
      </c>
      <c r="H118" s="23"/>
      <c r="I118" s="46">
        <f>2+6.044+0.934+6.191+3.06+0.68+1.204+2.307+8.135+1.613+1.732+3.197+3.354+1.504+1.089+1.703</f>
        <v>44.747</v>
      </c>
      <c r="J118" s="9"/>
      <c r="K118" s="9"/>
      <c r="L118" s="9"/>
      <c r="M118" s="29"/>
      <c r="N118" s="10"/>
      <c r="O118" s="10"/>
      <c r="P118" s="54"/>
    </row>
    <row r="119" spans="1:16" ht="45">
      <c r="A119" s="39">
        <v>6</v>
      </c>
      <c r="B119" s="39"/>
      <c r="C119" s="27" t="s">
        <v>117</v>
      </c>
      <c r="D119" s="8"/>
      <c r="E119" s="8"/>
      <c r="F119" s="8"/>
      <c r="G119" s="35" t="s">
        <v>30</v>
      </c>
      <c r="H119" s="23"/>
      <c r="I119" s="46">
        <f>1.234+6.821+0.878+2</f>
        <v>10.933</v>
      </c>
      <c r="J119" s="9"/>
      <c r="K119" s="9"/>
      <c r="L119" s="9"/>
      <c r="M119" s="29"/>
      <c r="N119" s="10"/>
      <c r="O119" s="10"/>
      <c r="P119" s="54"/>
    </row>
    <row r="120" spans="1:16" ht="45">
      <c r="A120" s="39">
        <v>7</v>
      </c>
      <c r="B120" s="39"/>
      <c r="C120" s="27" t="s">
        <v>120</v>
      </c>
      <c r="D120" s="8"/>
      <c r="E120" s="8"/>
      <c r="F120" s="8"/>
      <c r="G120" s="35" t="s">
        <v>30</v>
      </c>
      <c r="H120" s="23"/>
      <c r="I120" s="46">
        <f>1.937+6.799+2+9+25</f>
        <v>44.736000000000004</v>
      </c>
      <c r="J120" s="9"/>
      <c r="K120" s="9"/>
      <c r="L120" s="9"/>
      <c r="M120" s="29"/>
      <c r="N120" s="10"/>
      <c r="O120" s="10"/>
      <c r="P120" s="54"/>
    </row>
    <row r="121" spans="1:16" ht="45">
      <c r="A121" s="39">
        <v>8</v>
      </c>
      <c r="B121" s="39"/>
      <c r="C121" s="27" t="s">
        <v>118</v>
      </c>
      <c r="D121" s="8"/>
      <c r="E121" s="8"/>
      <c r="F121" s="8"/>
      <c r="G121" s="35" t="s">
        <v>30</v>
      </c>
      <c r="H121" s="23"/>
      <c r="I121" s="46">
        <f>1.676+1.067+4.936+2+8+20</f>
        <v>37.679000000000002</v>
      </c>
      <c r="J121" s="9"/>
      <c r="K121" s="9"/>
      <c r="L121" s="9"/>
      <c r="M121" s="29"/>
      <c r="N121" s="10"/>
      <c r="O121" s="10"/>
      <c r="P121" s="54"/>
    </row>
    <row r="122" spans="1:16">
      <c r="A122" s="39">
        <v>9</v>
      </c>
      <c r="B122" s="39"/>
      <c r="C122" s="27" t="s">
        <v>107</v>
      </c>
      <c r="D122" s="8"/>
      <c r="E122" s="8"/>
      <c r="F122" s="8"/>
      <c r="G122" s="35" t="s">
        <v>14</v>
      </c>
      <c r="H122" s="23"/>
      <c r="I122" s="38">
        <v>40</v>
      </c>
      <c r="J122" s="9"/>
      <c r="K122" s="9"/>
      <c r="L122" s="9"/>
      <c r="M122" s="29"/>
      <c r="N122" s="10"/>
      <c r="O122" s="10"/>
      <c r="P122" s="54"/>
    </row>
    <row r="123" spans="1:16">
      <c r="A123" s="39">
        <v>10</v>
      </c>
      <c r="B123" s="39"/>
      <c r="C123" s="27" t="s">
        <v>108</v>
      </c>
      <c r="D123" s="8"/>
      <c r="E123" s="8"/>
      <c r="F123" s="8"/>
      <c r="G123" s="35" t="s">
        <v>14</v>
      </c>
      <c r="H123" s="23"/>
      <c r="I123" s="38">
        <v>45</v>
      </c>
      <c r="J123" s="9"/>
      <c r="K123" s="9"/>
      <c r="L123" s="9"/>
      <c r="M123" s="29"/>
      <c r="N123" s="10"/>
      <c r="O123" s="10"/>
      <c r="P123" s="54"/>
    </row>
    <row r="124" spans="1:16">
      <c r="A124" s="39">
        <v>11</v>
      </c>
      <c r="B124" s="39"/>
      <c r="C124" s="27" t="s">
        <v>119</v>
      </c>
      <c r="D124" s="8"/>
      <c r="E124" s="8"/>
      <c r="F124" s="8"/>
      <c r="G124" s="35" t="s">
        <v>33</v>
      </c>
      <c r="H124" s="23"/>
      <c r="I124" s="38">
        <v>11</v>
      </c>
      <c r="J124" s="9"/>
      <c r="K124" s="9"/>
      <c r="L124" s="9"/>
      <c r="M124" s="29"/>
      <c r="N124" s="10"/>
      <c r="O124" s="10"/>
      <c r="P124" s="54"/>
    </row>
    <row r="125" spans="1:16" ht="30">
      <c r="A125" s="39">
        <v>12</v>
      </c>
      <c r="B125" s="39"/>
      <c r="C125" s="27" t="s">
        <v>122</v>
      </c>
      <c r="D125" s="8"/>
      <c r="E125" s="8"/>
      <c r="F125" s="8"/>
      <c r="G125" s="35" t="s">
        <v>14</v>
      </c>
      <c r="H125" s="23"/>
      <c r="I125" s="38">
        <v>64</v>
      </c>
      <c r="J125" s="9"/>
      <c r="K125" s="9"/>
      <c r="L125" s="9"/>
      <c r="M125" s="29"/>
      <c r="N125" s="10"/>
      <c r="O125" s="10"/>
      <c r="P125" s="54"/>
    </row>
    <row r="126" spans="1:16" ht="45">
      <c r="A126" s="39">
        <v>13</v>
      </c>
      <c r="B126" s="39"/>
      <c r="C126" s="27" t="s">
        <v>109</v>
      </c>
      <c r="D126" s="8"/>
      <c r="E126" s="8"/>
      <c r="F126" s="8"/>
      <c r="G126" s="35" t="s">
        <v>30</v>
      </c>
      <c r="H126" s="23"/>
      <c r="I126" s="46">
        <f>SUM(I114:I121)</f>
        <v>671.58299999999986</v>
      </c>
      <c r="J126" s="9"/>
      <c r="K126" s="9"/>
      <c r="L126" s="9"/>
      <c r="M126" s="29"/>
      <c r="N126" s="10"/>
      <c r="O126" s="10"/>
      <c r="P126" s="54"/>
    </row>
    <row r="127" spans="1:16">
      <c r="A127" s="39">
        <v>14</v>
      </c>
      <c r="B127" s="39"/>
      <c r="C127" s="27" t="s">
        <v>110</v>
      </c>
      <c r="D127" s="8"/>
      <c r="E127" s="8"/>
      <c r="F127" s="8"/>
      <c r="G127" s="35" t="s">
        <v>30</v>
      </c>
      <c r="H127" s="23"/>
      <c r="I127" s="46">
        <f>I126</f>
        <v>671.58299999999986</v>
      </c>
      <c r="J127" s="9"/>
      <c r="K127" s="9"/>
      <c r="L127" s="9"/>
      <c r="M127" s="29"/>
      <c r="N127" s="10"/>
      <c r="O127" s="10"/>
      <c r="P127" s="54"/>
    </row>
    <row r="128" spans="1:16">
      <c r="A128" s="39">
        <v>15</v>
      </c>
      <c r="B128" s="39"/>
      <c r="C128" s="27" t="s">
        <v>111</v>
      </c>
      <c r="D128" s="8"/>
      <c r="E128" s="8"/>
      <c r="F128" s="8"/>
      <c r="G128" s="35" t="s">
        <v>31</v>
      </c>
      <c r="H128" s="23"/>
      <c r="I128" s="38">
        <v>1</v>
      </c>
      <c r="J128" s="9"/>
      <c r="K128" s="9"/>
      <c r="L128" s="9"/>
      <c r="M128" s="29"/>
      <c r="N128" s="10"/>
      <c r="O128" s="10"/>
      <c r="P128" s="54"/>
    </row>
    <row r="129" spans="1:16" ht="60">
      <c r="A129" s="39">
        <v>16</v>
      </c>
      <c r="B129" s="39"/>
      <c r="C129" s="27" t="s">
        <v>106</v>
      </c>
      <c r="D129" s="8"/>
      <c r="E129" s="8"/>
      <c r="F129" s="8"/>
      <c r="G129" s="35" t="s">
        <v>14</v>
      </c>
      <c r="H129" s="23"/>
      <c r="I129" s="38">
        <v>17</v>
      </c>
      <c r="J129" s="9"/>
      <c r="K129" s="9"/>
      <c r="L129" s="9"/>
      <c r="M129" s="28"/>
    </row>
    <row r="130" spans="1:16" ht="60">
      <c r="A130" s="39">
        <v>17</v>
      </c>
      <c r="B130" s="39"/>
      <c r="C130" s="27" t="s">
        <v>243</v>
      </c>
      <c r="D130" s="8"/>
      <c r="E130" s="8"/>
      <c r="F130" s="8"/>
      <c r="G130" s="35" t="s">
        <v>14</v>
      </c>
      <c r="H130" s="23"/>
      <c r="I130" s="38">
        <v>17</v>
      </c>
      <c r="J130" s="9"/>
      <c r="K130" s="9"/>
      <c r="L130" s="9"/>
      <c r="M130" s="28"/>
    </row>
    <row r="131" spans="1:16" ht="180">
      <c r="A131" s="39">
        <v>18</v>
      </c>
      <c r="B131" s="39"/>
      <c r="C131" s="27" t="s">
        <v>244</v>
      </c>
      <c r="D131" s="8"/>
      <c r="E131" s="8"/>
      <c r="F131" s="8"/>
      <c r="G131" s="35" t="s">
        <v>32</v>
      </c>
      <c r="H131" s="23"/>
      <c r="I131" s="38">
        <f>16+1.4+0.4</f>
        <v>17.799999999999997</v>
      </c>
      <c r="J131" s="9"/>
      <c r="K131" s="9"/>
      <c r="L131" s="9"/>
      <c r="M131" s="28"/>
    </row>
    <row r="132" spans="1:16" ht="135">
      <c r="A132" s="39">
        <v>19</v>
      </c>
      <c r="B132" s="39"/>
      <c r="C132" s="27" t="s">
        <v>35</v>
      </c>
      <c r="D132" s="8"/>
      <c r="E132" s="8"/>
      <c r="F132" s="8"/>
      <c r="G132" s="35" t="s">
        <v>32</v>
      </c>
      <c r="H132" s="23"/>
      <c r="I132" s="38">
        <f>1.2+0.1+13.9</f>
        <v>15.200000000000001</v>
      </c>
      <c r="J132" s="9"/>
      <c r="K132" s="9"/>
      <c r="L132" s="9"/>
      <c r="M132" s="28"/>
    </row>
    <row r="133" spans="1:16" ht="18.75">
      <c r="A133" s="63" t="s">
        <v>123</v>
      </c>
      <c r="B133" s="64"/>
      <c r="C133" s="64"/>
      <c r="D133" s="64"/>
      <c r="E133" s="64"/>
      <c r="F133" s="64"/>
      <c r="G133" s="64"/>
      <c r="H133" s="64"/>
      <c r="I133" s="64"/>
      <c r="J133" s="64"/>
      <c r="K133" s="64"/>
      <c r="L133" s="64"/>
      <c r="M133" s="65"/>
      <c r="N133" s="10"/>
      <c r="O133" s="10"/>
      <c r="P133" s="54"/>
    </row>
    <row r="134" spans="1:16">
      <c r="A134" s="66" t="s">
        <v>124</v>
      </c>
      <c r="B134" s="67"/>
      <c r="C134" s="67"/>
      <c r="D134" s="67"/>
      <c r="E134" s="67"/>
      <c r="F134" s="67"/>
      <c r="G134" s="67"/>
      <c r="H134" s="67"/>
      <c r="I134" s="67"/>
      <c r="J134" s="67"/>
      <c r="K134" s="67"/>
      <c r="L134" s="67"/>
      <c r="M134" s="68"/>
      <c r="N134" s="10"/>
      <c r="O134" s="10"/>
      <c r="P134" s="54"/>
    </row>
    <row r="135" spans="1:16" ht="75">
      <c r="A135" s="39">
        <v>1</v>
      </c>
      <c r="B135" s="39"/>
      <c r="C135" s="27" t="s">
        <v>125</v>
      </c>
      <c r="D135" s="8"/>
      <c r="E135" s="8"/>
      <c r="F135" s="8"/>
      <c r="G135" s="35" t="s">
        <v>30</v>
      </c>
      <c r="H135" s="23"/>
      <c r="I135" s="38">
        <v>6</v>
      </c>
      <c r="J135" s="9"/>
      <c r="K135" s="9"/>
      <c r="L135" s="9"/>
      <c r="M135" s="29"/>
      <c r="N135" s="10"/>
      <c r="O135" s="10"/>
      <c r="P135" s="54"/>
    </row>
    <row r="136" spans="1:16" ht="90">
      <c r="A136" s="39">
        <v>2</v>
      </c>
      <c r="B136" s="39"/>
      <c r="C136" s="27" t="s">
        <v>143</v>
      </c>
      <c r="D136" s="8"/>
      <c r="E136" s="8"/>
      <c r="F136" s="8"/>
      <c r="G136" s="35" t="s">
        <v>30</v>
      </c>
      <c r="H136" s="23"/>
      <c r="I136" s="38">
        <v>57</v>
      </c>
      <c r="J136" s="9"/>
      <c r="K136" s="9"/>
      <c r="L136" s="9"/>
      <c r="M136" s="29"/>
      <c r="N136" s="10"/>
      <c r="O136" s="10"/>
      <c r="P136" s="54"/>
    </row>
    <row r="137" spans="1:16" ht="90">
      <c r="A137" s="39">
        <v>3</v>
      </c>
      <c r="B137" s="39"/>
      <c r="C137" s="27" t="s">
        <v>144</v>
      </c>
      <c r="D137" s="8"/>
      <c r="E137" s="8"/>
      <c r="F137" s="8"/>
      <c r="G137" s="35" t="s">
        <v>30</v>
      </c>
      <c r="H137" s="23"/>
      <c r="I137" s="38">
        <v>2</v>
      </c>
      <c r="J137" s="9"/>
      <c r="K137" s="9"/>
      <c r="L137" s="9"/>
      <c r="M137" s="29"/>
      <c r="N137" s="10"/>
      <c r="O137" s="10"/>
      <c r="P137" s="54"/>
    </row>
    <row r="138" spans="1:16" ht="90">
      <c r="A138" s="39">
        <v>4</v>
      </c>
      <c r="B138" s="39"/>
      <c r="C138" s="27" t="s">
        <v>145</v>
      </c>
      <c r="D138" s="8"/>
      <c r="E138" s="8"/>
      <c r="F138" s="8"/>
      <c r="G138" s="35" t="s">
        <v>30</v>
      </c>
      <c r="H138" s="23"/>
      <c r="I138" s="38">
        <v>42</v>
      </c>
      <c r="J138" s="9"/>
      <c r="K138" s="9"/>
      <c r="L138" s="9"/>
      <c r="M138" s="29"/>
      <c r="N138" s="10"/>
      <c r="O138" s="10"/>
      <c r="P138" s="54"/>
    </row>
    <row r="139" spans="1:16" ht="90">
      <c r="A139" s="39">
        <v>5</v>
      </c>
      <c r="B139" s="39"/>
      <c r="C139" s="27" t="s">
        <v>146</v>
      </c>
      <c r="D139" s="8"/>
      <c r="E139" s="8"/>
      <c r="F139" s="8"/>
      <c r="G139" s="35" t="s">
        <v>30</v>
      </c>
      <c r="H139" s="23"/>
      <c r="I139" s="38">
        <v>2</v>
      </c>
      <c r="J139" s="9"/>
      <c r="K139" s="9"/>
      <c r="L139" s="9"/>
      <c r="M139" s="29"/>
      <c r="N139" s="10"/>
      <c r="O139" s="10"/>
      <c r="P139" s="54"/>
    </row>
    <row r="140" spans="1:16" ht="90">
      <c r="A140" s="39">
        <v>6</v>
      </c>
      <c r="B140" s="39"/>
      <c r="C140" s="27" t="s">
        <v>147</v>
      </c>
      <c r="D140" s="8"/>
      <c r="E140" s="8"/>
      <c r="F140" s="8"/>
      <c r="G140" s="35" t="s">
        <v>30</v>
      </c>
      <c r="H140" s="23"/>
      <c r="I140" s="38">
        <v>4</v>
      </c>
      <c r="J140" s="9"/>
      <c r="K140" s="9"/>
      <c r="L140" s="9"/>
      <c r="M140" s="29"/>
      <c r="N140" s="10"/>
      <c r="O140" s="10"/>
      <c r="P140" s="54"/>
    </row>
    <row r="141" spans="1:16" ht="90">
      <c r="A141" s="39">
        <v>7</v>
      </c>
      <c r="B141" s="39"/>
      <c r="C141" s="27" t="s">
        <v>148</v>
      </c>
      <c r="D141" s="8"/>
      <c r="E141" s="8"/>
      <c r="F141" s="8"/>
      <c r="G141" s="35" t="s">
        <v>30</v>
      </c>
      <c r="H141" s="23"/>
      <c r="I141" s="38">
        <v>10</v>
      </c>
      <c r="J141" s="9"/>
      <c r="K141" s="9"/>
      <c r="L141" s="9"/>
      <c r="M141" s="29"/>
      <c r="N141" s="10"/>
      <c r="O141" s="10"/>
      <c r="P141" s="54"/>
    </row>
    <row r="142" spans="1:16" ht="135">
      <c r="A142" s="39">
        <v>8</v>
      </c>
      <c r="B142" s="39"/>
      <c r="C142" s="27" t="s">
        <v>251</v>
      </c>
      <c r="D142" s="8"/>
      <c r="E142" s="8"/>
      <c r="F142" s="8"/>
      <c r="G142" s="35" t="s">
        <v>32</v>
      </c>
      <c r="H142" s="23"/>
      <c r="I142" s="38">
        <f>0.3+0.2+0.2+0.3+2.5+1.2+0.1+0.2</f>
        <v>5</v>
      </c>
      <c r="J142" s="9"/>
      <c r="K142" s="9"/>
      <c r="L142" s="9"/>
      <c r="M142" s="29"/>
      <c r="N142" s="10"/>
      <c r="O142" s="10"/>
      <c r="P142" s="54"/>
    </row>
    <row r="143" spans="1:16" ht="180">
      <c r="A143" s="39">
        <v>9</v>
      </c>
      <c r="B143" s="39"/>
      <c r="C143" s="27" t="s">
        <v>149</v>
      </c>
      <c r="D143" s="8"/>
      <c r="E143" s="8"/>
      <c r="F143" s="8"/>
      <c r="G143" s="35" t="s">
        <v>32</v>
      </c>
      <c r="H143" s="23"/>
      <c r="I143" s="38">
        <v>0.4</v>
      </c>
      <c r="J143" s="9"/>
      <c r="K143" s="9"/>
      <c r="L143" s="9"/>
      <c r="M143" s="29"/>
      <c r="N143" s="10"/>
      <c r="O143" s="10"/>
      <c r="P143" s="54"/>
    </row>
    <row r="144" spans="1:16" ht="180">
      <c r="A144" s="39">
        <v>10</v>
      </c>
      <c r="B144" s="39"/>
      <c r="C144" s="27" t="s">
        <v>252</v>
      </c>
      <c r="D144" s="8"/>
      <c r="E144" s="8"/>
      <c r="F144" s="8"/>
      <c r="G144" s="35" t="s">
        <v>32</v>
      </c>
      <c r="H144" s="23"/>
      <c r="I144" s="38">
        <v>1</v>
      </c>
      <c r="J144" s="9"/>
      <c r="K144" s="9"/>
      <c r="L144" s="9"/>
      <c r="M144" s="29"/>
      <c r="N144" s="10"/>
      <c r="O144" s="10"/>
      <c r="P144" s="54"/>
    </row>
    <row r="145" spans="1:16" ht="180">
      <c r="A145" s="39">
        <v>11</v>
      </c>
      <c r="B145" s="39"/>
      <c r="C145" s="27" t="s">
        <v>150</v>
      </c>
      <c r="D145" s="8"/>
      <c r="E145" s="8"/>
      <c r="F145" s="8"/>
      <c r="G145" s="35" t="s">
        <v>32</v>
      </c>
      <c r="H145" s="23"/>
      <c r="I145" s="38">
        <v>1.4</v>
      </c>
      <c r="J145" s="9"/>
      <c r="K145" s="9"/>
      <c r="L145" s="9"/>
      <c r="M145" s="29"/>
      <c r="N145" s="10"/>
      <c r="O145" s="10"/>
      <c r="P145" s="54"/>
    </row>
    <row r="146" spans="1:16" ht="180">
      <c r="A146" s="39">
        <v>12</v>
      </c>
      <c r="B146" s="39"/>
      <c r="C146" s="27" t="s">
        <v>253</v>
      </c>
      <c r="D146" s="8"/>
      <c r="E146" s="8"/>
      <c r="F146" s="8"/>
      <c r="G146" s="35" t="s">
        <v>32</v>
      </c>
      <c r="H146" s="23"/>
      <c r="I146" s="38">
        <v>5.4</v>
      </c>
      <c r="J146" s="9"/>
      <c r="K146" s="9"/>
      <c r="L146" s="9"/>
      <c r="M146" s="29"/>
      <c r="N146" s="10"/>
      <c r="O146" s="10"/>
      <c r="P146" s="54"/>
    </row>
    <row r="147" spans="1:16" ht="180">
      <c r="A147" s="39">
        <v>13</v>
      </c>
      <c r="B147" s="39"/>
      <c r="C147" s="27" t="s">
        <v>151</v>
      </c>
      <c r="D147" s="8"/>
      <c r="E147" s="8"/>
      <c r="F147" s="8"/>
      <c r="G147" s="35" t="s">
        <v>32</v>
      </c>
      <c r="H147" s="23"/>
      <c r="I147" s="38">
        <v>3</v>
      </c>
      <c r="J147" s="9"/>
      <c r="K147" s="9"/>
      <c r="L147" s="9"/>
      <c r="M147" s="29"/>
      <c r="N147" s="10"/>
      <c r="O147" s="10"/>
      <c r="P147" s="54"/>
    </row>
    <row r="148" spans="1:16" ht="180">
      <c r="A148" s="39">
        <v>14</v>
      </c>
      <c r="B148" s="39"/>
      <c r="C148" s="27" t="s">
        <v>254</v>
      </c>
      <c r="D148" s="8"/>
      <c r="E148" s="8"/>
      <c r="F148" s="8"/>
      <c r="G148" s="35" t="s">
        <v>32</v>
      </c>
      <c r="H148" s="23"/>
      <c r="I148" s="38">
        <v>9.4</v>
      </c>
      <c r="J148" s="9"/>
      <c r="K148" s="9"/>
      <c r="L148" s="9"/>
      <c r="M148" s="29"/>
      <c r="N148" s="10"/>
      <c r="O148" s="10"/>
      <c r="P148" s="54"/>
    </row>
    <row r="149" spans="1:16" ht="180">
      <c r="A149" s="39">
        <v>15</v>
      </c>
      <c r="B149" s="39"/>
      <c r="C149" s="27" t="s">
        <v>152</v>
      </c>
      <c r="D149" s="8"/>
      <c r="E149" s="8"/>
      <c r="F149" s="8"/>
      <c r="G149" s="35" t="s">
        <v>32</v>
      </c>
      <c r="H149" s="23"/>
      <c r="I149" s="38">
        <f>4.1-2.8</f>
        <v>1.2999999999999998</v>
      </c>
      <c r="J149" s="9"/>
      <c r="K149" s="9"/>
      <c r="L149" s="9"/>
      <c r="M149" s="29"/>
      <c r="N149" s="10"/>
      <c r="O149" s="10"/>
      <c r="P149" s="54"/>
    </row>
    <row r="150" spans="1:16" ht="180">
      <c r="A150" s="39">
        <v>16</v>
      </c>
      <c r="B150" s="39"/>
      <c r="C150" s="27" t="s">
        <v>255</v>
      </c>
      <c r="D150" s="8"/>
      <c r="E150" s="8"/>
      <c r="F150" s="8"/>
      <c r="G150" s="35" t="s">
        <v>32</v>
      </c>
      <c r="H150" s="23"/>
      <c r="I150" s="38">
        <v>2.8</v>
      </c>
      <c r="J150" s="9"/>
      <c r="K150" s="9"/>
      <c r="L150" s="9"/>
      <c r="M150" s="29"/>
      <c r="N150" s="10"/>
      <c r="O150" s="10"/>
      <c r="P150" s="54"/>
    </row>
    <row r="151" spans="1:16" ht="180">
      <c r="A151" s="39">
        <v>17</v>
      </c>
      <c r="B151" s="39"/>
      <c r="C151" s="27" t="s">
        <v>153</v>
      </c>
      <c r="D151" s="8"/>
      <c r="E151" s="8"/>
      <c r="F151" s="8"/>
      <c r="G151" s="35" t="s">
        <v>32</v>
      </c>
      <c r="H151" s="23"/>
      <c r="I151" s="38">
        <v>0.3</v>
      </c>
      <c r="J151" s="9"/>
      <c r="K151" s="9"/>
      <c r="L151" s="9"/>
      <c r="M151" s="29"/>
      <c r="N151" s="10"/>
      <c r="O151" s="10"/>
      <c r="P151" s="54"/>
    </row>
    <row r="152" spans="1:16" ht="180">
      <c r="A152" s="39">
        <v>18</v>
      </c>
      <c r="B152" s="39"/>
      <c r="C152" s="27" t="s">
        <v>256</v>
      </c>
      <c r="D152" s="8"/>
      <c r="E152" s="8"/>
      <c r="F152" s="8"/>
      <c r="G152" s="35"/>
      <c r="H152" s="23"/>
      <c r="I152" s="38">
        <v>9.1</v>
      </c>
      <c r="J152" s="9"/>
      <c r="K152" s="9"/>
      <c r="L152" s="9"/>
      <c r="M152" s="29"/>
      <c r="N152" s="10"/>
      <c r="O152" s="10"/>
      <c r="P152" s="54"/>
    </row>
    <row r="153" spans="1:16" ht="180">
      <c r="A153" s="39">
        <v>19</v>
      </c>
      <c r="B153" s="39"/>
      <c r="C153" s="27" t="s">
        <v>154</v>
      </c>
      <c r="D153" s="8"/>
      <c r="E153" s="8"/>
      <c r="F153" s="8"/>
      <c r="G153" s="35" t="s">
        <v>32</v>
      </c>
      <c r="H153" s="23"/>
      <c r="I153" s="38">
        <f>14.3-10.8</f>
        <v>3.5</v>
      </c>
      <c r="J153" s="9"/>
      <c r="K153" s="9"/>
      <c r="L153" s="9"/>
      <c r="M153" s="29"/>
      <c r="N153" s="10"/>
      <c r="O153" s="10"/>
      <c r="P153" s="54"/>
    </row>
    <row r="154" spans="1:16" ht="180">
      <c r="A154" s="39">
        <v>20</v>
      </c>
      <c r="B154" s="39"/>
      <c r="C154" s="27" t="s">
        <v>257</v>
      </c>
      <c r="D154" s="8"/>
      <c r="E154" s="8"/>
      <c r="F154" s="8"/>
      <c r="G154" s="35"/>
      <c r="H154" s="23"/>
      <c r="I154" s="38">
        <v>10.8</v>
      </c>
      <c r="J154" s="9"/>
      <c r="K154" s="9"/>
      <c r="L154" s="9"/>
      <c r="M154" s="29"/>
      <c r="N154" s="10"/>
      <c r="O154" s="10"/>
      <c r="P154" s="54"/>
    </row>
    <row r="155" spans="1:16" ht="180">
      <c r="A155" s="39">
        <v>21</v>
      </c>
      <c r="B155" s="39"/>
      <c r="C155" s="27" t="s">
        <v>155</v>
      </c>
      <c r="D155" s="8"/>
      <c r="E155" s="8"/>
      <c r="F155" s="8"/>
      <c r="G155" s="35" t="s">
        <v>32</v>
      </c>
      <c r="H155" s="23"/>
      <c r="I155" s="38">
        <f>4.2-3.7</f>
        <v>0.5</v>
      </c>
      <c r="J155" s="9"/>
      <c r="K155" s="9"/>
      <c r="L155" s="9"/>
      <c r="M155" s="29"/>
      <c r="N155" s="10"/>
      <c r="O155" s="10"/>
      <c r="P155" s="54"/>
    </row>
    <row r="156" spans="1:16" ht="180">
      <c r="A156" s="39">
        <v>22</v>
      </c>
      <c r="B156" s="39"/>
      <c r="C156" s="27" t="s">
        <v>258</v>
      </c>
      <c r="D156" s="8"/>
      <c r="E156" s="8"/>
      <c r="F156" s="8"/>
      <c r="G156" s="35" t="s">
        <v>32</v>
      </c>
      <c r="H156" s="23"/>
      <c r="I156" s="38">
        <v>3.7</v>
      </c>
      <c r="J156" s="9"/>
      <c r="K156" s="9"/>
      <c r="L156" s="9"/>
      <c r="M156" s="29"/>
      <c r="N156" s="10"/>
      <c r="O156" s="10"/>
      <c r="P156" s="54"/>
    </row>
    <row r="157" spans="1:16" ht="180">
      <c r="A157" s="39">
        <v>23</v>
      </c>
      <c r="B157" s="39"/>
      <c r="C157" s="51" t="s">
        <v>259</v>
      </c>
      <c r="D157" s="8"/>
      <c r="E157" s="8"/>
      <c r="F157" s="8"/>
      <c r="G157" s="35" t="s">
        <v>32</v>
      </c>
      <c r="H157" s="23"/>
      <c r="I157" s="38">
        <v>12.6</v>
      </c>
      <c r="J157" s="9"/>
      <c r="K157" s="9"/>
      <c r="L157" s="9"/>
      <c r="M157" s="29"/>
      <c r="N157" s="10"/>
      <c r="O157" s="10"/>
      <c r="P157" s="54"/>
    </row>
    <row r="158" spans="1:16" ht="180">
      <c r="A158" s="39">
        <v>24</v>
      </c>
      <c r="B158" s="39"/>
      <c r="C158" s="27" t="s">
        <v>260</v>
      </c>
      <c r="D158" s="8"/>
      <c r="E158" s="8"/>
      <c r="F158" s="8"/>
      <c r="G158" s="35" t="s">
        <v>32</v>
      </c>
      <c r="H158" s="23"/>
      <c r="I158" s="38">
        <v>7</v>
      </c>
      <c r="J158" s="9"/>
      <c r="K158" s="9"/>
      <c r="L158" s="9"/>
      <c r="M158" s="29"/>
      <c r="N158" s="10"/>
      <c r="O158" s="10"/>
      <c r="P158" s="54"/>
    </row>
    <row r="159" spans="1:16" ht="180">
      <c r="A159" s="39">
        <v>25</v>
      </c>
      <c r="B159" s="39"/>
      <c r="C159" s="27" t="s">
        <v>261</v>
      </c>
      <c r="D159" s="8"/>
      <c r="E159" s="8"/>
      <c r="F159" s="8"/>
      <c r="G159" s="35" t="s">
        <v>32</v>
      </c>
      <c r="H159" s="23"/>
      <c r="I159" s="38">
        <v>1.1000000000000001</v>
      </c>
      <c r="J159" s="9"/>
      <c r="K159" s="9"/>
      <c r="L159" s="9"/>
      <c r="M159" s="29"/>
      <c r="N159" s="10"/>
      <c r="O159" s="10"/>
      <c r="P159" s="54"/>
    </row>
    <row r="160" spans="1:16" ht="180">
      <c r="A160" s="39">
        <v>26</v>
      </c>
      <c r="B160" s="39"/>
      <c r="C160" s="27" t="s">
        <v>262</v>
      </c>
      <c r="D160" s="8"/>
      <c r="E160" s="8"/>
      <c r="F160" s="8"/>
      <c r="G160" s="35" t="s">
        <v>32</v>
      </c>
      <c r="H160" s="23"/>
      <c r="I160" s="38">
        <v>8.1</v>
      </c>
      <c r="J160" s="9"/>
      <c r="K160" s="9"/>
      <c r="L160" s="9"/>
      <c r="M160" s="29"/>
      <c r="N160" s="10"/>
      <c r="O160" s="10"/>
      <c r="P160" s="54"/>
    </row>
    <row r="161" spans="1:16" ht="180">
      <c r="A161" s="39">
        <v>27</v>
      </c>
      <c r="B161" s="39"/>
      <c r="C161" s="27" t="s">
        <v>156</v>
      </c>
      <c r="D161" s="8"/>
      <c r="E161" s="8"/>
      <c r="F161" s="8"/>
      <c r="G161" s="35" t="s">
        <v>32</v>
      </c>
      <c r="H161" s="23"/>
      <c r="I161" s="38">
        <f>9.3-8.1</f>
        <v>1.2000000000000011</v>
      </c>
      <c r="J161" s="9"/>
      <c r="K161" s="9"/>
      <c r="L161" s="9"/>
      <c r="M161" s="29"/>
      <c r="N161" s="10"/>
      <c r="O161" s="10"/>
      <c r="P161" s="54"/>
    </row>
    <row r="162" spans="1:16" ht="180">
      <c r="A162" s="39">
        <v>28</v>
      </c>
      <c r="B162" s="39"/>
      <c r="C162" s="27" t="s">
        <v>263</v>
      </c>
      <c r="D162" s="8"/>
      <c r="E162" s="8"/>
      <c r="F162" s="8"/>
      <c r="G162" s="35" t="s">
        <v>32</v>
      </c>
      <c r="H162" s="23"/>
      <c r="I162" s="38">
        <v>7.3</v>
      </c>
      <c r="J162" s="9"/>
      <c r="K162" s="9"/>
      <c r="L162" s="9"/>
      <c r="M162" s="29"/>
      <c r="N162" s="10"/>
      <c r="O162" s="10"/>
      <c r="P162" s="54"/>
    </row>
    <row r="163" spans="1:16" ht="180">
      <c r="A163" s="39">
        <v>29</v>
      </c>
      <c r="B163" s="39"/>
      <c r="C163" s="27" t="s">
        <v>264</v>
      </c>
      <c r="D163" s="8"/>
      <c r="E163" s="8"/>
      <c r="F163" s="8"/>
      <c r="G163" s="35" t="s">
        <v>32</v>
      </c>
      <c r="H163" s="23"/>
      <c r="I163" s="38">
        <v>10.7</v>
      </c>
      <c r="J163" s="9"/>
      <c r="K163" s="9"/>
      <c r="L163" s="9"/>
      <c r="M163" s="29"/>
      <c r="N163" s="10"/>
      <c r="O163" s="10"/>
      <c r="P163" s="54"/>
    </row>
    <row r="164" spans="1:16" ht="180">
      <c r="A164" s="39">
        <v>30</v>
      </c>
      <c r="B164" s="39"/>
      <c r="C164" s="27" t="s">
        <v>265</v>
      </c>
      <c r="D164" s="8"/>
      <c r="E164" s="8"/>
      <c r="F164" s="8"/>
      <c r="G164" s="35" t="s">
        <v>32</v>
      </c>
      <c r="H164" s="23"/>
      <c r="I164" s="38">
        <v>18.7</v>
      </c>
      <c r="J164" s="9"/>
      <c r="K164" s="9"/>
      <c r="L164" s="9"/>
      <c r="M164" s="29"/>
      <c r="N164" s="10"/>
      <c r="O164" s="10"/>
      <c r="P164" s="54"/>
    </row>
    <row r="165" spans="1:16" ht="180">
      <c r="A165" s="39">
        <v>31</v>
      </c>
      <c r="B165" s="39"/>
      <c r="C165" s="27" t="s">
        <v>157</v>
      </c>
      <c r="D165" s="8"/>
      <c r="E165" s="8"/>
      <c r="F165" s="8"/>
      <c r="G165" s="35" t="s">
        <v>32</v>
      </c>
      <c r="H165" s="23"/>
      <c r="I165" s="38">
        <v>1.3</v>
      </c>
      <c r="J165" s="9"/>
      <c r="K165" s="9"/>
      <c r="L165" s="9"/>
      <c r="M165" s="29"/>
      <c r="N165" s="10"/>
      <c r="O165" s="10"/>
      <c r="P165" s="54"/>
    </row>
    <row r="166" spans="1:16" ht="180">
      <c r="A166" s="39">
        <v>32</v>
      </c>
      <c r="B166" s="39"/>
      <c r="C166" s="27" t="s">
        <v>266</v>
      </c>
      <c r="D166" s="8"/>
      <c r="E166" s="8"/>
      <c r="F166" s="8"/>
      <c r="G166" s="35" t="s">
        <v>32</v>
      </c>
      <c r="H166" s="23"/>
      <c r="I166" s="38">
        <v>2.5</v>
      </c>
      <c r="J166" s="9"/>
      <c r="K166" s="9"/>
      <c r="L166" s="9"/>
      <c r="M166" s="29"/>
      <c r="N166" s="10"/>
      <c r="O166" s="10"/>
      <c r="P166" s="54"/>
    </row>
    <row r="167" spans="1:16" ht="180">
      <c r="A167" s="39">
        <v>33</v>
      </c>
      <c r="B167" s="39"/>
      <c r="C167" s="27" t="s">
        <v>267</v>
      </c>
      <c r="D167" s="8"/>
      <c r="E167" s="8"/>
      <c r="F167" s="8"/>
      <c r="G167" s="35" t="s">
        <v>32</v>
      </c>
      <c r="H167" s="23"/>
      <c r="I167" s="38">
        <v>5.7</v>
      </c>
      <c r="J167" s="9"/>
      <c r="K167" s="9"/>
      <c r="L167" s="9"/>
      <c r="M167" s="29"/>
      <c r="N167" s="10"/>
      <c r="O167" s="10"/>
      <c r="P167" s="54"/>
    </row>
    <row r="168" spans="1:16" ht="135">
      <c r="A168" s="39">
        <v>34</v>
      </c>
      <c r="B168" s="39"/>
      <c r="C168" s="27" t="s">
        <v>126</v>
      </c>
      <c r="D168" s="8"/>
      <c r="E168" s="8"/>
      <c r="F168" s="8"/>
      <c r="G168" s="35" t="s">
        <v>32</v>
      </c>
      <c r="H168" s="23"/>
      <c r="I168" s="38">
        <f>1+1+0.4+0.6+0.4+0.9+1.1+4+1+1.1+3.3+0.9+1+1.1+1.2+1.5+3+0.3+0.7+0.6+1+1.1+1.3+1.6+1+1.2+2.1+0.8+1.5+1.5+0.1+0.4+0.1+0.1+0.4+0.4+1.8+0.5</f>
        <v>42.000000000000007</v>
      </c>
      <c r="J168" s="9"/>
      <c r="K168" s="9"/>
      <c r="L168" s="9"/>
      <c r="M168" s="29"/>
      <c r="N168" s="10"/>
      <c r="O168" s="10"/>
      <c r="P168" s="54"/>
    </row>
    <row r="169" spans="1:16" ht="105">
      <c r="A169" s="39">
        <v>35</v>
      </c>
      <c r="B169" s="39"/>
      <c r="C169" s="51" t="s">
        <v>268</v>
      </c>
      <c r="D169" s="8"/>
      <c r="E169" s="8"/>
      <c r="F169" s="8"/>
      <c r="G169" s="35" t="s">
        <v>14</v>
      </c>
      <c r="H169" s="23"/>
      <c r="I169" s="38">
        <v>1</v>
      </c>
      <c r="J169" s="9"/>
      <c r="K169" s="9"/>
      <c r="L169" s="9"/>
      <c r="M169" s="29"/>
      <c r="N169" s="10"/>
      <c r="O169" s="10"/>
      <c r="P169" s="54"/>
    </row>
    <row r="170" spans="1:16" ht="105">
      <c r="A170" s="39">
        <v>36</v>
      </c>
      <c r="B170" s="39"/>
      <c r="C170" s="27" t="s">
        <v>269</v>
      </c>
      <c r="D170" s="8"/>
      <c r="E170" s="8"/>
      <c r="F170" s="8"/>
      <c r="G170" s="35" t="s">
        <v>14</v>
      </c>
      <c r="H170" s="23"/>
      <c r="I170" s="38">
        <v>1</v>
      </c>
      <c r="J170" s="9"/>
      <c r="K170" s="9"/>
      <c r="L170" s="9"/>
      <c r="M170" s="29"/>
      <c r="N170" s="10"/>
      <c r="O170" s="10"/>
      <c r="P170" s="54"/>
    </row>
    <row r="171" spans="1:16" ht="105">
      <c r="A171" s="39">
        <v>37</v>
      </c>
      <c r="B171" s="39"/>
      <c r="C171" s="27" t="s">
        <v>270</v>
      </c>
      <c r="D171" s="8"/>
      <c r="E171" s="8"/>
      <c r="F171" s="8"/>
      <c r="G171" s="35" t="s">
        <v>14</v>
      </c>
      <c r="H171" s="23"/>
      <c r="I171" s="38">
        <v>6</v>
      </c>
      <c r="J171" s="9"/>
      <c r="K171" s="9"/>
      <c r="L171" s="9"/>
      <c r="M171" s="29"/>
      <c r="N171" s="10"/>
      <c r="O171" s="10"/>
      <c r="P171" s="54"/>
    </row>
    <row r="172" spans="1:16" ht="90">
      <c r="A172" s="39">
        <v>38</v>
      </c>
      <c r="B172" s="39"/>
      <c r="C172" s="27" t="s">
        <v>271</v>
      </c>
      <c r="D172" s="8"/>
      <c r="E172" s="8"/>
      <c r="F172" s="8"/>
      <c r="G172" s="35" t="s">
        <v>14</v>
      </c>
      <c r="H172" s="23"/>
      <c r="I172" s="38">
        <v>1</v>
      </c>
      <c r="J172" s="9"/>
      <c r="K172" s="9"/>
      <c r="L172" s="9"/>
      <c r="M172" s="29"/>
      <c r="N172" s="10"/>
      <c r="O172" s="10"/>
      <c r="P172" s="54"/>
    </row>
    <row r="173" spans="1:16" ht="90">
      <c r="A173" s="39">
        <v>39</v>
      </c>
      <c r="B173" s="39"/>
      <c r="C173" s="27" t="s">
        <v>272</v>
      </c>
      <c r="D173" s="8"/>
      <c r="E173" s="8"/>
      <c r="F173" s="8"/>
      <c r="G173" s="35" t="s">
        <v>14</v>
      </c>
      <c r="H173" s="23"/>
      <c r="I173" s="38">
        <v>2</v>
      </c>
      <c r="J173" s="9"/>
      <c r="K173" s="9"/>
      <c r="L173" s="9"/>
      <c r="M173" s="29"/>
      <c r="N173" s="10"/>
      <c r="O173" s="10"/>
      <c r="P173" s="54"/>
    </row>
    <row r="174" spans="1:16" ht="90">
      <c r="A174" s="39">
        <v>40</v>
      </c>
      <c r="B174" s="39"/>
      <c r="C174" s="27" t="s">
        <v>273</v>
      </c>
      <c r="D174" s="8"/>
      <c r="E174" s="8"/>
      <c r="F174" s="8"/>
      <c r="G174" s="35" t="s">
        <v>14</v>
      </c>
      <c r="H174" s="23"/>
      <c r="I174" s="38">
        <v>7</v>
      </c>
      <c r="J174" s="9"/>
      <c r="K174" s="9"/>
      <c r="L174" s="9"/>
      <c r="M174" s="29"/>
      <c r="N174" s="10"/>
      <c r="O174" s="10"/>
      <c r="P174" s="54"/>
    </row>
    <row r="175" spans="1:16" ht="75">
      <c r="A175" s="39">
        <v>41</v>
      </c>
      <c r="B175" s="39"/>
      <c r="C175" s="27" t="s">
        <v>127</v>
      </c>
      <c r="D175" s="8"/>
      <c r="E175" s="8"/>
      <c r="F175" s="8"/>
      <c r="G175" s="35" t="s">
        <v>14</v>
      </c>
      <c r="H175" s="23"/>
      <c r="I175" s="38">
        <v>2</v>
      </c>
      <c r="J175" s="9"/>
      <c r="K175" s="9"/>
      <c r="L175" s="9"/>
      <c r="M175" s="29"/>
      <c r="N175" s="10"/>
      <c r="O175" s="10"/>
      <c r="P175" s="54"/>
    </row>
    <row r="176" spans="1:16" ht="120">
      <c r="A176" s="39">
        <v>42</v>
      </c>
      <c r="B176" s="39"/>
      <c r="C176" s="27" t="s">
        <v>128</v>
      </c>
      <c r="D176" s="8"/>
      <c r="E176" s="8"/>
      <c r="F176" s="8"/>
      <c r="G176" s="35" t="s">
        <v>14</v>
      </c>
      <c r="H176" s="23"/>
      <c r="I176" s="38">
        <v>26</v>
      </c>
      <c r="J176" s="9"/>
      <c r="K176" s="9"/>
      <c r="L176" s="9"/>
      <c r="M176" s="29"/>
      <c r="N176" s="10"/>
      <c r="O176" s="10"/>
      <c r="P176" s="54"/>
    </row>
    <row r="177" spans="1:16" ht="45">
      <c r="A177" s="39">
        <v>43</v>
      </c>
      <c r="B177" s="39"/>
      <c r="C177" s="27" t="s">
        <v>129</v>
      </c>
      <c r="D177" s="8"/>
      <c r="E177" s="8"/>
      <c r="F177" s="8"/>
      <c r="G177" s="35" t="s">
        <v>14</v>
      </c>
      <c r="H177" s="23"/>
      <c r="I177" s="38">
        <v>10</v>
      </c>
      <c r="J177" s="9"/>
      <c r="K177" s="9"/>
      <c r="L177" s="9"/>
      <c r="M177" s="29"/>
      <c r="N177" s="10"/>
      <c r="O177" s="10"/>
      <c r="P177" s="54"/>
    </row>
    <row r="178" spans="1:16" ht="45">
      <c r="A178" s="39">
        <v>44</v>
      </c>
      <c r="B178" s="39"/>
      <c r="C178" s="27" t="s">
        <v>130</v>
      </c>
      <c r="D178" s="8"/>
      <c r="E178" s="8"/>
      <c r="F178" s="8"/>
      <c r="G178" s="35" t="s">
        <v>14</v>
      </c>
      <c r="H178" s="23"/>
      <c r="I178" s="38">
        <v>8</v>
      </c>
      <c r="J178" s="9"/>
      <c r="K178" s="9"/>
      <c r="L178" s="9"/>
      <c r="M178" s="29"/>
      <c r="N178" s="10"/>
      <c r="O178" s="10"/>
      <c r="P178" s="54"/>
    </row>
    <row r="179" spans="1:16" ht="30">
      <c r="A179" s="39">
        <v>45</v>
      </c>
      <c r="B179" s="39"/>
      <c r="C179" s="27" t="s">
        <v>134</v>
      </c>
      <c r="D179" s="8"/>
      <c r="E179" s="8"/>
      <c r="F179" s="8"/>
      <c r="G179" s="35" t="s">
        <v>14</v>
      </c>
      <c r="H179" s="23"/>
      <c r="I179" s="38">
        <v>2</v>
      </c>
      <c r="J179" s="9"/>
      <c r="K179" s="9"/>
      <c r="L179" s="9"/>
      <c r="M179" s="29"/>
      <c r="N179" s="10"/>
      <c r="O179" s="10"/>
      <c r="P179" s="54"/>
    </row>
    <row r="180" spans="1:16" ht="30">
      <c r="A180" s="39">
        <v>46</v>
      </c>
      <c r="B180" s="39"/>
      <c r="C180" s="27" t="s">
        <v>135</v>
      </c>
      <c r="D180" s="8"/>
      <c r="E180" s="8"/>
      <c r="F180" s="8"/>
      <c r="G180" s="35" t="s">
        <v>14</v>
      </c>
      <c r="H180" s="23"/>
      <c r="I180" s="38">
        <v>1</v>
      </c>
      <c r="J180" s="9"/>
      <c r="K180" s="9"/>
      <c r="L180" s="9"/>
      <c r="M180" s="29"/>
      <c r="N180" s="10"/>
      <c r="O180" s="10"/>
      <c r="P180" s="54"/>
    </row>
    <row r="181" spans="1:16" ht="45">
      <c r="A181" s="39">
        <v>47</v>
      </c>
      <c r="B181" s="39"/>
      <c r="C181" s="27" t="s">
        <v>274</v>
      </c>
      <c r="D181" s="8"/>
      <c r="E181" s="8"/>
      <c r="F181" s="8"/>
      <c r="G181" s="35" t="s">
        <v>14</v>
      </c>
      <c r="H181" s="23"/>
      <c r="I181" s="38">
        <v>4</v>
      </c>
      <c r="J181" s="9"/>
      <c r="K181" s="9"/>
      <c r="L181" s="9"/>
      <c r="M181" s="29"/>
      <c r="N181" s="10"/>
      <c r="O181" s="10"/>
      <c r="P181" s="54"/>
    </row>
    <row r="182" spans="1:16" ht="75">
      <c r="A182" s="39">
        <v>48</v>
      </c>
      <c r="B182" s="39"/>
      <c r="C182" s="27" t="s">
        <v>275</v>
      </c>
      <c r="D182" s="8"/>
      <c r="E182" s="8"/>
      <c r="F182" s="8"/>
      <c r="G182" s="35" t="s">
        <v>14</v>
      </c>
      <c r="H182" s="23"/>
      <c r="I182" s="38">
        <v>1</v>
      </c>
      <c r="J182" s="9"/>
      <c r="K182" s="9"/>
      <c r="L182" s="9"/>
      <c r="M182" s="29"/>
      <c r="N182" s="10"/>
      <c r="O182" s="10"/>
      <c r="P182" s="54"/>
    </row>
    <row r="183" spans="1:16" ht="75">
      <c r="A183" s="39">
        <v>49</v>
      </c>
      <c r="B183" s="39"/>
      <c r="C183" s="27" t="s">
        <v>276</v>
      </c>
      <c r="D183" s="8"/>
      <c r="E183" s="8"/>
      <c r="F183" s="8"/>
      <c r="G183" s="35" t="s">
        <v>14</v>
      </c>
      <c r="H183" s="23"/>
      <c r="I183" s="38">
        <v>1</v>
      </c>
      <c r="J183" s="9"/>
      <c r="K183" s="9"/>
      <c r="L183" s="9"/>
      <c r="M183" s="29"/>
      <c r="N183" s="10"/>
      <c r="O183" s="10"/>
      <c r="P183" s="54"/>
    </row>
    <row r="184" spans="1:16" ht="75">
      <c r="A184" s="39">
        <v>50</v>
      </c>
      <c r="B184" s="39"/>
      <c r="C184" s="27" t="s">
        <v>277</v>
      </c>
      <c r="D184" s="8"/>
      <c r="E184" s="8"/>
      <c r="F184" s="8"/>
      <c r="G184" s="35" t="s">
        <v>14</v>
      </c>
      <c r="H184" s="23"/>
      <c r="I184" s="38">
        <v>1</v>
      </c>
      <c r="J184" s="9"/>
      <c r="K184" s="9"/>
      <c r="L184" s="9"/>
      <c r="M184" s="29"/>
      <c r="N184" s="10"/>
      <c r="O184" s="10"/>
      <c r="P184" s="54"/>
    </row>
    <row r="185" spans="1:16" ht="75">
      <c r="A185" s="39">
        <v>51</v>
      </c>
      <c r="B185" s="39"/>
      <c r="C185" s="27" t="s">
        <v>278</v>
      </c>
      <c r="D185" s="8"/>
      <c r="E185" s="8"/>
      <c r="F185" s="8"/>
      <c r="G185" s="35" t="s">
        <v>14</v>
      </c>
      <c r="H185" s="23"/>
      <c r="I185" s="38">
        <v>1</v>
      </c>
      <c r="J185" s="9"/>
      <c r="K185" s="9"/>
      <c r="L185" s="9"/>
      <c r="M185" s="29"/>
      <c r="N185" s="10"/>
      <c r="O185" s="10"/>
      <c r="P185" s="54"/>
    </row>
    <row r="186" spans="1:16" ht="45">
      <c r="A186" s="39">
        <v>52</v>
      </c>
      <c r="B186" s="39"/>
      <c r="C186" s="27" t="s">
        <v>279</v>
      </c>
      <c r="D186" s="8"/>
      <c r="E186" s="8"/>
      <c r="F186" s="8"/>
      <c r="G186" s="35" t="s">
        <v>14</v>
      </c>
      <c r="H186" s="23"/>
      <c r="I186" s="38">
        <v>1</v>
      </c>
      <c r="J186" s="9"/>
      <c r="K186" s="9"/>
      <c r="L186" s="9"/>
      <c r="M186" s="29"/>
      <c r="N186" s="10"/>
      <c r="O186" s="10"/>
      <c r="P186" s="54"/>
    </row>
    <row r="187" spans="1:16" ht="45">
      <c r="A187" s="39">
        <v>53</v>
      </c>
      <c r="B187" s="39"/>
      <c r="C187" s="27" t="s">
        <v>280</v>
      </c>
      <c r="D187" s="8"/>
      <c r="E187" s="8"/>
      <c r="F187" s="8"/>
      <c r="G187" s="35" t="s">
        <v>14</v>
      </c>
      <c r="H187" s="23"/>
      <c r="I187" s="38">
        <v>1</v>
      </c>
      <c r="J187" s="9"/>
      <c r="K187" s="9"/>
      <c r="L187" s="9"/>
      <c r="M187" s="29"/>
      <c r="N187" s="10"/>
      <c r="O187" s="10"/>
      <c r="P187" s="54"/>
    </row>
    <row r="188" spans="1:16" ht="45">
      <c r="A188" s="39">
        <v>54</v>
      </c>
      <c r="B188" s="39"/>
      <c r="C188" s="27" t="s">
        <v>281</v>
      </c>
      <c r="D188" s="8"/>
      <c r="E188" s="8"/>
      <c r="F188" s="8"/>
      <c r="G188" s="35" t="s">
        <v>14</v>
      </c>
      <c r="H188" s="23"/>
      <c r="I188" s="38">
        <v>3</v>
      </c>
      <c r="J188" s="9"/>
      <c r="K188" s="9"/>
      <c r="L188" s="9"/>
      <c r="M188" s="29"/>
      <c r="N188" s="10"/>
      <c r="O188" s="10"/>
      <c r="P188" s="54"/>
    </row>
    <row r="189" spans="1:16" ht="45">
      <c r="A189" s="39">
        <v>55</v>
      </c>
      <c r="B189" s="39"/>
      <c r="C189" s="27" t="s">
        <v>282</v>
      </c>
      <c r="D189" s="8"/>
      <c r="E189" s="8"/>
      <c r="F189" s="8"/>
      <c r="G189" s="35" t="s">
        <v>14</v>
      </c>
      <c r="H189" s="23"/>
      <c r="I189" s="38">
        <v>6</v>
      </c>
      <c r="J189" s="9"/>
      <c r="K189" s="9"/>
      <c r="L189" s="9"/>
      <c r="M189" s="29"/>
      <c r="N189" s="10"/>
      <c r="O189" s="10"/>
      <c r="P189" s="54"/>
    </row>
    <row r="190" spans="1:16" ht="45">
      <c r="A190" s="39">
        <v>56</v>
      </c>
      <c r="B190" s="39"/>
      <c r="C190" s="27" t="s">
        <v>139</v>
      </c>
      <c r="D190" s="8"/>
      <c r="E190" s="8"/>
      <c r="F190" s="8"/>
      <c r="G190" s="35" t="s">
        <v>14</v>
      </c>
      <c r="H190" s="23"/>
      <c r="I190" s="38">
        <v>1</v>
      </c>
      <c r="J190" s="9"/>
      <c r="K190" s="9"/>
      <c r="L190" s="9"/>
      <c r="M190" s="29"/>
      <c r="N190" s="10"/>
      <c r="O190" s="10"/>
      <c r="P190" s="54"/>
    </row>
    <row r="191" spans="1:16" ht="45">
      <c r="A191" s="39">
        <v>57</v>
      </c>
      <c r="B191" s="39"/>
      <c r="C191" s="27" t="s">
        <v>140</v>
      </c>
      <c r="D191" s="8"/>
      <c r="E191" s="8"/>
      <c r="F191" s="8"/>
      <c r="G191" s="35" t="s">
        <v>14</v>
      </c>
      <c r="H191" s="23"/>
      <c r="I191" s="38">
        <v>1</v>
      </c>
      <c r="J191" s="9"/>
      <c r="K191" s="9"/>
      <c r="L191" s="9"/>
      <c r="M191" s="29"/>
      <c r="N191" s="10"/>
      <c r="O191" s="10"/>
      <c r="P191" s="54"/>
    </row>
    <row r="192" spans="1:16" ht="45">
      <c r="A192" s="39">
        <v>58</v>
      </c>
      <c r="B192" s="39"/>
      <c r="C192" s="27" t="s">
        <v>141</v>
      </c>
      <c r="D192" s="8"/>
      <c r="E192" s="8"/>
      <c r="F192" s="8"/>
      <c r="G192" s="35" t="s">
        <v>14</v>
      </c>
      <c r="H192" s="23"/>
      <c r="I192" s="38">
        <v>4</v>
      </c>
      <c r="J192" s="9"/>
      <c r="K192" s="9"/>
      <c r="L192" s="9"/>
      <c r="M192" s="29"/>
      <c r="N192" s="10"/>
      <c r="O192" s="10"/>
      <c r="P192" s="54"/>
    </row>
    <row r="193" spans="1:16" ht="45">
      <c r="A193" s="39">
        <v>59</v>
      </c>
      <c r="B193" s="39"/>
      <c r="C193" s="27" t="s">
        <v>142</v>
      </c>
      <c r="D193" s="8"/>
      <c r="E193" s="8"/>
      <c r="F193" s="8"/>
      <c r="G193" s="35" t="s">
        <v>14</v>
      </c>
      <c r="H193" s="23"/>
      <c r="I193" s="38">
        <v>1</v>
      </c>
      <c r="J193" s="9"/>
      <c r="K193" s="9"/>
      <c r="L193" s="9"/>
      <c r="M193" s="29"/>
      <c r="N193" s="10"/>
      <c r="O193" s="10"/>
      <c r="P193" s="54"/>
    </row>
    <row r="194" spans="1:16">
      <c r="A194" s="39">
        <v>60</v>
      </c>
      <c r="B194" s="39"/>
      <c r="C194" s="27" t="s">
        <v>131</v>
      </c>
      <c r="D194" s="8"/>
      <c r="E194" s="8"/>
      <c r="F194" s="8"/>
      <c r="G194" s="35" t="s">
        <v>31</v>
      </c>
      <c r="H194" s="23"/>
      <c r="I194" s="38">
        <v>1</v>
      </c>
      <c r="J194" s="9"/>
      <c r="K194" s="9"/>
      <c r="L194" s="9"/>
      <c r="M194" s="29"/>
      <c r="N194" s="10"/>
      <c r="O194" s="10"/>
      <c r="P194" s="54"/>
    </row>
    <row r="195" spans="1:16">
      <c r="A195" s="39">
        <v>61</v>
      </c>
      <c r="B195" s="39"/>
      <c r="C195" s="26" t="s">
        <v>132</v>
      </c>
      <c r="D195" s="8"/>
      <c r="E195" s="8"/>
      <c r="F195" s="8"/>
      <c r="G195" s="35" t="s">
        <v>31</v>
      </c>
      <c r="H195" s="23"/>
      <c r="I195" s="38">
        <v>1</v>
      </c>
      <c r="J195" s="9"/>
      <c r="K195" s="9"/>
      <c r="L195" s="9"/>
      <c r="M195" s="29"/>
      <c r="N195" s="10"/>
      <c r="O195" s="10"/>
      <c r="P195" s="54"/>
    </row>
    <row r="196" spans="1:16">
      <c r="A196" s="39">
        <v>62</v>
      </c>
      <c r="B196" s="39"/>
      <c r="C196" s="26" t="s">
        <v>133</v>
      </c>
      <c r="D196" s="8"/>
      <c r="E196" s="8"/>
      <c r="F196" s="8"/>
      <c r="G196" s="35" t="s">
        <v>31</v>
      </c>
      <c r="H196" s="23"/>
      <c r="I196" s="38">
        <v>1</v>
      </c>
      <c r="J196" s="9"/>
      <c r="K196" s="9"/>
      <c r="L196" s="9"/>
      <c r="M196" s="29"/>
      <c r="N196" s="10"/>
      <c r="O196" s="10"/>
      <c r="P196" s="54"/>
    </row>
    <row r="197" spans="1:16" ht="18.75">
      <c r="A197" s="63" t="s">
        <v>136</v>
      </c>
      <c r="B197" s="64"/>
      <c r="C197" s="64"/>
      <c r="D197" s="64"/>
      <c r="E197" s="64"/>
      <c r="F197" s="64"/>
      <c r="G197" s="64"/>
      <c r="H197" s="64"/>
      <c r="I197" s="64"/>
      <c r="J197" s="64"/>
      <c r="K197" s="64"/>
      <c r="L197" s="64"/>
      <c r="M197" s="65"/>
    </row>
    <row r="198" spans="1:16">
      <c r="A198" s="66" t="s">
        <v>137</v>
      </c>
      <c r="B198" s="67"/>
      <c r="C198" s="67"/>
      <c r="D198" s="67"/>
      <c r="E198" s="67"/>
      <c r="F198" s="67"/>
      <c r="G198" s="67"/>
      <c r="H198" s="67"/>
      <c r="I198" s="67"/>
      <c r="J198" s="67"/>
      <c r="K198" s="67"/>
      <c r="L198" s="67"/>
      <c r="M198" s="68"/>
    </row>
    <row r="199" spans="1:16">
      <c r="A199" s="39">
        <v>1</v>
      </c>
      <c r="B199" s="39"/>
      <c r="C199" s="27" t="s">
        <v>173</v>
      </c>
      <c r="D199" s="8"/>
      <c r="E199" s="8"/>
      <c r="F199" s="8"/>
      <c r="G199" s="35" t="s">
        <v>14</v>
      </c>
      <c r="H199" s="23"/>
      <c r="I199" s="38">
        <v>12</v>
      </c>
      <c r="J199" s="9"/>
      <c r="K199" s="9"/>
      <c r="L199" s="9"/>
      <c r="M199" s="29"/>
      <c r="N199" s="10"/>
      <c r="O199" s="10"/>
      <c r="P199" s="54"/>
    </row>
    <row r="200" spans="1:16">
      <c r="A200" s="39">
        <v>2</v>
      </c>
      <c r="B200" s="39"/>
      <c r="C200" s="27" t="s">
        <v>174</v>
      </c>
      <c r="D200" s="8"/>
      <c r="E200" s="8"/>
      <c r="F200" s="8"/>
      <c r="G200" s="35" t="s">
        <v>14</v>
      </c>
      <c r="H200" s="23"/>
      <c r="I200" s="38">
        <v>1</v>
      </c>
      <c r="J200" s="9"/>
      <c r="K200" s="9"/>
      <c r="L200" s="9"/>
      <c r="M200" s="29"/>
      <c r="N200" s="10"/>
      <c r="O200" s="10"/>
      <c r="P200" s="54"/>
    </row>
    <row r="201" spans="1:16">
      <c r="A201" s="39">
        <v>3</v>
      </c>
      <c r="B201" s="39"/>
      <c r="C201" s="27" t="s">
        <v>175</v>
      </c>
      <c r="D201" s="8"/>
      <c r="E201" s="8"/>
      <c r="F201" s="8"/>
      <c r="G201" s="35" t="s">
        <v>14</v>
      </c>
      <c r="H201" s="23"/>
      <c r="I201" s="38">
        <v>1</v>
      </c>
      <c r="J201" s="9"/>
      <c r="K201" s="9"/>
      <c r="L201" s="9"/>
      <c r="M201" s="29"/>
      <c r="N201" s="10"/>
      <c r="O201" s="10"/>
      <c r="P201" s="54"/>
    </row>
    <row r="202" spans="1:16">
      <c r="A202" s="39">
        <v>4</v>
      </c>
      <c r="B202" s="39"/>
      <c r="C202" s="27" t="s">
        <v>176</v>
      </c>
      <c r="D202" s="8"/>
      <c r="E202" s="8"/>
      <c r="F202" s="8"/>
      <c r="G202" s="35" t="s">
        <v>14</v>
      </c>
      <c r="H202" s="23"/>
      <c r="I202" s="38">
        <v>1</v>
      </c>
      <c r="J202" s="9"/>
      <c r="K202" s="9"/>
      <c r="L202" s="9"/>
      <c r="M202" s="29"/>
      <c r="N202" s="10"/>
      <c r="O202" s="10"/>
      <c r="P202" s="54"/>
    </row>
    <row r="203" spans="1:16">
      <c r="A203" s="39">
        <v>5</v>
      </c>
      <c r="B203" s="39"/>
      <c r="C203" s="27" t="s">
        <v>177</v>
      </c>
      <c r="D203" s="8"/>
      <c r="E203" s="8"/>
      <c r="F203" s="8"/>
      <c r="G203" s="35" t="s">
        <v>14</v>
      </c>
      <c r="H203" s="23"/>
      <c r="I203" s="38">
        <v>1</v>
      </c>
      <c r="J203" s="9"/>
      <c r="K203" s="9"/>
      <c r="L203" s="9"/>
      <c r="M203" s="29"/>
      <c r="N203" s="10"/>
      <c r="O203" s="10"/>
      <c r="P203" s="54"/>
    </row>
    <row r="204" spans="1:16">
      <c r="A204" s="39">
        <v>6</v>
      </c>
      <c r="B204" s="39"/>
      <c r="C204" s="27" t="s">
        <v>178</v>
      </c>
      <c r="D204" s="8"/>
      <c r="E204" s="8"/>
      <c r="F204" s="8"/>
      <c r="G204" s="35" t="s">
        <v>14</v>
      </c>
      <c r="H204" s="23"/>
      <c r="I204" s="38">
        <v>1</v>
      </c>
      <c r="J204" s="9"/>
      <c r="K204" s="9"/>
      <c r="L204" s="9"/>
      <c r="M204" s="29"/>
      <c r="N204" s="10"/>
      <c r="O204" s="10"/>
      <c r="P204" s="54"/>
    </row>
    <row r="205" spans="1:16">
      <c r="A205" s="39">
        <v>7</v>
      </c>
      <c r="B205" s="39"/>
      <c r="C205" s="27" t="s">
        <v>179</v>
      </c>
      <c r="D205" s="8"/>
      <c r="E205" s="8"/>
      <c r="F205" s="8"/>
      <c r="G205" s="35" t="s">
        <v>31</v>
      </c>
      <c r="H205" s="23"/>
      <c r="I205" s="38">
        <v>1</v>
      </c>
      <c r="J205" s="9"/>
      <c r="K205" s="9"/>
      <c r="L205" s="9"/>
      <c r="M205" s="29"/>
      <c r="N205" s="10"/>
      <c r="O205" s="10"/>
      <c r="P205" s="54"/>
    </row>
    <row r="206" spans="1:16">
      <c r="A206" s="39">
        <v>8</v>
      </c>
      <c r="B206" s="39"/>
      <c r="C206" s="27" t="s">
        <v>180</v>
      </c>
      <c r="D206" s="8"/>
      <c r="E206" s="8"/>
      <c r="F206" s="8"/>
      <c r="G206" s="35" t="s">
        <v>14</v>
      </c>
      <c r="H206" s="23"/>
      <c r="I206" s="38">
        <v>2</v>
      </c>
      <c r="J206" s="9"/>
      <c r="K206" s="9"/>
      <c r="L206" s="9"/>
      <c r="M206" s="29"/>
      <c r="N206" s="10"/>
      <c r="O206" s="10"/>
      <c r="P206" s="54"/>
    </row>
    <row r="207" spans="1:16">
      <c r="A207" s="39">
        <v>9</v>
      </c>
      <c r="B207" s="39"/>
      <c r="C207" s="27" t="s">
        <v>283</v>
      </c>
      <c r="D207" s="8"/>
      <c r="E207" s="8"/>
      <c r="F207" s="8"/>
      <c r="G207" s="35" t="s">
        <v>14</v>
      </c>
      <c r="H207" s="23"/>
      <c r="I207" s="38">
        <v>6</v>
      </c>
      <c r="J207" s="9"/>
      <c r="K207" s="9"/>
      <c r="L207" s="9"/>
      <c r="M207" s="29"/>
      <c r="N207" s="10"/>
      <c r="O207" s="10"/>
      <c r="P207" s="54"/>
    </row>
    <row r="208" spans="1:16">
      <c r="A208" s="39">
        <v>10</v>
      </c>
      <c r="B208" s="39"/>
      <c r="C208" s="27" t="s">
        <v>181</v>
      </c>
      <c r="D208" s="8"/>
      <c r="E208" s="8"/>
      <c r="F208" s="8"/>
      <c r="G208" s="35" t="s">
        <v>14</v>
      </c>
      <c r="H208" s="23"/>
      <c r="I208" s="38">
        <v>2</v>
      </c>
      <c r="J208" s="9"/>
      <c r="K208" s="9"/>
      <c r="L208" s="9"/>
      <c r="M208" s="29"/>
      <c r="N208" s="10"/>
      <c r="O208" s="10"/>
      <c r="P208" s="54"/>
    </row>
    <row r="209" spans="1:13">
      <c r="A209" s="39">
        <v>11</v>
      </c>
      <c r="B209" s="39"/>
      <c r="C209" s="27" t="s">
        <v>182</v>
      </c>
      <c r="D209" s="8"/>
      <c r="E209" s="8"/>
      <c r="F209" s="8"/>
      <c r="G209" s="35" t="s">
        <v>14</v>
      </c>
      <c r="H209" s="23"/>
      <c r="I209" s="38">
        <v>2</v>
      </c>
      <c r="J209" s="9"/>
      <c r="K209" s="9"/>
      <c r="L209" s="9"/>
      <c r="M209" s="29"/>
    </row>
    <row r="210" spans="1:13">
      <c r="A210" s="39">
        <v>12</v>
      </c>
      <c r="B210" s="48"/>
      <c r="C210" s="27" t="s">
        <v>183</v>
      </c>
      <c r="D210" s="48"/>
      <c r="E210" s="48"/>
      <c r="F210" s="48"/>
      <c r="G210" s="35" t="s">
        <v>14</v>
      </c>
      <c r="H210" s="23"/>
      <c r="I210" s="38">
        <v>5</v>
      </c>
      <c r="J210" s="9"/>
      <c r="K210" s="9"/>
      <c r="L210" s="9"/>
      <c r="M210" s="29"/>
    </row>
    <row r="211" spans="1:13" ht="75">
      <c r="A211" s="39">
        <v>13</v>
      </c>
      <c r="B211" s="48"/>
      <c r="C211" s="27" t="s">
        <v>185</v>
      </c>
      <c r="D211" s="48"/>
      <c r="E211" s="48"/>
      <c r="F211" s="48"/>
      <c r="G211" s="35" t="s">
        <v>184</v>
      </c>
      <c r="H211" s="23"/>
      <c r="I211" s="38">
        <v>50</v>
      </c>
      <c r="J211" s="9"/>
      <c r="K211" s="9"/>
      <c r="L211" s="9"/>
      <c r="M211" s="29"/>
    </row>
    <row r="212" spans="1:13" ht="75">
      <c r="A212" s="39">
        <v>14</v>
      </c>
      <c r="B212" s="48"/>
      <c r="C212" s="27" t="s">
        <v>186</v>
      </c>
      <c r="D212" s="48"/>
      <c r="E212" s="48"/>
      <c r="F212" s="48"/>
      <c r="G212" s="35" t="s">
        <v>184</v>
      </c>
      <c r="H212" s="23"/>
      <c r="I212" s="38">
        <v>25</v>
      </c>
      <c r="J212" s="9"/>
      <c r="K212" s="9"/>
      <c r="L212" s="9"/>
      <c r="M212" s="29"/>
    </row>
  </sheetData>
  <sheetProtection formatCells="0" formatColumns="0" formatRows="0" insertRows="0"/>
  <mergeCells count="18">
    <mergeCell ref="A198:M198"/>
    <mergeCell ref="A17:M17"/>
    <mergeCell ref="A74:M74"/>
    <mergeCell ref="A75:M75"/>
    <mergeCell ref="A112:M112"/>
    <mergeCell ref="A113:M113"/>
    <mergeCell ref="A133:M133"/>
    <mergeCell ref="A134:M134"/>
    <mergeCell ref="I14:I15"/>
    <mergeCell ref="M14:M15"/>
    <mergeCell ref="A16:M16"/>
    <mergeCell ref="A73:M73"/>
    <mergeCell ref="A197:M197"/>
    <mergeCell ref="B2:C3"/>
    <mergeCell ref="A14:A15"/>
    <mergeCell ref="B14:B15"/>
    <mergeCell ref="C14:C15"/>
    <mergeCell ref="G14:G15"/>
  </mergeCells>
  <pageMargins left="0.7" right="0.7" top="0.75" bottom="0.75" header="0.3" footer="0.3"/>
  <pageSetup paperSize="9" scale="68" fitToHeight="0" orientation="portrait" r:id="rId1"/>
  <rowBreaks count="2" manualBreakCount="2">
    <brk id="149" max="12" man="1"/>
    <brk id="170"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511B5-C092-4B85-8FF7-713529B0086E}">
  <sheetPr>
    <pageSetUpPr fitToPage="1"/>
  </sheetPr>
  <dimension ref="A1:T63"/>
  <sheetViews>
    <sheetView tabSelected="1" view="pageBreakPreview" topLeftCell="A39" zoomScaleNormal="85" zoomScaleSheetLayoutView="100" workbookViewId="0">
      <selection activeCell="C39" sqref="C39"/>
    </sheetView>
  </sheetViews>
  <sheetFormatPr defaultRowHeight="15"/>
  <cols>
    <col min="1" max="1" width="15.7109375" style="50" bestFit="1" customWidth="1"/>
    <col min="2" max="2" width="17.140625" style="6" customWidth="1"/>
    <col min="3" max="3" width="58.140625" style="24" customWidth="1"/>
    <col min="4" max="5" width="16.42578125" style="6" hidden="1" customWidth="1"/>
    <col min="6" max="6" width="12.85546875" style="6" hidden="1" customWidth="1"/>
    <col min="7" max="7" width="4.140625" style="24" bestFit="1" customWidth="1"/>
    <col min="8" max="8" width="16.7109375" style="6" hidden="1" customWidth="1"/>
    <col min="9" max="9" width="10.85546875" style="5" bestFit="1" customWidth="1"/>
    <col min="10" max="12" width="16.85546875" style="6" hidden="1" customWidth="1"/>
    <col min="13" max="13" width="10.5703125" style="33" bestFit="1" customWidth="1"/>
    <col min="14" max="16" width="18.42578125" style="6" hidden="1" customWidth="1"/>
    <col min="17" max="17" width="14.42578125" style="5" hidden="1" customWidth="1"/>
    <col min="18" max="20" width="17" style="6" hidden="1" customWidth="1"/>
    <col min="21" max="16384" width="9.140625" style="1"/>
  </cols>
  <sheetData>
    <row r="1" spans="1:20">
      <c r="A1" s="49" t="s">
        <v>24</v>
      </c>
    </row>
    <row r="2" spans="1:20">
      <c r="A2" s="6" t="s">
        <v>2</v>
      </c>
      <c r="B2" s="55" t="s">
        <v>187</v>
      </c>
      <c r="C2" s="55"/>
    </row>
    <row r="3" spans="1:20">
      <c r="A3" s="6"/>
      <c r="B3" s="55"/>
      <c r="C3" s="55"/>
    </row>
    <row r="4" spans="1:20">
      <c r="A4" s="6" t="s">
        <v>3</v>
      </c>
      <c r="B4" s="31" t="s">
        <v>188</v>
      </c>
    </row>
    <row r="5" spans="1:20">
      <c r="A5" s="50" t="s">
        <v>1</v>
      </c>
      <c r="B5" s="30" t="s">
        <v>27</v>
      </c>
    </row>
    <row r="6" spans="1:20">
      <c r="A6" s="50" t="s">
        <v>5</v>
      </c>
      <c r="B6" s="30" t="s">
        <v>26</v>
      </c>
    </row>
    <row r="10" spans="1:20" ht="20.25" customHeight="1">
      <c r="B10" s="2"/>
      <c r="C10" s="25"/>
      <c r="D10" s="2"/>
      <c r="E10" s="3" t="s">
        <v>6</v>
      </c>
      <c r="F10" s="2"/>
      <c r="G10" s="25"/>
      <c r="H10" s="2"/>
      <c r="I10" s="4"/>
      <c r="J10" s="2"/>
      <c r="K10" s="2"/>
      <c r="L10" s="2"/>
      <c r="M10" s="34"/>
      <c r="N10" s="2"/>
      <c r="O10" s="2"/>
      <c r="P10" s="2"/>
      <c r="Q10" s="4"/>
      <c r="R10" s="2"/>
      <c r="S10" s="2"/>
      <c r="T10" s="2"/>
    </row>
    <row r="12" spans="1:20" s="15" customFormat="1" ht="30">
      <c r="A12" s="56" t="s">
        <v>7</v>
      </c>
      <c r="B12" s="56" t="s">
        <v>12</v>
      </c>
      <c r="C12" s="57" t="s">
        <v>13</v>
      </c>
      <c r="D12" s="20" t="s">
        <v>13</v>
      </c>
      <c r="E12" s="20" t="s">
        <v>13</v>
      </c>
      <c r="F12" s="20" t="s">
        <v>13</v>
      </c>
      <c r="G12" s="58" t="s">
        <v>8</v>
      </c>
      <c r="H12" s="22" t="s">
        <v>20</v>
      </c>
      <c r="I12" s="17" t="s">
        <v>9</v>
      </c>
      <c r="J12" s="18" t="s">
        <v>21</v>
      </c>
      <c r="K12" s="18" t="s">
        <v>21</v>
      </c>
      <c r="L12" s="18" t="s">
        <v>21</v>
      </c>
      <c r="M12" s="28" t="s">
        <v>11</v>
      </c>
      <c r="N12" s="11" t="s">
        <v>22</v>
      </c>
      <c r="O12" s="11" t="s">
        <v>22</v>
      </c>
      <c r="P12" s="11" t="s">
        <v>22</v>
      </c>
      <c r="Q12" s="13" t="s">
        <v>15</v>
      </c>
      <c r="R12" s="14" t="s">
        <v>23</v>
      </c>
      <c r="S12" s="14" t="s">
        <v>23</v>
      </c>
      <c r="T12" s="14" t="s">
        <v>23</v>
      </c>
    </row>
    <row r="13" spans="1:20" s="15" customFormat="1" ht="17.25">
      <c r="A13" s="56"/>
      <c r="B13" s="56"/>
      <c r="C13" s="57"/>
      <c r="D13" s="21" t="s">
        <v>17</v>
      </c>
      <c r="E13" s="21" t="s">
        <v>18</v>
      </c>
      <c r="F13" s="21" t="s">
        <v>19</v>
      </c>
      <c r="G13" s="58"/>
      <c r="H13" s="21" t="s">
        <v>17</v>
      </c>
      <c r="I13" s="17"/>
      <c r="J13" s="21" t="s">
        <v>17</v>
      </c>
      <c r="K13" s="21" t="s">
        <v>18</v>
      </c>
      <c r="L13" s="21" t="s">
        <v>19</v>
      </c>
      <c r="M13" s="28"/>
      <c r="N13" s="21" t="s">
        <v>17</v>
      </c>
      <c r="O13" s="21" t="s">
        <v>18</v>
      </c>
      <c r="P13" s="21" t="s">
        <v>19</v>
      </c>
      <c r="Q13" s="19"/>
      <c r="R13" s="21" t="s">
        <v>17</v>
      </c>
      <c r="S13" s="21" t="s">
        <v>18</v>
      </c>
      <c r="T13" s="21" t="s">
        <v>19</v>
      </c>
    </row>
    <row r="14" spans="1:20" ht="18.75">
      <c r="A14" s="63" t="s">
        <v>311</v>
      </c>
      <c r="B14" s="64"/>
      <c r="C14" s="64"/>
      <c r="D14" s="64"/>
      <c r="E14" s="64"/>
      <c r="F14" s="64"/>
      <c r="G14" s="64"/>
      <c r="H14" s="64"/>
      <c r="I14" s="64"/>
      <c r="J14" s="64"/>
      <c r="K14" s="64"/>
      <c r="L14" s="64"/>
      <c r="M14" s="65"/>
    </row>
    <row r="15" spans="1:20">
      <c r="A15" s="66" t="s">
        <v>78</v>
      </c>
      <c r="B15" s="67"/>
      <c r="C15" s="67"/>
      <c r="D15" s="67"/>
      <c r="E15" s="67"/>
      <c r="F15" s="67"/>
      <c r="G15" s="67"/>
      <c r="H15" s="67"/>
      <c r="I15" s="67"/>
      <c r="J15" s="67"/>
      <c r="K15" s="67"/>
      <c r="L15" s="67"/>
      <c r="M15" s="68"/>
    </row>
    <row r="16" spans="1:20" ht="195">
      <c r="A16" s="39">
        <v>1</v>
      </c>
      <c r="B16" s="39"/>
      <c r="C16" s="41" t="s">
        <v>79</v>
      </c>
      <c r="D16" s="8"/>
      <c r="E16" s="8"/>
      <c r="F16" s="8"/>
      <c r="G16" s="35" t="s">
        <v>14</v>
      </c>
      <c r="H16" s="42"/>
      <c r="I16" s="43">
        <v>2</v>
      </c>
      <c r="J16" s="9"/>
      <c r="K16" s="9"/>
      <c r="L16" s="9"/>
      <c r="M16" s="28" t="s">
        <v>34</v>
      </c>
    </row>
    <row r="17" spans="1:20" ht="330">
      <c r="A17" s="39">
        <v>2</v>
      </c>
      <c r="B17" s="39"/>
      <c r="C17" s="41" t="s">
        <v>80</v>
      </c>
      <c r="D17" s="8"/>
      <c r="E17" s="8"/>
      <c r="F17" s="8"/>
      <c r="G17" s="35" t="s">
        <v>14</v>
      </c>
      <c r="H17" s="42"/>
      <c r="I17" s="43">
        <v>1</v>
      </c>
      <c r="J17" s="9"/>
      <c r="K17" s="9"/>
      <c r="L17" s="9"/>
      <c r="M17" s="28" t="s">
        <v>191</v>
      </c>
    </row>
    <row r="18" spans="1:20" ht="255">
      <c r="A18" s="39">
        <v>3</v>
      </c>
      <c r="B18" s="39"/>
      <c r="C18" s="41" t="s">
        <v>81</v>
      </c>
      <c r="D18" s="8"/>
      <c r="E18" s="8"/>
      <c r="F18" s="8"/>
      <c r="G18" s="35" t="s">
        <v>14</v>
      </c>
      <c r="H18" s="42"/>
      <c r="I18" s="43">
        <v>2</v>
      </c>
      <c r="J18" s="9"/>
      <c r="K18" s="9"/>
      <c r="L18" s="9"/>
      <c r="M18" s="28" t="s">
        <v>192</v>
      </c>
    </row>
    <row r="19" spans="1:20" ht="180">
      <c r="A19" s="39">
        <v>4</v>
      </c>
      <c r="B19" s="39"/>
      <c r="C19" s="41" t="s">
        <v>82</v>
      </c>
      <c r="D19" s="8"/>
      <c r="E19" s="8"/>
      <c r="F19" s="8"/>
      <c r="G19" s="35" t="s">
        <v>14</v>
      </c>
      <c r="H19" s="42"/>
      <c r="I19" s="43">
        <v>1</v>
      </c>
      <c r="J19" s="9"/>
      <c r="K19" s="9"/>
      <c r="L19" s="9"/>
      <c r="M19" s="28" t="s">
        <v>193</v>
      </c>
    </row>
    <row r="20" spans="1:20" ht="150">
      <c r="A20" s="39">
        <v>5</v>
      </c>
      <c r="B20" s="39"/>
      <c r="C20" s="41" t="s">
        <v>83</v>
      </c>
      <c r="D20" s="8"/>
      <c r="E20" s="8"/>
      <c r="F20" s="8"/>
      <c r="G20" s="35" t="s">
        <v>14</v>
      </c>
      <c r="H20" s="42"/>
      <c r="I20" s="43">
        <v>2</v>
      </c>
      <c r="J20" s="9"/>
      <c r="K20" s="9"/>
      <c r="L20" s="9"/>
      <c r="M20" s="28" t="s">
        <v>194</v>
      </c>
    </row>
    <row r="21" spans="1:20" ht="195">
      <c r="A21" s="39">
        <v>6</v>
      </c>
      <c r="B21" s="39"/>
      <c r="C21" s="41" t="s">
        <v>84</v>
      </c>
      <c r="D21" s="8"/>
      <c r="E21" s="8"/>
      <c r="F21" s="8"/>
      <c r="G21" s="35" t="s">
        <v>14</v>
      </c>
      <c r="H21" s="42"/>
      <c r="I21" s="43">
        <v>1</v>
      </c>
      <c r="J21" s="9"/>
      <c r="K21" s="9"/>
      <c r="L21" s="9"/>
      <c r="M21" s="28" t="s">
        <v>195</v>
      </c>
    </row>
    <row r="22" spans="1:20" ht="90">
      <c r="A22" s="39">
        <v>7</v>
      </c>
      <c r="B22" s="39"/>
      <c r="C22" s="41" t="s">
        <v>85</v>
      </c>
      <c r="D22" s="8"/>
      <c r="E22" s="8"/>
      <c r="F22" s="8"/>
      <c r="G22" s="35" t="s">
        <v>14</v>
      </c>
      <c r="H22" s="42"/>
      <c r="I22" s="43">
        <v>1</v>
      </c>
      <c r="J22" s="9"/>
      <c r="K22" s="9"/>
      <c r="L22" s="9"/>
      <c r="M22" s="28" t="s">
        <v>196</v>
      </c>
    </row>
    <row r="23" spans="1:20" ht="75">
      <c r="A23" s="39">
        <v>8</v>
      </c>
      <c r="B23" s="39"/>
      <c r="C23" s="41" t="s">
        <v>86</v>
      </c>
      <c r="D23" s="8"/>
      <c r="E23" s="8"/>
      <c r="F23" s="8"/>
      <c r="G23" s="35" t="s">
        <v>14</v>
      </c>
      <c r="H23" s="42"/>
      <c r="I23" s="43">
        <v>1</v>
      </c>
      <c r="J23" s="9"/>
      <c r="K23" s="9"/>
      <c r="L23" s="9"/>
      <c r="M23" s="28" t="s">
        <v>197</v>
      </c>
    </row>
    <row r="24" spans="1:20" ht="90">
      <c r="A24" s="39">
        <v>9</v>
      </c>
      <c r="B24" s="39"/>
      <c r="C24" s="41" t="s">
        <v>88</v>
      </c>
      <c r="D24" s="8"/>
      <c r="E24" s="8"/>
      <c r="F24" s="8"/>
      <c r="G24" s="35" t="s">
        <v>14</v>
      </c>
      <c r="H24" s="42"/>
      <c r="I24" s="43">
        <v>1</v>
      </c>
      <c r="J24" s="9"/>
      <c r="K24" s="9"/>
      <c r="L24" s="9"/>
      <c r="M24" s="28" t="s">
        <v>198</v>
      </c>
    </row>
    <row r="25" spans="1:20" ht="90">
      <c r="A25" s="39">
        <v>10</v>
      </c>
      <c r="B25" s="39"/>
      <c r="C25" s="41" t="s">
        <v>87</v>
      </c>
      <c r="D25" s="8"/>
      <c r="E25" s="8"/>
      <c r="F25" s="8"/>
      <c r="G25" s="35" t="s">
        <v>14</v>
      </c>
      <c r="H25" s="42"/>
      <c r="I25" s="43">
        <v>1</v>
      </c>
      <c r="J25" s="9"/>
      <c r="K25" s="9"/>
      <c r="L25" s="9"/>
      <c r="M25" s="28" t="s">
        <v>199</v>
      </c>
    </row>
    <row r="26" spans="1:20" ht="90">
      <c r="A26" s="39">
        <v>11</v>
      </c>
      <c r="B26" s="39"/>
      <c r="C26" s="41" t="s">
        <v>89</v>
      </c>
      <c r="D26" s="8"/>
      <c r="E26" s="8"/>
      <c r="F26" s="8"/>
      <c r="G26" s="35" t="s">
        <v>14</v>
      </c>
      <c r="H26" s="42"/>
      <c r="I26" s="43">
        <v>1</v>
      </c>
      <c r="J26" s="9"/>
      <c r="K26" s="9"/>
      <c r="L26" s="9"/>
      <c r="M26" s="28" t="s">
        <v>200</v>
      </c>
    </row>
    <row r="27" spans="1:20" ht="90">
      <c r="A27" s="39">
        <v>12</v>
      </c>
      <c r="B27" s="39"/>
      <c r="C27" s="41" t="s">
        <v>90</v>
      </c>
      <c r="D27" s="8"/>
      <c r="E27" s="8"/>
      <c r="F27" s="8"/>
      <c r="G27" s="35" t="s">
        <v>14</v>
      </c>
      <c r="H27" s="42"/>
      <c r="I27" s="43">
        <v>1</v>
      </c>
      <c r="J27" s="9"/>
      <c r="K27" s="9"/>
      <c r="L27" s="9"/>
      <c r="M27" s="28" t="s">
        <v>201</v>
      </c>
    </row>
    <row r="28" spans="1:20" ht="90">
      <c r="A28" s="39">
        <v>13</v>
      </c>
      <c r="B28" s="39"/>
      <c r="C28" s="41" t="s">
        <v>91</v>
      </c>
      <c r="D28" s="8"/>
      <c r="E28" s="8"/>
      <c r="F28" s="8"/>
      <c r="G28" s="35" t="s">
        <v>14</v>
      </c>
      <c r="H28" s="42"/>
      <c r="I28" s="43">
        <v>1</v>
      </c>
      <c r="J28" s="9"/>
      <c r="K28" s="9"/>
      <c r="L28" s="9"/>
      <c r="M28" s="28" t="s">
        <v>202</v>
      </c>
      <c r="N28" s="10"/>
      <c r="O28" s="10"/>
      <c r="P28" s="10"/>
      <c r="Q28" s="1"/>
      <c r="R28" s="1"/>
      <c r="S28" s="1"/>
      <c r="T28" s="1"/>
    </row>
    <row r="29" spans="1:20" ht="90">
      <c r="A29" s="39">
        <v>14</v>
      </c>
      <c r="B29" s="39"/>
      <c r="C29" s="41" t="s">
        <v>92</v>
      </c>
      <c r="D29" s="8"/>
      <c r="E29" s="8"/>
      <c r="F29" s="8"/>
      <c r="G29" s="35" t="s">
        <v>14</v>
      </c>
      <c r="H29" s="42"/>
      <c r="I29" s="43">
        <v>1</v>
      </c>
      <c r="J29" s="9"/>
      <c r="K29" s="9"/>
      <c r="L29" s="9"/>
      <c r="M29" s="28" t="s">
        <v>203</v>
      </c>
    </row>
    <row r="30" spans="1:20" ht="18.75">
      <c r="A30" s="63" t="s">
        <v>93</v>
      </c>
      <c r="B30" s="64"/>
      <c r="C30" s="64"/>
      <c r="D30" s="64"/>
      <c r="E30" s="64"/>
      <c r="F30" s="64"/>
      <c r="G30" s="64"/>
      <c r="H30" s="64"/>
      <c r="I30" s="64"/>
      <c r="J30" s="64"/>
      <c r="K30" s="64"/>
      <c r="L30" s="64"/>
      <c r="M30" s="65"/>
    </row>
    <row r="31" spans="1:20" ht="18.75">
      <c r="A31" s="63" t="s">
        <v>189</v>
      </c>
      <c r="B31" s="64"/>
      <c r="C31" s="64"/>
      <c r="D31" s="64"/>
      <c r="E31" s="64"/>
      <c r="F31" s="64"/>
      <c r="G31" s="64"/>
      <c r="H31" s="64"/>
      <c r="I31" s="64"/>
      <c r="J31" s="64"/>
      <c r="K31" s="64"/>
      <c r="L31" s="64"/>
      <c r="M31" s="65"/>
    </row>
    <row r="32" spans="1:20">
      <c r="A32" s="66" t="s">
        <v>190</v>
      </c>
      <c r="B32" s="67"/>
      <c r="C32" s="67"/>
      <c r="D32" s="67"/>
      <c r="E32" s="67"/>
      <c r="F32" s="67"/>
      <c r="G32" s="67"/>
      <c r="H32" s="67"/>
      <c r="I32" s="67"/>
      <c r="J32" s="67"/>
      <c r="K32" s="67"/>
      <c r="L32" s="67"/>
      <c r="M32" s="68"/>
      <c r="N32" s="10"/>
      <c r="O32" s="10"/>
      <c r="P32" s="10"/>
      <c r="Q32" s="1"/>
      <c r="R32" s="1"/>
      <c r="S32" s="1"/>
      <c r="T32" s="1"/>
    </row>
    <row r="33" spans="1:20" ht="180">
      <c r="A33" s="39">
        <v>1</v>
      </c>
      <c r="B33" s="39"/>
      <c r="C33" s="41" t="s">
        <v>309</v>
      </c>
      <c r="D33" s="8"/>
      <c r="E33" s="8"/>
      <c r="F33" s="8"/>
      <c r="G33" s="35" t="s">
        <v>14</v>
      </c>
      <c r="H33" s="42"/>
      <c r="I33" s="43">
        <v>3</v>
      </c>
      <c r="J33" s="9"/>
      <c r="K33" s="9"/>
      <c r="L33" s="9"/>
      <c r="M33" s="28" t="s">
        <v>204</v>
      </c>
    </row>
    <row r="34" spans="1:20" ht="180">
      <c r="A34" s="39">
        <v>2</v>
      </c>
      <c r="B34" s="39"/>
      <c r="C34" s="41" t="s">
        <v>310</v>
      </c>
      <c r="D34" s="8"/>
      <c r="E34" s="8"/>
      <c r="F34" s="8"/>
      <c r="G34" s="35" t="s">
        <v>14</v>
      </c>
      <c r="H34" s="42"/>
      <c r="I34" s="43">
        <v>1</v>
      </c>
      <c r="J34" s="9"/>
      <c r="K34" s="9"/>
      <c r="L34" s="9"/>
      <c r="M34" s="28" t="s">
        <v>205</v>
      </c>
    </row>
    <row r="35" spans="1:20" ht="18.75">
      <c r="A35" s="63" t="s">
        <v>96</v>
      </c>
      <c r="B35" s="64"/>
      <c r="C35" s="64"/>
      <c r="D35" s="64"/>
      <c r="E35" s="64"/>
      <c r="F35" s="64"/>
      <c r="G35" s="64"/>
      <c r="H35" s="64"/>
      <c r="I35" s="64"/>
      <c r="J35" s="64"/>
      <c r="K35" s="64"/>
      <c r="L35" s="64"/>
      <c r="M35" s="65"/>
      <c r="N35" s="10"/>
      <c r="O35" s="10"/>
      <c r="P35" s="10"/>
      <c r="Q35" s="1"/>
      <c r="R35" s="1"/>
      <c r="S35" s="1"/>
      <c r="T35" s="1"/>
    </row>
    <row r="36" spans="1:20">
      <c r="A36" s="66" t="s">
        <v>121</v>
      </c>
      <c r="B36" s="67"/>
      <c r="C36" s="67"/>
      <c r="D36" s="67"/>
      <c r="E36" s="67"/>
      <c r="F36" s="67"/>
      <c r="G36" s="67"/>
      <c r="H36" s="67"/>
      <c r="I36" s="67"/>
      <c r="J36" s="67"/>
      <c r="K36" s="67"/>
      <c r="L36" s="67"/>
      <c r="M36" s="68"/>
      <c r="N36" s="10"/>
      <c r="O36" s="10"/>
      <c r="P36" s="10"/>
      <c r="Q36" s="1"/>
      <c r="R36" s="1"/>
      <c r="S36" s="1"/>
      <c r="T36" s="1"/>
    </row>
    <row r="37" spans="1:20" ht="360">
      <c r="A37" s="39">
        <v>1</v>
      </c>
      <c r="B37" s="39"/>
      <c r="C37" s="27" t="s">
        <v>97</v>
      </c>
      <c r="D37" s="8"/>
      <c r="E37" s="8"/>
      <c r="F37" s="8"/>
      <c r="G37" s="35" t="s">
        <v>14</v>
      </c>
      <c r="H37" s="23"/>
      <c r="I37" s="38">
        <v>1</v>
      </c>
      <c r="J37" s="9"/>
      <c r="K37" s="9"/>
      <c r="L37" s="9"/>
      <c r="M37" s="28" t="s">
        <v>206</v>
      </c>
      <c r="N37" s="28" t="s">
        <v>240</v>
      </c>
      <c r="O37" s="28" t="s">
        <v>240</v>
      </c>
      <c r="P37" s="28" t="s">
        <v>240</v>
      </c>
      <c r="Q37" s="28" t="s">
        <v>240</v>
      </c>
      <c r="R37" s="28" t="s">
        <v>240</v>
      </c>
      <c r="S37" s="28" t="s">
        <v>240</v>
      </c>
      <c r="T37" s="28" t="s">
        <v>240</v>
      </c>
    </row>
    <row r="38" spans="1:20" ht="345">
      <c r="A38" s="39">
        <v>2</v>
      </c>
      <c r="B38" s="39"/>
      <c r="C38" s="27" t="s">
        <v>98</v>
      </c>
      <c r="D38" s="8"/>
      <c r="E38" s="8"/>
      <c r="F38" s="8"/>
      <c r="G38" s="35" t="s">
        <v>14</v>
      </c>
      <c r="H38" s="23"/>
      <c r="I38" s="38">
        <v>1</v>
      </c>
      <c r="J38" s="9"/>
      <c r="K38" s="9"/>
      <c r="L38" s="9"/>
      <c r="M38" s="28" t="s">
        <v>209</v>
      </c>
      <c r="N38" s="28" t="s">
        <v>241</v>
      </c>
      <c r="O38" s="28" t="s">
        <v>241</v>
      </c>
      <c r="P38" s="28" t="s">
        <v>241</v>
      </c>
      <c r="Q38" s="28" t="s">
        <v>241</v>
      </c>
      <c r="R38" s="28" t="s">
        <v>241</v>
      </c>
      <c r="S38" s="28" t="s">
        <v>241</v>
      </c>
      <c r="T38" s="28" t="s">
        <v>241</v>
      </c>
    </row>
    <row r="39" spans="1:20" ht="405">
      <c r="A39" s="39">
        <v>3</v>
      </c>
      <c r="B39" s="39"/>
      <c r="C39" s="27" t="s">
        <v>100</v>
      </c>
      <c r="D39" s="8"/>
      <c r="E39" s="8"/>
      <c r="F39" s="8"/>
      <c r="G39" s="35" t="s">
        <v>99</v>
      </c>
      <c r="H39" s="23"/>
      <c r="I39" s="38">
        <v>2</v>
      </c>
      <c r="J39" s="9"/>
      <c r="K39" s="9"/>
      <c r="L39" s="9"/>
      <c r="M39" s="28" t="s">
        <v>210</v>
      </c>
    </row>
    <row r="40" spans="1:20" ht="405">
      <c r="A40" s="39">
        <v>4</v>
      </c>
      <c r="B40" s="39"/>
      <c r="C40" s="27" t="s">
        <v>101</v>
      </c>
      <c r="D40" s="8"/>
      <c r="E40" s="8"/>
      <c r="F40" s="8"/>
      <c r="G40" s="35" t="s">
        <v>99</v>
      </c>
      <c r="H40" s="23"/>
      <c r="I40" s="38">
        <v>2</v>
      </c>
      <c r="J40" s="9"/>
      <c r="K40" s="9"/>
      <c r="L40" s="9"/>
      <c r="M40" s="28" t="s">
        <v>211</v>
      </c>
    </row>
    <row r="41" spans="1:20" ht="405">
      <c r="A41" s="39">
        <v>5</v>
      </c>
      <c r="B41" s="39"/>
      <c r="C41" s="27" t="s">
        <v>102</v>
      </c>
      <c r="D41" s="8"/>
      <c r="E41" s="8"/>
      <c r="F41" s="8"/>
      <c r="G41" s="35" t="s">
        <v>14</v>
      </c>
      <c r="H41" s="23"/>
      <c r="I41" s="38">
        <v>20</v>
      </c>
      <c r="J41" s="9"/>
      <c r="K41" s="9"/>
      <c r="L41" s="9"/>
      <c r="M41" s="28" t="s">
        <v>212</v>
      </c>
    </row>
    <row r="42" spans="1:20" ht="405">
      <c r="A42" s="39">
        <v>6</v>
      </c>
      <c r="B42" s="39"/>
      <c r="C42" s="27" t="s">
        <v>103</v>
      </c>
      <c r="D42" s="8"/>
      <c r="E42" s="8"/>
      <c r="F42" s="8"/>
      <c r="G42" s="35" t="s">
        <v>14</v>
      </c>
      <c r="H42" s="23"/>
      <c r="I42" s="38">
        <v>5</v>
      </c>
      <c r="J42" s="9"/>
      <c r="K42" s="9"/>
      <c r="L42" s="9"/>
      <c r="M42" s="28" t="s">
        <v>213</v>
      </c>
    </row>
    <row r="43" spans="1:20" ht="390">
      <c r="A43" s="39">
        <v>7</v>
      </c>
      <c r="B43" s="39"/>
      <c r="C43" s="27" t="s">
        <v>104</v>
      </c>
      <c r="D43" s="8"/>
      <c r="E43" s="8"/>
      <c r="F43" s="8"/>
      <c r="G43" s="35" t="s">
        <v>14</v>
      </c>
      <c r="H43" s="23"/>
      <c r="I43" s="38">
        <v>3</v>
      </c>
      <c r="J43" s="9"/>
      <c r="K43" s="9"/>
      <c r="L43" s="9"/>
      <c r="M43" s="28" t="s">
        <v>214</v>
      </c>
    </row>
    <row r="44" spans="1:20" ht="390">
      <c r="A44" s="39">
        <v>8</v>
      </c>
      <c r="B44" s="39"/>
      <c r="C44" s="27" t="s">
        <v>105</v>
      </c>
      <c r="D44" s="8"/>
      <c r="E44" s="8"/>
      <c r="F44" s="8"/>
      <c r="G44" s="35" t="s">
        <v>14</v>
      </c>
      <c r="H44" s="23"/>
      <c r="I44" s="38">
        <v>14</v>
      </c>
      <c r="J44" s="9"/>
      <c r="K44" s="9"/>
      <c r="L44" s="9"/>
      <c r="M44" s="28" t="s">
        <v>215</v>
      </c>
    </row>
    <row r="45" spans="1:20" ht="18.75">
      <c r="A45" s="63" t="s">
        <v>123</v>
      </c>
      <c r="B45" s="64"/>
      <c r="C45" s="64"/>
      <c r="D45" s="64"/>
      <c r="E45" s="64"/>
      <c r="F45" s="64"/>
      <c r="G45" s="64"/>
      <c r="H45" s="64"/>
      <c r="I45" s="64"/>
      <c r="J45" s="64"/>
      <c r="K45" s="64"/>
      <c r="L45" s="64"/>
      <c r="M45" s="65"/>
    </row>
    <row r="46" spans="1:20">
      <c r="A46" s="66" t="s">
        <v>138</v>
      </c>
      <c r="B46" s="67"/>
      <c r="C46" s="67"/>
      <c r="D46" s="67"/>
      <c r="E46" s="67"/>
      <c r="F46" s="67"/>
      <c r="G46" s="67"/>
      <c r="H46" s="67"/>
      <c r="I46" s="67"/>
      <c r="J46" s="67"/>
      <c r="K46" s="67"/>
      <c r="L46" s="67"/>
      <c r="M46" s="68"/>
    </row>
    <row r="47" spans="1:20" ht="159" customHeight="1">
      <c r="A47" s="39">
        <v>1</v>
      </c>
      <c r="B47" s="39"/>
      <c r="C47" s="27" t="s">
        <v>158</v>
      </c>
      <c r="D47" s="8"/>
      <c r="E47" s="8"/>
      <c r="F47" s="8"/>
      <c r="G47" s="35" t="s">
        <v>14</v>
      </c>
      <c r="H47" s="23"/>
      <c r="I47" s="38">
        <v>2</v>
      </c>
      <c r="J47" s="9"/>
      <c r="K47" s="9"/>
      <c r="L47" s="9"/>
      <c r="M47" s="28" t="s">
        <v>216</v>
      </c>
    </row>
    <row r="48" spans="1:20" ht="165" customHeight="1">
      <c r="A48" s="39">
        <v>2</v>
      </c>
      <c r="B48" s="39"/>
      <c r="C48" s="27" t="s">
        <v>159</v>
      </c>
      <c r="D48" s="8"/>
      <c r="E48" s="8"/>
      <c r="F48" s="8"/>
      <c r="G48" s="35" t="s">
        <v>14</v>
      </c>
      <c r="H48" s="23"/>
      <c r="I48" s="38">
        <v>2</v>
      </c>
      <c r="J48" s="9"/>
      <c r="K48" s="9"/>
      <c r="L48" s="9"/>
      <c r="M48" s="28" t="s">
        <v>217</v>
      </c>
    </row>
    <row r="49" spans="1:13" ht="160.5" customHeight="1">
      <c r="A49" s="39">
        <v>3</v>
      </c>
      <c r="B49" s="39"/>
      <c r="C49" s="27" t="s">
        <v>160</v>
      </c>
      <c r="D49" s="8"/>
      <c r="E49" s="8"/>
      <c r="F49" s="8"/>
      <c r="G49" s="35" t="s">
        <v>14</v>
      </c>
      <c r="H49" s="23"/>
      <c r="I49" s="38">
        <v>1</v>
      </c>
      <c r="J49" s="9"/>
      <c r="K49" s="9"/>
      <c r="L49" s="9"/>
      <c r="M49" s="28" t="s">
        <v>207</v>
      </c>
    </row>
    <row r="50" spans="1:13" ht="160.5" customHeight="1">
      <c r="A50" s="39">
        <v>4</v>
      </c>
      <c r="B50" s="39"/>
      <c r="C50" s="27" t="s">
        <v>161</v>
      </c>
      <c r="D50" s="8"/>
      <c r="E50" s="8"/>
      <c r="F50" s="8"/>
      <c r="G50" s="35" t="s">
        <v>14</v>
      </c>
      <c r="H50" s="23"/>
      <c r="I50" s="38">
        <v>1</v>
      </c>
      <c r="J50" s="9"/>
      <c r="K50" s="9"/>
      <c r="L50" s="9"/>
      <c r="M50" s="28" t="s">
        <v>218</v>
      </c>
    </row>
    <row r="51" spans="1:13" ht="160.5" customHeight="1">
      <c r="A51" s="39">
        <v>5</v>
      </c>
      <c r="B51" s="39"/>
      <c r="C51" s="27" t="s">
        <v>162</v>
      </c>
      <c r="D51" s="8"/>
      <c r="E51" s="8"/>
      <c r="F51" s="8"/>
      <c r="G51" s="35" t="s">
        <v>14</v>
      </c>
      <c r="H51" s="23"/>
      <c r="I51" s="38">
        <v>1</v>
      </c>
      <c r="J51" s="9"/>
      <c r="K51" s="9"/>
      <c r="L51" s="9"/>
      <c r="M51" s="28" t="s">
        <v>219</v>
      </c>
    </row>
    <row r="52" spans="1:13" ht="160.5" customHeight="1">
      <c r="A52" s="39">
        <v>6</v>
      </c>
      <c r="B52" s="39"/>
      <c r="C52" s="27" t="s">
        <v>163</v>
      </c>
      <c r="D52" s="8"/>
      <c r="E52" s="8"/>
      <c r="F52" s="8"/>
      <c r="G52" s="35" t="s">
        <v>14</v>
      </c>
      <c r="H52" s="23"/>
      <c r="I52" s="38">
        <v>1</v>
      </c>
      <c r="J52" s="9"/>
      <c r="K52" s="9"/>
      <c r="L52" s="9"/>
      <c r="M52" s="28" t="s">
        <v>220</v>
      </c>
    </row>
    <row r="53" spans="1:13" ht="345">
      <c r="A53" s="39">
        <v>7</v>
      </c>
      <c r="B53" s="39"/>
      <c r="C53" s="27" t="s">
        <v>245</v>
      </c>
      <c r="D53" s="8"/>
      <c r="E53" s="8"/>
      <c r="F53" s="8"/>
      <c r="G53" s="35" t="s">
        <v>14</v>
      </c>
      <c r="H53" s="23"/>
      <c r="I53" s="38">
        <v>1</v>
      </c>
      <c r="J53" s="9"/>
      <c r="K53" s="9"/>
      <c r="L53" s="9"/>
      <c r="M53" s="28" t="s">
        <v>221</v>
      </c>
    </row>
    <row r="54" spans="1:13" ht="409.5" customHeight="1">
      <c r="A54" s="39">
        <v>8</v>
      </c>
      <c r="B54" s="39"/>
      <c r="C54" s="47" t="s">
        <v>164</v>
      </c>
      <c r="D54" s="8"/>
      <c r="E54" s="8"/>
      <c r="F54" s="8"/>
      <c r="G54" s="35" t="s">
        <v>14</v>
      </c>
      <c r="H54" s="23"/>
      <c r="I54" s="38">
        <v>1</v>
      </c>
      <c r="J54" s="9"/>
      <c r="K54" s="9"/>
      <c r="L54" s="9"/>
      <c r="M54" s="28" t="s">
        <v>222</v>
      </c>
    </row>
    <row r="55" spans="1:13" ht="369.75">
      <c r="A55" s="39">
        <v>9</v>
      </c>
      <c r="B55" s="39"/>
      <c r="C55" s="47" t="s">
        <v>165</v>
      </c>
      <c r="D55" s="8"/>
      <c r="E55" s="8"/>
      <c r="F55" s="8"/>
      <c r="G55" s="35" t="s">
        <v>14</v>
      </c>
      <c r="H55" s="23"/>
      <c r="I55" s="38">
        <v>1</v>
      </c>
      <c r="J55" s="9"/>
      <c r="K55" s="9"/>
      <c r="L55" s="9"/>
      <c r="M55" s="28" t="s">
        <v>223</v>
      </c>
    </row>
    <row r="56" spans="1:13" ht="255">
      <c r="A56" s="39">
        <v>10</v>
      </c>
      <c r="B56" s="39"/>
      <c r="C56" s="27" t="s">
        <v>166</v>
      </c>
      <c r="D56" s="8"/>
      <c r="E56" s="8"/>
      <c r="F56" s="8"/>
      <c r="G56" s="35" t="s">
        <v>14</v>
      </c>
      <c r="H56" s="23"/>
      <c r="I56" s="38">
        <v>1</v>
      </c>
      <c r="J56" s="9"/>
      <c r="K56" s="9"/>
      <c r="L56" s="9"/>
      <c r="M56" s="28" t="s">
        <v>224</v>
      </c>
    </row>
    <row r="57" spans="1:13" ht="18.75">
      <c r="A57" s="63" t="s">
        <v>136</v>
      </c>
      <c r="B57" s="64"/>
      <c r="C57" s="64"/>
      <c r="D57" s="64"/>
      <c r="E57" s="64"/>
      <c r="F57" s="64"/>
      <c r="G57" s="64"/>
      <c r="H57" s="64"/>
      <c r="I57" s="64"/>
      <c r="J57" s="64"/>
      <c r="K57" s="64"/>
      <c r="L57" s="64"/>
      <c r="M57" s="65"/>
    </row>
    <row r="58" spans="1:13">
      <c r="A58" s="66" t="s">
        <v>167</v>
      </c>
      <c r="B58" s="67"/>
      <c r="C58" s="67"/>
      <c r="D58" s="67"/>
      <c r="E58" s="67"/>
      <c r="F58" s="67"/>
      <c r="G58" s="67"/>
      <c r="H58" s="67"/>
      <c r="I58" s="67"/>
      <c r="J58" s="67"/>
      <c r="K58" s="67"/>
      <c r="L58" s="67"/>
      <c r="M58" s="68"/>
    </row>
    <row r="59" spans="1:13" ht="267.75">
      <c r="A59" s="39">
        <v>1</v>
      </c>
      <c r="B59" s="39"/>
      <c r="C59" s="47" t="s">
        <v>168</v>
      </c>
      <c r="D59" s="8"/>
      <c r="E59" s="8"/>
      <c r="F59" s="8"/>
      <c r="G59" s="35" t="s">
        <v>14</v>
      </c>
      <c r="H59" s="23"/>
      <c r="I59" s="38">
        <v>12</v>
      </c>
      <c r="J59" s="9"/>
      <c r="K59" s="9"/>
      <c r="L59" s="9"/>
      <c r="M59" s="28" t="s">
        <v>225</v>
      </c>
    </row>
    <row r="60" spans="1:13" ht="255">
      <c r="A60" s="39">
        <v>2</v>
      </c>
      <c r="B60" s="48"/>
      <c r="C60" s="47" t="s">
        <v>169</v>
      </c>
      <c r="D60" s="48"/>
      <c r="E60" s="48"/>
      <c r="F60" s="48"/>
      <c r="G60" s="35" t="s">
        <v>14</v>
      </c>
      <c r="H60" s="23"/>
      <c r="I60" s="38">
        <v>1</v>
      </c>
      <c r="J60" s="9"/>
      <c r="K60" s="9"/>
      <c r="L60" s="9"/>
      <c r="M60" s="28" t="s">
        <v>226</v>
      </c>
    </row>
    <row r="61" spans="1:13" ht="178.5">
      <c r="A61" s="39">
        <v>3</v>
      </c>
      <c r="B61" s="48"/>
      <c r="C61" s="47" t="s">
        <v>170</v>
      </c>
      <c r="D61" s="48"/>
      <c r="E61" s="48"/>
      <c r="F61" s="48"/>
      <c r="G61" s="35" t="s">
        <v>14</v>
      </c>
      <c r="H61" s="23"/>
      <c r="I61" s="38">
        <v>1</v>
      </c>
      <c r="J61" s="9"/>
      <c r="K61" s="9"/>
      <c r="L61" s="9"/>
      <c r="M61" s="28" t="s">
        <v>208</v>
      </c>
    </row>
    <row r="62" spans="1:13" ht="204">
      <c r="A62" s="39">
        <v>4</v>
      </c>
      <c r="B62" s="48"/>
      <c r="C62" s="47" t="s">
        <v>171</v>
      </c>
      <c r="D62" s="48"/>
      <c r="E62" s="48"/>
      <c r="F62" s="48"/>
      <c r="G62" s="35" t="s">
        <v>14</v>
      </c>
      <c r="H62" s="23"/>
      <c r="I62" s="38">
        <v>1</v>
      </c>
      <c r="J62" s="9"/>
      <c r="K62" s="9"/>
      <c r="L62" s="9"/>
      <c r="M62" s="28" t="s">
        <v>227</v>
      </c>
    </row>
    <row r="63" spans="1:13" ht="280.5">
      <c r="A63" s="39">
        <v>5</v>
      </c>
      <c r="B63" s="48"/>
      <c r="C63" s="47" t="s">
        <v>172</v>
      </c>
      <c r="D63" s="48"/>
      <c r="E63" s="48"/>
      <c r="F63" s="48"/>
      <c r="G63" s="35" t="s">
        <v>14</v>
      </c>
      <c r="H63" s="23"/>
      <c r="I63" s="38">
        <v>1</v>
      </c>
      <c r="J63" s="9"/>
      <c r="K63" s="9"/>
      <c r="L63" s="9"/>
      <c r="M63" s="28" t="s">
        <v>228</v>
      </c>
    </row>
  </sheetData>
  <sheetProtection formatCells="0" formatColumns="0" formatRows="0" insertRows="0"/>
  <mergeCells count="16">
    <mergeCell ref="A58:M58"/>
    <mergeCell ref="A35:M35"/>
    <mergeCell ref="A36:M36"/>
    <mergeCell ref="A45:M45"/>
    <mergeCell ref="A46:M46"/>
    <mergeCell ref="A30:M30"/>
    <mergeCell ref="A31:M31"/>
    <mergeCell ref="A32:M32"/>
    <mergeCell ref="A57:M57"/>
    <mergeCell ref="B2:C3"/>
    <mergeCell ref="A15:M15"/>
    <mergeCell ref="A12:A13"/>
    <mergeCell ref="B12:B13"/>
    <mergeCell ref="C12:C13"/>
    <mergeCell ref="G12:G13"/>
    <mergeCell ref="A14:M14"/>
  </mergeCells>
  <phoneticPr fontId="50" type="noConversion"/>
  <pageMargins left="0.7" right="0.7" top="0.75" bottom="0.75" header="0.3" footer="0.3"/>
  <pageSetup paperSize="9" scale="74" fitToHeight="0" orientation="portrait" r:id="rId1"/>
  <rowBreaks count="1" manualBreakCount="1">
    <brk id="89" max="1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F3 - LISTA DE CANTITATI</vt:lpstr>
      <vt:lpstr>F4 - LISTA ECHIPAMENTE</vt:lpstr>
      <vt:lpstr>'F3 - LISTA DE CANTITATI'!Print_Area</vt:lpstr>
      <vt:lpstr>'F4 - LISTA ECHIPAMENTE'!Print_Area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GlobeLS12</dc:creator>
  <cp:lastModifiedBy>Alexandru-Roberto STAN</cp:lastModifiedBy>
  <cp:lastPrinted>2025-02-12T15:06:15Z</cp:lastPrinted>
  <dcterms:created xsi:type="dcterms:W3CDTF">2015-06-05T18:17:20Z</dcterms:created>
  <dcterms:modified xsi:type="dcterms:W3CDTF">2025-04-01T12:58:40Z</dcterms:modified>
</cp:coreProperties>
</file>