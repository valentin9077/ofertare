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zar\Downloads\"/>
    </mc:Choice>
  </mc:AlternateContent>
  <xr:revisionPtr revIDLastSave="0" documentId="13_ncr:1_{FB81111E-AAFF-46A3-918F-6E63B307B87E}" xr6:coauthVersionLast="47" xr6:coauthVersionMax="47" xr10:uidLastSave="{00000000-0000-0000-0000-000000000000}"/>
  <bookViews>
    <workbookView xWindow="-120" yWindow="-120" windowWidth="20730" windowHeight="11040" tabRatio="905" xr2:uid="{EFE5E45F-5304-4695-AB8F-DF5E9367308B}"/>
  </bookViews>
  <sheets>
    <sheet name="Centralizator" sheetId="15" r:id="rId1"/>
    <sheet name="F4" sheetId="16" r:id="rId2"/>
    <sheet name="O.03 D.00" sheetId="6" r:id="rId3"/>
    <sheet name="O.03 D.01" sheetId="7" r:id="rId4"/>
    <sheet name="O.03 D.02" sheetId="8" r:id="rId5"/>
    <sheet name="O.03 D.03" sheetId="9" r:id="rId6"/>
    <sheet name="O.03 D.04" sheetId="10" r:id="rId7"/>
    <sheet name="O.04 D.01" sheetId="11" r:id="rId8"/>
    <sheet name="O.05 D.01" sheetId="12" r:id="rId9"/>
    <sheet name="O.05 D.02" sheetId="13" r:id="rId10"/>
    <sheet name="O.06 D.01" sheetId="14" r:id="rId11"/>
  </sheets>
  <definedNames>
    <definedName name="_xlnm.Print_Titles" localSheetId="2">'O.03 D.00'!$6:$9</definedName>
    <definedName name="_xlnm.Print_Titles" localSheetId="3">'O.03 D.01'!$6:$9</definedName>
    <definedName name="_xlnm.Print_Titles" localSheetId="4">'O.03 D.02'!$6:$11</definedName>
    <definedName name="_xlnm.Print_Titles" localSheetId="5">'O.03 D.03'!$6:$11</definedName>
    <definedName name="_xlnm.Print_Titles" localSheetId="6">'O.03 D.04'!$6:$11</definedName>
    <definedName name="_xlnm.Print_Titles" localSheetId="7">'O.04 D.01'!$6:$11</definedName>
    <definedName name="_xlnm.Print_Titles" localSheetId="8">'O.05 D.01'!$6:$11</definedName>
    <definedName name="_xlnm.Print_Titles" localSheetId="9">'O.05 D.02'!$6:$11</definedName>
    <definedName name="_xlnm.Print_Titles" localSheetId="10">'O.06 D.01'!$6:$11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7" l="1"/>
  <c r="H116" i="12"/>
  <c r="H77" i="11"/>
  <c r="H29" i="11"/>
  <c r="H26" i="11"/>
  <c r="H212" i="11"/>
  <c r="H209" i="11"/>
  <c r="H206" i="11"/>
  <c r="H200" i="11"/>
  <c r="H197" i="11"/>
  <c r="H131" i="11"/>
  <c r="H128" i="11"/>
  <c r="H125" i="11"/>
  <c r="H122" i="11"/>
  <c r="H204" i="7"/>
  <c r="H201" i="7"/>
  <c r="H198" i="7"/>
  <c r="I30" i="6"/>
  <c r="I298" i="14"/>
  <c r="H104" i="13"/>
  <c r="I32" i="7"/>
  <c r="I29" i="7"/>
  <c r="I28" i="7"/>
  <c r="I26" i="7"/>
  <c r="I25" i="7"/>
  <c r="I23" i="7"/>
  <c r="I22" i="7"/>
  <c r="I27" i="7" l="1"/>
  <c r="I30" i="7"/>
  <c r="I24" i="7"/>
  <c r="I41" i="6"/>
  <c r="I40" i="6"/>
  <c r="I38" i="6"/>
  <c r="I37" i="6"/>
  <c r="I35" i="6"/>
  <c r="I34" i="6"/>
  <c r="I32" i="6"/>
  <c r="I31" i="6"/>
  <c r="I29" i="6"/>
  <c r="I28" i="6"/>
  <c r="I26" i="6"/>
  <c r="I25" i="6"/>
  <c r="I23" i="6"/>
  <c r="I22" i="6"/>
  <c r="I20" i="6"/>
  <c r="I19" i="6"/>
  <c r="K43" i="6"/>
  <c r="L43" i="6"/>
  <c r="Q43" i="6"/>
  <c r="R43" i="6"/>
  <c r="S43" i="6"/>
  <c r="F77" i="16"/>
  <c r="F75" i="16"/>
  <c r="F73" i="16"/>
  <c r="F71" i="16"/>
  <c r="F69" i="16"/>
  <c r="F67" i="16"/>
  <c r="F65" i="16"/>
  <c r="F63" i="16"/>
  <c r="F61" i="16"/>
  <c r="F59" i="16"/>
  <c r="F57" i="16"/>
  <c r="F55" i="16"/>
  <c r="F53" i="16"/>
  <c r="F46" i="16"/>
  <c r="F29" i="16"/>
  <c r="F27" i="16"/>
  <c r="F25" i="16"/>
  <c r="F23" i="16"/>
  <c r="F21" i="16"/>
  <c r="F19" i="16"/>
  <c r="F17" i="16"/>
  <c r="F15" i="16"/>
  <c r="F13" i="16"/>
  <c r="F11" i="16"/>
  <c r="F9" i="16"/>
  <c r="C17" i="15"/>
  <c r="C16" i="15"/>
  <c r="C14" i="15"/>
  <c r="C12" i="15"/>
  <c r="C11" i="15"/>
  <c r="C10" i="15"/>
  <c r="C9" i="15"/>
  <c r="C8" i="15"/>
  <c r="I21" i="6" l="1"/>
  <c r="I27" i="6"/>
  <c r="I33" i="6"/>
  <c r="I36" i="6"/>
  <c r="I39" i="6"/>
  <c r="I42" i="6"/>
  <c r="I24" i="6"/>
  <c r="F79" i="16"/>
  <c r="F18" i="15" s="1"/>
  <c r="G18" i="15" s="1"/>
  <c r="S435" i="14"/>
  <c r="R435" i="14"/>
  <c r="Q435" i="14"/>
  <c r="L435" i="14"/>
  <c r="K435" i="14"/>
  <c r="I433" i="14"/>
  <c r="H434" i="14"/>
  <c r="I430" i="14"/>
  <c r="H431" i="14"/>
  <c r="I427" i="14"/>
  <c r="I424" i="14"/>
  <c r="I421" i="14"/>
  <c r="I418" i="14"/>
  <c r="H419" i="14"/>
  <c r="I415" i="14"/>
  <c r="I412" i="14"/>
  <c r="H411" i="14"/>
  <c r="I403" i="14"/>
  <c r="I397" i="14"/>
  <c r="I391" i="14"/>
  <c r="H390" i="14"/>
  <c r="I388" i="14"/>
  <c r="H387" i="14"/>
  <c r="I382" i="14"/>
  <c r="H381" i="14"/>
  <c r="I379" i="14"/>
  <c r="H378" i="14"/>
  <c r="I370" i="14"/>
  <c r="I364" i="14"/>
  <c r="I361" i="14"/>
  <c r="I358" i="14"/>
  <c r="I355" i="14"/>
  <c r="I352" i="14"/>
  <c r="I349" i="14"/>
  <c r="I343" i="14"/>
  <c r="I340" i="14"/>
  <c r="I337" i="14"/>
  <c r="I334" i="14"/>
  <c r="I331" i="14"/>
  <c r="I328" i="14"/>
  <c r="I325" i="14"/>
  <c r="I322" i="14"/>
  <c r="I319" i="14"/>
  <c r="I316" i="14"/>
  <c r="I313" i="14"/>
  <c r="I310" i="14"/>
  <c r="I307" i="14"/>
  <c r="I304" i="14"/>
  <c r="I301" i="14"/>
  <c r="H299" i="14"/>
  <c r="I295" i="14"/>
  <c r="I292" i="14"/>
  <c r="I289" i="14"/>
  <c r="I286" i="14"/>
  <c r="I280" i="14"/>
  <c r="I277" i="14"/>
  <c r="I274" i="14"/>
  <c r="I271" i="14"/>
  <c r="I268" i="14"/>
  <c r="I265" i="14"/>
  <c r="I262" i="14"/>
  <c r="I259" i="14"/>
  <c r="I256" i="14"/>
  <c r="I253" i="14"/>
  <c r="I250" i="14"/>
  <c r="I247" i="14"/>
  <c r="I244" i="14"/>
  <c r="I241" i="14"/>
  <c r="I238" i="14"/>
  <c r="I232" i="14"/>
  <c r="I229" i="14"/>
  <c r="I226" i="14"/>
  <c r="I220" i="14"/>
  <c r="I217" i="14"/>
  <c r="I214" i="14"/>
  <c r="I211" i="14"/>
  <c r="I208" i="14"/>
  <c r="I205" i="14"/>
  <c r="I202" i="14"/>
  <c r="I199" i="14"/>
  <c r="I193" i="14"/>
  <c r="I187" i="14"/>
  <c r="I181" i="14"/>
  <c r="I178" i="14"/>
  <c r="I175" i="14"/>
  <c r="I172" i="14"/>
  <c r="I169" i="14"/>
  <c r="I166" i="14"/>
  <c r="I160" i="14"/>
  <c r="I157" i="14"/>
  <c r="I154" i="14"/>
  <c r="I151" i="14"/>
  <c r="I148" i="14"/>
  <c r="I145" i="14"/>
  <c r="I142" i="14"/>
  <c r="I139" i="14"/>
  <c r="I136" i="14"/>
  <c r="I133" i="14"/>
  <c r="I130" i="14"/>
  <c r="I127" i="14"/>
  <c r="I124" i="14"/>
  <c r="I121" i="14"/>
  <c r="I118" i="14"/>
  <c r="I115" i="14"/>
  <c r="I112" i="14"/>
  <c r="I109" i="14"/>
  <c r="I106" i="14"/>
  <c r="I103" i="14"/>
  <c r="I100" i="14"/>
  <c r="I97" i="14"/>
  <c r="I94" i="14"/>
  <c r="I91" i="14"/>
  <c r="I88" i="14"/>
  <c r="I85" i="14"/>
  <c r="I79" i="14"/>
  <c r="I76" i="14"/>
  <c r="I70" i="14"/>
  <c r="I64" i="14"/>
  <c r="I61" i="14"/>
  <c r="I58" i="14"/>
  <c r="I55" i="14"/>
  <c r="I52" i="14"/>
  <c r="I49" i="14"/>
  <c r="I46" i="14"/>
  <c r="I43" i="14"/>
  <c r="I40" i="14"/>
  <c r="I37" i="14"/>
  <c r="I34" i="14"/>
  <c r="I31" i="14"/>
  <c r="I28" i="14"/>
  <c r="I25" i="14"/>
  <c r="I22" i="14"/>
  <c r="I16" i="14"/>
  <c r="I13" i="14"/>
  <c r="S105" i="13"/>
  <c r="R105" i="13"/>
  <c r="Q105" i="13"/>
  <c r="L105" i="13"/>
  <c r="K105" i="13"/>
  <c r="I103" i="13"/>
  <c r="I102" i="13"/>
  <c r="I104" i="13" s="1"/>
  <c r="I100" i="13"/>
  <c r="I97" i="13"/>
  <c r="I94" i="13"/>
  <c r="I91" i="13"/>
  <c r="I88" i="13"/>
  <c r="H89" i="13"/>
  <c r="I85" i="13"/>
  <c r="I82" i="13"/>
  <c r="I76" i="13"/>
  <c r="H77" i="13"/>
  <c r="I73" i="13"/>
  <c r="I70" i="13"/>
  <c r="I64" i="13"/>
  <c r="I61" i="13"/>
  <c r="I58" i="13"/>
  <c r="I55" i="13"/>
  <c r="I52" i="13"/>
  <c r="I49" i="13"/>
  <c r="I46" i="13"/>
  <c r="I40" i="13"/>
  <c r="I37" i="13"/>
  <c r="I34" i="13"/>
  <c r="I28" i="13"/>
  <c r="I25" i="13"/>
  <c r="I22" i="13"/>
  <c r="I16" i="13"/>
  <c r="I13" i="13"/>
  <c r="S120" i="12"/>
  <c r="R120" i="12"/>
  <c r="Q120" i="12"/>
  <c r="L120" i="12"/>
  <c r="K120" i="12"/>
  <c r="I118" i="12"/>
  <c r="I115" i="12"/>
  <c r="I112" i="12"/>
  <c r="I109" i="12"/>
  <c r="I103" i="12"/>
  <c r="I100" i="12"/>
  <c r="I97" i="12"/>
  <c r="I94" i="12"/>
  <c r="I91" i="12"/>
  <c r="I88" i="12"/>
  <c r="I85" i="12"/>
  <c r="I82" i="12"/>
  <c r="I79" i="12"/>
  <c r="I76" i="12"/>
  <c r="I70" i="12"/>
  <c r="I67" i="12"/>
  <c r="I64" i="12"/>
  <c r="I61" i="12"/>
  <c r="I55" i="12"/>
  <c r="I52" i="12"/>
  <c r="I49" i="12"/>
  <c r="I46" i="12"/>
  <c r="I43" i="12"/>
  <c r="I34" i="12"/>
  <c r="I31" i="12"/>
  <c r="I25" i="12"/>
  <c r="I22" i="12"/>
  <c r="I19" i="12"/>
  <c r="I16" i="12"/>
  <c r="I15" i="12"/>
  <c r="I13" i="12"/>
  <c r="S357" i="11"/>
  <c r="R357" i="11"/>
  <c r="Q357" i="11"/>
  <c r="L357" i="11"/>
  <c r="K357" i="11"/>
  <c r="I355" i="11"/>
  <c r="I352" i="11"/>
  <c r="I349" i="11"/>
  <c r="I346" i="11"/>
  <c r="I343" i="11"/>
  <c r="I340" i="11"/>
  <c r="I337" i="11"/>
  <c r="I334" i="11"/>
  <c r="I331" i="11"/>
  <c r="I328" i="11"/>
  <c r="I325" i="11"/>
  <c r="I319" i="11"/>
  <c r="I316" i="11"/>
  <c r="I313" i="11"/>
  <c r="I310" i="11"/>
  <c r="I307" i="11"/>
  <c r="I304" i="11"/>
  <c r="I301" i="11"/>
  <c r="I295" i="11"/>
  <c r="I292" i="11"/>
  <c r="I289" i="11"/>
  <c r="I286" i="11"/>
  <c r="I283" i="11"/>
  <c r="I280" i="11"/>
  <c r="I277" i="11"/>
  <c r="I274" i="11"/>
  <c r="I271" i="11"/>
  <c r="I267" i="11"/>
  <c r="I265" i="11"/>
  <c r="I262" i="11"/>
  <c r="I259" i="11"/>
  <c r="I256" i="11"/>
  <c r="I253" i="11"/>
  <c r="I250" i="11"/>
  <c r="I247" i="11"/>
  <c r="I241" i="11"/>
  <c r="I238" i="11"/>
  <c r="I235" i="11"/>
  <c r="I229" i="11"/>
  <c r="I226" i="11"/>
  <c r="I223" i="11"/>
  <c r="I220" i="11"/>
  <c r="I217" i="11"/>
  <c r="I214" i="11"/>
  <c r="I211" i="11"/>
  <c r="I208" i="11"/>
  <c r="I205" i="11"/>
  <c r="I202" i="11"/>
  <c r="I199" i="11"/>
  <c r="I193" i="11"/>
  <c r="I190" i="11"/>
  <c r="I187" i="11"/>
  <c r="I181" i="11"/>
  <c r="I178" i="11"/>
  <c r="I175" i="11"/>
  <c r="I172" i="11"/>
  <c r="I169" i="11"/>
  <c r="I166" i="11"/>
  <c r="I160" i="11"/>
  <c r="I154" i="11"/>
  <c r="I151" i="11"/>
  <c r="I148" i="11"/>
  <c r="I145" i="11"/>
  <c r="I139" i="11"/>
  <c r="I136" i="11"/>
  <c r="I133" i="11"/>
  <c r="I130" i="11"/>
  <c r="I127" i="11"/>
  <c r="I124" i="11"/>
  <c r="I121" i="11"/>
  <c r="I118" i="11"/>
  <c r="I115" i="11"/>
  <c r="I112" i="11"/>
  <c r="I109" i="11"/>
  <c r="I106" i="11"/>
  <c r="I103" i="11"/>
  <c r="I100" i="11"/>
  <c r="I97" i="11"/>
  <c r="I94" i="11"/>
  <c r="I91" i="11"/>
  <c r="I88" i="11"/>
  <c r="I85" i="11"/>
  <c r="I82" i="11"/>
  <c r="I79" i="11"/>
  <c r="I76" i="11"/>
  <c r="I73" i="11"/>
  <c r="I70" i="11"/>
  <c r="I67" i="11"/>
  <c r="I64" i="11"/>
  <c r="I58" i="11"/>
  <c r="I55" i="11"/>
  <c r="I52" i="11"/>
  <c r="I49" i="11"/>
  <c r="I46" i="11"/>
  <c r="I43" i="11"/>
  <c r="I40" i="11"/>
  <c r="I37" i="11"/>
  <c r="I31" i="11"/>
  <c r="I28" i="11"/>
  <c r="I25" i="11"/>
  <c r="I22" i="11"/>
  <c r="I19" i="11"/>
  <c r="I16" i="11"/>
  <c r="I13" i="11"/>
  <c r="S42" i="10"/>
  <c r="R42" i="10"/>
  <c r="Q42" i="10"/>
  <c r="L42" i="10"/>
  <c r="K42" i="10"/>
  <c r="I40" i="10"/>
  <c r="I37" i="10"/>
  <c r="I36" i="10"/>
  <c r="I34" i="10"/>
  <c r="I31" i="10"/>
  <c r="I28" i="10"/>
  <c r="I27" i="10"/>
  <c r="I29" i="10" s="1"/>
  <c r="I25" i="10"/>
  <c r="I24" i="10"/>
  <c r="I22" i="10"/>
  <c r="I19" i="10"/>
  <c r="I18" i="10"/>
  <c r="I20" i="10" s="1"/>
  <c r="I16" i="10"/>
  <c r="I13" i="10"/>
  <c r="S99" i="9"/>
  <c r="R99" i="9"/>
  <c r="Q99" i="9"/>
  <c r="L99" i="9"/>
  <c r="K99" i="9"/>
  <c r="I97" i="9"/>
  <c r="I94" i="9"/>
  <c r="I91" i="9"/>
  <c r="I88" i="9"/>
  <c r="I85" i="9"/>
  <c r="I82" i="9"/>
  <c r="I79" i="9"/>
  <c r="I76" i="9"/>
  <c r="I73" i="9"/>
  <c r="I70" i="9"/>
  <c r="I67" i="9"/>
  <c r="I64" i="9"/>
  <c r="I61" i="9"/>
  <c r="I58" i="9"/>
  <c r="I52" i="9"/>
  <c r="I49" i="9"/>
  <c r="I46" i="9"/>
  <c r="I40" i="9"/>
  <c r="I37" i="9"/>
  <c r="I34" i="9"/>
  <c r="I31" i="9"/>
  <c r="I25" i="9"/>
  <c r="I22" i="9"/>
  <c r="I13" i="9"/>
  <c r="S54" i="8"/>
  <c r="R54" i="8"/>
  <c r="Q54" i="8"/>
  <c r="L54" i="8"/>
  <c r="K54" i="8"/>
  <c r="I52" i="8"/>
  <c r="I51" i="8"/>
  <c r="I46" i="8"/>
  <c r="I43" i="8"/>
  <c r="I40" i="8"/>
  <c r="I37" i="8"/>
  <c r="I34" i="8"/>
  <c r="I31" i="8"/>
  <c r="I28" i="8"/>
  <c r="I24" i="8"/>
  <c r="I22" i="8"/>
  <c r="I19" i="8"/>
  <c r="I16" i="8"/>
  <c r="I13" i="8"/>
  <c r="R205" i="7"/>
  <c r="Q205" i="7"/>
  <c r="L205" i="7"/>
  <c r="K205" i="7"/>
  <c r="I200" i="7"/>
  <c r="I197" i="7"/>
  <c r="I191" i="7"/>
  <c r="I188" i="7"/>
  <c r="I185" i="7"/>
  <c r="I182" i="7"/>
  <c r="I179" i="7"/>
  <c r="I173" i="7"/>
  <c r="I170" i="7"/>
  <c r="I164" i="7"/>
  <c r="I158" i="7"/>
  <c r="I155" i="7"/>
  <c r="I149" i="7"/>
  <c r="I146" i="7"/>
  <c r="I143" i="7"/>
  <c r="I140" i="7"/>
  <c r="I137" i="7"/>
  <c r="I134" i="7"/>
  <c r="I131" i="7"/>
  <c r="I125" i="7"/>
  <c r="I122" i="7"/>
  <c r="I119" i="7"/>
  <c r="I113" i="7"/>
  <c r="I110" i="7"/>
  <c r="I104" i="7"/>
  <c r="I98" i="7"/>
  <c r="I95" i="7"/>
  <c r="I89" i="7"/>
  <c r="I86" i="7"/>
  <c r="I83" i="7"/>
  <c r="I80" i="7"/>
  <c r="I77" i="7"/>
  <c r="I71" i="7"/>
  <c r="I68" i="7"/>
  <c r="I65" i="7"/>
  <c r="I62" i="7"/>
  <c r="I59" i="7"/>
  <c r="I53" i="7"/>
  <c r="I50" i="7"/>
  <c r="I47" i="7"/>
  <c r="I44" i="7"/>
  <c r="I41" i="7"/>
  <c r="I38" i="7"/>
  <c r="I34" i="7"/>
  <c r="I20" i="7"/>
  <c r="I17" i="7"/>
  <c r="I14" i="7"/>
  <c r="I13" i="7"/>
  <c r="I11" i="7"/>
  <c r="I10" i="7"/>
  <c r="I17" i="6"/>
  <c r="I11" i="6"/>
  <c r="I30" i="10" l="1"/>
  <c r="I32" i="10"/>
  <c r="I426" i="14"/>
  <c r="I428" i="14" s="1"/>
  <c r="H428" i="14"/>
  <c r="H425" i="14"/>
  <c r="H422" i="14"/>
  <c r="H416" i="14"/>
  <c r="I411" i="14"/>
  <c r="I413" i="14" s="1"/>
  <c r="H413" i="14"/>
  <c r="I408" i="14"/>
  <c r="H410" i="14"/>
  <c r="I405" i="14"/>
  <c r="H407" i="14"/>
  <c r="H404" i="14"/>
  <c r="I399" i="14"/>
  <c r="H401" i="14"/>
  <c r="I396" i="14"/>
  <c r="I398" i="14" s="1"/>
  <c r="H398" i="14"/>
  <c r="H311" i="14"/>
  <c r="H335" i="14"/>
  <c r="H359" i="14"/>
  <c r="H383" i="14"/>
  <c r="I393" i="14"/>
  <c r="H395" i="14"/>
  <c r="I390" i="14"/>
  <c r="I392" i="14" s="1"/>
  <c r="H392" i="14"/>
  <c r="I387" i="14"/>
  <c r="I389" i="14" s="1"/>
  <c r="H389" i="14"/>
  <c r="I384" i="14"/>
  <c r="H386" i="14"/>
  <c r="I378" i="14"/>
  <c r="I380" i="14" s="1"/>
  <c r="H380" i="14"/>
  <c r="I375" i="14"/>
  <c r="H377" i="14"/>
  <c r="H353" i="14"/>
  <c r="I372" i="14"/>
  <c r="H374" i="14"/>
  <c r="I369" i="14"/>
  <c r="I371" i="14" s="1"/>
  <c r="H371" i="14"/>
  <c r="I366" i="14"/>
  <c r="H368" i="14"/>
  <c r="H362" i="14"/>
  <c r="I363" i="14"/>
  <c r="I365" i="14" s="1"/>
  <c r="H365" i="14"/>
  <c r="H356" i="14"/>
  <c r="I348" i="14"/>
  <c r="I350" i="14" s="1"/>
  <c r="H350" i="14"/>
  <c r="I345" i="14"/>
  <c r="H347" i="14"/>
  <c r="H341" i="14"/>
  <c r="I342" i="14"/>
  <c r="I344" i="14" s="1"/>
  <c r="H344" i="14"/>
  <c r="H305" i="14"/>
  <c r="H317" i="14"/>
  <c r="H329" i="14"/>
  <c r="I336" i="14"/>
  <c r="I338" i="14" s="1"/>
  <c r="H338" i="14"/>
  <c r="H332" i="14"/>
  <c r="H326" i="14"/>
  <c r="I321" i="14"/>
  <c r="I323" i="14" s="1"/>
  <c r="H323" i="14"/>
  <c r="H320" i="14"/>
  <c r="H308" i="14"/>
  <c r="I312" i="14"/>
  <c r="I314" i="14" s="1"/>
  <c r="H314" i="14"/>
  <c r="H302" i="14"/>
  <c r="H290" i="14"/>
  <c r="I294" i="14"/>
  <c r="I296" i="14" s="1"/>
  <c r="H296" i="14"/>
  <c r="H221" i="14"/>
  <c r="H269" i="14"/>
  <c r="H281" i="14"/>
  <c r="I291" i="14"/>
  <c r="I293" i="14" s="1"/>
  <c r="H293" i="14"/>
  <c r="I285" i="14"/>
  <c r="I287" i="14" s="1"/>
  <c r="H287" i="14"/>
  <c r="H275" i="14"/>
  <c r="I282" i="14"/>
  <c r="H284" i="14"/>
  <c r="H278" i="14"/>
  <c r="H272" i="14"/>
  <c r="I264" i="14"/>
  <c r="I266" i="14" s="1"/>
  <c r="H266" i="14"/>
  <c r="I261" i="14"/>
  <c r="I263" i="14" s="1"/>
  <c r="H263" i="14"/>
  <c r="H260" i="14"/>
  <c r="I255" i="14"/>
  <c r="I257" i="14" s="1"/>
  <c r="H257" i="14"/>
  <c r="I252" i="14"/>
  <c r="I254" i="14" s="1"/>
  <c r="H254" i="14"/>
  <c r="I249" i="14"/>
  <c r="I251" i="14" s="1"/>
  <c r="H251" i="14"/>
  <c r="H248" i="14"/>
  <c r="I243" i="14"/>
  <c r="I245" i="14" s="1"/>
  <c r="H245" i="14"/>
  <c r="H242" i="14"/>
  <c r="I237" i="14"/>
  <c r="I239" i="14" s="1"/>
  <c r="H239" i="14"/>
  <c r="I234" i="14"/>
  <c r="H236" i="14"/>
  <c r="I231" i="14"/>
  <c r="I233" i="14" s="1"/>
  <c r="H233" i="14"/>
  <c r="I228" i="14"/>
  <c r="I230" i="14" s="1"/>
  <c r="H230" i="14"/>
  <c r="H167" i="14"/>
  <c r="H179" i="14"/>
  <c r="H227" i="14"/>
  <c r="I222" i="14"/>
  <c r="H224" i="14"/>
  <c r="H218" i="14"/>
  <c r="I213" i="14"/>
  <c r="I215" i="14" s="1"/>
  <c r="H215" i="14"/>
  <c r="I210" i="14"/>
  <c r="I212" i="14" s="1"/>
  <c r="H212" i="14"/>
  <c r="I207" i="14"/>
  <c r="I209" i="14" s="1"/>
  <c r="H209" i="14"/>
  <c r="I204" i="14"/>
  <c r="I206" i="14" s="1"/>
  <c r="H206" i="14"/>
  <c r="I201" i="14"/>
  <c r="I203" i="14" s="1"/>
  <c r="H203" i="14"/>
  <c r="I198" i="14"/>
  <c r="I200" i="14" s="1"/>
  <c r="H200" i="14"/>
  <c r="I195" i="14"/>
  <c r="H197" i="14"/>
  <c r="I192" i="14"/>
  <c r="I194" i="14" s="1"/>
  <c r="H194" i="14"/>
  <c r="I189" i="14"/>
  <c r="H191" i="14"/>
  <c r="H161" i="14"/>
  <c r="H173" i="14"/>
  <c r="I186" i="14"/>
  <c r="I188" i="14" s="1"/>
  <c r="H188" i="14"/>
  <c r="I183" i="14"/>
  <c r="H185" i="14"/>
  <c r="H182" i="14"/>
  <c r="H176" i="14"/>
  <c r="H170" i="14"/>
  <c r="I162" i="14"/>
  <c r="H164" i="14"/>
  <c r="I156" i="14"/>
  <c r="I158" i="14" s="1"/>
  <c r="H158" i="14"/>
  <c r="I153" i="14"/>
  <c r="I155" i="14" s="1"/>
  <c r="H155" i="14"/>
  <c r="I150" i="14"/>
  <c r="I152" i="14" s="1"/>
  <c r="H152" i="14"/>
  <c r="I147" i="14"/>
  <c r="I149" i="14" s="1"/>
  <c r="H149" i="14"/>
  <c r="I144" i="14"/>
  <c r="I146" i="14" s="1"/>
  <c r="H146" i="14"/>
  <c r="I141" i="14"/>
  <c r="I143" i="14" s="1"/>
  <c r="H143" i="14"/>
  <c r="I138" i="14"/>
  <c r="I140" i="14" s="1"/>
  <c r="H140" i="14"/>
  <c r="H134" i="14"/>
  <c r="I135" i="14"/>
  <c r="I137" i="14" s="1"/>
  <c r="H137" i="14"/>
  <c r="H107" i="14"/>
  <c r="H119" i="14"/>
  <c r="I129" i="14"/>
  <c r="I131" i="14" s="1"/>
  <c r="H131" i="14"/>
  <c r="I126" i="14"/>
  <c r="I128" i="14" s="1"/>
  <c r="H128" i="14"/>
  <c r="I123" i="14"/>
  <c r="I125" i="14" s="1"/>
  <c r="H125" i="14"/>
  <c r="I120" i="14"/>
  <c r="I122" i="14" s="1"/>
  <c r="H122" i="14"/>
  <c r="I114" i="14"/>
  <c r="I116" i="14" s="1"/>
  <c r="H116" i="14"/>
  <c r="I111" i="14"/>
  <c r="I113" i="14" s="1"/>
  <c r="H113" i="14"/>
  <c r="I108" i="14"/>
  <c r="I110" i="14" s="1"/>
  <c r="H110" i="14"/>
  <c r="I102" i="14"/>
  <c r="I104" i="14" s="1"/>
  <c r="H104" i="14"/>
  <c r="I99" i="14"/>
  <c r="I101" i="14" s="1"/>
  <c r="H101" i="14"/>
  <c r="I96" i="14"/>
  <c r="I98" i="14" s="1"/>
  <c r="H98" i="14"/>
  <c r="I93" i="14"/>
  <c r="I95" i="14" s="1"/>
  <c r="H95" i="14"/>
  <c r="I90" i="14"/>
  <c r="I92" i="14" s="1"/>
  <c r="H92" i="14"/>
  <c r="H86" i="14"/>
  <c r="I87" i="14"/>
  <c r="I89" i="14" s="1"/>
  <c r="H89" i="14"/>
  <c r="I81" i="14"/>
  <c r="H83" i="14"/>
  <c r="I78" i="14"/>
  <c r="I80" i="14" s="1"/>
  <c r="H80" i="14"/>
  <c r="H65" i="14"/>
  <c r="H77" i="14"/>
  <c r="I72" i="14"/>
  <c r="H74" i="14"/>
  <c r="H59" i="14"/>
  <c r="H71" i="14"/>
  <c r="I66" i="14"/>
  <c r="H68" i="14"/>
  <c r="H56" i="14"/>
  <c r="I60" i="14"/>
  <c r="I62" i="14" s="1"/>
  <c r="H62" i="14"/>
  <c r="H35" i="14"/>
  <c r="I51" i="14"/>
  <c r="I53" i="14" s="1"/>
  <c r="H53" i="14"/>
  <c r="I48" i="14"/>
  <c r="I50" i="14" s="1"/>
  <c r="H50" i="14"/>
  <c r="I45" i="14"/>
  <c r="I47" i="14" s="1"/>
  <c r="H47" i="14"/>
  <c r="I42" i="14"/>
  <c r="I44" i="14" s="1"/>
  <c r="H44" i="14"/>
  <c r="I39" i="14"/>
  <c r="I41" i="14" s="1"/>
  <c r="H41" i="14"/>
  <c r="H14" i="14"/>
  <c r="H26" i="14"/>
  <c r="H38" i="14"/>
  <c r="I30" i="14"/>
  <c r="I32" i="14" s="1"/>
  <c r="H32" i="14"/>
  <c r="I27" i="14"/>
  <c r="I29" i="14" s="1"/>
  <c r="H29" i="14"/>
  <c r="H23" i="14"/>
  <c r="H17" i="14"/>
  <c r="I18" i="14"/>
  <c r="H20" i="14"/>
  <c r="I327" i="11"/>
  <c r="I329" i="11" s="1"/>
  <c r="I321" i="11"/>
  <c r="I318" i="11"/>
  <c r="I320" i="11" s="1"/>
  <c r="I309" i="11"/>
  <c r="I311" i="11" s="1"/>
  <c r="I300" i="11"/>
  <c r="I302" i="11" s="1"/>
  <c r="I297" i="11"/>
  <c r="I288" i="11"/>
  <c r="I290" i="11" s="1"/>
  <c r="I285" i="11"/>
  <c r="I287" i="11" s="1"/>
  <c r="I279" i="11"/>
  <c r="I281" i="11" s="1"/>
  <c r="I273" i="11"/>
  <c r="I275" i="11" s="1"/>
  <c r="I270" i="11"/>
  <c r="I272" i="11" s="1"/>
  <c r="I264" i="11"/>
  <c r="I266" i="11" s="1"/>
  <c r="I258" i="11"/>
  <c r="I260" i="11" s="1"/>
  <c r="I255" i="11"/>
  <c r="I257" i="11" s="1"/>
  <c r="I252" i="11"/>
  <c r="I254" i="11" s="1"/>
  <c r="I249" i="11"/>
  <c r="I251" i="11" s="1"/>
  <c r="I246" i="11"/>
  <c r="I248" i="11" s="1"/>
  <c r="I243" i="11"/>
  <c r="I240" i="11"/>
  <c r="I242" i="11" s="1"/>
  <c r="I237" i="11"/>
  <c r="I239" i="11" s="1"/>
  <c r="I231" i="11"/>
  <c r="I225" i="11"/>
  <c r="I227" i="11" s="1"/>
  <c r="I219" i="11"/>
  <c r="I221" i="11" s="1"/>
  <c r="I216" i="11"/>
  <c r="I218" i="11" s="1"/>
  <c r="I207" i="11"/>
  <c r="I209" i="11" s="1"/>
  <c r="I201" i="11"/>
  <c r="I203" i="11" s="1"/>
  <c r="I198" i="11"/>
  <c r="I200" i="11" s="1"/>
  <c r="I195" i="11"/>
  <c r="I192" i="11"/>
  <c r="I194" i="11" s="1"/>
  <c r="I189" i="11"/>
  <c r="I191" i="11" s="1"/>
  <c r="I183" i="11"/>
  <c r="I180" i="11"/>
  <c r="I182" i="11" s="1"/>
  <c r="I177" i="11"/>
  <c r="I179" i="11" s="1"/>
  <c r="I174" i="11"/>
  <c r="I176" i="11" s="1"/>
  <c r="I171" i="11"/>
  <c r="I173" i="11" s="1"/>
  <c r="I168" i="11"/>
  <c r="I170" i="11" s="1"/>
  <c r="I162" i="11"/>
  <c r="I159" i="11"/>
  <c r="I161" i="11" s="1"/>
  <c r="I156" i="11"/>
  <c r="I153" i="11"/>
  <c r="I155" i="11" s="1"/>
  <c r="I144" i="11"/>
  <c r="I146" i="11" s="1"/>
  <c r="I141" i="11"/>
  <c r="I135" i="11"/>
  <c r="I137" i="11" s="1"/>
  <c r="I132" i="11"/>
  <c r="I134" i="11" s="1"/>
  <c r="I126" i="11"/>
  <c r="I128" i="11" s="1"/>
  <c r="I123" i="11"/>
  <c r="I125" i="11" s="1"/>
  <c r="I120" i="11"/>
  <c r="I122" i="11" s="1"/>
  <c r="I117" i="11"/>
  <c r="I119" i="11" s="1"/>
  <c r="I111" i="11"/>
  <c r="I113" i="11" s="1"/>
  <c r="I108" i="11"/>
  <c r="I110" i="11" s="1"/>
  <c r="I105" i="11"/>
  <c r="I107" i="11" s="1"/>
  <c r="I87" i="11"/>
  <c r="I89" i="11" s="1"/>
  <c r="I81" i="11"/>
  <c r="I83" i="11" s="1"/>
  <c r="I78" i="11"/>
  <c r="I80" i="11" s="1"/>
  <c r="I75" i="11"/>
  <c r="I77" i="11" s="1"/>
  <c r="I72" i="11"/>
  <c r="I74" i="11" s="1"/>
  <c r="I69" i="11"/>
  <c r="I71" i="11" s="1"/>
  <c r="I66" i="11"/>
  <c r="I68" i="11" s="1"/>
  <c r="I63" i="11"/>
  <c r="I65" i="11" s="1"/>
  <c r="I60" i="11"/>
  <c r="I57" i="11"/>
  <c r="I59" i="11" s="1"/>
  <c r="I54" i="11"/>
  <c r="I56" i="11" s="1"/>
  <c r="I45" i="11"/>
  <c r="I47" i="11" s="1"/>
  <c r="I39" i="11"/>
  <c r="I41" i="11" s="1"/>
  <c r="I36" i="11"/>
  <c r="I38" i="11" s="1"/>
  <c r="I33" i="11"/>
  <c r="I30" i="11"/>
  <c r="I32" i="11" s="1"/>
  <c r="I27" i="11"/>
  <c r="I29" i="11" s="1"/>
  <c r="I24" i="11"/>
  <c r="I26" i="11" s="1"/>
  <c r="I21" i="11"/>
  <c r="I23" i="11" s="1"/>
  <c r="I18" i="11"/>
  <c r="I20" i="11" s="1"/>
  <c r="I15" i="11"/>
  <c r="I17" i="11" s="1"/>
  <c r="H98" i="13"/>
  <c r="I99" i="13"/>
  <c r="I101" i="13" s="1"/>
  <c r="H101" i="13"/>
  <c r="H95" i="13"/>
  <c r="I90" i="13"/>
  <c r="I92" i="13" s="1"/>
  <c r="H92" i="13"/>
  <c r="H86" i="13"/>
  <c r="I81" i="13"/>
  <c r="I83" i="13" s="1"/>
  <c r="H83" i="13"/>
  <c r="I78" i="13"/>
  <c r="H80" i="13"/>
  <c r="I72" i="13"/>
  <c r="I74" i="13" s="1"/>
  <c r="H74" i="13"/>
  <c r="I69" i="13"/>
  <c r="I71" i="13" s="1"/>
  <c r="H71" i="13"/>
  <c r="I66" i="13"/>
  <c r="H68" i="13"/>
  <c r="H65" i="13"/>
  <c r="H56" i="13"/>
  <c r="H59" i="13"/>
  <c r="H62" i="13"/>
  <c r="H53" i="13"/>
  <c r="H47" i="13"/>
  <c r="I48" i="13"/>
  <c r="I50" i="13" s="1"/>
  <c r="H50" i="13"/>
  <c r="I42" i="13"/>
  <c r="H44" i="13"/>
  <c r="I39" i="13"/>
  <c r="I41" i="13" s="1"/>
  <c r="H41" i="13"/>
  <c r="H35" i="13"/>
  <c r="I36" i="13"/>
  <c r="I38" i="13" s="1"/>
  <c r="H38" i="13"/>
  <c r="I30" i="13"/>
  <c r="H32" i="13"/>
  <c r="I27" i="13"/>
  <c r="I29" i="13" s="1"/>
  <c r="H29" i="13"/>
  <c r="H23" i="13"/>
  <c r="I24" i="13"/>
  <c r="I26" i="13" s="1"/>
  <c r="H26" i="13"/>
  <c r="I18" i="13"/>
  <c r="H20" i="13"/>
  <c r="I15" i="13"/>
  <c r="I17" i="13" s="1"/>
  <c r="H17" i="13"/>
  <c r="I12" i="13"/>
  <c r="I14" i="13" s="1"/>
  <c r="H14" i="13"/>
  <c r="I117" i="12"/>
  <c r="I119" i="12" s="1"/>
  <c r="I111" i="12"/>
  <c r="I113" i="12" s="1"/>
  <c r="I105" i="12"/>
  <c r="I102" i="12"/>
  <c r="I104" i="12" s="1"/>
  <c r="I96" i="12"/>
  <c r="I98" i="12" s="1"/>
  <c r="I93" i="12"/>
  <c r="I95" i="12" s="1"/>
  <c r="I81" i="12"/>
  <c r="I83" i="12" s="1"/>
  <c r="I78" i="12"/>
  <c r="I80" i="12" s="1"/>
  <c r="I72" i="12"/>
  <c r="I69" i="12"/>
  <c r="I71" i="12" s="1"/>
  <c r="I66" i="12"/>
  <c r="I68" i="12" s="1"/>
  <c r="I45" i="12"/>
  <c r="I47" i="12" s="1"/>
  <c r="I54" i="12"/>
  <c r="I56" i="12" s="1"/>
  <c r="I57" i="12"/>
  <c r="I51" i="12"/>
  <c r="I53" i="12" s="1"/>
  <c r="I39" i="12"/>
  <c r="I36" i="12"/>
  <c r="I33" i="12"/>
  <c r="I35" i="12" s="1"/>
  <c r="I27" i="12"/>
  <c r="I24" i="12"/>
  <c r="I26" i="12" s="1"/>
  <c r="I21" i="12"/>
  <c r="I23" i="12" s="1"/>
  <c r="I17" i="12"/>
  <c r="I12" i="12"/>
  <c r="I14" i="12" s="1"/>
  <c r="I38" i="10"/>
  <c r="I26" i="10"/>
  <c r="I81" i="9"/>
  <c r="I83" i="9" s="1"/>
  <c r="I78" i="9"/>
  <c r="I80" i="9" s="1"/>
  <c r="I72" i="9"/>
  <c r="I74" i="9" s="1"/>
  <c r="I63" i="9"/>
  <c r="I65" i="9" s="1"/>
  <c r="I60" i="9"/>
  <c r="I62" i="9" s="1"/>
  <c r="I54" i="9"/>
  <c r="I51" i="9"/>
  <c r="I53" i="9" s="1"/>
  <c r="I48" i="9"/>
  <c r="I50" i="9" s="1"/>
  <c r="I45" i="9"/>
  <c r="I47" i="9" s="1"/>
  <c r="I42" i="9"/>
  <c r="I39" i="9"/>
  <c r="I41" i="9" s="1"/>
  <c r="I33" i="9"/>
  <c r="I35" i="9" s="1"/>
  <c r="I30" i="9"/>
  <c r="I32" i="9" s="1"/>
  <c r="I27" i="9"/>
  <c r="I24" i="9"/>
  <c r="I26" i="9" s="1"/>
  <c r="I18" i="9"/>
  <c r="I15" i="9"/>
  <c r="I12" i="9"/>
  <c r="I14" i="9" s="1"/>
  <c r="I53" i="8"/>
  <c r="I48" i="8"/>
  <c r="I45" i="8"/>
  <c r="I47" i="8" s="1"/>
  <c r="I39" i="8"/>
  <c r="I41" i="8" s="1"/>
  <c r="I36" i="8"/>
  <c r="I38" i="8" s="1"/>
  <c r="I30" i="8"/>
  <c r="I32" i="8" s="1"/>
  <c r="I27" i="8"/>
  <c r="I29" i="8" s="1"/>
  <c r="I21" i="8"/>
  <c r="I23" i="8" s="1"/>
  <c r="I18" i="8"/>
  <c r="I20" i="8" s="1"/>
  <c r="I15" i="8"/>
  <c r="I17" i="8" s="1"/>
  <c r="I12" i="8"/>
  <c r="I14" i="8" s="1"/>
  <c r="I202" i="7"/>
  <c r="I199" i="7"/>
  <c r="I201" i="7" s="1"/>
  <c r="I196" i="7"/>
  <c r="I198" i="7" s="1"/>
  <c r="I193" i="7"/>
  <c r="I190" i="7"/>
  <c r="I192" i="7" s="1"/>
  <c r="I184" i="7"/>
  <c r="I186" i="7" s="1"/>
  <c r="I181" i="7"/>
  <c r="I183" i="7" s="1"/>
  <c r="I175" i="7"/>
  <c r="I166" i="7"/>
  <c r="I163" i="7"/>
  <c r="I165" i="7" s="1"/>
  <c r="I160" i="7"/>
  <c r="I154" i="7"/>
  <c r="I156" i="7" s="1"/>
  <c r="I151" i="7"/>
  <c r="I148" i="7"/>
  <c r="I150" i="7" s="1"/>
  <c r="I145" i="7"/>
  <c r="I147" i="7" s="1"/>
  <c r="I139" i="7"/>
  <c r="I141" i="7" s="1"/>
  <c r="I136" i="7"/>
  <c r="I138" i="7" s="1"/>
  <c r="I133" i="7"/>
  <c r="I135" i="7" s="1"/>
  <c r="I127" i="7"/>
  <c r="I124" i="7"/>
  <c r="I126" i="7" s="1"/>
  <c r="I121" i="7"/>
  <c r="I123" i="7" s="1"/>
  <c r="I115" i="7"/>
  <c r="I106" i="7"/>
  <c r="I103" i="7"/>
  <c r="I105" i="7" s="1"/>
  <c r="I100" i="7"/>
  <c r="I97" i="7"/>
  <c r="I99" i="7" s="1"/>
  <c r="I94" i="7"/>
  <c r="I96" i="7" s="1"/>
  <c r="I91" i="7"/>
  <c r="I88" i="7"/>
  <c r="I90" i="7" s="1"/>
  <c r="I85" i="7"/>
  <c r="I87" i="7" s="1"/>
  <c r="I82" i="7"/>
  <c r="I84" i="7" s="1"/>
  <c r="I79" i="7"/>
  <c r="I81" i="7" s="1"/>
  <c r="I73" i="7"/>
  <c r="I70" i="7"/>
  <c r="I72" i="7" s="1"/>
  <c r="I61" i="7"/>
  <c r="I63" i="7" s="1"/>
  <c r="I58" i="7"/>
  <c r="I60" i="7" s="1"/>
  <c r="I55" i="7"/>
  <c r="I46" i="7"/>
  <c r="I48" i="7" s="1"/>
  <c r="I43" i="7"/>
  <c r="I45" i="7" s="1"/>
  <c r="I40" i="7"/>
  <c r="I42" i="7" s="1"/>
  <c r="I31" i="7"/>
  <c r="I33" i="7" s="1"/>
  <c r="I165" i="14"/>
  <c r="I167" i="14" s="1"/>
  <c r="I400" i="14"/>
  <c r="O42" i="10"/>
  <c r="I210" i="11"/>
  <c r="I212" i="11" s="1"/>
  <c r="I213" i="11"/>
  <c r="I215" i="11" s="1"/>
  <c r="N357" i="11"/>
  <c r="I28" i="12"/>
  <c r="I67" i="13"/>
  <c r="M105" i="13"/>
  <c r="I394" i="14"/>
  <c r="I373" i="14"/>
  <c r="I184" i="14"/>
  <c r="I67" i="14"/>
  <c r="I15" i="7"/>
  <c r="I12" i="7"/>
  <c r="I19" i="7"/>
  <c r="I21" i="7" s="1"/>
  <c r="I56" i="7"/>
  <c r="N43" i="6"/>
  <c r="O43" i="6"/>
  <c r="I13" i="6"/>
  <c r="I14" i="6"/>
  <c r="I67" i="7"/>
  <c r="I69" i="7" s="1"/>
  <c r="I76" i="7"/>
  <c r="I78" i="7" s="1"/>
  <c r="I107" i="7"/>
  <c r="I33" i="8"/>
  <c r="I35" i="8" s="1"/>
  <c r="O99" i="9"/>
  <c r="I49" i="7"/>
  <c r="I51" i="7" s="1"/>
  <c r="I128" i="7"/>
  <c r="I116" i="7"/>
  <c r="I35" i="7"/>
  <c r="I64" i="7"/>
  <c r="I66" i="7" s="1"/>
  <c r="I112" i="7"/>
  <c r="I114" i="7" s="1"/>
  <c r="I167" i="7"/>
  <c r="I25" i="8"/>
  <c r="I26" i="8" s="1"/>
  <c r="I176" i="7"/>
  <c r="I194" i="7"/>
  <c r="I16" i="9"/>
  <c r="I109" i="7"/>
  <c r="I111" i="7" s="1"/>
  <c r="I130" i="7"/>
  <c r="I132" i="7" s="1"/>
  <c r="I142" i="7"/>
  <c r="I144" i="7" s="1"/>
  <c r="I172" i="7"/>
  <c r="I174" i="7" s="1"/>
  <c r="I203" i="7"/>
  <c r="I43" i="9"/>
  <c r="I232" i="11"/>
  <c r="I92" i="7"/>
  <c r="I33" i="10"/>
  <c r="I35" i="10" s="1"/>
  <c r="I118" i="7"/>
  <c r="I120" i="7" s="1"/>
  <c r="I169" i="7"/>
  <c r="I171" i="7" s="1"/>
  <c r="I16" i="6"/>
  <c r="N205" i="7"/>
  <c r="I74" i="7"/>
  <c r="I101" i="7"/>
  <c r="I152" i="7"/>
  <c r="I178" i="7"/>
  <c r="I180" i="7" s="1"/>
  <c r="I49" i="8"/>
  <c r="I142" i="11"/>
  <c r="I10" i="6"/>
  <c r="E43" i="6" s="1"/>
  <c r="O205" i="7"/>
  <c r="I37" i="7"/>
  <c r="I39" i="7" s="1"/>
  <c r="I161" i="7"/>
  <c r="I55" i="9"/>
  <c r="I187" i="7"/>
  <c r="I189" i="7" s="1"/>
  <c r="N54" i="8"/>
  <c r="I36" i="9"/>
  <c r="I38" i="9" s="1"/>
  <c r="I16" i="7"/>
  <c r="I18" i="7" s="1"/>
  <c r="I52" i="7"/>
  <c r="I54" i="7" s="1"/>
  <c r="I157" i="7"/>
  <c r="I159" i="7" s="1"/>
  <c r="I19" i="9"/>
  <c r="I66" i="9"/>
  <c r="I68" i="9" s="1"/>
  <c r="I21" i="10"/>
  <c r="I23" i="10" s="1"/>
  <c r="N42" i="10"/>
  <c r="I96" i="11"/>
  <c r="I98" i="11" s="1"/>
  <c r="I69" i="9"/>
  <c r="I71" i="9" s="1"/>
  <c r="I75" i="9"/>
  <c r="I77" i="9" s="1"/>
  <c r="I15" i="10"/>
  <c r="I17" i="10" s="1"/>
  <c r="I84" i="11"/>
  <c r="I86" i="11" s="1"/>
  <c r="I196" i="11"/>
  <c r="I298" i="11"/>
  <c r="I339" i="11"/>
  <c r="I341" i="11" s="1"/>
  <c r="I28" i="9"/>
  <c r="I84" i="9"/>
  <c r="I86" i="9" s="1"/>
  <c r="I87" i="9"/>
  <c r="I89" i="9" s="1"/>
  <c r="I48" i="11"/>
  <c r="I50" i="11" s="1"/>
  <c r="I163" i="11"/>
  <c r="I244" i="11"/>
  <c r="I90" i="9"/>
  <c r="I92" i="9" s="1"/>
  <c r="I93" i="9"/>
  <c r="I95" i="9" s="1"/>
  <c r="I96" i="9"/>
  <c r="I98" i="9" s="1"/>
  <c r="I12" i="10"/>
  <c r="I14" i="10" s="1"/>
  <c r="I138" i="11"/>
  <c r="I140" i="11" s="1"/>
  <c r="I150" i="11"/>
  <c r="I152" i="11" s="1"/>
  <c r="I93" i="11"/>
  <c r="I95" i="11" s="1"/>
  <c r="I184" i="11"/>
  <c r="I228" i="11"/>
  <c r="I230" i="11" s="1"/>
  <c r="I282" i="11"/>
  <c r="I284" i="11" s="1"/>
  <c r="N99" i="9"/>
  <c r="I102" i="11"/>
  <c r="I104" i="11" s="1"/>
  <c r="I147" i="11"/>
  <c r="I149" i="11" s="1"/>
  <c r="I291" i="11"/>
  <c r="I293" i="11" s="1"/>
  <c r="O54" i="8"/>
  <c r="I42" i="8"/>
  <c r="I44" i="8" s="1"/>
  <c r="I57" i="9"/>
  <c r="I59" i="9" s="1"/>
  <c r="F42" i="10"/>
  <c r="E12" i="15" s="1"/>
  <c r="I61" i="11"/>
  <c r="I90" i="11"/>
  <c r="I92" i="11" s="1"/>
  <c r="I268" i="11"/>
  <c r="I269" i="11" s="1"/>
  <c r="M42" i="10"/>
  <c r="I34" i="11"/>
  <c r="I21" i="9"/>
  <c r="I23" i="9" s="1"/>
  <c r="I39" i="10"/>
  <c r="I41" i="10" s="1"/>
  <c r="I51" i="11"/>
  <c r="I53" i="11" s="1"/>
  <c r="I157" i="11"/>
  <c r="I165" i="11"/>
  <c r="I167" i="11" s="1"/>
  <c r="I186" i="11"/>
  <c r="I188" i="11" s="1"/>
  <c r="I222" i="11"/>
  <c r="I224" i="11" s="1"/>
  <c r="I342" i="11"/>
  <c r="I344" i="11" s="1"/>
  <c r="I75" i="12"/>
  <c r="I77" i="12" s="1"/>
  <c r="I234" i="11"/>
  <c r="I236" i="11" s="1"/>
  <c r="I294" i="11"/>
  <c r="I296" i="11" s="1"/>
  <c r="I336" i="11"/>
  <c r="I338" i="11" s="1"/>
  <c r="I354" i="11"/>
  <c r="I356" i="11" s="1"/>
  <c r="I322" i="11"/>
  <c r="I63" i="12"/>
  <c r="I65" i="12" s="1"/>
  <c r="O357" i="11"/>
  <c r="I99" i="11"/>
  <c r="I101" i="11" s="1"/>
  <c r="I333" i="11"/>
  <c r="I335" i="11" s="1"/>
  <c r="I114" i="11"/>
  <c r="I116" i="11" s="1"/>
  <c r="I351" i="11"/>
  <c r="I353" i="11" s="1"/>
  <c r="I73" i="12"/>
  <c r="I129" i="11"/>
  <c r="I131" i="11" s="1"/>
  <c r="I261" i="11"/>
  <c r="I263" i="11" s="1"/>
  <c r="I276" i="11"/>
  <c r="I278" i="11" s="1"/>
  <c r="I330" i="11"/>
  <c r="I332" i="11" s="1"/>
  <c r="I348" i="11"/>
  <c r="I350" i="11" s="1"/>
  <c r="I108" i="12"/>
  <c r="I110" i="12" s="1"/>
  <c r="I303" i="11"/>
  <c r="I305" i="11" s="1"/>
  <c r="I306" i="11"/>
  <c r="I308" i="11" s="1"/>
  <c r="I345" i="11"/>
  <c r="I347" i="11" s="1"/>
  <c r="I42" i="12"/>
  <c r="I44" i="12" s="1"/>
  <c r="I42" i="11"/>
  <c r="I44" i="11" s="1"/>
  <c r="I18" i="12"/>
  <c r="I20" i="12" s="1"/>
  <c r="I204" i="11"/>
  <c r="I206" i="11" s="1"/>
  <c r="I99" i="12"/>
  <c r="I101" i="12" s="1"/>
  <c r="I106" i="12"/>
  <c r="I114" i="12"/>
  <c r="I116" i="12" s="1"/>
  <c r="I312" i="11"/>
  <c r="I314" i="11" s="1"/>
  <c r="I315" i="11"/>
  <c r="I317" i="11" s="1"/>
  <c r="I58" i="12"/>
  <c r="I43" i="13"/>
  <c r="I79" i="13"/>
  <c r="I324" i="11"/>
  <c r="I326" i="11" s="1"/>
  <c r="I51" i="13"/>
  <c r="I53" i="13" s="1"/>
  <c r="I40" i="12"/>
  <c r="I90" i="12"/>
  <c r="I92" i="12" s="1"/>
  <c r="I31" i="13"/>
  <c r="I37" i="12"/>
  <c r="I87" i="12"/>
  <c r="I89" i="12" s="1"/>
  <c r="I60" i="12"/>
  <c r="I62" i="12" s="1"/>
  <c r="I19" i="13"/>
  <c r="I45" i="13"/>
  <c r="I47" i="13" s="1"/>
  <c r="I84" i="12"/>
  <c r="I86" i="12" s="1"/>
  <c r="I30" i="12"/>
  <c r="I32" i="12" s="1"/>
  <c r="I54" i="13"/>
  <c r="I56" i="13" s="1"/>
  <c r="I73" i="14"/>
  <c r="I75" i="13"/>
  <c r="I77" i="13" s="1"/>
  <c r="I196" i="14"/>
  <c r="I48" i="12"/>
  <c r="I50" i="12" s="1"/>
  <c r="I19" i="14"/>
  <c r="I82" i="14"/>
  <c r="N120" i="12"/>
  <c r="I15" i="14"/>
  <c r="I17" i="14" s="1"/>
  <c r="O120" i="12"/>
  <c r="I93" i="13"/>
  <c r="I95" i="13" s="1"/>
  <c r="I33" i="13"/>
  <c r="I35" i="13" s="1"/>
  <c r="I96" i="13"/>
  <c r="I98" i="13" s="1"/>
  <c r="I174" i="14"/>
  <c r="I176" i="14" s="1"/>
  <c r="I60" i="13"/>
  <c r="I62" i="13" s="1"/>
  <c r="I63" i="13"/>
  <c r="I65" i="13" s="1"/>
  <c r="I87" i="13"/>
  <c r="I89" i="13" s="1"/>
  <c r="I12" i="14"/>
  <c r="I14" i="14" s="1"/>
  <c r="I63" i="14"/>
  <c r="I65" i="14" s="1"/>
  <c r="I57" i="13"/>
  <c r="I59" i="13" s="1"/>
  <c r="I105" i="14"/>
  <c r="I107" i="14" s="1"/>
  <c r="I306" i="14"/>
  <c r="I308" i="14" s="1"/>
  <c r="N105" i="13"/>
  <c r="I21" i="13"/>
  <c r="I23" i="13" s="1"/>
  <c r="I84" i="13"/>
  <c r="I86" i="13" s="1"/>
  <c r="I276" i="14"/>
  <c r="I278" i="14" s="1"/>
  <c r="O105" i="13"/>
  <c r="I346" i="14"/>
  <c r="I132" i="14"/>
  <c r="I134" i="14" s="1"/>
  <c r="I163" i="14"/>
  <c r="I357" i="14"/>
  <c r="I359" i="14" s="1"/>
  <c r="I223" i="14"/>
  <c r="I57" i="14"/>
  <c r="I59" i="14" s="1"/>
  <c r="I168" i="14"/>
  <c r="I170" i="14" s="1"/>
  <c r="I235" i="14"/>
  <c r="I367" i="14"/>
  <c r="I84" i="14"/>
  <c r="I86" i="14" s="1"/>
  <c r="I273" i="14"/>
  <c r="I275" i="14" s="1"/>
  <c r="I315" i="14"/>
  <c r="I317" i="14" s="1"/>
  <c r="I54" i="14"/>
  <c r="I56" i="14" s="1"/>
  <c r="I190" i="14"/>
  <c r="I219" i="14"/>
  <c r="I221" i="14" s="1"/>
  <c r="I246" i="14"/>
  <c r="I248" i="14" s="1"/>
  <c r="I303" i="14"/>
  <c r="I305" i="14" s="1"/>
  <c r="I423" i="14"/>
  <c r="I425" i="14" s="1"/>
  <c r="I75" i="14"/>
  <c r="I77" i="14" s="1"/>
  <c r="I180" i="14"/>
  <c r="I182" i="14" s="1"/>
  <c r="I36" i="14"/>
  <c r="I38" i="14" s="1"/>
  <c r="I216" i="14"/>
  <c r="I218" i="14" s="1"/>
  <c r="I270" i="14"/>
  <c r="I272" i="14" s="1"/>
  <c r="I33" i="14"/>
  <c r="I35" i="14" s="1"/>
  <c r="I69" i="14"/>
  <c r="I71" i="14" s="1"/>
  <c r="I117" i="14"/>
  <c r="I119" i="14" s="1"/>
  <c r="I267" i="14"/>
  <c r="I269" i="14" s="1"/>
  <c r="I24" i="14"/>
  <c r="I26" i="14" s="1"/>
  <c r="I159" i="14"/>
  <c r="I161" i="14" s="1"/>
  <c r="I225" i="14"/>
  <c r="I227" i="14" s="1"/>
  <c r="I376" i="14"/>
  <c r="I21" i="14"/>
  <c r="I23" i="14" s="1"/>
  <c r="I177" i="14"/>
  <c r="I179" i="14" s="1"/>
  <c r="I279" i="14"/>
  <c r="I281" i="14" s="1"/>
  <c r="I283" i="14"/>
  <c r="I324" i="14"/>
  <c r="I326" i="14" s="1"/>
  <c r="I327" i="14"/>
  <c r="I329" i="14" s="1"/>
  <c r="I385" i="14"/>
  <c r="I406" i="14"/>
  <c r="I318" i="14"/>
  <c r="I320" i="14" s="1"/>
  <c r="N435" i="14"/>
  <c r="I309" i="14"/>
  <c r="I311" i="14" s="1"/>
  <c r="O435" i="14"/>
  <c r="I171" i="14"/>
  <c r="I173" i="14" s="1"/>
  <c r="I258" i="14"/>
  <c r="I260" i="14" s="1"/>
  <c r="I360" i="14"/>
  <c r="I362" i="14" s="1"/>
  <c r="I420" i="14"/>
  <c r="I422" i="14" s="1"/>
  <c r="I300" i="14"/>
  <c r="I302" i="14" s="1"/>
  <c r="I351" i="14"/>
  <c r="I353" i="14" s="1"/>
  <c r="I354" i="14"/>
  <c r="I356" i="14" s="1"/>
  <c r="I417" i="14"/>
  <c r="I419" i="14" s="1"/>
  <c r="I333" i="14"/>
  <c r="I335" i="14" s="1"/>
  <c r="I409" i="14"/>
  <c r="I240" i="14"/>
  <c r="I242" i="14" s="1"/>
  <c r="I297" i="14"/>
  <c r="I299" i="14" s="1"/>
  <c r="I339" i="14"/>
  <c r="I341" i="14" s="1"/>
  <c r="I432" i="14"/>
  <c r="I434" i="14" s="1"/>
  <c r="I330" i="14"/>
  <c r="I332" i="14" s="1"/>
  <c r="I414" i="14"/>
  <c r="I416" i="14" s="1"/>
  <c r="I288" i="14"/>
  <c r="I290" i="14" s="1"/>
  <c r="I381" i="14"/>
  <c r="I383" i="14" s="1"/>
  <c r="I402" i="14"/>
  <c r="I404" i="14" s="1"/>
  <c r="I429" i="14"/>
  <c r="I431" i="14" s="1"/>
  <c r="I18" i="6" l="1"/>
  <c r="I36" i="7"/>
  <c r="F205" i="7"/>
  <c r="I410" i="14"/>
  <c r="I407" i="14"/>
  <c r="I401" i="14"/>
  <c r="I395" i="14"/>
  <c r="I386" i="14"/>
  <c r="I377" i="14"/>
  <c r="I374" i="14"/>
  <c r="I368" i="14"/>
  <c r="I347" i="14"/>
  <c r="I284" i="14"/>
  <c r="I236" i="14"/>
  <c r="I224" i="14"/>
  <c r="I197" i="14"/>
  <c r="I191" i="14"/>
  <c r="I185" i="14"/>
  <c r="I164" i="14"/>
  <c r="I83" i="14"/>
  <c r="I74" i="14"/>
  <c r="I68" i="14"/>
  <c r="I20" i="14"/>
  <c r="I323" i="11"/>
  <c r="I299" i="11"/>
  <c r="I245" i="11"/>
  <c r="I233" i="11"/>
  <c r="I197" i="11"/>
  <c r="I185" i="11"/>
  <c r="I164" i="11"/>
  <c r="I158" i="11"/>
  <c r="I143" i="11"/>
  <c r="I62" i="11"/>
  <c r="I35" i="11"/>
  <c r="I80" i="13"/>
  <c r="I68" i="13"/>
  <c r="I44" i="13"/>
  <c r="I32" i="13"/>
  <c r="I20" i="13"/>
  <c r="I107" i="12"/>
  <c r="I74" i="12"/>
  <c r="I59" i="12"/>
  <c r="I41" i="12"/>
  <c r="I38" i="12"/>
  <c r="I29" i="12"/>
  <c r="M120" i="12"/>
  <c r="I56" i="9"/>
  <c r="I44" i="9"/>
  <c r="I29" i="9"/>
  <c r="I20" i="9"/>
  <c r="I17" i="9"/>
  <c r="I50" i="8"/>
  <c r="F54" i="8"/>
  <c r="E10" i="15" s="1"/>
  <c r="I204" i="7"/>
  <c r="I195" i="7"/>
  <c r="I177" i="7"/>
  <c r="I168" i="7"/>
  <c r="I162" i="7"/>
  <c r="I153" i="7"/>
  <c r="I129" i="7"/>
  <c r="I117" i="7"/>
  <c r="I108" i="7"/>
  <c r="I102" i="7"/>
  <c r="I93" i="7"/>
  <c r="I75" i="7"/>
  <c r="I57" i="7"/>
  <c r="M54" i="8"/>
  <c r="P54" i="8"/>
  <c r="F357" i="11"/>
  <c r="E14" i="15" s="1"/>
  <c r="F120" i="12"/>
  <c r="E16" i="15" s="1"/>
  <c r="M205" i="7"/>
  <c r="F43" i="6"/>
  <c r="E8" i="15" s="1"/>
  <c r="M43" i="6"/>
  <c r="P43" i="6"/>
  <c r="I12" i="6"/>
  <c r="D8" i="15"/>
  <c r="I15" i="6"/>
  <c r="E105" i="13"/>
  <c r="D17" i="15" s="1"/>
  <c r="F99" i="9"/>
  <c r="E11" i="15" s="1"/>
  <c r="E205" i="7"/>
  <c r="D9" i="15" s="1"/>
  <c r="M357" i="11"/>
  <c r="I54" i="8"/>
  <c r="F105" i="13"/>
  <c r="E17" i="15" s="1"/>
  <c r="M435" i="14"/>
  <c r="P357" i="11"/>
  <c r="P205" i="7"/>
  <c r="P105" i="13"/>
  <c r="P435" i="14"/>
  <c r="P120" i="12"/>
  <c r="E120" i="12"/>
  <c r="D16" i="15" s="1"/>
  <c r="I42" i="10"/>
  <c r="E42" i="10"/>
  <c r="D12" i="15" s="1"/>
  <c r="G12" i="15" s="1"/>
  <c r="M99" i="9"/>
  <c r="E9" i="15"/>
  <c r="E435" i="14"/>
  <c r="P99" i="9"/>
  <c r="F435" i="14"/>
  <c r="E54" i="8"/>
  <c r="D10" i="15" s="1"/>
  <c r="P42" i="10"/>
  <c r="E99" i="9"/>
  <c r="D11" i="15" s="1"/>
  <c r="I43" i="6" l="1"/>
  <c r="I435" i="14"/>
  <c r="I105" i="13"/>
  <c r="I120" i="12"/>
  <c r="G11" i="15"/>
  <c r="G10" i="15"/>
  <c r="I205" i="7"/>
  <c r="G16" i="15"/>
  <c r="G17" i="15"/>
  <c r="G9" i="15"/>
  <c r="E19" i="15"/>
  <c r="G8" i="15"/>
  <c r="I99" i="9"/>
  <c r="F31" i="16" l="1"/>
  <c r="F13" i="15" l="1"/>
  <c r="G13" i="15" l="1"/>
  <c r="F34" i="16"/>
  <c r="F36" i="16"/>
  <c r="F38" i="16"/>
  <c r="F40" i="16"/>
  <c r="F42" i="16"/>
  <c r="F44" i="16"/>
  <c r="F48" i="16"/>
  <c r="F50" i="16" s="1"/>
  <c r="F80" i="16" l="1"/>
  <c r="F15" i="15"/>
  <c r="G15" i="15" l="1"/>
  <c r="F19" i="15"/>
  <c r="I12" i="11" l="1"/>
  <c r="E357" i="11" s="1"/>
  <c r="D14" i="15" s="1"/>
  <c r="I14" i="11"/>
  <c r="I357" i="11" s="1"/>
  <c r="D19" i="15" l="1"/>
  <c r="G14" i="15"/>
  <c r="G19" i="15" s="1"/>
</calcChain>
</file>

<file path=xl/sharedStrings.xml><?xml version="1.0" encoding="utf-8"?>
<sst xmlns="http://schemas.openxmlformats.org/spreadsheetml/2006/main" count="1747" uniqueCount="868">
  <si>
    <t>Formular F3</t>
  </si>
  <si>
    <r>
      <t xml:space="preserve">Obiectiv: UTCB </t>
    </r>
    <r>
      <rPr>
        <sz val="10"/>
        <color theme="1"/>
        <rFont val="Calibri"/>
        <family val="2"/>
        <scheme val="minor"/>
      </rPr>
      <t>REAB.,CONS.CFDP CORP C22-C.NOU</t>
    </r>
  </si>
  <si>
    <t>LISTA_x000D_
cu cantitatile de lucrari pe categorii de lucrari</t>
  </si>
  <si>
    <t>[ ron ]</t>
  </si>
  <si>
    <t>Nr.</t>
  </si>
  <si>
    <t>Capitol lucrari</t>
  </si>
  <si>
    <t>U/M</t>
  </si>
  <si>
    <t>Cantitatea</t>
  </si>
  <si>
    <t>Pretul unitar</t>
  </si>
  <si>
    <t>Valoare</t>
  </si>
  <si>
    <t>Crt.</t>
  </si>
  <si>
    <t>Simbol</t>
  </si>
  <si>
    <t>a)materiale</t>
  </si>
  <si>
    <t>Denumire resursa</t>
  </si>
  <si>
    <t>b)manopera</t>
  </si>
  <si>
    <t>Observatii</t>
  </si>
  <si>
    <t>c)utilaj</t>
  </si>
  <si>
    <t>Corectii</t>
  </si>
  <si>
    <t>d)transport</t>
  </si>
  <si>
    <t>Liste Anexe</t>
  </si>
  <si>
    <t>Total(a+b+c+d)</t>
  </si>
  <si>
    <t xml:space="preserve">M CUB     </t>
  </si>
  <si>
    <t xml:space="preserve">MP        </t>
  </si>
  <si>
    <t xml:space="preserve">KG        </t>
  </si>
  <si>
    <t xml:space="preserve">M         </t>
  </si>
  <si>
    <t xml:space="preserve">BUCATA    </t>
  </si>
  <si>
    <t>Cheltuieli directe</t>
  </si>
  <si>
    <t/>
  </si>
  <si>
    <r>
      <t xml:space="preserve">Obiect: 03 </t>
    </r>
    <r>
      <rPr>
        <sz val="10"/>
        <color theme="1"/>
        <rFont val="Calibri"/>
        <family val="2"/>
        <scheme val="minor"/>
      </rPr>
      <t>INST.SANITARE</t>
    </r>
  </si>
  <si>
    <r>
      <t xml:space="preserve">Categorie: 00 </t>
    </r>
    <r>
      <rPr>
        <sz val="10"/>
        <color theme="1"/>
        <rFont val="Calibri"/>
        <family val="2"/>
        <scheme val="minor"/>
      </rPr>
      <t>INST.SANITARE-DEMONTARI</t>
    </r>
  </si>
  <si>
    <t>RPSA14A1     82</t>
  </si>
  <si>
    <t xml:space="preserve">DEMONTARE TEVI OTEL ZINC OBIEC SANIT 3/8-1 TOLI*                                                    </t>
  </si>
  <si>
    <t>RPSA14B1     82</t>
  </si>
  <si>
    <t xml:space="preserve">DEMONTARE TEVI OTEL ZINC OBIEC SANIT 11/4-2 TOLI*                                                   </t>
  </si>
  <si>
    <t>RPSB20A1     82</t>
  </si>
  <si>
    <t>RPSC05A      99</t>
  </si>
  <si>
    <t xml:space="preserve">DEMONTAREA OBIECTELOR SANITARE                                                                      </t>
  </si>
  <si>
    <t>RPSD15A1     82</t>
  </si>
  <si>
    <t xml:space="preserve">DEMONTARE ROBINET PT. UTILIZARI MULTIPLE 3/8" - 1/2"                                                </t>
  </si>
  <si>
    <t>RPSF01A1     82</t>
  </si>
  <si>
    <t xml:space="preserve">ZECI M    </t>
  </si>
  <si>
    <t xml:space="preserve">GOLIREA INSTALATIEI DE APA IN VEDEREA EXECUTARII REPARATIILOR *                                     </t>
  </si>
  <si>
    <t>RPSF02B1     82</t>
  </si>
  <si>
    <t>RPSF09A1     82</t>
  </si>
  <si>
    <t xml:space="preserve">DESFUNDAREA CANALULUI COLECTOR CU MIJLOACE MANUALE IN CANTITATI DE PINA LA 5 M                      </t>
  </si>
  <si>
    <t>IZJ12A1      82</t>
  </si>
  <si>
    <t>DESFACEREA IZOLATIILOR TERMICE DE ORICE FEL                                                        $</t>
  </si>
  <si>
    <t>RPCT09H1     82</t>
  </si>
  <si>
    <t>SPARGEREA PARTIALA CU MIJLOACE MEC SI MANUALA A ELEMENTELOR DE CONS.DIN BET.ARM.SI SIMPLU EXEC.FIN *</t>
  </si>
  <si>
    <t>RPCB06A1     82</t>
  </si>
  <si>
    <t xml:space="preserve">BETON ARMAT MARCA B150 TURNAT IN FUNDATII CU TALPICONT.SAU IZOLAT.IN RAD.SLAB SOLICIT.LA CLADIRI *  </t>
  </si>
  <si>
    <r>
      <t xml:space="preserve">Categorie: 01 </t>
    </r>
    <r>
      <rPr>
        <sz val="10"/>
        <color theme="1"/>
        <rFont val="Calibri"/>
        <family val="2"/>
        <scheme val="minor"/>
      </rPr>
      <t>INST.SANITARE INTERIOARE</t>
    </r>
  </si>
  <si>
    <t>SA03F        99</t>
  </si>
  <si>
    <t>RPIF12A      99</t>
  </si>
  <si>
    <t xml:space="preserve">GRUNDUIREA SI VOPSIREA CONDUCTELOR DE INSTALATII,2 STRATURI,VOPSEA ULEI,DIAMETRUL EXTERIOR &lt; 60 MM  </t>
  </si>
  <si>
    <t>RPIZD02A     99</t>
  </si>
  <si>
    <t xml:space="preserve">IZOL COND CU SALTELE DIN VATA STICL SAU MIN TIP I SAU P CONF SANT CU CIRC PESTE TERMOIZ &lt; 35CM INCL </t>
  </si>
  <si>
    <t>IC40E        99</t>
  </si>
  <si>
    <t>SA14B        99</t>
  </si>
  <si>
    <t>SA14C        99</t>
  </si>
  <si>
    <t>SA14D        99</t>
  </si>
  <si>
    <t>SA14E        99</t>
  </si>
  <si>
    <t>SA14F        99</t>
  </si>
  <si>
    <t>SA14G        99</t>
  </si>
  <si>
    <t>IZD07A       09</t>
  </si>
  <si>
    <t>RPIZD31B     99</t>
  </si>
  <si>
    <t>IC40D        99</t>
  </si>
  <si>
    <t>SB08A        99</t>
  </si>
  <si>
    <t>SB08C        99</t>
  </si>
  <si>
    <t>SB08E        99</t>
  </si>
  <si>
    <t>SB09A        99</t>
  </si>
  <si>
    <t>SB09C        99</t>
  </si>
  <si>
    <t>SB09E        99</t>
  </si>
  <si>
    <t>SB28A        99</t>
  </si>
  <si>
    <t>SB30A        99</t>
  </si>
  <si>
    <t>SB27A        99</t>
  </si>
  <si>
    <t>SB26A        99</t>
  </si>
  <si>
    <t>SF01A        99</t>
  </si>
  <si>
    <t xml:space="preserve">EFECTUAREA PROBEI DE ETANSEITATE LA PRESIUNE A INSTAL. APA, EXEC.CU COND.OL.PT.INSTAL,ZN., 3/8"-2   </t>
  </si>
  <si>
    <t>SF02A        99</t>
  </si>
  <si>
    <t xml:space="preserve">EFECTUAREA PROBEI DE FUNCTIONARE A INSTALATIEI DE APA RECE, CU COND.OL.PT.INSTAL.,ZN, D=3/8" - 2"   </t>
  </si>
  <si>
    <t>SF03A        99</t>
  </si>
  <si>
    <t>EFECTUAREA PROBEI DE FUNCTIONARE SI DE REZISTENTA A INSTAL. DE APA CALDA, CU TEAVA DIN OL, D= 3/8-2"</t>
  </si>
  <si>
    <t>SF04A        99</t>
  </si>
  <si>
    <t>EFECTUAREA PROBEI DE ETANSEITATE SI FUCTIONARE A INSTALATIEI DE CANALIZARE(INDIFERENT MAT.),D=&lt;100MM</t>
  </si>
  <si>
    <t>SF05A        99</t>
  </si>
  <si>
    <t xml:space="preserve">SPALAREA INSTALATIEI DE APA, EXECUTATA DIN TEAVA DE OTEL ZINCATA, D= 3/8" - 2"                      </t>
  </si>
  <si>
    <t>SC04A        99</t>
  </si>
  <si>
    <t>SC07A        99</t>
  </si>
  <si>
    <t>SC12A        99</t>
  </si>
  <si>
    <t>SC13A        99</t>
  </si>
  <si>
    <t xml:space="preserve">OGLINDA SANITARA,SEMICRISTAL-MARGINILE SLEFUITE,400*500MM ETC,PERETE DIN ZIDARIE SAU B.C.A          </t>
  </si>
  <si>
    <t>SC15A        99</t>
  </si>
  <si>
    <t>SD04A        99</t>
  </si>
  <si>
    <t xml:space="preserve">BATERIE AMESTECATOARE STATIVA PT. LAVOAR SAU SPALATOR,INDIFERENT MODUL DE INCHIDERE,D=1/2"          </t>
  </si>
  <si>
    <t>SC06A        99</t>
  </si>
  <si>
    <t xml:space="preserve">SPALATOR CU PICURATOR,FONTA;TABLA EMAILATA ,TEAVA SCURGERE-PLASTIC,MONT.PEPERETE DIN ZIDARIE        </t>
  </si>
  <si>
    <t>SC09A        99</t>
  </si>
  <si>
    <t xml:space="preserve">PISOAR DIN PORTELAN SANITAR MNTAT PE PERETE DIN ZIDARIE DE CARAMIDA SAU B.C.A.                      </t>
  </si>
  <si>
    <t>SD05A        99</t>
  </si>
  <si>
    <t xml:space="preserve">ROBINET DE REGLAJ, DREPT SAU COLTAR, MONT. INAINTEA ARMATURILOR OBIECTELOR SANITARE, D=3/8"-1/2"    </t>
  </si>
  <si>
    <t>SD07A        99</t>
  </si>
  <si>
    <t>SD07B        99</t>
  </si>
  <si>
    <t>SD07C        99</t>
  </si>
  <si>
    <t>SD07D        99</t>
  </si>
  <si>
    <t>SD07F        99</t>
  </si>
  <si>
    <t>RPAH02F1     82</t>
  </si>
  <si>
    <t>SE05XA       93</t>
  </si>
  <si>
    <t xml:space="preserve">USITA METALICA DE ACCES LA ROBINETE SAU PIESE DE  CURATIRE                                          </t>
  </si>
  <si>
    <t>IC44A        99</t>
  </si>
  <si>
    <t>IC43A        99</t>
  </si>
  <si>
    <t>RPSE27A      99</t>
  </si>
  <si>
    <t xml:space="preserve">MONTAREA USCATORULUI DE MIINI SAU DISTRIBUITORULUI AUTOMAT DE SAPUN LICHID,PE PERETE DIN ZIDARIE    </t>
  </si>
  <si>
    <t>SE58B        99</t>
  </si>
  <si>
    <t>SE55A        99</t>
  </si>
  <si>
    <r>
      <t xml:space="preserve">Categorie: 02 </t>
    </r>
    <r>
      <rPr>
        <sz val="10"/>
        <color theme="1"/>
        <rFont val="Calibri"/>
        <family val="2"/>
        <scheme val="minor"/>
      </rPr>
      <t>INST.HIDRANTI INTERIORI</t>
    </r>
  </si>
  <si>
    <t>SA38F        99</t>
  </si>
  <si>
    <t xml:space="preserve">BRATARA PT.FIXAREA COND.DE ALIM.CU APA SI GAZE,OTEL SAU PVC ,MONTATA PRIN IMPUSCARE, D= 2"          </t>
  </si>
  <si>
    <t>SA35A        99</t>
  </si>
  <si>
    <t>SD17B        99</t>
  </si>
  <si>
    <t xml:space="preserve">HIDRANT INTERIOR, PENTRU CLADIRI, CU DIAMETRUL DE 2", PE PERETE (CUTIE+RAMA)                        </t>
  </si>
  <si>
    <t>SA04A        99</t>
  </si>
  <si>
    <t>SA38A        99</t>
  </si>
  <si>
    <t xml:space="preserve">BRATARA PT.FIXAREA COND.DE ALIM.CU APA SI GAZE,OTEL SAU PVC ,MONTATA PRIN IMPUSCARE, D= 1/2"        </t>
  </si>
  <si>
    <t>IA18B        99</t>
  </si>
  <si>
    <t xml:space="preserve">HIDROMETRU SAU MANOMETRU CU ROBINET DE CONTROL                                                      </t>
  </si>
  <si>
    <t>SA33D        99</t>
  </si>
  <si>
    <r>
      <t xml:space="preserve">Categorie: 03 </t>
    </r>
    <r>
      <rPr>
        <sz val="10"/>
        <color theme="1"/>
        <rFont val="Calibri"/>
        <family val="2"/>
        <scheme val="minor"/>
      </rPr>
      <t>STATIE DE POMPARE INCENDIU</t>
    </r>
  </si>
  <si>
    <t>SA04C        99</t>
  </si>
  <si>
    <t>SA04F        99</t>
  </si>
  <si>
    <t>SA04E        99</t>
  </si>
  <si>
    <t>SA41C2       82</t>
  </si>
  <si>
    <t xml:space="preserve">FLANSA ROTUNDA PLATA,PT.SUDARE,LA CONDUCTE DIN TEAVA NEAGRA DE OTEL PT.INSTAL,PN 6;10;16ATM,D= 50MM </t>
  </si>
  <si>
    <t>SA38C        99</t>
  </si>
  <si>
    <t xml:space="preserve">BRATARA PT.FIXAREA COND.DE ALIM.CU APA SI GAZE,OTEL SAU PVC ,MONTATA PRIN IMPUSCARE, D= 1"          </t>
  </si>
  <si>
    <t>SA38E        99</t>
  </si>
  <si>
    <t xml:space="preserve">BRATARA PT.FIXAREA COND.DE ALIM.CU APA SI GAZE,OTEL SAU PVC ,MONTATA PRIN IMPUSCARE, D= 1 1/2"      </t>
  </si>
  <si>
    <t>SD06A        99</t>
  </si>
  <si>
    <t>SD06C        99</t>
  </si>
  <si>
    <t>IA18J        99</t>
  </si>
  <si>
    <t>SD09C        99</t>
  </si>
  <si>
    <t>SD10B        99</t>
  </si>
  <si>
    <t>SD11C        99</t>
  </si>
  <si>
    <t>IC48A        99</t>
  </si>
  <si>
    <t>SE56A        99</t>
  </si>
  <si>
    <t xml:space="preserve">FILTRU PT. APA POTABILA CU MUFE FILETATE PT. MONTAJ PE CONDUCTA,AVIND DIAMETRUL DE 1"-2"            </t>
  </si>
  <si>
    <t>SE58A        99</t>
  </si>
  <si>
    <t>IA18F        99</t>
  </si>
  <si>
    <t>SD19C        99</t>
  </si>
  <si>
    <t>IZA07B       99</t>
  </si>
  <si>
    <t>SE54D        99</t>
  </si>
  <si>
    <t>SD14A        99</t>
  </si>
  <si>
    <t>SE49A        99</t>
  </si>
  <si>
    <t xml:space="preserve">RECIPIENT PT.HIDROFOR, DIN TABLA DE OTEL, MONTAT PE FUNDATIE, CAPACITATE 160L SAU 250L              </t>
  </si>
  <si>
    <r>
      <t xml:space="preserve">Categorie: 04 </t>
    </r>
    <r>
      <rPr>
        <sz val="10"/>
        <color theme="1"/>
        <rFont val="Calibri"/>
        <family val="2"/>
        <scheme val="minor"/>
      </rPr>
      <t>RETEA EXT.CANALIZARE MENAJERA</t>
    </r>
  </si>
  <si>
    <t>ACD01G1      82</t>
  </si>
  <si>
    <t>CAPAC SI RAMA STAS 2308-81 PENTRU CAMINE CU PIESA SUPORT NECAROSABIL TIP I                         $</t>
  </si>
  <si>
    <t>RPACF14E     99</t>
  </si>
  <si>
    <t xml:space="preserve">CAMINE DE VIZITARE CU H=2 M, SECTIUNEA CIRCULARA, D = 1000 MM                                       </t>
  </si>
  <si>
    <t>ACD18B       99</t>
  </si>
  <si>
    <t>DF15XA       93</t>
  </si>
  <si>
    <t>RPCA01B1     82</t>
  </si>
  <si>
    <t xml:space="preserve">SAPATURA DE PAMINT IN SPATII LIMITATE SUB 1,00 M LATIME SI 1,50 M ADINCIME CU MALURI SPRIJINITE *   </t>
  </si>
  <si>
    <t>ACE08A1      82</t>
  </si>
  <si>
    <t>UMPLUTURA IN SANT.LA COND.DE ALIM.CU APA SI CANALIZARE CU: NISIP                                   $</t>
  </si>
  <si>
    <t>TSD01C1      82</t>
  </si>
  <si>
    <t xml:space="preserve">IMPRASTIEREA CU LOPATA A PAMINT.AFINAT,STRAT UNIFORM 10-30CM.GROS CU SFARIM.BULG.TEREN TARE         </t>
  </si>
  <si>
    <t>TSD04C1      82</t>
  </si>
  <si>
    <t xml:space="preserve">COMPACTAREA CU MAI.DE MINA A UMPLUT.EXECUT.PE STRAT.CU UDAREA FIEC.STRAT DE 20CM GROS.T.NECOEZIV    </t>
  </si>
  <si>
    <t>TSD13A1      82</t>
  </si>
  <si>
    <t xml:space="preserve">UDAREA MAN.CU STROPIT.A STRATURILOR DE PAM.SI A SUPRAF.INSAMINTATE SAU BRAZDUITE                    </t>
  </si>
  <si>
    <t>SF04B        99</t>
  </si>
  <si>
    <t>EFECTUAREA PROBEI DE ETANSEITATE SI FUCTIONARE A INSTALATIEI DE CANALIZARE(INDIFERENT MAT.),D=&gt;100MM</t>
  </si>
  <si>
    <r>
      <t xml:space="preserve">Obiect: 04 </t>
    </r>
    <r>
      <rPr>
        <sz val="10"/>
        <color theme="1"/>
        <rFont val="Calibri"/>
        <family val="2"/>
        <scheme val="minor"/>
      </rPr>
      <t>INST.TERMICE</t>
    </r>
  </si>
  <si>
    <r>
      <t xml:space="preserve">Categorie: 01 </t>
    </r>
    <r>
      <rPr>
        <sz val="10"/>
        <color theme="1"/>
        <rFont val="Calibri"/>
        <family val="2"/>
        <scheme val="minor"/>
      </rPr>
      <t>INST.TERMICE RADIAT.+C.T.</t>
    </r>
  </si>
  <si>
    <t>IB06C        99</t>
  </si>
  <si>
    <t>IB06B        99</t>
  </si>
  <si>
    <t>IB06A        99</t>
  </si>
  <si>
    <t>IB05A        99</t>
  </si>
  <si>
    <t>ID01A        99</t>
  </si>
  <si>
    <t>IC36F        99</t>
  </si>
  <si>
    <t>IC36E        99</t>
  </si>
  <si>
    <t>IC36D        99</t>
  </si>
  <si>
    <t>IC35D        99</t>
  </si>
  <si>
    <t>IC35A        99</t>
  </si>
  <si>
    <t>IC39B        99</t>
  </si>
  <si>
    <t>00613B5E     02</t>
  </si>
  <si>
    <t xml:space="preserve">TEU ALAMA PT. PEXAL TIP FI 26 X 1"                                                                  </t>
  </si>
  <si>
    <t>00613B2D     02</t>
  </si>
  <si>
    <t xml:space="preserve">MUFA /COT ALAMA PT. PEXAL TIP FI /FE 20 X 1/2"                                                      </t>
  </si>
  <si>
    <t>ID06A        99</t>
  </si>
  <si>
    <t xml:space="preserve">DEZAERATOR AUTOMAT DE COLOANA 1/2", LA DISTRIBUITOARELE DE INCALZIRE                                </t>
  </si>
  <si>
    <t>ID04A        99</t>
  </si>
  <si>
    <t xml:space="preserve">ROBINET DE GOLIRE 1/2" MF CU PORTFURTUN                                                             </t>
  </si>
  <si>
    <t xml:space="preserve">ROBINET MINI 1/2" CU SFERA MF, PT. CIRCUITELE DE LA DISTRIBUITOARE                                  </t>
  </si>
  <si>
    <t>00612C3A     02</t>
  </si>
  <si>
    <t xml:space="preserve">RACORD REHAU PT.TEAVA RAUTITAN 16X1/2" FI CU MANSON ALUNECATOR RAUTITAN MX                          </t>
  </si>
  <si>
    <t xml:space="preserve">RACORD REHAU PT.TEAVA RAUTITAN 16X1/2" FE CU MANSON ALUNECATOR RAUTITAN MX                          </t>
  </si>
  <si>
    <t>IB20A        99</t>
  </si>
  <si>
    <t xml:space="preserve">8804773        </t>
  </si>
  <si>
    <t xml:space="preserve">8804772        </t>
  </si>
  <si>
    <t xml:space="preserve">CASETA MET. PT. DISTRIBUITOR.600X400 MM                                                             </t>
  </si>
  <si>
    <t>IZD05E       09</t>
  </si>
  <si>
    <t>IC41B        99</t>
  </si>
  <si>
    <t>IC41A        99</t>
  </si>
  <si>
    <t xml:space="preserve">ROBINET DE TRECERE SAU DE RETINERE CU MUFE DN=1/2"-1" PTR. INST.DE INCALZIRE CENTRALA               </t>
  </si>
  <si>
    <t>IC38C        99</t>
  </si>
  <si>
    <t>IC38F        99</t>
  </si>
  <si>
    <t>IC38E        99</t>
  </si>
  <si>
    <t>IC38D        99</t>
  </si>
  <si>
    <t>IC38L        99</t>
  </si>
  <si>
    <t>IC38K        99</t>
  </si>
  <si>
    <t>IC38J        99</t>
  </si>
  <si>
    <t>IC30D        99</t>
  </si>
  <si>
    <t xml:space="preserve">FITINGURI DIN FONTA MALEABILA CU 2 INSURUBARI D=1'" MONT.PRIN ISURUBARE CU TEAVA DE OL              </t>
  </si>
  <si>
    <t>IA12B        99</t>
  </si>
  <si>
    <t>IA32A        99</t>
  </si>
  <si>
    <t>IA17B        99</t>
  </si>
  <si>
    <t>IA38A        99</t>
  </si>
  <si>
    <t>IA37B        99</t>
  </si>
  <si>
    <t>ID13A        99</t>
  </si>
  <si>
    <t>IA42C        99</t>
  </si>
  <si>
    <t>00611A09     02</t>
  </si>
  <si>
    <t>SD07I        99</t>
  </si>
  <si>
    <t>SD07E        99</t>
  </si>
  <si>
    <t>SD11B        99</t>
  </si>
  <si>
    <t>SD20C        99</t>
  </si>
  <si>
    <t>IC18XC       91</t>
  </si>
  <si>
    <t>IA18A        99</t>
  </si>
  <si>
    <t>IA20B        99</t>
  </si>
  <si>
    <t>IC46D        99</t>
  </si>
  <si>
    <t>IC41C        99</t>
  </si>
  <si>
    <t>IC42A        99</t>
  </si>
  <si>
    <t>IE08A        99</t>
  </si>
  <si>
    <t xml:space="preserve">SPALAREA CU APA POTABILA A INST.INT.DE INCALZ.CENTRALA SUPR.TOTALA A CORPURILOR PANA LA 100 MP      </t>
  </si>
  <si>
    <t>IE01A        99</t>
  </si>
  <si>
    <t xml:space="preserve">EFECT.PROBEI DE ETANSEIT.LA PRES.A INST.INC.CENTR.CU SUPR.TOT.A CORP.INCALZ.&lt;100MP                  </t>
  </si>
  <si>
    <t>IE02A        99</t>
  </si>
  <si>
    <t xml:space="preserve">EFECT.PROBEI DE DILAT.-CONTRACT.SI FUNCT.A INST.DE INC.CENTR.CU SUPR. TOT.A CORP.INC. &lt;100MP        </t>
  </si>
  <si>
    <t>RPCU06A      09</t>
  </si>
  <si>
    <t xml:space="preserve">EXECUTAREA SANTURILOR &lt; 5 CM ADINCIME, IN: PERETI DIN ZIDARIE DE CARAMIDA DE 5X50 CMP               </t>
  </si>
  <si>
    <t>IE05A        99</t>
  </si>
  <si>
    <t xml:space="preserve">DEMONT.DE PE POZITIE A CORPURILOR DE RADIAT. IN VEDEREA VOPSIRII SAU REPARATIEI SI REMONTAREA LOR   </t>
  </si>
  <si>
    <t>VB15A        99</t>
  </si>
  <si>
    <r>
      <t xml:space="preserve">Obiect: 05 </t>
    </r>
    <r>
      <rPr>
        <sz val="10"/>
        <color theme="1"/>
        <rFont val="Calibri"/>
        <family val="2"/>
        <scheme val="minor"/>
      </rPr>
      <t>INST.VENTILATII+CLIMATIZARE</t>
    </r>
  </si>
  <si>
    <r>
      <t xml:space="preserve">Categorie: 01 </t>
    </r>
    <r>
      <rPr>
        <sz val="10"/>
        <color theme="1"/>
        <rFont val="Calibri"/>
        <family val="2"/>
        <scheme val="minor"/>
      </rPr>
      <t>INST.CLIMATIZARE</t>
    </r>
  </si>
  <si>
    <t>IC33D        99</t>
  </si>
  <si>
    <t>IC31D        99</t>
  </si>
  <si>
    <t>IC31C        99</t>
  </si>
  <si>
    <t>IC31B        99</t>
  </si>
  <si>
    <t>IC31A        99</t>
  </si>
  <si>
    <t>IC34C        99</t>
  </si>
  <si>
    <t xml:space="preserve">PIESE DE LEGATURA (FITING) DIN CUPRU CU 2 SUDURI D=22 MM MONT.PRIN SUDURA CU TV.DE CUPRU            </t>
  </si>
  <si>
    <t xml:space="preserve">7805330        </t>
  </si>
  <si>
    <t xml:space="preserve">IZOLATIE TERMICA K-FLEX (BARA 2 M) 9 X 35 MM                                                        </t>
  </si>
  <si>
    <t xml:space="preserve">7805329        </t>
  </si>
  <si>
    <t xml:space="preserve">IZOLATIE TERMICA K-FLEX (BARA 2 M) 9 X 28 MM                                                        </t>
  </si>
  <si>
    <t xml:space="preserve">7805328        </t>
  </si>
  <si>
    <t xml:space="preserve">IZOLATIE TERMICA K-FLEX (BARA 2 M) 9 X 22 MM                                                        </t>
  </si>
  <si>
    <t xml:space="preserve">7805327        </t>
  </si>
  <si>
    <t xml:space="preserve">IZOLATIE TERMICA K-FLEX (BARA 2 M) 9 X 18 MM                                                        </t>
  </si>
  <si>
    <t xml:space="preserve">7805326        </t>
  </si>
  <si>
    <t xml:space="preserve">IZOLATIE TERMICA K-FLEX (BARA 2 M) 9 X 15 MM                                                        </t>
  </si>
  <si>
    <t xml:space="preserve">7805325        </t>
  </si>
  <si>
    <t xml:space="preserve">IZOLATIE TERMICA K-FLEX (BARA 2 M) 9 X 12 MM                                                        </t>
  </si>
  <si>
    <t xml:space="preserve">7805324        </t>
  </si>
  <si>
    <t xml:space="preserve">IZOLATIE TERMICA K-FLEX (BARA 2 M) 9 X 10 MM                                                        </t>
  </si>
  <si>
    <t xml:space="preserve">7805323        </t>
  </si>
  <si>
    <t xml:space="preserve">IZOLATIE TERMICA K-FLEX (BARA 2 M) 9 X 6 MM                                                         </t>
  </si>
  <si>
    <t>SA22C        99</t>
  </si>
  <si>
    <t xml:space="preserve">TEAVA MATERIAL PLASTIC, SUDURA -ELECTROFUZIUNE IN COND.DISTRIB, CLAD.LOCUIT-SOC.CULT.,D= 40MM       </t>
  </si>
  <si>
    <t>SA22B        99</t>
  </si>
  <si>
    <t>SA20B        99</t>
  </si>
  <si>
    <t>SA20A        99</t>
  </si>
  <si>
    <t>SA38D        99</t>
  </si>
  <si>
    <t xml:space="preserve">BRATARA PT.FIXAREA COND.DE ALIM.CU APA SI GAZE,OTEL SAU PVC ,MONTATA PRIN IMPUSCARE, D= 1 1/4"      </t>
  </si>
  <si>
    <t>SA38B        99</t>
  </si>
  <si>
    <t xml:space="preserve">BRATARA PT.FIXAREA COND.DE ALIM.CU APA SI GAZE,OTEL SAU PVC ,MONTATA PRIN IMPUSCARE, D= 3/4"        </t>
  </si>
  <si>
    <t>EA15D        99</t>
  </si>
  <si>
    <t>VC34A        99</t>
  </si>
  <si>
    <t xml:space="preserve">CONF./MONT.DISP.SUSTIN.ANCORARE (CONSOLA/CADRU/ANCORAJ) PT.AP./CANALE/PIESE SPEC.OL.PROFILAT &lt; 5KG  </t>
  </si>
  <si>
    <t>VC34D        99</t>
  </si>
  <si>
    <t xml:space="preserve">CONF./MONT.DISP.SUSTIN.ANCORARE (CONSOLA/CADRU/ANCORAJ) PT.AP./CANALE/PIESE SPEC.OL.&gt; 25KG          </t>
  </si>
  <si>
    <t>RPCU06A      99</t>
  </si>
  <si>
    <t xml:space="preserve">EXECUTAREA SANTURILOR &lt; 5 CM ADINCIME, IN: PERETI DIN ZIDARIE DE CARAMIDA DE 5X50 CM                </t>
  </si>
  <si>
    <t>IB09B        99</t>
  </si>
  <si>
    <t xml:space="preserve">AEROTERMA DE PERETE /TAVAN FUNCT.CU APA CALDA ,RACORDATA CU MUFE,AVAND PUTEREA CALORICA 8,1-19,0 KW </t>
  </si>
  <si>
    <t xml:space="preserve">8807015        </t>
  </si>
  <si>
    <t xml:space="preserve">TERMOSTAT AMBIENT                                                                                   </t>
  </si>
  <si>
    <r>
      <t xml:space="preserve">Categorie: 02 </t>
    </r>
    <r>
      <rPr>
        <sz val="10"/>
        <color theme="1"/>
        <rFont val="Calibri"/>
        <family val="2"/>
        <scheme val="minor"/>
      </rPr>
      <t>INST.VENT.GR.SANIT.VAR.1</t>
    </r>
  </si>
  <si>
    <t>SB08F        99</t>
  </si>
  <si>
    <t>SB08G        99</t>
  </si>
  <si>
    <t>IC40F        99</t>
  </si>
  <si>
    <t>SB09F        99</t>
  </si>
  <si>
    <t>SB09G        99</t>
  </si>
  <si>
    <t xml:space="preserve">PIESE DE LEGATURA, MAT. PLASTIC (PE,PP,PP-R) PT.CANALIZARE, IMBINARE CU GARNITURA, D= 160MM         </t>
  </si>
  <si>
    <t xml:space="preserve">PIESE DE LEGATURA, MAT. PLASTIC (PE,PP,PP-R) PT.CANALIZARE, IMBINARE CU GARNITURA, D= 200MM         </t>
  </si>
  <si>
    <t>SB10E        99</t>
  </si>
  <si>
    <t>SB10F        99</t>
  </si>
  <si>
    <t>SB10G        99</t>
  </si>
  <si>
    <t>VB14A1       82</t>
  </si>
  <si>
    <t>VC01F1       82</t>
  </si>
  <si>
    <t xml:space="preserve">MONTAREA VENTILATORULUI AXIAL GR.TOTALA 200-400KG                                                   </t>
  </si>
  <si>
    <t>VC22C1       82</t>
  </si>
  <si>
    <t xml:space="preserve">DISPOZITIV SUST.ANCOR PT.APARAT,CANALE PIESE SPEC GATA CONF DIN OTEL PROF.GREUT PE BUC 10-25 KG.    </t>
  </si>
  <si>
    <t>VA11A2       82</t>
  </si>
  <si>
    <t xml:space="preserve"> PIESE SPEC CONF.PE SANT.RAMIF.SECT.DREPT.CU PER.  250 - 400 MM DIN TABLA ZINCAT 0 5 MM             </t>
  </si>
  <si>
    <t>VD01B        99</t>
  </si>
  <si>
    <r>
      <t xml:space="preserve">Obiect: 06 </t>
    </r>
    <r>
      <rPr>
        <sz val="10"/>
        <color theme="1"/>
        <rFont val="Calibri"/>
        <family val="2"/>
        <scheme val="minor"/>
      </rPr>
      <t>INST.ELECTRICE</t>
    </r>
  </si>
  <si>
    <r>
      <t xml:space="preserve">Categorie: 01 </t>
    </r>
    <r>
      <rPr>
        <sz val="10"/>
        <color theme="1"/>
        <rFont val="Calibri"/>
        <family val="2"/>
        <scheme val="minor"/>
      </rPr>
      <t>INST.ELECTRICE</t>
    </r>
  </si>
  <si>
    <t>EA01A        99</t>
  </si>
  <si>
    <t>EA01B        99</t>
  </si>
  <si>
    <t>EC01A        99</t>
  </si>
  <si>
    <t>EC03A        99</t>
  </si>
  <si>
    <t xml:space="preserve">CABLU PT.ENERGIE EL.,S.CONDUCTOR &lt;=10 MMP,  MONT.CU SCOABE PE CONSOLE FIX.CU BOLT.IMPLANTATE        </t>
  </si>
  <si>
    <t>EC03B        99</t>
  </si>
  <si>
    <t>EC03C        99</t>
  </si>
  <si>
    <t xml:space="preserve">CABLU PT.ENERGIE EL.,S.CONDUCTOR 25 SAU 35 MMP,  MONT.CU SCOABE PE CONSOLE FIX.CU BOLT.IMPLANTATE   </t>
  </si>
  <si>
    <t>EC03D        99</t>
  </si>
  <si>
    <t>EC03E        99</t>
  </si>
  <si>
    <t>EC08A        99</t>
  </si>
  <si>
    <t>EC08B        99</t>
  </si>
  <si>
    <t>ED01B        99</t>
  </si>
  <si>
    <t>ED02A        99</t>
  </si>
  <si>
    <t xml:space="preserve">APARAT DE COMUTARE,SEMNALIZ.(INTRERUP,COMUTATOR,PRIZA,BUTON) &lt;25A,MONT.APARENT,CU DIBLU.MAT.PLASTIC </t>
  </si>
  <si>
    <t>EA17B        99</t>
  </si>
  <si>
    <t>ED03B        99</t>
  </si>
  <si>
    <t>00804D05A5   02</t>
  </si>
  <si>
    <t>00801A11A    02</t>
  </si>
  <si>
    <t xml:space="preserve">DETECTOARE DE PREZENTA, MONTATE IN INTERIOR                                                         </t>
  </si>
  <si>
    <t>EA13A        99</t>
  </si>
  <si>
    <t>EA14A        99</t>
  </si>
  <si>
    <t>EA16C        99</t>
  </si>
  <si>
    <t>EE22B        99</t>
  </si>
  <si>
    <t xml:space="preserve">CORP DE ILUMINAT FLUORESCENT, PT.PLAFOANE FALSE, AVAND DIMENSIUNILE DE:  600 X 600 MM               </t>
  </si>
  <si>
    <t>EE12C        99</t>
  </si>
  <si>
    <t>EE05A        99</t>
  </si>
  <si>
    <t>EE04C        99</t>
  </si>
  <si>
    <t>EE08A        99</t>
  </si>
  <si>
    <t>EE14A        99</t>
  </si>
  <si>
    <t>EE19A        99</t>
  </si>
  <si>
    <t>EE17A        99</t>
  </si>
  <si>
    <t>EE18A        99</t>
  </si>
  <si>
    <t>EE16A        99</t>
  </si>
  <si>
    <t>EE16B        99</t>
  </si>
  <si>
    <t>EE11A        99</t>
  </si>
  <si>
    <t>EE23A        99</t>
  </si>
  <si>
    <t>EE10B        99</t>
  </si>
  <si>
    <t>EE13A        99</t>
  </si>
  <si>
    <t>EF01A        99</t>
  </si>
  <si>
    <t>EF01C        99</t>
  </si>
  <si>
    <t>EF01B        99</t>
  </si>
  <si>
    <t xml:space="preserve">TABLOU EL.PE SCHELET METALIC, CU MASCA, MONTAT APARENT SAU IN NISA, CU SUPRAFATA 0,31 … 0,90 MP     </t>
  </si>
  <si>
    <t>EC11E        99</t>
  </si>
  <si>
    <t>EC11D        99</t>
  </si>
  <si>
    <t xml:space="preserve">CAP TERMINAL USCAT,INTER.,LA CABL.(CONDUC.AL./CU.)+LEG.LA BORNE INST.CU PAPUC,3X 70+35/3X 95+ 50MMP </t>
  </si>
  <si>
    <t>EC11C        99</t>
  </si>
  <si>
    <t>EC11B        99</t>
  </si>
  <si>
    <t>EC11A        99</t>
  </si>
  <si>
    <t>00802B12A1   02</t>
  </si>
  <si>
    <t xml:space="preserve">MONTAJ DETECTOARE "ADRESABILE" DE FUM, TEMP, COMBIN (FUM+ TEMP) PE TAVAN BETON                      </t>
  </si>
  <si>
    <t>00802B27A1   02</t>
  </si>
  <si>
    <t>00802B17A1   02</t>
  </si>
  <si>
    <t xml:space="preserve">MONTAJ DETECTOARE DE GAZ PENTRU MEDIU NORMAL                                                        </t>
  </si>
  <si>
    <t>00802B18A1   02</t>
  </si>
  <si>
    <t>00802B24A2   02</t>
  </si>
  <si>
    <t>00802B24A1   02</t>
  </si>
  <si>
    <t>00802B23A1   02</t>
  </si>
  <si>
    <t>00802B04C1   02</t>
  </si>
  <si>
    <t>00803C01A1   02</t>
  </si>
  <si>
    <t>00803C03A1   02</t>
  </si>
  <si>
    <t>00803C08A2   02</t>
  </si>
  <si>
    <t>00803C04A1   02</t>
  </si>
  <si>
    <t>00803C12D4   02</t>
  </si>
  <si>
    <t>00803C13C1   02</t>
  </si>
  <si>
    <t>00804D04A2   02</t>
  </si>
  <si>
    <t>EF03B        99</t>
  </si>
  <si>
    <t>00804D07A4   02</t>
  </si>
  <si>
    <t>00804D05A2   02</t>
  </si>
  <si>
    <t>00804D06A1   02</t>
  </si>
  <si>
    <t>00804D09A2   02</t>
  </si>
  <si>
    <t>00804D02A2   02</t>
  </si>
  <si>
    <t>00804D06A2   02</t>
  </si>
  <si>
    <t xml:space="preserve">MONTARE ACCESORII: BUTON DE URGENTA                                                                 </t>
  </si>
  <si>
    <t>00804D02C3   02</t>
  </si>
  <si>
    <t xml:space="preserve">SET       </t>
  </si>
  <si>
    <t>00804D10A2   02</t>
  </si>
  <si>
    <t>EG09A        99</t>
  </si>
  <si>
    <t xml:space="preserve">5204247        </t>
  </si>
  <si>
    <t>EG01F        99</t>
  </si>
  <si>
    <t xml:space="preserve">TIJA DE CAPTARE PT.INSTAL.DE PROTECTIE IMPOTRIVA TRASNETULUI, 5M,MONT.PE ZIDARIE DIN CARAMIDA       </t>
  </si>
  <si>
    <t>EG13A        99</t>
  </si>
  <si>
    <t>W1R06A1      82</t>
  </si>
  <si>
    <t>TCD11A1      82</t>
  </si>
  <si>
    <t>SE59A        99</t>
  </si>
  <si>
    <t>00803C13C3   02</t>
  </si>
  <si>
    <t>EI20A        99</t>
  </si>
  <si>
    <t>EH01A        99</t>
  </si>
  <si>
    <t xml:space="preserve">INCERCAREA CABLULUI DE ENERGIE ELECTRICA DE MAX. 1KV (MASURAT LA BUCATA TRONSON)                    </t>
  </si>
  <si>
    <t>EH08A        99</t>
  </si>
  <si>
    <t xml:space="preserve">PROBA DE 72 ORE PT.TOTAL ANSAMBLU INSTALATIE (MASURAT LA ANSAMBLU INSTALATIE)                       </t>
  </si>
  <si>
    <t>AUT6729      82</t>
  </si>
  <si>
    <t xml:space="preserve">ORE       </t>
  </si>
  <si>
    <t xml:space="preserve">        BENEFICIAR                             EXECUTANT</t>
  </si>
  <si>
    <t>Formular F4</t>
  </si>
  <si>
    <t>LISTA_x000D_
cu cantitatile de utilaje si echipamente tehnologice, inclusiv dotari</t>
  </si>
  <si>
    <t>Cod</t>
  </si>
  <si>
    <t>Valoarea</t>
  </si>
  <si>
    <t>Fisa tehnica</t>
  </si>
  <si>
    <t>Denumirea</t>
  </si>
  <si>
    <t>(exclusiv TVA)</t>
  </si>
  <si>
    <t>atasata</t>
  </si>
  <si>
    <t>a)  Utilaje, echipamente tehnologice si functionale care necesita montaj</t>
  </si>
  <si>
    <t xml:space="preserve">1      </t>
  </si>
  <si>
    <t>FT1</t>
  </si>
  <si>
    <t>FT2</t>
  </si>
  <si>
    <t>FT3</t>
  </si>
  <si>
    <t>Total obiect</t>
  </si>
  <si>
    <r>
      <t xml:space="preserve">Obiect 03 </t>
    </r>
    <r>
      <rPr>
        <sz val="10"/>
        <color theme="1"/>
        <rFont val="Calibri"/>
        <family val="2"/>
        <scheme val="minor"/>
      </rPr>
      <t>INST.SANITARE</t>
    </r>
  </si>
  <si>
    <t xml:space="preserve">CONTOR APA RECE                                             </t>
  </si>
  <si>
    <t xml:space="preserve">10     </t>
  </si>
  <si>
    <t>FT10</t>
  </si>
  <si>
    <t xml:space="preserve">STINGATOR PORTATIV P3                                       </t>
  </si>
  <si>
    <t xml:space="preserve">11     </t>
  </si>
  <si>
    <t>FT11</t>
  </si>
  <si>
    <t xml:space="preserve">PICHET PSI                                                  </t>
  </si>
  <si>
    <t xml:space="preserve">2.     </t>
  </si>
  <si>
    <t xml:space="preserve">POMPA SUBMERSIBILA CU PLUTITOR PENTRU BASA                  </t>
  </si>
  <si>
    <t xml:space="preserve">3.     </t>
  </si>
  <si>
    <t xml:space="preserve">STATIE DE COLECTARE SI POMPARE AUTOMATA                     </t>
  </si>
  <si>
    <t xml:space="preserve">4.     </t>
  </si>
  <si>
    <t>FT4</t>
  </si>
  <si>
    <t>STATIE DE COLECTARE SI EVACUARE APE UZATE SI REZ DE UZ CASNI</t>
  </si>
  <si>
    <t xml:space="preserve">5.     </t>
  </si>
  <si>
    <t>FT5</t>
  </si>
  <si>
    <t xml:space="preserve">GRUP POMPARE INCENDIU HIDR INT 1PA+1PP(TAB AUT INCLUS)      </t>
  </si>
  <si>
    <t xml:space="preserve">6      </t>
  </si>
  <si>
    <t>FT6</t>
  </si>
  <si>
    <t xml:space="preserve">VAS EXPANSIUNE INCHIS,CU MEMBRANA. CAPACITATE 60L           </t>
  </si>
  <si>
    <t xml:space="preserve">7      </t>
  </si>
  <si>
    <t>FT7</t>
  </si>
  <si>
    <t xml:space="preserve">HIDRANT INTERIOR DE INCENDIU, COMPLET ECHIPAT               </t>
  </si>
  <si>
    <t xml:space="preserve">8      </t>
  </si>
  <si>
    <t>FT8</t>
  </si>
  <si>
    <t xml:space="preserve">REZERVOR STOCARE APA INCENDIU. CAPACITATE 1000L             </t>
  </si>
  <si>
    <t xml:space="preserve">9      </t>
  </si>
  <si>
    <t>FT9</t>
  </si>
  <si>
    <t xml:space="preserve">STINGATOR PORTATIV CU PULBERE TIP P6                        </t>
  </si>
  <si>
    <r>
      <t xml:space="preserve">Obiect 04 </t>
    </r>
    <r>
      <rPr>
        <sz val="10"/>
        <color theme="1"/>
        <rFont val="Calibri"/>
        <family val="2"/>
        <scheme val="minor"/>
      </rPr>
      <t>INST.TERMICE</t>
    </r>
  </si>
  <si>
    <t xml:space="preserve">2.1    </t>
  </si>
  <si>
    <t xml:space="preserve">GRUP TERMIC MURAL 115KW, CONDENSATIE                        </t>
  </si>
  <si>
    <t xml:space="preserve">2.2    </t>
  </si>
  <si>
    <t>5FT2</t>
  </si>
  <si>
    <t xml:space="preserve">VAS DE EXPANSIUNE 100LT                                     </t>
  </si>
  <si>
    <t xml:space="preserve">2.3    </t>
  </si>
  <si>
    <t xml:space="preserve">BOILER 500 LT PENTRU APA CALDA                              </t>
  </si>
  <si>
    <t xml:space="preserve">2.4    </t>
  </si>
  <si>
    <t xml:space="preserve">VAS DE EXPANSIUNE 25LT PENTRU BOILER                        </t>
  </si>
  <si>
    <t xml:space="preserve">2.5    </t>
  </si>
  <si>
    <t xml:space="preserve">POMPA CIRCULATIE CAZANE MURALE                              </t>
  </si>
  <si>
    <t xml:space="preserve">2.6    </t>
  </si>
  <si>
    <t xml:space="preserve">POMPA CIRCULATIE RADIATOARE                                 </t>
  </si>
  <si>
    <t xml:space="preserve">2.7    </t>
  </si>
  <si>
    <t xml:space="preserve">POMPA CIRCULATIE BOILER                                     </t>
  </si>
  <si>
    <t xml:space="preserve">2.8    </t>
  </si>
  <si>
    <t xml:space="preserve">KIT COAXIAL EVACUARE GAZE ARSE CENTR CONDENSATIE            </t>
  </si>
  <si>
    <r>
      <t xml:space="preserve">Obiect 05 </t>
    </r>
    <r>
      <rPr>
        <sz val="10"/>
        <color theme="1"/>
        <rFont val="Calibri"/>
        <family val="2"/>
        <scheme val="minor"/>
      </rPr>
      <t>INST.VENTILATII+CLIMATIZARE</t>
    </r>
  </si>
  <si>
    <t xml:space="preserve">05.2   </t>
  </si>
  <si>
    <t>VENTILATOR EXTRACTIE GR. SANITARE 1050 MC/H IN LINE 2 TREPTE</t>
  </si>
  <si>
    <t xml:space="preserve">05.3   </t>
  </si>
  <si>
    <t>VENTILATOR EXTRACTIE GR. SANITARE 730 MC/H IN LINE, 2 TREPTE</t>
  </si>
  <si>
    <t xml:space="preserve">5.1    </t>
  </si>
  <si>
    <t xml:space="preserve">UNITATE EXT TIP VRV PT CLIMATIZARE 15.5KW                   </t>
  </si>
  <si>
    <t xml:space="preserve">5.10   </t>
  </si>
  <si>
    <t xml:space="preserve">UNITATE INTERIOARA DE PERETE 2.2 KW                         </t>
  </si>
  <si>
    <t xml:space="preserve">5.11   </t>
  </si>
  <si>
    <t xml:space="preserve">STATIE DE NEUTRALIZARE+POMPARE CONDENS                      </t>
  </si>
  <si>
    <t xml:space="preserve">5.2    </t>
  </si>
  <si>
    <t xml:space="preserve">UNITATE EXT TIP VRV PT CLIMATIZARE 14KW                     </t>
  </si>
  <si>
    <t xml:space="preserve">5.3    </t>
  </si>
  <si>
    <t xml:space="preserve">UNITATE EXT TIP VRV PT CLIMATIZARE 11.2 KW                  </t>
  </si>
  <si>
    <t xml:space="preserve">5.4    </t>
  </si>
  <si>
    <t xml:space="preserve">UNITATE INT DE CLIMATIZARE TIP CASETA 3.6 KW                </t>
  </si>
  <si>
    <t xml:space="preserve">5.5    </t>
  </si>
  <si>
    <t xml:space="preserve">UNITATE INT DE PERETE 7.1 KW                                </t>
  </si>
  <si>
    <t xml:space="preserve">5.6    </t>
  </si>
  <si>
    <t xml:space="preserve">UNITATE INTERIOARA DE PERETE 5.6 KW                         </t>
  </si>
  <si>
    <t xml:space="preserve">5.7    </t>
  </si>
  <si>
    <t xml:space="preserve">UNITATE INTERIOARA DE PERETE 4.5 KW                         </t>
  </si>
  <si>
    <t xml:space="preserve">5.8    </t>
  </si>
  <si>
    <t xml:space="preserve">UNITATE INTERIOARA DE PERETE 3.6 KW                         </t>
  </si>
  <si>
    <t xml:space="preserve">5.9    </t>
  </si>
  <si>
    <t xml:space="preserve">UNITATE INTERIOARA DE PERETE 2.8 KW                         </t>
  </si>
  <si>
    <t>Total :</t>
  </si>
  <si>
    <t xml:space="preserve">                                               OFERTANT</t>
  </si>
  <si>
    <t xml:space="preserve">Cod </t>
  </si>
  <si>
    <t>Denumire</t>
  </si>
  <si>
    <t>Deviz</t>
  </si>
  <si>
    <t>Lucrare/echipament/dotare</t>
  </si>
  <si>
    <t>Material</t>
  </si>
  <si>
    <t>Manopera</t>
  </si>
  <si>
    <t xml:space="preserve">Echipament </t>
  </si>
  <si>
    <t>TOTAL</t>
  </si>
  <si>
    <t>F4</t>
  </si>
  <si>
    <t>O.03 D.03</t>
  </si>
  <si>
    <t>O.03 D.00</t>
  </si>
  <si>
    <t>O.03 D.01</t>
  </si>
  <si>
    <t>O.03 D.02</t>
  </si>
  <si>
    <t>O.03 D.04</t>
  </si>
  <si>
    <t>O.04 D.01</t>
  </si>
  <si>
    <t>O.05 D.01</t>
  </si>
  <si>
    <t>O.05 D.02</t>
  </si>
  <si>
    <t>Total(a+b)</t>
  </si>
  <si>
    <t xml:space="preserve">DEMONTARE TUB FONTA CANALIZ 50 MM - 100 MM  - asim. Demontare tub canalizare 40 mm                                                            </t>
  </si>
  <si>
    <t>BUSONAREA CONDUCTEI ALIMENTARE CU APA IN VEDEREA  DESFIINTARII POZ OBIECTE ARMATURI DN  1/2"       $ - DOP  DIN FONTA MALEABILA T9 S487 DN  15  1/2</t>
  </si>
  <si>
    <t>TEAVA DIN OTEL ZN PT. INSTALATII, MONTATA IN COLOANE, LA CLAD.DE LOCUIT SI SOCIAL CULTURALE, 2 "    - TEAVA INST.ZINC   FL+MF M  - 50(2    ) OL  32 1  S 7656</t>
  </si>
  <si>
    <t>BRATARA PT.FIXARE COND.OL PT.INST.INC.CENTR.SAU GAZE D=11/4-2" MONT.PRIN DIBLURI EXP PE ZID BETON   -BRATARI TEVI INSTALATII APA SI GAZE    2"</t>
  </si>
  <si>
    <t xml:space="preserve">TEAVA DIN MATERIAL PLASTIC(PE,PP,PP-R,SIMILAR),SUDURA PRIN POLIFUZIUNE,CONSTRUCTII IND, D=20MM    -Teava din polipropilena compozita avand Dn 20x2,8 mm                                               </t>
  </si>
  <si>
    <t xml:space="preserve">TEAVA DIN MATERIAL PLASTIC(PE,PP,PP-R,SIMILAR),SUDURA PRIN POLIFUZIUNE,CONSTRUCTII IND, D=25MM     - Teava din polipropilena compozita avand Dn 25x3,5 mm                                                </t>
  </si>
  <si>
    <t xml:space="preserve">TEAVA DIN MATERIAL PLASTIC(PE,PP,PP-R,SIMILAR),SUDURA PRIN POLIFUZIUNE,CONSTRUCTII IND, D=32MM      - Teava din polipropilena compozita avand Dn 32x4,4 mm           </t>
  </si>
  <si>
    <t xml:space="preserve">TEAVA DIN MATERIAL PLASTIC(PE,PP,PP-R,SIMILAR),SUDURA PRIN POLIFUZIUNE,CONSTRUCTII IND, D=50MM, PP-R ALBA CU FIBRA PN20 SDR 7,4  D.50X6,9MM  L=3M      </t>
  </si>
  <si>
    <t xml:space="preserve">TEAVA DIN MATERIAL PLASTIC(PE,PP,PP-R,SIMILAR),SUDURA PRIN POLIFUZIUNE,CONSTRUCTII IND, D=63MM, PP-R ALBA CU FIBRA PN20 SDR 7,4  D.63X8,6MM  L=3M      </t>
  </si>
  <si>
    <t xml:space="preserve">IZOLARE TUBURI (TEVI) POLIETILENA DIN PERETI SI PARDOSEALA CU IZOLATIE TIP TUBOLIT S, IZOLATIE TERMICA K-FLEX (BARA 2 M) 6 X 22                   </t>
  </si>
  <si>
    <t xml:space="preserve">IZOLARE TUBURI (TEVI) POLIETILENA DIN PERETI SI PARDOSEALA CU IZOLATIE TIP TUBOLIT S,IZOLATIE TERMICA K-FLEX (BARA 2 M) 6 X 28 ,    Idem, pt. teava de 25 mm                        </t>
  </si>
  <si>
    <t xml:space="preserve">IZOLARE TUBURI (TEVI) POLIETILENA DIN PERETI SI PARDOSEALA CU IZOLATIE TIP TUBOLIT S, IZOLATIE TERMICA K-FLEX (BARA 2 M) 6 X 35,   Idem, pt. teava de 32 mm              </t>
  </si>
  <si>
    <t xml:space="preserve">IZOLARE TUBURI (TEVI) POLIETILENA DIN PERETI SI PARDOSEALA CU IZOLATIE TIP TUBOLIT S , IZOLATIE TERMICA K-FLEX (BARA 2 M) 6 X 42,      Idem, pt. teava de 40 mm      </t>
  </si>
  <si>
    <t xml:space="preserve">     </t>
  </si>
  <si>
    <t xml:space="preserve">                     </t>
  </si>
  <si>
    <t xml:space="preserve">IZOLARE TUBURI (TEVI) POLIETILENA DIN PERETI SI PARDOSEALA CU IZOLATIE TIP TUBOLIT S  , IZOLATIE TERMICA K-FLEX (BARA 2 M) 9 X 54,       Idem, pt. teava de 50 mm         </t>
  </si>
  <si>
    <t xml:space="preserve">                        </t>
  </si>
  <si>
    <t xml:space="preserve">IZOLARE TUBURI (TEVI) POLIETILENA DIN PERETI SI PARDOSEALA CU IZOLATIE TIP TUBOLIT S , IZOLATIE TERMICA K-FLEX (BARA 2 M) 9 X 64 ,        Idem, pt. teava de 63 mm             </t>
  </si>
  <si>
    <t xml:space="preserve">ETANSAREA SAU FIXAREA PROT DIN TABLA LA IMBIN SAU A IZOL CU INELE DIN BANDA AL 1 X 20 MM, Banda perforata 12 mm latime si 0.75 mm grosime     </t>
  </si>
  <si>
    <t xml:space="preserve">TEAVA DIN MATERIAL PLASTIC(PE,PP,PP-R,SIMILAR),SUDURA PRIN POLIFUZIUNE,CONSTRUCTII IND, D=40MM, TEAVA POLIETILENA INALTA DENSITATE,PE80    pt. refulare pompe/base   </t>
  </si>
  <si>
    <t xml:space="preserve">TEAVA DIN MAT.PLASTIC(PE,PP,PP-R)PT.CANAL, APARENT- INGROPATA SUB PARDOSEALA, IMB. GARNITURA,D= 32MM, Teava polipropilena canalizare, D 32mm            </t>
  </si>
  <si>
    <t xml:space="preserve">TEAVA DIN MAT.PLASTIC(PE,PP,PP-R)PT.CANAL, APARENT- INGROPATA SUB PARDOSEALA, IMB. GARNITURA,D= 50MM,   Teava polipropilena canalizare, D 50mm  </t>
  </si>
  <si>
    <t xml:space="preserve">PIESE DE LEGATURA, MAT. PLASTIC (PE,PP,PP-R) PT.CANALIZARE, IMBINARE CU GARNITURA , D= 32 MM  ,   Fitinguri polipropilena canalizare, D 32mm        </t>
  </si>
  <si>
    <t xml:space="preserve">PIESE DE LEGATURA, MAT. PLASTIC (PE,PP,PP-R) PT.CANALIZARE, IMBINARE CU GARNITURA, D= 50MM      , Fitinguri polipropilena canalizare, D 50mm        </t>
  </si>
  <si>
    <t xml:space="preserve">PIESE DE LEGATURA, MAT. PLASTIC (PE,PP,PP-R) PT.CANALIZARE, IMBINARE CU GARNITURA, D= 110MM ,  Fitinguri polipropilena canalizare, D 110mm       </t>
  </si>
  <si>
    <t xml:space="preserve">TEAVA DIN MAT.PLASTIC(PE,PP,PP-R)PT.CANAL, APARENT- INGROPATA SUB PARDOSEALA, IMB. GARNITURA,D=110MM, Teava PEHD PN 4 bar, D 110x4.3 mm, tip GEBERIT pt. canalizare       </t>
  </si>
  <si>
    <t xml:space="preserve">SIFON DE PARDOSEALA DIN POLIPROPILENA, AVIND DIAMETRUL IESIRII DE 50 MM  ,  1 IESIRE D50 , 4 INTR. D40, VIZITABIL                            </t>
  </si>
  <si>
    <t xml:space="preserve">SUPORTI PT. SUSTINEREA CONDUCTELOR PENTRU CANALIZARE, AVIND GREUTATE DE PINA LA 2 KG,  SUPORTI, STELAJE, ETC. ZINCATE                   </t>
  </si>
  <si>
    <t xml:space="preserve">CACIULA DE VENTILATIE,DIN TABLA,MONTATA PE COLOANE DE AERISIRE,    D=50...150MM, CACIULA PENTRU VENTILATIE  DN= 100                       </t>
  </si>
  <si>
    <t xml:space="preserve">GURA DE SCURGERE,FONTA EMAILATA,PT. EVACUAREA APELOR DE PE TERASE-ACPERISURII,D=100-150 MM, Receptor terasa D 100mm  </t>
  </si>
  <si>
    <t xml:space="preserve">LAVOAR DIN SEMIPORTELAN, PORTELAN SANITAR ETC.-(INCL. PT.HANDICAPATI)CONSOLE PE ZIDARIE  , LAVOAR CLASIC           </t>
  </si>
  <si>
    <t xml:space="preserve">VAS CLOSET COMPLET ECHIPAT,PORTELAN ETC., REZERVOR MONT.LA INALTIME;SEMIINALTIME, SIFON TIP S   , VAS WC 'P' CLASIC      </t>
  </si>
  <si>
    <t xml:space="preserve">ETAJERA,MONTATA PE PERETE ZIDARIE CARAMIDA-B.C.A, ETAJERA DIN PORTELAN SANITAR ,  ETAJERA PORTELAN TIP E2.60                      </t>
  </si>
  <si>
    <t xml:space="preserve">OGLINDA SANITARA,SEMICRISTAL-MARGINILE SLEFUITE,400*500MM ETC,PERETE DIN ZIDARIE SAU B.C.A , OGLINDA GEAM TRAS SLEFUIT  5X400X600MM         </t>
  </si>
  <si>
    <t>CUIER PT. RUFARIE SAU PORTHIRTIE,DIN FONTA EMAILATA-MAT.PLASTIC-PORTELAN,PE PERETE DIN CARAMIDA-BCA, CUIER BAIE AMINOPLAST  2 AGATATORI</t>
  </si>
  <si>
    <t>CUIER PT. RUFARIE SAU PORTHIRTIE,DIN FONTA EMAILATA-MAT.PLASTIC-PORTELAN,PE PERETE DIN CARAMIDA-BCA, PORTHARTIE CU CAPAC, CROMAT</t>
  </si>
  <si>
    <t xml:space="preserve">BATERIE AMESTECATOARE STATIVA PT. LAVOAR SAU SPALATOR,INDIFERENT MODUL DE INCHIDERE,D=1/2"  , Baterie lavoar cu temporizare, BATERIE MONO LAVOAR CR          </t>
  </si>
  <si>
    <t xml:space="preserve">ROBINET DE REGLAJ, DREPT SAU COLTAR, MONT. INAINTEA ARMATURILOR OBIECTELOR SANITARE, D=3/8"-1/2"  , asim. Robinet temporizat pisoar D 1/2"              </t>
  </si>
  <si>
    <t>ROBINET DE TRECERE CU VENTIL SI MUFE, CU SAU FARA DESCARCARE,PT.TEVI DIN OTEL, D=3/8-1/2"   , ROBINET CU SERTAR/GOLIRE FIFI  1/2"</t>
  </si>
  <si>
    <t xml:space="preserve">ROBINET DE TRECERE CU VENTIL SI MUFE, CU SAU FARA DESCARCARE,PT.TEVI DIN OTEL, D=3/8-1/2"  , ROBINET TRECERE 1/2 MF CU SF.                               </t>
  </si>
  <si>
    <t xml:space="preserve">ROBINET DE TRECERE CU VENTIL SI MUFE, CU SAU FARA DESCARCARE,PT.TEVI DIN OTEL, D= 3/4" ,  ROBINET TRECERE 3/4 MF CU SF.             </t>
  </si>
  <si>
    <t xml:space="preserve">ROBINET DE TRECERE CU VENTIL SI MUFE, CU SAU FARA DESCARCARE,PT.TEVI DIN OTEL, D= 1" , ROBINET TRECERE 1 MF CU SF.               </t>
  </si>
  <si>
    <t xml:space="preserve">ROBINET DE TRECERE CU VENTIL SI MUFE, CU SAU FARA DESCARCARE,PT.TEVI DIN OTEL, D= 1 1/4" ,  ROBINET TRECERE 1 1/4 MF CU SFERA           </t>
  </si>
  <si>
    <t xml:space="preserve">ROBINET DE TRECERE CU VENTIL SI MUFE, CU SAU FARA DESCARCARE,PT.TEVI DIN OTEL, D= 2"  ,  ROBINET TRECERE 2 MF CU SF.              </t>
  </si>
  <si>
    <t xml:space="preserve">SPARGEREA MANUALA PERETI SAU BOLTI DIN BETON ARMATU PRIN EXTERIOR *   ,  Spargere beton                                                             </t>
  </si>
  <si>
    <t xml:space="preserve">CONFECT.,MONTAREA SI CIMENTAREA TEVII DE PROTECTIE LA TRECEREA COND.PRIN ZIDURI 1"-2" ,  TEAVA INST.NEAGRA FL+MF M  - 50(2    ) OL  32 1  S 7656              </t>
  </si>
  <si>
    <t xml:space="preserve">CONFECTIONARE SI MONTARE TEVI DE PROTECTIE CU D=1"-2" LA TRECEREA CONDUCTELOR PRIN PLANSEE  , TEAVA INST.NEAGRA FL+MF M  - 50(2    ) OL  32 1  S 7656          </t>
  </si>
  <si>
    <t xml:space="preserve">LAVOAR DIN SEMIPORTELAN, PORTELAN SANITAR ETC.-(INCL. PT.HANDICAPATI)CONSOLE PE ZIDARIE ,  LAVOAR FORMER SUSP.65X51            </t>
  </si>
  <si>
    <t xml:space="preserve">VAS CLOSET COMPLET ECHIPAT,PORTELAN ETC., REZERVOR MONT.LA INALTIME;SEMIINALTIME, SIFON TIP S   , VAS WC 'L'TESI  </t>
  </si>
  <si>
    <t xml:space="preserve">CONTOARE DE APA RECE SI CALDA, AVIND DIAMETRUL DE : 40 - 50 MM  , Montaj contor apa rece Dn 40                                                  </t>
  </si>
  <si>
    <t xml:space="preserve">GRUP COMPACT DE RIDICARE A PRESIUNII SI DE POMPARE (ELECTROPOMPA,RECIPIENT HIDROPNEUMATIC)   ,  Montaj pompa submersibila cu plutitor pentru basa        </t>
  </si>
  <si>
    <t xml:space="preserve">GRUP COMPACT DE RIDICARE A PRESIUNII SI DE POMPARE (ELECTROPOMPA,RECIPIENT HIDROPNEUMATIC) , Montaj statie de colectare si pompare automata (pompa tocatoare WC) prevazuta pe racordul de  refulare vas closet         </t>
  </si>
  <si>
    <t xml:space="preserve">GRUP COMPACT DE RIDICARE A PRESIUNII SI DE POMPARE (ELECTROPOMPA,RECIPIENT HIDROPNEUMATIC)   ,  Montaj statie de colectare si evacuare ape uzate         </t>
  </si>
  <si>
    <t xml:space="preserve">TEAVA DIN OTEL ZN PT. INSTALATII, MONTATA IN COLOANE, LA CLAD.DE LOCUIT SI SOCIAL CULTURALE, 2 "  ,  TEAVA INST.ZINC   FL+MF M  - 50(2    ) OL  32 1  S 7656  </t>
  </si>
  <si>
    <t xml:space="preserve">BRATARA PT.FIXAREA COND.DE ALIM.CU APA SI GAZE,OTEL SAU PVC ,MONTATA PRIN IMPUSCARE, D= 2"   , BRATARI TEVI INSTALATII APA SI GAZE       </t>
  </si>
  <si>
    <t xml:space="preserve">FITINGURI-FONTA MALEABILA,INSURUBARE,LA TEVILE DIN OTEL PT.INSTAL-ZINCATE,IN COL.PT.HIDRANTI INTR,2"  , Mufa din fonta maleabila  D=2"         </t>
  </si>
  <si>
    <t xml:space="preserve">FITINGURI-FONTA MALEABILA,INSURUBARE,LA TEVILE DIN OTEL PT.INSTAL-ZINCATE,IN COL.PT.HIDRANTI INTR,2"  , COT FONTA MALEABILA A1 </t>
  </si>
  <si>
    <t>FITINGURI-FONTA MALEABILA,INSURUBARE,LA TEVILE DIN OTEL PT.INSTAL-ZINCATE,IN COL.PT.HIDRANTI INTR,2",  TEU FONTA MAL B1 S476   DN=  50</t>
  </si>
  <si>
    <t>TEAVA DIN OTEL ZN PT. INSTALATII, MONTATA IN COND.DISTRIB, LA CLAD.DE LOCUIT SI SOCIAL CULT, 1/2 "  ,  TEAVA INST.ZINC   FL+MF M  - 15(  1/2) OL</t>
  </si>
  <si>
    <t xml:space="preserve">FITINGURI-FONTA MALEABILA,INSURUBARE,LA TEVILE DIN OTEL PT.INSTAL-ZINCATE,IN COL.PT.HIDRANTI INTR,2"  ,  Teu din fonta maleabila 2"-1/2"-2"          </t>
  </si>
  <si>
    <t xml:space="preserve">ROBINET DE TRECERE CU VENTIL SI MUFE, CU SAU FARA DESCARCARE,PT.TEVI DIN OTEL, D=3/8-1/2"  ,  ROBINET TREC. FONTA   1/2" A VENT+MUFA  PN10     </t>
  </si>
  <si>
    <t xml:space="preserve">CONF. SI MONT. TEVII DE PROTECTIE,OTEL PT.INSTAL.,NEAGRA, LA TRECEREA CONDUCT. PRIN PLANSEE D= 2" , TEAVA INST.NEAGRA NEFIL.M  - 50(2    ) OL  32 </t>
  </si>
  <si>
    <t xml:space="preserve">TEAVA DIN OTEL ZN PT. INSTALATII, MONTATA IN COND.DISTRIB, LA CLAD.DE LOCUIT SI SOCIAL CULT, 1 "  ,  TEAVA INST.ZINC   FL+MF M  - 25(1    ) OL  32  </t>
  </si>
  <si>
    <t xml:space="preserve">TEAVA DIN OTEL ZN PT. INSTALATII, MONTATA IN COND.DISTRIB, LA CLAD.DE LOCUIT SI SOCIAL CULT, 2 "   ,  TEAVA INST.ZINC   FL+MF M  - 50(2    ) OL  32 </t>
  </si>
  <si>
    <t>TEAVA DIN OTEL ZN PT. INSTALATII, MONTATA IN COND.DISTRIB, LA CLAD.DE LOCUIT SI SOCIAL CULT, 1 1/2 "  , TEAVA INST.ZINC   FL+MF M  - 40(1 1/2) OL  32</t>
  </si>
  <si>
    <t xml:space="preserve">FITINGURI-FONTA MALEABILA,INSURUBARE,LA TEVILE DIN OTEL PT.INSTAL-ZINCATE,IN COL.PT.HIDRANTI INTR,2", COT FONTA MALEABILA A1 </t>
  </si>
  <si>
    <t>FITINGURI-FONTA MALEABILA,INSURUBARE,LA TEVILE DIN OTEL PT.INSTAL-ZINCATE,IN COL.PT.HIDRANTI INTR,2", TEU FONTA MAL B1 S476   DN=  50</t>
  </si>
  <si>
    <t>FITINGURI-FONTA MALEABILA,INSURUBARE,LA TEVILE DIN OTEL PT.INSTAL-ZINCATE,IN COL.PT.HIDRANTI INTR,2", REDUCTIE FONTA MALEABILA N4 S 477  50X 40 ZN F2</t>
  </si>
  <si>
    <t xml:space="preserve">ROBINET DE TRECERE CU MUFA SI RACORD OLANDEZ, PENTRU TEAVA DIN OTEL, D= 3/8-1/2" , Robinet cu ventil sferic (bila), cu olandez cu d=1/2"                     </t>
  </si>
  <si>
    <t xml:space="preserve">ROBINET DE TRECERE CU MUFA SI RACORD OLANDEZ, PENTRU TEAVA DIN OTEL, D= 1"  , Robinet cu ventil sferic (bila), cu olandez cu d=1" (goliri)                            </t>
  </si>
  <si>
    <t xml:space="preserve">STUT CU ROBINET DE CONTROL PENTRU ARMATURI  D=1/2" pentru montare manometru                                                          </t>
  </si>
  <si>
    <t xml:space="preserve">ROBINET CU VENTIL CU FILETUL TIJEI LA INTERIOR,DIN FONTA CU FLANSA,DREPT SAU DE COLT,D=50-65MM   ,  ROB.SERT.PANA    A  PU  FC PN= 4    D= 50    </t>
  </si>
  <si>
    <t>ROBINET DE COLT CU VENTIL CU PLUTITOR, PT.OPRIREA ALIM. CU APA A REZERVOARELOR TAMPON, D=1 1/4-1 1/2 , ROBINET RETINERE VENTIL 1 1/2" PN 6 MUFA</t>
  </si>
  <si>
    <t xml:space="preserve">ROBINET DE RETINERE CU VENTIL DREPT DIN FONTA, CU FLANSE, D= 50-65 MM   ,  ROBINET RETINERE VENTIL 2"     PN 6 MUFA                            </t>
  </si>
  <si>
    <t xml:space="preserve">COMPENSATOR DE DILATATIE IN FORMA DE U DIN TV.OL.FARA SUDURA /SUD.LG. PT.CONSTR.D=51-57X3,5 MM   , ANTIVIBRANT 2"FF 80CM APA RECE   </t>
  </si>
  <si>
    <t xml:space="preserve">CONTOARE DE APA RECE SI CALDA, AVIND DIAMETRUL DE : 15 - 25 MM  , CONTOR CU ROTOR,MONOJET,INTR-IESIRE FILETATE,DN=25MM                                   </t>
  </si>
  <si>
    <t xml:space="preserve">FLUIER DE SEMNALIZARE PT.SUPRAPRESIUNE  MONTAT CU FLANSA   , Procurare + montaj Semnalizator acustic                                                    </t>
  </si>
  <si>
    <t xml:space="preserve">ROBINET DE RETINERE CU VENTIL DREPT CU MUFE FILETATE, AVIND DIAMETRUL DE: 1 1/4"-1 1/2" , VENTIL DE RETINERE DIN OTEL PT NM3 DN 50 NTR 1-80          </t>
  </si>
  <si>
    <t xml:space="preserve">VOPSIT.INST.(COND,CORP.RADIAT.CALOR.),MAN, CU: VOPS.ULEI PE COND.CU D.EXT. &gt;60 MM,  VOPSEA BRUNA               </t>
  </si>
  <si>
    <t xml:space="preserve">GRUP COMPACT DE RIDICARE A PRESIUNII SI DE POMPARE (ELECTROPOMPA,RECIPIENT HIDROPNEUMATIC) ,  HIDRANTI INTERIORI complet echipat          </t>
  </si>
  <si>
    <t xml:space="preserve">REZERVOR TAMPON DIN MATERIAL PLASTIC (POLIETILENA), CAPACITATE : 1500 - 2000 L  ,  Rezervor tampon de apa de incendiu V=1.0mc Diam=800mm                       </t>
  </si>
  <si>
    <t xml:space="preserve">SORB SIMPLU SAU CU VENTIL DE RETINERE,CU FLANSA, PT. CONDUCTE DE ASPIRATIE, D= 50-65 MM, SORB SIMPLU CU FLANSE  PU  DN= 50 PN=10             </t>
  </si>
  <si>
    <t xml:space="preserve">ROBINET DE TRECERE CU VENTIL SI MUFE, CU SAU FARA DESCARCARE,PT.TEVI DIN OTEL, D= 1" , ROBINET TREC. FONTA 1"     B DESCARCARE PN10               </t>
  </si>
  <si>
    <t xml:space="preserve">MONTAREA TV. PVC TIP M-3 PT.SCURGERE,IMB.LIPIRE,INEXT.CLADIRILOR, LA 2 M ADANC.  D = 75 - 125 MM , TEAVA PVC CU MUFA SI GARNIT. SN4/SDR41 D=110X3,2MM L=1M  </t>
  </si>
  <si>
    <t xml:space="preserve">MARCAJ LONGITUDINAL CU BANDA DIN MATERIAL TERMOPLASTIC REFLECTORIZANT, BANDA DIN MATERIAL TERMOPLASTIC REFLECTORIZANTA                               </t>
  </si>
  <si>
    <t>TEAVA DIN CUPRU DEXT=35MM MONT.PRIN SUDURA IN COND.DE DISTRIB.IN INST.DE INC.CENTRALA, Conducta cupru 34.9 mm pentru climatizare</t>
  </si>
  <si>
    <t xml:space="preserve">TEAVA DIN CUPRU DEXT=28MM MONT.PRIN SUDURA LA LEG.CORP.INC. IN INST.DE INC.CENTRALA, Conducta cupru 28.6 mm pentru climatizare                    </t>
  </si>
  <si>
    <t xml:space="preserve">TEAVA DIN CUPRU DEXT=22MM MONT.PRIN SUDURA LA LEG.CORP.INC. IN INST.DE INC.CENTRALA , Conducta cupru 22.2 mm pentru climatizare                        </t>
  </si>
  <si>
    <t xml:space="preserve">TEAVA DIN CUPRU DEXT=18MM MONT.PRIN SUDURA LA LEG.CORP.INC. IN INST.DE INC.CENTRALA, Conducta cupru 19.1 mm pentru climatizare                      </t>
  </si>
  <si>
    <t xml:space="preserve">TEAVA DIN CUPRU DEXT&lt;15MM MONT.PRIN SUDURA LA LEG.CORP.INC. IN INST.DE INC.CENTRALA, Conducta cupru 15.9 mm pentru climatizare                     </t>
  </si>
  <si>
    <t xml:space="preserve">TEAVA DIN CUPRU DEXT&lt;15MM MONT.PRIN SUDURA LA LEG.CORP.INC. IN INST.DE INC.CENTRALA, Conducta cupru 12.7 mm pentru climatizare                      </t>
  </si>
  <si>
    <t xml:space="preserve">TEAVA DIN CUPRU DEXT&lt;15MM MONT.PRIN SUDURA LA LEG.CORP.INC. IN INST.DE INC.CENTRALA, Conducta cupru 9.52 mm pentru climatizare                          </t>
  </si>
  <si>
    <t xml:space="preserve">TEAVA DIN CUPRU DEXT&lt;15MM MONT.PRIN SUDURA LA LEG.CORP.INC. IN INST.DE INC.CENTRALA , Conducta cupru 6.35 mm pentru climatizare                  </t>
  </si>
  <si>
    <t xml:space="preserve">IZOLARE TUBURI (TEVI) POLIETILENA DIN PERETI SI PARDOSEALA CU IZOLATIE TIP TUBOLIT S, Izolatie 9 mm grosime pentru trasee frigorifice cu diametrul 6.35 - 34.9 mm                  </t>
  </si>
  <si>
    <t xml:space="preserve">TEAVA MATERIAL PLASTIC, SUDURA -ELECTROFUZIUNE IN COND.DISTRIB, CLAD.LOCUIT-SOC.CULT.,D= 32MM,  îmbinata prin termofusiune, inclusiv fitinguri, pentru evacuare condens climatizare       </t>
  </si>
  <si>
    <t xml:space="preserve">TEAVA DIN MATERIAL PLASTIC (PE,PP,PP-R),SUDURA -ELECTROFUZIUNE,IN COND.DE LEG.LA OB.SANITARE,D= 25MM, îmbinata prin termofusiune, inclusiv fitinguri, pentru evacuare condens climatizare </t>
  </si>
  <si>
    <t xml:space="preserve">TEAVA DIN MATERIAL PLASTIC (PE,PP,PP-R),SUDURA -ELECTROFUZIUNE,IN COND.DE LEG.LA OB.SANITARE,D= 20MM, îmbinata prin termofusiune, inclusiv fitinguri, pentru evacuare condens climatizare </t>
  </si>
  <si>
    <t>TEAVA DIN MAT.PLASTIC(PE,PP,PP-R)PT.CANAL, APARENT- INGROPATA SUB PARDOSEALA, IMB. GARNITURA,D= 50MM, de canalizare, îmbinare cu mufa + garnitura</t>
  </si>
  <si>
    <t xml:space="preserve">PIESE DE LEGATURA, MAT. PLASTIC (PE,PP,PP-R) PT.CANALIZARE, IMBINARE CU GARNITURA, D= 50MM, (coturi + ramificatii) pentru coloana de scurgere          </t>
  </si>
  <si>
    <t xml:space="preserve">SISTEM DE CANALETI-PLINTE, MONT.APARENT PE DIBLURI DIN PVC,LATIMEA &gt; 30 MM, DIN METAL, CANALET DIN MATERIAL PLASTIC, 65 X 200 MM              </t>
  </si>
  <si>
    <t xml:space="preserve">SISTEM DE CANALETI-PLINTE, MONT.APARENT PE DIBLURI DIN PVC,LATIMEA &gt; 30 MM, DIN METAL, CANALET DIN MATERIAL PLASTIC, 50 X 100 MM               </t>
  </si>
  <si>
    <t>TEAVA DIN MAT.PLASTIC(PE,PP,PP-R)PT.CANAL, APARENT- INGROPATA SUB PARDOSEALA, IMB. GARNITURA,D=110MM, TEVI DIN P.V.C.RIGID TIP M 110X 5,3</t>
  </si>
  <si>
    <t>TEAVA DIN MAT.PLASTIC(PE,PP,PP-R)PT.CANAL, APARENT- INGROPATA SUB PARDOSEALA, IMB. GARNITURA,D=125MM, TEVI DIN P.V.C.RIGID TIP M 125X 6</t>
  </si>
  <si>
    <t>TEAVA DIN MAT.PLASTIC(PE,PP,PP-R)PT.CANAL, APARENT- INGROPATA SUB PARDOSEALA, IMB. GARNITURA,D=160MM, TEVI DIN P.V.C.RIGID TIP M 150X 7,5</t>
  </si>
  <si>
    <t>TEAVA DIN MAT.PLASTIC(PE,PP,PP-R)PT.CANAL, APARENT- INGROPATA SUB PARDOSEALA, IMB. GARNITURA,D=200MM, TEVI DIN P.V.C.RIGID TIP M 210X10</t>
  </si>
  <si>
    <t xml:space="preserve">BRATARA PT.FIXARE COND.OL PT.INST.INC.CENTR.SAU GAZE D=11/4-2" MONT.PRIN DIBLURI EXP PE ZID BETON,  BRIDA FIXARE  D.110  CU DIBLU OL/ZN GARNIT. ANTIZGOMOT   </t>
  </si>
  <si>
    <t xml:space="preserve">BRATARA PT.FIXARE COND.OL PT.INST.INC.CENTR.SAU GAZE D=11/4-2" MONT.PRIN DIBLURI EXP PE ZID BETON,  BRIDA FIXARE  D.125 CU DIBLU OL/ZN GARNIT. ANTIZGOMOT  </t>
  </si>
  <si>
    <t>BRATARA PT.FIXARE COND.OL PT.INST.INC.CENTR.SAU GAZE D=11/4-2" MONT.PRIN DIBLURI EXP PE ZID BETON, BRIDA FIXARE  D.160 CU DIBLU OL/ZN GARNIT. ANTIZGOMOT</t>
  </si>
  <si>
    <t xml:space="preserve">BRATARA PT.FIXARE COND.OL PT.INST.INC.CENTR.SAU GAZE D=11/4-2" MONT.PRIN DIBLURI EXP PE ZID BETON, BRIDA FIXARE  D.200 CU DIBLU OL/ZN GARNIT. ANTIZGOMOT </t>
  </si>
  <si>
    <t xml:space="preserve">PIESE DE LEGATURA, MAT. PLASTIC (PE,PP,PP-R) PT.CANALIZARE, IMBINARE CU GARNITURA, D= 110MM, Coturi Dn100 * 90° , COT PVC TIP U LA 87 GR.30M DN 110                          </t>
  </si>
  <si>
    <t xml:space="preserve">PIESE DE LEGATURA, MAT. PLASTIC (PE,PP,PP-R) PT.CANALIZARE, IMBINARE CU GARNITURA, D= 125MM, Coturi Dn125 * 90° ,  COT PVC TIP U LA 87 GR.30M DN 125          </t>
  </si>
  <si>
    <t xml:space="preserve">PIESE DE LEGATURA, MAT. PLASTIC (PE,PP,PP-R) PT.CANALIZARE, IMBINARE CU GARNITURA, D= 160MM, Coturi Dn150 * 90°,  COT PVC TIP U LA 87 GR.30M DN 160          </t>
  </si>
  <si>
    <t xml:space="preserve">PIESE DE LEGATURA, MAT. PLASTIC (PE,PP,PP-R) PT.CANALIZARE, IMBINARE CU GARNITURA, D= 200MM,  asim. Coturi Dn200 * 90°          </t>
  </si>
  <si>
    <t xml:space="preserve">PIESE DE LEGATURA, MAT. PLASTIC (PE,PP,PP-R) PT.CANALIZARE, IMBINARE CU GARNITURA, D= 125MM, Reductii JULIEN STILE 125/100,  REDUCTIE EXCENTRICA PVC TIP U  125-110 MM                      </t>
  </si>
  <si>
    <t xml:space="preserve">PIESE DE LEGATURA, MAT. PLASTIC (PE,PP,PP-R) PT.CANALIZARE, IMBINARE CU GARNITURA, D= 160MM, Reductii JULIEN STILE 150/125        </t>
  </si>
  <si>
    <t xml:space="preserve">PIESE DE LEGATURA, MAT. PLASTIC (PE,PP,PP-R) PT.CANALIZARE, IMBINARE CU GARNITURA, D= 200MM, asim. Reductii JULIEN STILE 200/150              </t>
  </si>
  <si>
    <t xml:space="preserve">PIESE DE LEGATURA, MAT. PLASTIC (PE,PP,PP-R) PT.CANALIZARE, IMBINARE CU GARNITURA, D= 110MM, CONECTOR PT.TUB DRENAJ GOFRAT D= 110, Conectori JULIEN STILE         </t>
  </si>
  <si>
    <t xml:space="preserve">PIESE DE LEGATURA, MAT. PLASTIC (PE,PP,PP-R) PT.CANALIZARE, IMBINARE CU GARNITURA, D= 125MM , CONECTOR PT.TUB DRENAJ GOFRAT D= 125        </t>
  </si>
  <si>
    <t xml:space="preserve">PIESA DE LEGATURA (RAMIFICATIE SIMPLA), MAT. PLASTIC PT.CANALIZARE, IMBINARE CU GARNITURA,D=110MM, RAMIFICATIE EGALA CANAL PVC 87GR D.110X110MM  </t>
  </si>
  <si>
    <t xml:space="preserve">PIESA DE LEGATURA (RAMIFICATIE SIMPLA), MAT. PLASTIC PT.CANALIZARE, IMBINARE CU GARNITURA,D=125MM ,  RAMIFICATIE EGALA CANAL PVC 87GR D.125X125MM </t>
  </si>
  <si>
    <t xml:space="preserve">PIESA DE LEGATURA (RAMIFICATIE SIMPLA), MAT. PLASTIC PT.CANALIZARE, IMBINARE CU GARNITURA,D=125MM ,  RAMIFICATIE REDUSA CANAL PVC 87GR D.125X110MM  </t>
  </si>
  <si>
    <t xml:space="preserve">PIESA DE LEGATURA (RAMIFICATIE SIMPLA), MAT. PLASTIC PT.CANALIZARE, IMBINARE CU GARNITURA,D=160MM, RAMIFICATIE REDUSA CANAL PVC 87GR D.160X125MM   </t>
  </si>
  <si>
    <t xml:space="preserve">PIESA DE LEGATURA (RAMIFICATIE SIMPLA), MAT. PLASTIC PT.CANALIZARE, IMBINARE CU GARNITURA,D=200MM, RAMIFICATIE REDUSA CANAL PVC 87GR D.200X125MM   </t>
  </si>
  <si>
    <t xml:space="preserve">CACIULA DE VENTILATIE,DIN TABLA,MONTATA PE COLOANE DE AERISIRE, D=50...150MM,  CACIULA PENTRU VENTILATIE  DN= 15                        </t>
  </si>
  <si>
    <t xml:space="preserve">CACIULA DE VENTILATIE,DIN TABLA,MONTATA PE COLOANE DE AERISIRE, D=50...150MM, CACIULA PENTRU VENTILATIE  DN= 150                        </t>
  </si>
  <si>
    <t xml:space="preserve">PRIZA DE AER DET TIP 61/105 AVIND PERIMETRUL       700-1400 MM MONTATA PE ZIDARIE,  GRILA ASPIRATIE RG 200X100 ALBA                  </t>
  </si>
  <si>
    <t xml:space="preserve">VERIFICARE-PUNERE IN FUNC. INST.VENTIL./CLIMATIZ./CONDITIONARE AER, &gt;30M TUB., &gt;20 BUC.PIESE SPEC. Probe si verificari ansamblu instalatie  </t>
  </si>
  <si>
    <t xml:space="preserve">RADIATOARE DIN OTEL, MONOBLOC AVAND LUNGIMEA DE 1501 -2000 MM , Radiator monobloc de otel 22/600/2000, tip ECORAD                                      </t>
  </si>
  <si>
    <t xml:space="preserve">RADIATOARE DIN OTEL, MONOBLOC AVAND LUNGIMEA DE 1501 -2000 MM, Radiator monobloc de otel 22/600/1600                                          </t>
  </si>
  <si>
    <t xml:space="preserve">RADIATOARE DIN OTEL, MONOBLOC AVAND LUNGIMEA DE 1001 -1500 MM , Radiator monobloc de otel 22/600/1400                                                  </t>
  </si>
  <si>
    <t xml:space="preserve">RADIATOARE DIN OTEL, MONOBLOC AVAND LUNGIMEA DE 1001 -1500 MM ,  Radiator monobloc de otel 22/600/1200                                            </t>
  </si>
  <si>
    <t xml:space="preserve">RADIATOARE DIN OTEL, MONOBLOC AVAND LUNGIMEA DE 1001 -1500 MM, Radiator monobloc de otel 22/600/1100                                         </t>
  </si>
  <si>
    <t>5</t>
  </si>
  <si>
    <t xml:space="preserve">RADIATOARE DIN OTEL, MONOBLOC AVAND LUNGIMEA DE PANA LA 1000 MM, INCLUSIV,  Radiator monobloc de otel 22/600/1000                                        </t>
  </si>
  <si>
    <t xml:space="preserve">RADIATOARE DIN OTEL, MONOBLOC AVAND LUNGIMEA DE PANA LA 1000 MM, INCLUSIV , Radiator monobloc de otel 22/600/900                             </t>
  </si>
  <si>
    <t xml:space="preserve">RADIATOARE DIN OTEL, MONOBLOC AVAND LUNGIMEA DE PANA LA 1000 MM, INCLUSIV  ,  Radiator monobloc de otel 22/600/800                                </t>
  </si>
  <si>
    <t xml:space="preserve">RADIATOARE DIN OTEL, MONOBLOC AVAND LUNGIMEA DE PANA LA 1000 MM, INCLUSIV,  Radiator monobloc de otel 22/600/600                                         </t>
  </si>
  <si>
    <t xml:space="preserve">RADIATOARE DIN OTEL, MONOBLOC AVAND LUNGIMEA DE PANA LA 1000 MM, INCLUSIV ,  Radiator monobloc de otel 11/600/1000, tip ECORAD                           </t>
  </si>
  <si>
    <t xml:space="preserve">RADIATOARE DIN OTEL, MONOBLOC AVAND LUNGIMEA DE PANA LA 1000 MM, INCLUSIV ,  Radiator monobloc de otel 11/600/600                               </t>
  </si>
  <si>
    <t xml:space="preserve">RADIATOARE DIN OTEL, MONOBLOC AVAND LUNGIMEA DE PANA LA 1000 MM, INCLUSIV, Radiator monobloc de otel 11/600/500                                         </t>
  </si>
  <si>
    <t xml:space="preserve">RADIATOARE DIN ALUMINIU CORPUL DE RADIATOR AVAND PANA LA 10 ELEMENTE ,INCLUSIV,  ELEMENT DE RADIATOR DIN ALUMINIU MODEL 1800                      </t>
  </si>
  <si>
    <t xml:space="preserve">RADIATOARE DIN ALUMINIU CORPUL DE RADIATOR AVAND PANA LA 10 ELEMENTE ,INCLUSIV,  ELEMENT DE RADIATOR DIN ALUMINIU MODEL 1800                     </t>
  </si>
  <si>
    <t xml:space="preserve">ROBINET CU VENTIL DUBLU REGLAJ (TUR SAU RETUR) PTR.INST. DE INCALZIRE CENTRALA AVAND DN=3/8"-1/2" , Robinet tur 1/2", CALEFFI                         </t>
  </si>
  <si>
    <t xml:space="preserve">ROBINET CU VENTIL DUBLU REGLAJ (TUR SAU RETUR) PTR.INST. DE INCALZIRE CENTRALA AVAND DN=3/8"-1/2",  Robinet tur termostatabil, CALEFFI     </t>
  </si>
  <si>
    <t xml:space="preserve">ROBINET CU VENTIL DUBLU REGLAJ (TUR SAU RETUR) PTR.INST. DE INCALZIRE CENTRALA AVAND DN=3/8"-1/2",  Robinet retur 1/2", CALEFFI    </t>
  </si>
  <si>
    <t>TV POLIET.ARMATA DE INALTA DENSIT.,POLIPROP.ARMATA /NEARMATA D=63MM MONT.IN COL.LA INST.INC.CENTR., TEAVA GRI PP-R/AL PN20 SDR6 D=63X10,5MM</t>
  </si>
  <si>
    <t xml:space="preserve">TV POLIET.ARMATA DE INALTA DENSIT.,POLIPROP.ARMATA /NEARMATA D=50MM MONT.IN COL.LA INST.INC.CENTR., TEAVA GRI PP-R/AL PN20 SDR6 D=50X8,3MM </t>
  </si>
  <si>
    <t xml:space="preserve">TV POLIET.ARMATA DE INALTA DENSIT.,POLIPROP.ARMATA /NEARMATA D=40MM MONT.IN COL.LA INST.INC.CENTR. , TEAVA GRI PP-R/AL PN20 SDR6 D=40X6,7MM </t>
  </si>
  <si>
    <t>TV POLIET.ARMATA INALTA DENS.,POLIPROP.ARMATA /NEARM D=32MM MONT.LA LEG.CORP INC.LA INST.INC.CENTR., TEAVA GRI PP-R/AL PN20 SDR6 D=32X5,4MM</t>
  </si>
  <si>
    <t xml:space="preserve">TV POLIET.ARMATA INALTA DENS.,POLIPROP.ARMATA /NEARM D&lt;18MM MONT.LA LEG.CORP INC.LA INST.INC.CENTR, TEAVA PEX CU BARIERA DE OXIGEN D.16X2,0 MM </t>
  </si>
  <si>
    <t xml:space="preserve">DISTRIB/COLECTOR DIN CUPRU D=1" PT.RAC.CORPURI INC.LA INST.INC.CU TV. PLASTIC MONT PE ZID CARAM, COLECTOR QUADRO 1" CU 11 CIRC.SI ROB.INCHIDERE 3/4",  Distribuitor REHAU 1" - 16 cu 11 circuite        </t>
  </si>
  <si>
    <t>DISTRIB/COLECTOR DIN CUPRU D=1" PT.RAC.CORPURI INC.LA INST.INC.CU TV. PLASTIC MONT PE ZID CARAM, Distribuitor REHAU 1" - 16 cu 10 circuite,  COLECTOR BARA 1"- 10 CIRC.CAPTETE TERMOST.EUROCON 3/4"</t>
  </si>
  <si>
    <t xml:space="preserve">DISTRIB/COLECTOR DIN CUPRU D=1" PT.RAC.CORPURI INC.LA INST.INC.CU TV. PLASTIC MONT PE ZID CARAM, Distribuitor REHAU 1" - 16 cu 9 circuite,   COLECTOR QUADRO 1" CU  9 CIRC.SI ROB.INCHIDERE 3/4"  </t>
  </si>
  <si>
    <t xml:space="preserve">DISTRIB/COLECTOR DIN CUPRU D=1" PT.RAC.CORPURI INC.LA INST.INC.CU TV. PLASTIC MONT PE ZID CARAM, Distribuitor REHAU 1" - 16 cu 8 circuite,  COLECTOR QUADRO 1" CU  8 CIRC.SI ROB.INCHIDERE 3/4"    </t>
  </si>
  <si>
    <t xml:space="preserve">ELEMENTE DE SUSTINERE PTR. CORPURI DE INCALZIRE MONTATE PE ZID DE CARAMIDA, TIJA INOX 150 MM                         </t>
  </si>
  <si>
    <t xml:space="preserve">CASETA MET. PT. DISTRIBUITOR.800X400 MM, cu capac de vizitare pentru distribuitoare                                                               </t>
  </si>
  <si>
    <t xml:space="preserve">IZOLATIE TIP ARMACELL DN63 * 6 MM, TRASEE DISTRIBUTIE, IZOLATIE TIP TUBOLIT S                                               </t>
  </si>
  <si>
    <t xml:space="preserve">IZOLATIE TIP ARMACELL DN50 * 6 MM, TRASEE DISTRIBUTIE,  IZOLATIE TIP TUBOLIT S                                             </t>
  </si>
  <si>
    <t xml:space="preserve">IZOLATIE TIP ARMACELL DN40 * 6 MM, TRASEE DISTRIBUTIE, IZOLATIE TIP TUBOLIT S                                               </t>
  </si>
  <si>
    <t xml:space="preserve">IZOLATIE TIP ARMACELL DN32 * 6 MM, TRASEE DISTRIBUTIE, IZOLATIE TIP TUBOLIT S                                              </t>
  </si>
  <si>
    <t xml:space="preserve">BRATARA PTR.FIXAREA COND.DE OL PTR.INST.DE INC.CENTR.SAU GAZE D =11/4-2" MONT.PRIN IMPUSCARE, Coliere de sustinere 2"                   </t>
  </si>
  <si>
    <t xml:space="preserve">BRATARA PTR.FIXAREA COND.DE OL PTR.INST.DE INC.CENTR.SAU GAZE D =11/4-2" MONT.PRIN IMPUSCARE, Coliere de sustinere 1 1/2"                             </t>
  </si>
  <si>
    <t xml:space="preserve">BRATARA PTR.FIXAREA COND.DE OL PTR.INST.DE INC.CENTR.SAU GAZE D =11/4-2" MONT.PRIN IMPUSCARE, Coliere de sustinere 1 1/4"                </t>
  </si>
  <si>
    <t xml:space="preserve">BRATARA PTR.FIXAREA COND.DE OL PTR.INST.DE INC.CENTR.SAU GAZE D PANA LA 1" MONT.PRIN IMPUSCARE, Coliere de sustinere 1"                       </t>
  </si>
  <si>
    <t xml:space="preserve">ROBINET DE TRECERE SAU DE RETINERE CU MUFE DN=1/2"-1" PTR. INST.DE INCALZIRE CENTRALA,  ROBINET COLECTOR CU RACORD OLANDEZ PT.PEX HOL-FI 1"               </t>
  </si>
  <si>
    <t>PIESA RACORD.(FITING)POLIPROP.CU 2 IMBIN.IMBINATA PRIN POLIFUSIUNE CU TV.POLIPROP.ARMATA DEXT=32MM, ADAPTOR DIN POLIPROPILENA, FILET INTERIOR, D=32- 1"</t>
  </si>
  <si>
    <t xml:space="preserve">PIESA RACORD.(FITING)POLIPROP.CU 2 IMBIN.IMBINATA PRIN POLIFUSIUNE CU TV.POLIPROP.ARMATA DEXT=32MM,  Coturi ppr Dn32, îmbinate prin termofusiune      </t>
  </si>
  <si>
    <t xml:space="preserve">PIESA RACORD.(FITING)POLIPROP.CU 2 IMBIN.IMBINATA PRIN POLIFUSIUNE CU TV.POLIPROP.ARMATA DEXT=63MM,  Reductii ppr 63/50, îmbinate prin termofusiune   </t>
  </si>
  <si>
    <t xml:space="preserve">PIESA RACORD.(FITING)POLIPROP.CU 2 IMBIN.IMBINATA PRIN POLIFUSIUNE CU TV.POLIPROP.ARMATA DEXT=63MM,  Coturi ppr Dn63, îmbinate prin termofusiune         </t>
  </si>
  <si>
    <t xml:space="preserve">PIESA RACORD.(FITING)POLIPROP.CU 2 IMBIN.IMBINATA PRIN POLIFUSIUNE CU TV.POLIPROP.ARMATA DEXT=63MM,  Reductii ppr 63/40, îmbinate prin termofusiun  </t>
  </si>
  <si>
    <t xml:space="preserve">PIESA RACORD.(FITING)POLIPROP.CU 2 IMBIN.IMBINATA PRIN POLIFUSIUNE CU TV.POLIPROP.ARMATA DEXT=50MM,  Reductii ppr 50/40, îmbinate prin termofusiune      </t>
  </si>
  <si>
    <t xml:space="preserve">PIESA RACORD.(FITING)POLIPROP.CU 2 IMBIN.IMBINATA PRIN POLIFUSIUNE CU TV.POLIPROP.ARMATA DEXT=40MM,  Reductii ppr 40/32, îmbinate prin termofusiune      </t>
  </si>
  <si>
    <t xml:space="preserve">PIESA RACORD.(FITING)POLIPROP.CU 3 IMBIN.IMBINATA PRIN POLIFUSIUNE CU TV.POLIPROP.ARMATA DEXT=63MM,  Teuri ppr 63/32/63, îmbinare prin termofusiune      </t>
  </si>
  <si>
    <t xml:space="preserve">PIESA RACORD.(FITING)POLIPROP.CU 3 IMBIN.IMBINATA PRIN POLIFUSIUNE CU TV.POLIPROP.ARMATA DEXT=50MM,  Teuri ppr 50/32/50, îmbinare prin termofusiune   </t>
  </si>
  <si>
    <t xml:space="preserve">PIESA RACORD.(FITING)POLIPROP.CU 3 IMBIN.IMBINATA PRIN POLIFUSIUNE CU TV.POLIPROP.ARMATA DEXT=40MM,  Teuri ppr 40/32/40, îmbinare prin termofusiune   </t>
  </si>
  <si>
    <t xml:space="preserve">CONFECTIONARE SI MONTARE TEVI DE PROTECTIE CU D=1"-2" LA TRECEREA CONDUCTELOR PRIN PLANSEE, TEAVA INST.NEAGRA NEFIL.M  - 50(2    ) OL  32          </t>
  </si>
  <si>
    <t xml:space="preserve">FITINGURI DIN FONTA MALEABILA CU 2 INSURUBARI D=1'" MONT.PRIN ISURUBARE CU TEAVA DE OL,  DOP  DIN FONTA MALEABILA T9 S487 DN  25             </t>
  </si>
  <si>
    <t xml:space="preserve">FITINGURI DIN FONTA MALEABILA CU 2 INSURUBARI D=1'" MONT.PRIN ISURUBARE CU TEAVA DE OL, REDUCTIE FONTA MALEABILA N4 S 477  25X 15 ZN            </t>
  </si>
  <si>
    <t xml:space="preserve">ROBINET DE AERISIRE CU CHEIE MOBILA PT.INSTAL. DE INC.CENTR. CU DN=1/2", Dezaerator local 1/2" pentru radiator de aluminiu                           </t>
  </si>
  <si>
    <t xml:space="preserve">ELEMENTE DE SUSTINERE PTR. CORPURI DE INCALZIRE MONTATE PE ZID DE CARAMIDA, CONSOLA PTR.RADIATOR CU LUNGIMEA DE 250 MM                          </t>
  </si>
  <si>
    <t xml:space="preserve">CAZAN MURAL DE PREP.AGENT TERMIC PTR.INCALZ.MONTAT DIRECT PE PERETE ,CU PUTEREA CALORICA 25,1-40 KW, asim. Instalare grup termic mural 115 kw           </t>
  </si>
  <si>
    <t xml:space="preserve">VAS DE EXPANSIUNE INCHIS CU MEMBRANA AVAND CAPACITATEA DE PANA LA 500 L, Instalare vas expansiune pentru încalzire 110 l                                </t>
  </si>
  <si>
    <t xml:space="preserve">BOILER VERTICAL MONTAT PE PARDOSEALA CU CAPACIT.DE 350-800 L, Instalare boiler pe pardoseala 500 l                                        </t>
  </si>
  <si>
    <t xml:space="preserve">VAS DE EXPANSIUNE INCHIS CU MEMBRANA AVAND CAPACITATEA DE PANA LA 500 L, Instalare vas expansiune 25 l, protectie boiler                               </t>
  </si>
  <si>
    <t xml:space="preserve">POMPA DE CIRCULATIE (RECIRCULATIE) MONT.PE COND.PRIN FLANSE AVAND DIAM.PANA LA 2" (50MM) INCLUSIV, Instalare pompe de circulatie cu flanse            </t>
  </si>
  <si>
    <t xml:space="preserve">POMPA CIRCULATIE (RECIRCULATIE) MONT. PE COND. EXISTENTA PRIN INSURUBARE AVAND DIAM.PESTE 1", Instalare pompe de circulatie cu filet             </t>
  </si>
  <si>
    <t xml:space="preserve">SUPAPA DE BLOCARE CU MUFE, MONTATA PE CONDUCTE DE GAZE AVAND DN=1/2", Instalare dispozitiv de siguranta la lipsa gaz                                    </t>
  </si>
  <si>
    <t>REGULATOR PRES.PT.INST.GAZ CU P.MAX.INTRARE-2AT.PT.DEBIT NORM.35MC/H CU RAC.INTR.DN1";IESIRE DN11/4",  Instalare filtru stabilizator pentru gaze</t>
  </si>
  <si>
    <t xml:space="preserve">STUT CU ROBINET DE CONTROL PENTRU ARMATURI, asim. Instalare senzor de exterior                                                           </t>
  </si>
  <si>
    <t xml:space="preserve">TEAVA PP-R, PREGATIRE PT.MONTARE, MONTARE SI FIXARE IN DISPOZITIVE DE SUSTINERE  D.110  MM, TEAVA PP-R ALBA PN20 SDR6 D=110X18,3MM          </t>
  </si>
  <si>
    <t xml:space="preserve">TV POLIET.ARMATA DE INALTA DENSIT.,POLIPROP.ARMATA /NEARMATA D=50MM MONT.IN COL.LA INST.INC.CENTR.,  TEAVA GRI PP-R/AL PN20 SDR6 D=50X8,3MM </t>
  </si>
  <si>
    <t xml:space="preserve">TV POLIET.ARMATA DE INALTA DENSIT.,POLIPROP.ARMATA /NEARMATA D=40MM MONT.IN COL.LA INST.INC.CENTR., TEAVA GRI PP-R/AL PN20 SDR6 D=40X6,7MM  </t>
  </si>
  <si>
    <t xml:space="preserve">ROBINET DE TRECERE CU VENTIL SI MUFE, CU SAU FARA DESCARCARE,PT.TEVI DIN OTEL, D= 4",  ROBINET CU INCHIDERE SFERICA,MANETA TIP PARGHIE D=4"                </t>
  </si>
  <si>
    <t xml:space="preserve">ROBINET DE TRECERE CU VENTIL SI MUFE, CU SAU FARA DESCARCARE,PT.TEVI DIN OTEL, D= 2",  ROBINET CU INCHIDERE SFERICA,MANETA TIP PARGHIE D= 2"                </t>
  </si>
  <si>
    <t xml:space="preserve">ROBINET DE TRECERE CU VENTIL SI MUFE, CU SAU FARA DESCARCARE,PT.TEVI DIN OTEL,D= 1 1/2", ROBINET CU INCHIDERE SFERICA,MANETA TIP PARGHIE D=1 1/2             </t>
  </si>
  <si>
    <t xml:space="preserve">ROBINET DE TRECERE CU VENTIL SI MUFE, CU SAU FARA DESCARCARE,PT.TEVI DIN OTEL, D= 1 1/4",  ROBINET CU INCHIDERE SFERICA,MANETA TIP PARGHIE D=1 1/4            </t>
  </si>
  <si>
    <t xml:space="preserve">ROBINET DE TRECERE SAU DE RETINERE CU MUFE DN=1/2"-1" PTR. INST.DE INCALZIRE CENTRALA,  ROBINET APA COTIT TIP FE CU PORTFURTUN  1/2"               </t>
  </si>
  <si>
    <t xml:space="preserve">ROBINET DE RETINERE CU VENTIL DREPT DIN FONTA, CU FLANSE, D= 50-65 MM,  SUPAPA DE SENS CU ARC (CLAPET ANTIRETUR) CU D=2"                               </t>
  </si>
  <si>
    <t xml:space="preserve">ROBINET DE RETINERE CU VENTIL DREPT DIN FONTA, CU FLANSE, D= 25-40 MM,  SUPAPA DE SENS CU ARC (CLAPET ANTIRETUR) CU D=1 1/2"                               </t>
  </si>
  <si>
    <t xml:space="preserve">ROBINET DE RETINERE CU VENTIL DREPT DIN FONTA, CU FLANSE, D= 25-40 MM, SUPAPA DE SENS CU ARC (CLAPET ANTIRETUR) CU D=1 1/4"                              </t>
  </si>
  <si>
    <t xml:space="preserve">FILTRU PT. APA POTABILA CU MUFE FILETATE PT. MONTAJ PE CONDUCTA,AVIND DIAMETRUL DE 1"-2",  asim. Filtru Y 4", pe returul general de încalzire            </t>
  </si>
  <si>
    <t xml:space="preserve">FILTRU PT. APA POTABILA CU MUFE FILETATE PT. MONTAJ PE CONDUCTA,AVIND DIAMETRUL DE 1"-2" ,  FILTRU PENTRU APA CU MUFE FILETATE D=1 1/4"           </t>
  </si>
  <si>
    <t xml:space="preserve">RACORD OLANDEZ SI CU COT CU RACORD OLANDEZ, ZINCAT, CU ETANSARE PLANA, FILET INT-EXT,D= 1 1/4" - 2",   asim. Racord holender 4"               </t>
  </si>
  <si>
    <t xml:space="preserve">RACORD OLANDEZ SI CU COT CU RACORD OLANDEZ, ZINCAT, CU ETANSARE PLANA, FILET INT-EXT,D= 1 1/4" - 2", Racord holender 11/2"               </t>
  </si>
  <si>
    <t xml:space="preserve">RACORD OLANDEZ SI CU COT CU RACORD OLANDEZ, ZINCAT, CU ETANSARE PLANA, FILET INT-EXT,D= 1 1/4" - 2", Racord holender 11/4"                      </t>
  </si>
  <si>
    <t>FLANSA ROTUNDA PLATA PT.SUDARE,MONT.LA COND.DIN TEAVA NEAGRA OL PT.INST.CU PN6,10SAU16ATM D=65-80 MM,  FLANSA PLATA PN 16   65-  76   OL44-3K</t>
  </si>
  <si>
    <t xml:space="preserve">HIDROMETRU SAU MANOMETRU CU ROBINET DE CONTROL,  Manometru 4 bari                                                                  </t>
  </si>
  <si>
    <t xml:space="preserve">TERMOMETRU (DREPT SAU COLTAR) CU APARATOARE SAU TERMOMETRU CU SCALA ROTUNDA,  Termometru 120º                            </t>
  </si>
  <si>
    <t xml:space="preserve">SUPAPA DE SIGURANTA MONTATA PRIN INSURUBARE AVAND DIAM.NOMIN.DE 11/4" - 11/2" , SUPAPA SIGUR.PIRGHIE CU MUFE  STAS 5735-67 DN11/2 TOLI                           </t>
  </si>
  <si>
    <t xml:space="preserve">DISTRIBUITOR-COLECTOR PTR.PUNCTE SI CENTRALE TERMICE MONT.PE SUSTINATOR GATA CONF.250 MM,  COLECTOR BARA D.1" CU 3 CIRC. ADAPTOR EUROCON 3/4"            </t>
  </si>
  <si>
    <t xml:space="preserve">DISTRIBUITOR-COLECTOR PTR.PUNCTE SI CENTRALE TERMICE MONT.PE SUSTINATOR GATA CONF.250 MM, COLECTOR-DISTRIB.CU 4 RACORDURI,TIP FE,D=1"            </t>
  </si>
  <si>
    <t xml:space="preserve">ROBINET DE AERISIRE CU CHEIE MOBILA PT.INSTAL. DE INC.CENTR. CU DN=1/4",  asim. Dezaerator automat 1/2"                               </t>
  </si>
  <si>
    <t xml:space="preserve">FILTRU PT. APA POTABILA CU MUFE FILETATE PT. MONTAJ PE CONDUCTA,AVIND DIAMETRUL DE 1"-2",  -FILTRU DEPURA1000 1"            </t>
  </si>
  <si>
    <t xml:space="preserve">BRATARA PTR.FIXAREA COND.DE OL PTR.INST.DE INC.CENTR.SAU GAZE D =21/2-4" MONT.PRIN IMPUSCARE,  Coliere sustinere 4"             </t>
  </si>
  <si>
    <t xml:space="preserve">BRATARA PTR.FIXAREA COND.DE OL PTR.INST.DE INC.CENTR.SAU GAZE D =11/4-2" MONT.PRIN IMPUSCARE,  Coliere sustinere 11/4"             </t>
  </si>
  <si>
    <t xml:space="preserve">BRATARA PTR.FIXAREA COND.DE OL PTR.INST.DE INC.CENTR.SAU GAZE D PANA LA 1" MONT.PRIN IMPUSCARE,  Coliere sustinere 1"        </t>
  </si>
  <si>
    <t>SUPORTI SI DISPOZ.DE FIXARE PTR.SUSTIN.COND.,BOILERE,APARATE SI RECIPIENTI CU GREUT. PANA LA 2KG/BUC,  CORNIER ARIPI EG.LAM CALD S 424  60X 60X  6</t>
  </si>
  <si>
    <t xml:space="preserve">PIESA RACORD.(FITING)POLIPROP.CU 2 IMBIN.IMBINATA PRIN POLIFUSIUNE CU TV.POLIPROP.ARMATA DEXT=63MM, asim. Conector ppr al Dn110 * 4"     </t>
  </si>
  <si>
    <t xml:space="preserve">PIESA RACORD.(FITING)POLIPROP.CU 2 IMBIN.IMBINATA PRIN POLIFUSIUNE CU TV.POLIPROP.ARMATA DEXT=63MM,  Conector ppr al Dn63 * 2"      </t>
  </si>
  <si>
    <t xml:space="preserve">PIESA RACORD.(FITING)POLIPROP.CU 2 IMBIN.IMBINATA PRIN POLIFUSIUNE CU TV.POLIPROP.ARMATA DEXT=50MM, Conector ppr al Dn50 * 11/2"  </t>
  </si>
  <si>
    <t xml:space="preserve">PIESA RACORD.(FITING)POLIPROP.CU 2 IMBIN.IMBINATA PRIN POLIFUSIUNE CU TV.POLIPROP.ARMATA DEXT=40MM,  Conector ppr al Dn40 * 11/4"        </t>
  </si>
  <si>
    <t xml:space="preserve">PIESA RACORD.(FITING)POLIPROP.CU 2 IMBIN.IMBINATA PRIN POLIFUSIUNE CU TV.POLIPROP.ARMATA DEXT=32MM,  Conector ppr al Dn32 * 1"      </t>
  </si>
  <si>
    <t xml:space="preserve">PIESA RACORD.(FITING)POLIPROP.CU 2 IMBIN.IMBINATA PRIN POLIFUSIUNE CU TV.POLIPROP.ARMATA DEXT=63MM,  asim. Cot ppr Dn110, îmbinare prin termofusiune  </t>
  </si>
  <si>
    <t xml:space="preserve">PIESA RACORD.(FITING)POLIPROP.CU 2 IMBIN.IMBINATA PRIN POLIFUSIUNE CU TV.POLIPROP.ARMATA DEXT=50MM,  Cot ppr Dn50, îmbinare prin termofusiune   </t>
  </si>
  <si>
    <t xml:space="preserve">PIESA RACORD.(FITING)POLIPROP.CU 2 IMBIN.IMBINATA PRIN POLIFUSIUNE CU TV.POLIPROP.ARMATA DEXT=40MM,  Cot ppr Dn40, îmbinare prin termofusiune     </t>
  </si>
  <si>
    <t xml:space="preserve">PIESA RACORD.(FITING)POLIPROP.CU 2 IMBIN.IMBINATA PRIN POLIFUSIUNE CU TV.POLIPROP.ARMATA DEXT=32MM, Cot ppr Dn32, îmbinare prin termofusiune         </t>
  </si>
  <si>
    <t xml:space="preserve">GRILA METALICA DE AERISIRE CENTRALA TERMICA 250*200 MM, CU PLASA DE PROTECTIE,  GRILA VENTILATIE TABLA NEAGRA 0,5MM 4 JALUZ. 200X250MM                       </t>
  </si>
  <si>
    <t xml:space="preserve">SISTEM DE CANALETI-PLINTE, MONT.APARENT PE DIBLURI DIN PVC,LATIMEA &gt; 30 MM, DIN METAL, Canal metalic 300 * 100 mm sustinere cabluri               </t>
  </si>
  <si>
    <t xml:space="preserve">SISTEM DE CANALETI-PLINTE, MONT.APARENT PE DIBLURI DIN PVC,LATIMEA &gt; 30 MM, DIN METAL, Canal metalic 200 * 60 mm sustinere cabluri                      </t>
  </si>
  <si>
    <t xml:space="preserve">TUB DE PROTECTIE DIN MATERIAL PLASTIC, D.EXT. &lt;= 25 MM, MONTAT INGROPAT,  TUB    IZOLAT   TIP I.P.  (BERGMAN) 13                             </t>
  </si>
  <si>
    <t xml:space="preserve">TUB DE PROTECTIE DIN MATERIAL PLASTIC, D.EXT. &lt;= 25 MM, MONTAT INGROPAT,  TUB    IZOLAT   TIP I.P.  (BERGMAN) 16                             </t>
  </si>
  <si>
    <t xml:space="preserve">TUB DE PROTECTIE DIN MATERIAL PLASTIC, D.EXT. &lt;= 25 MM, MONTAT INGROPAT, TUB    IZOLAT   TIP I.P.E.(PANTZER) 20                            </t>
  </si>
  <si>
    <t xml:space="preserve">TUB DE PROTECTIE DIN MATERIAL PLASTIC, D.EXT. &lt;= 25 MM, MONTAT INGROPAT, TUB    IZOLAT   TIP I.P.  (BERGMAN) 25                            </t>
  </si>
  <si>
    <t xml:space="preserve">TUB DE PROTECTIE DIN MATERIAL PLASTIC, D.EXT. &gt; 25 MM, MONTAT INGROPAT, TUB    IZOLAT   TIP I.P.  (BERGMAN) 32                              </t>
  </si>
  <si>
    <t xml:space="preserve">CABLU PT.INST.EL.LA LOC.DE LAMPA-PRIZA, S.COND.&lt;4MMP, MONT.SCOABE PE:DIBLURI MAT.PLASTIC, Cablu Cyy 3*1.5, iluminat general                </t>
  </si>
  <si>
    <t xml:space="preserve">CABLU PT.INST.EL.LA LOC.DE LAMPA-PRIZA,S.COND.&lt;4MMP,MONT.SCOABE PE:DIBLURI MAT.PLASTIC , NHXH 3x1.5 mmp             </t>
  </si>
  <si>
    <t xml:space="preserve">CABLU PT.INST.EL.LA LOC.DE LAMPA-PRIZA,S.COND.&lt;4MMP,MONT.SCOABE PE:DIBLURI MAT.PLASTIC, Cablu Cyy 3*2.5, prize si racorduri 230V                        </t>
  </si>
  <si>
    <t xml:space="preserve">CABLU PT.ENERGIE EL.,S.CONDUCTOR &lt;=10 MMP,  MONT.CU SCOABE PE CONSOLE FIX.CU BOLT.IMPLANTATE, NHXH 3x2.5 mmp                 </t>
  </si>
  <si>
    <t xml:space="preserve">CABLU PT.ENERGIE EL.,S.CONDUCTOR &lt;=10 MMP,  MONT.CU SCOABE PE CONSOLE FIX.CU BOLT.IMPLANTATE, CABLU NHXH 5*4 MMP        </t>
  </si>
  <si>
    <t xml:space="preserve">CABLU PT.ENERGIE EL.,S.CONDUCTOR &lt;=10 MMP,  MONT.CU SCOABE PE CONSOLE FIX.CU BOLT.IMPLANTATE,  CABLU ENERGIE CYY  5X6 MMP        </t>
  </si>
  <si>
    <t xml:space="preserve">CABLU PT.ENERGIE EL.,S.CONDUCTOR &lt;=10 MMP,  MONT.CU SCOABE PE CONSOLE FIX.CU BOLT.IMPLANTATE, Cablu Cyy 5*6 mmp, racordare lift            </t>
  </si>
  <si>
    <t xml:space="preserve">CABLU PT.ENERGIE EL.,S.CONDUCTOR &lt;=10 MMP,  MONT.CU SCOABE PE CONSOLE FIX.CU BOLT.IMPLANTATE, Cablu NHXH 5*6, rezistent la foc, Teinc                </t>
  </si>
  <si>
    <t xml:space="preserve">CABLU PT.ENERGIE EL.,S.CONDUCTOR 16 MMP,  MONT.CU SCOABE PE CONSOLE FIX.CU BOLT.IMPLANTATE, CABLU NHXH 5*16, REZISTENT LA FOC, TESIG          </t>
  </si>
  <si>
    <t xml:space="preserve">CABLU PT.ENERGIE EL.,S.CONDUCTOR 25 SAU 35 MMP,  MONT.CU SCOABE PE CONSOLE FIX.CU BOLT.IMPLANTATE, CABLU  NHXH 5*25 MP REZISTENT LA FOC   </t>
  </si>
  <si>
    <t xml:space="preserve">CABLU PT.ENERGIE EL.,S.CONDUCTOR 25 SAU 35 MMP,  MONT.CU SCOABE PE CONSOLE FIX.CU BOLT.IMPLANTATE, CABLU ENERGIE CYY      5X 35  MMP   </t>
  </si>
  <si>
    <t xml:space="preserve">CABLU PT.ENERGIE EL.,S.CONDUCTOR 25 SAU 35 MMP,  MONT.CU SCOABE PE CONSOLE FIX.CU BOLT.IMPLANTATE, CABLU NHXH 5*35 MMP REZISTENT LA FOC   </t>
  </si>
  <si>
    <t xml:space="preserve">CABLU PT.ENERGIE EL.,S.CONDUCTOR 50 SAU 70 MMP,  MONT.CU SCOABE PE CONSOLE FIX.CU BOLT.IMPLANTATE, CABLU ENERGIE CYY      0,6/ 1KV 3X 50 + 25 M </t>
  </si>
  <si>
    <t xml:space="preserve">CABLU PT.ENERGIE EL.,S.CONDUCTOR 25 SAU 35 MMP,  MONT.CU SCOABE PE CONSOLE FIX.CU BOLT.IMPLANTATE, Cablu Cyy 1*25 mmp           </t>
  </si>
  <si>
    <t xml:space="preserve">CABLU PT.ENERGIE EL.,S.CONDUCTOR 50 SAU 70 MMP,  MONT.CU SCOABE PE CONSOLE FIX.CU BOLT.IMPLANTATE, Cablu Cyy [3*70 + 35], la TE6 etaj V     </t>
  </si>
  <si>
    <t xml:space="preserve">CABLU PT.ENERGIE EL.,S.CONDUCTOR 25 SAU 35 MMP,  MONT.CU SCOABE PE CONSOLE FIX.CU BOLT.IMPLANTATE, Cablu Cyy 1*35 mmp     </t>
  </si>
  <si>
    <t xml:space="preserve">CABLU PT.ENERGIE EL.,S.CONDUCTOR 95 SAU 150 MMP,  MONT.CU SCOABE PE CONSOLE FIX.CU BOLT.IMPLANTATE, Cablu Cyy [3*95 + 50], racordare TE7 demisol    </t>
  </si>
  <si>
    <t xml:space="preserve">CABLU PT.ENERGIE EL.,S.CONDUCTOR 50 SAU 70 MMP,  MONT.CU SCOABE PE CONSOLE FIX.CU BOLT.IMPLANTATE, Cablu Cyy 1*50 mmp    </t>
  </si>
  <si>
    <t xml:space="preserve">CABLU PT.ENERGIE EL.,S.CONDUCTOR 95 SAU 150 MMP,  MONT.CU SCOABE PE CONSOLE FIX.CU BOLT.IMPLANTATE, CABLU ENERGIE CYY      0,6/ 1KV 3X150 + 70 M </t>
  </si>
  <si>
    <t xml:space="preserve">CABLU PT.ENERGIE EL.,S.CONDUCTOR 50 SAU 70 MMP,  MONT.CU SCOABE PE CONSOLE FIX.CU BOLT.IMPLANTATE, Cablu Cyy 1*70 mmp           </t>
  </si>
  <si>
    <t xml:space="preserve">CABLU PT.INST.EL.DE COMANDA,SEMNALIZ.,BLOCARE,PRIN TUB-PROT.,PT.RACORD. TABLOU./AP.2-48COND.0,75MMP, CABLU DATE-INTERNET STP CAT 6E </t>
  </si>
  <si>
    <t xml:space="preserve">CABLU PT.INST.EL.DE COMANDA,SEMNALIZ.,BLOCARE,PRIN TUB-PROT.,PT.RACORD. TABLOU./AP.2-48COND.0,75MMP, CABLU HDMI VIDEOPROIECTOR SI INSTALATIA SONORIZARE </t>
  </si>
  <si>
    <t>CABLU PT.INST.EL.DE COMANDA,SEMNALIZ.,BLOCARE,PRIN TUB-PROT.,PT.RACORD. TABLOU./AP.49-61COND.0,75MMP, CONDUCTOR  CUPRU EXECUTIE MIJLOCIE MYYM 3 X 2,5 MMP</t>
  </si>
  <si>
    <t xml:space="preserve">CABLU PT.INST.EL.DE COMANDA,SEMNALIZ.,BLOCARE,PRIN TUB-PROT.,PT.RACORD. TABLOU./AP.49-61COND.0,75MMP,  Cablu Myym 4*1.00 mmp, termostate climatizare     </t>
  </si>
  <si>
    <t xml:space="preserve">CABLU PT.INST.EL.DE COMANDA,SEMNALIZ.,BLOCARE,PRIN TUB-PROT.,PT.RACORD. TABLOU./AP.49-61COND.0,75MMP, Cablu alarma 6*0.22 pentru control acces          </t>
  </si>
  <si>
    <t xml:space="preserve">APARAT DE COMUTARE,SEMNALIZ.(INTRERUP.,COMUTATOR,PRIZA,BUTON)&lt;25A,MONT.INGROPAT,INCL.DOZA DE APARAT, Intrerupator modular ST 230 V 10 A               </t>
  </si>
  <si>
    <t xml:space="preserve">APARAT DE COMUTARE,SEMNALIZ.(INTRERUP.,COMUTATOR,PRIZA,BUTON)&lt;25A,MONT.INGROPAT,INCL.DOZA DE APARAT, Intrerupator cap scara    </t>
  </si>
  <si>
    <t xml:space="preserve">APARAT DE COMUTARE,SEMNALIZ.(INTRERUP.,COMUTATOR,PRIZA,BUTON)&lt;25A,MONT.INGROPAT,INCL.DOZA DE APARAT, BUTON DE PANICA </t>
  </si>
  <si>
    <t xml:space="preserve">APARAT DE COMUTARE,SEMNALIZ. (INTRERUP.,COMUTATOR,PRIZA, BUTON)&lt;25A,MONT.INGROPAT,INCL.DOZA DE APARA, Priza simpla ST 230V 16 A, contact de protectie   </t>
  </si>
  <si>
    <t xml:space="preserve">APARAT DE COMUTARE,SEMNALIZ.(INTRERUP.,COMUTATOR,PRIZA,BUTON)&lt;25A,MONT.INGROPAT,INCL.DOZA DE APARAT, Priza dubla ST 230V 16 A, contact PE    </t>
  </si>
  <si>
    <t xml:space="preserve">APARAT DE COMUTARE,SEMNALIZ.(INTRERUP.,COMUTATOR,PRIZA,BUTON)&lt;25A,MONT.INGROPAT,INCL.DOZA DE APARAT, PRIZA DUBLA ST 230V, 16A, CONTACT PE ROSIE- RECEPTOARE VITAL </t>
  </si>
  <si>
    <t xml:space="preserve">APARAT DE COMUTARE,SEMNALIZ.(INTRERUP,COMUTATOR,PRIZA,BUTON) &lt;25A,MONT.APARENT,CU DIBLU.MAT.PLASTIC, PRIZA PT 230V 16A CAPAC PROTECTIE  IP54 </t>
  </si>
  <si>
    <t xml:space="preserve">APARAT DE COMUTARE,SEMNALIZ.(INTRERUP.,COMUTATOR,PRIZA,BUTON)&lt;25A,MONT.INGROPAT,INCL.DOZA DE APARAT, Priza informatica RJ 45                 </t>
  </si>
  <si>
    <t xml:space="preserve">CUTIE CU PRIZE MONTATA IN PARDOSEALA, CUTIA AVAND 9 - 12 APARATE, CASETA PARDOSEALA COMPL. ECHIP. 4 PRIZE 230V SCHUKO+2RJ45                                    </t>
  </si>
  <si>
    <t xml:space="preserve">CUTIE CU PRIZE MONTATA IN PARDOSEALA, CUTIA AVAND 9 - 12 APARATE, CASETA PARDOSEALA COMPL. ECHIP. 6 PRIZE 230V SCHUKO+2RJ45                                   </t>
  </si>
  <si>
    <t xml:space="preserve">CUTIE CU PRIZE MONTATA IN PARDOSEALA, CUTIA AVAND 9 - 12 APARATE, CASETA PARDOSEALA COMPL.ECHIP. 4PRIZE 230V SCHUKO+2RJ45+HDMI                                    </t>
  </si>
  <si>
    <t xml:space="preserve">APARAT DE COMUTARE,SEMNALIZ.(INTRERUP.,COMUTATOR,PRIZA) 32A … 63A ,MONT.APARENT,CU DIBLURI-EXPAND., Priza + fisa trifazica 400V / 16A                  </t>
  </si>
  <si>
    <t xml:space="preserve">APARAT DE COMUTARE,SEMNALIZ.(INTRERUP.,COMUTATOR,PRIZA) 32A … 63A ,MONT.APARENT,CU DIBLURI-EXPAND., Priza + fisa trifazica 400V / 25A    </t>
  </si>
  <si>
    <t xml:space="preserve">MONTARE CITITOR TIP WIRELESS (I / R) , Dispozitiv tip wireless acces point internet (WAP)                                                              </t>
  </si>
  <si>
    <t>DOZA RAMIFICATIE SI TRAGERE PT.INSTAL.ANTENA COLECTIVA, RAMIF.INSTAL.EL.,INGLOBATE,D.EXT. &lt;= 25.5 MM, Doze ramificatie 100 * 100 mm</t>
  </si>
  <si>
    <t xml:space="preserve">DOZA CENTRALIZATOARE PT.CONDUCTORI MONT.IN TUBURILE COL.INDIVIDUALE SAU COLECTIVE, MONTATA APARENT, Doze centralizatoare 200 * 200 mm     </t>
  </si>
  <si>
    <t xml:space="preserve">DOZA DE DERIVATIE, PT.CABLURI SAU TEVI DE INSTAL., IN MEDIU NORMAL, TIP NBU-PG 16; NBU-PG 21, Doze etanse de exterior IP 54, 100 * 100 mm        </t>
  </si>
  <si>
    <t xml:space="preserve">CORP DE ILUMINAT FLUORESCENT, PT.PLAFOANE FALSE, AVAND DIMENSIUNILE DE:  600 X 600 MM, CORP DE ILUM.FLUORESCENT PT.SIS.MODULAR,1X36W, 230V               </t>
  </si>
  <si>
    <t xml:space="preserve">CORP DE ILUM.PT.LAMPI FLUORESCENTE TUBULARE, PT.1 SAU 2 LAMPI, MONT.PE DIBLURI CU EXPANDARE, Corp iluminat liniar 120 cm, sursa LED integrata          </t>
  </si>
  <si>
    <t xml:space="preserve">CORP DE ILUM.PT.LAMPI FLUORESCENTE TUBULARE, PT.1 SAU 2 LAMPI, MONT.PE DIBLURI CU EXPANDARE, Corp iluminat liniar 60 cm, sursa LED integrata            </t>
  </si>
  <si>
    <t xml:space="preserve">PENDULA CU TIJA SI GLOB DE STICLA, PENDULA SIMPLA DIN OTEL ZINCAT DREAPTA E-LC-3-10IV                                                                   </t>
  </si>
  <si>
    <t xml:space="preserve">APLICA CU BRAT/BRATE, INCL. ABAJURUL/ABAJURURILE, MONTATA PE DIBLURI DIN MATERIAL PLASTIC, Aplica decorativa, iluminat cs. scarii                    </t>
  </si>
  <si>
    <t xml:space="preserve">ARMATURA DE ILUM.IMPERMEABILA SAU ETANSA, CU GLOB DE STICLA, MONT.PE DIBLURI DIN MAT PLASTIC, Aplica rezistenta la umiditate, balcon etaj IV            </t>
  </si>
  <si>
    <t xml:space="preserve">LAMPA(BEC)INCANDESCENTA &lt;1000W,MONT.IN INTR.CONSTR./PE ELEM.EXT.,CORP ILUM. FARA GLOG SI DISP., Ghirlanda cu 21 surse E27, la terasa loisir etaj V      </t>
  </si>
  <si>
    <t xml:space="preserve">ARMATURA DE ILUM.IMPERMEABILA SAU ETANSA, CU GLOB DE STICLA, MONT.PE DIBLURI DIN MAT PLASTIC, Spot tip cilindru aparent, la grupurile sanitare         </t>
  </si>
  <si>
    <t xml:space="preserve">SPOT LUMINOS AJUSTABIL ( PROIECTOR ) MONTAT PE SINA, INCLUSIV ADAPTORUL PT.SINA, TIP..1, FAR PROIECTOR SECURIT.DULIE E 40 FLUX LUMIN. D=325            </t>
  </si>
  <si>
    <t xml:space="preserve">SISTEM SINA DE ILUMINAT MONAT PRIN SUSPENDARE, PREASAMBLAREA-CABLAREA-MONTAREA PE CONSOLE EXIST., SINA MODULARA SUSPENDATA,DIMENS. 50 X 50 MM, VOPSITA    </t>
  </si>
  <si>
    <t xml:space="preserve">SPOT LUMINOS, TERMINAL OPTIC, MONTAT PE PLAFON GATA DECUPAT, SPOT LUMINOS AJUSTABIL DE 50W, 12V                                         </t>
  </si>
  <si>
    <t xml:space="preserve">SPOT LUMINOS, TERMINAL OPTIC, MONTAT PE PLAFON GATA DECUPAT, Spot dublu, rectangular, cu surse orientabile                                              </t>
  </si>
  <si>
    <t xml:space="preserve">CORP (SISTEM)DE ILUMINAT MODULAR,SUSPENDAT,CORP DE ILUMINAT PT. 1 SAU 2 LAMPI FLUORESCENTE,  CORP DE ILUMINAT REGLABIL CU 3 SUPORTI SI 3 FASUNGURI          </t>
  </si>
  <si>
    <t xml:space="preserve">CORP (SISTEM)DE ILUMINAT MODULAR,SUSPENDAT,SISTEM TABULAR DE ILUMINTAT PT.1 SAU 2 LAMPI FLUORESCENTE, asim. Tub flexibil (LED), casete luminoase scara  </t>
  </si>
  <si>
    <t xml:space="preserve">ARMATURA DE ILUM.IMPERMEABILA SAU ETANSA, CU GLOB DE STICLA, MONT.PE DIBLURI DIN MAT PLASTIC, SPOT APLICA LUNA        </t>
  </si>
  <si>
    <t xml:space="preserve">REFLECTOR TIP FAR DE SECURITATE MONTAT PE SUPORT EXISTENT, PROIECTOR HALOGEN                                           </t>
  </si>
  <si>
    <t xml:space="preserve">REFLECTOR TIP FAR DE SECURITATE MONTAT PE SUPORT EXISTENT, SLOT TIP UP - DOWN ETANS CU 2 SURSE LED                                           </t>
  </si>
  <si>
    <t xml:space="preserve">CORP DE ILUMINAT INGROPAT IN PARDOSEALA, FIXAT IN DIBLURI DIN MATERIAL PLASTIC, Lampa liniara tip in-ground, încastrata în treapta                      </t>
  </si>
  <si>
    <t>CORP DE ILUMINAT DE SIGURANTA, MONOBLOC, CU BATERII SAU ACUMULATORI, MONT.PE DIBLURI DIN MAT.PLASTIC, LAMPA LINIARA TIP IN-GROUND, ÎNCASTRATA ÎN TREAPTA</t>
  </si>
  <si>
    <t xml:space="preserve">CUTIE CU BALAST PT.CORP DE ILUMINAT FLUORESCENT, MONT. PE DUBLURI DIN MATERIAL PLASTIC, KIT DE EMERGENTA CU INVERTOR SI ACUMULATOR 2H, ILUM.ANTIPANI              </t>
  </si>
  <si>
    <t xml:space="preserve">TABLOU EL.PE SCHELET METALIC, CU MASCA, MONTAT APARENT SAU IN NISA, CU SUPRAFATA PANA LA 0,30 MP, TABLOU ELECTRIC GENERAL TEG    </t>
  </si>
  <si>
    <t xml:space="preserve">TABLOU EL.PE SCHELET METALIC, CU MASCA, MONTAT APARENT SAU IN NISA, CU SUPRAFATA 0,91 … 1,50 MP, TABLOU ELECTRIC DE DISTRIBUTIE TED   </t>
  </si>
  <si>
    <t xml:space="preserve">TABLOU EL.PE SCHELET METALIC, CU MASCA, MONTAT APARENT SAU IN NISA, CU SUPRAFATA 0,31 … 0,90 MP, TABLOU ELECTRIC SIGURANTA TESIG     </t>
  </si>
  <si>
    <t xml:space="preserve">TABLOU EL.PE SCHELET METALIC, CU MASCA, MONTAT APARENT SAU IN NISA, CU SUPRAFATA PANA LA 0,30 MP, TABLOU ELECTRIC PENTRU INCENDIU TEINC   </t>
  </si>
  <si>
    <t xml:space="preserve">TABLOU EL.PE SCHELET METALIC, CU MASCA, MONTAT APARENT SAU IN NISA, CU SUPRAFATA PANA LA 0,30 MP, TABLOU ELECTRIC POMPE INCENDIU TEPI    </t>
  </si>
  <si>
    <t xml:space="preserve">TABLOU EL.PE SCHELET METALIC, CU MASCA, MONTAT APARENT SAU IN NISA, CU SUPRAFATA PANA LA 0,30 MP, TABLOU ELECTRIC CENTRALA TERMICA TECT  </t>
  </si>
  <si>
    <t xml:space="preserve">TABLOU EL.PE SCHELET METALIC, CU MASCA, MONTAT APARENT SAU IN NISA, CU SUPRAFATA 0,31 … 0,90 MP, TABLOU ELECTRIC ETAJUL 1 TE2     </t>
  </si>
  <si>
    <t xml:space="preserve">TABLOU EL.PE SCHELET METALIC, CU MASCA, MONTAT APARENT SAU IN NISA, CU SUPRAFATA 0,31 … 0,90 MP, TABLOU ELECTRIC ETAJ IV TE5     </t>
  </si>
  <si>
    <t xml:space="preserve">TABLOU EL.PE SCHELET METALIC, CU MASCA, MONTAT APARENT SAU IN NISA, CU SUPRAFATA 0,31 … 0,90 MP, TABLOU ELECTRIC ETAJ V TE6    </t>
  </si>
  <si>
    <t xml:space="preserve">TABLOU EL.PE SCHELET METALIC, CU MASCA, MONTAT APARENT SAU IN NISA, CU SUPRAFATA 0,31 … 0,90 MP, TABLOU ELECTRIC DEMISOL TE7     </t>
  </si>
  <si>
    <t xml:space="preserve">TABLOU EL.PE SCHELET METALIC, CU MASCA, MONTAT APARENT SAU IN NISA, CU SUPRAFATA 0,31 … 0,90 MP, TABLOU FORTA LABORATOARE DEMISOL TE8     </t>
  </si>
  <si>
    <t xml:space="preserve">TABLOU EL.PE SCHELET METALIC, CU MASCA, MONTAT APARENT SAU IN NISA, CU SUPRAFATA PANA LA 0,30 MP, TABLOU ELECTRIC ECHIPAT TE9    </t>
  </si>
  <si>
    <t xml:space="preserve">TABLOU EL.PE SCHELET METALIC, CU MASCA, MONTAT APARENT SAU IN NISA, CU SUPRAFATA PANA LA 0,30 MP, PANOU COMANDA ILUMINAT EXTERIOR    </t>
  </si>
  <si>
    <t xml:space="preserve">CAP TERMINAL USCAT,INTER.,LA CABL.(CONDUC.AL./CU.)+LEG.LA BORNE INST.CU PAPUC,3X120+50/3X150+ 70MMP, Papuci sertizare cupru 150 mmp       </t>
  </si>
  <si>
    <t xml:space="preserve">CAP TERMINAL USCAT,INTER.,LA CABL.(CONDUC.AL./CU.)+LEG.LA BORNE INST.CU PAPUC,3X 70+35/3X 95+ 50MMP, Papuci sertizare cupru 70 mmp      </t>
  </si>
  <si>
    <t xml:space="preserve">CAP TERMINAL USCAT,INTER.,LA CABL.(CONDUC.AL./CU.)+LEG.LA BORNE INST.CU PAPUC,3X 35+16/3X 50+ 25MMP, Papuci sertizare cupru 50 mmp  </t>
  </si>
  <si>
    <t xml:space="preserve">CAP TERMINAL USCAT,INTER.,LA CABL.(CONDUC.AL./CU.)+LEG.LA BORNE INST.CU PAPUC,3X 35+16/3X 50+ 25MMP, Papuci sertizare cupru 35 mmp        </t>
  </si>
  <si>
    <t xml:space="preserve">CAP TERMINAL USCAT,INTER.,LA CABL.(CONDUC.AL./CU.)+LEG.LA BORNE INST.CU PAPUC,4X 16/3X 25+ 16MMP, Papuci sertizare cupru 25 mmp           </t>
  </si>
  <si>
    <t xml:space="preserve">CAP TERMINAL USCAT,INTER.,LA CABL.(CONDUC.AL./CU.)+LEG.LA BORNE INST.CU PAPUC,2X 16/2X 25MMP, Papuci sertizare cupru 16 mmp          </t>
  </si>
  <si>
    <t xml:space="preserve">MONTAJ DETECTOARE "ADRESABILE" DE FUM, TEMP, COMBIN (FUM+ TEMP) PE TAVAN BETON, Detector optic de fum, inclusiv soclu                                </t>
  </si>
  <si>
    <t xml:space="preserve">MONTAJ BUTOANE INCENDIU "ADRESAB." IN INT. PE ZID BETON /CARAMIDA, SUP.METAL (PANOURI SANDWICH), BUTON DE INCENDIU - MONTAJ IN INTERIO     </t>
  </si>
  <si>
    <t xml:space="preserve">MONTAJ DETECTOARE DE FUM TIP "BARIERA IN INFRAROSU" IN MEDIU NORMAL, DETECTOR FUM IN INFRAROSU ARIE PROTEJATA 1500 MP                                </t>
  </si>
  <si>
    <t xml:space="preserve">MONTAJ DISP.DE AVERTIZARE SONORA SI/SAU VIZUALA, PT.CENTR.ANALOG - ADRESAB. - IN EXTERIOR, Sirena alarmare de exterior 90 dB                    </t>
  </si>
  <si>
    <t xml:space="preserve">MONTAJ DISP.DE AVERTIZARE SONORA SI/SAU VIZUALA, PT.CENTR.ANALOG - ADRESAB. - IN INTERIOR, Sirena alarmare de interior 65 dB                       </t>
  </si>
  <si>
    <t xml:space="preserve">MONTAJ DISP.DE AVERTIZARE SONORA SI/SAU VIZUALA, PT.CENTRALE "CONVENTIONALE" - IN INTERIOR, SIRENA DE INCENDIU, CU LED FLASH ROSU DE INTERIOR, 24 V          </t>
  </si>
  <si>
    <t xml:space="preserve">CABLU PT.INST.EL.DE COMANDA,SEMNALIZ.,BLOCARE,PRIN TUB-PROT.,PT.RACORD. TABLOU./AP.2-48COND.0,75MMP, CABLU ELECTRIC PT CURENTI SLABI DE INCENDIU TIP JY(ST)Y </t>
  </si>
  <si>
    <t xml:space="preserve">TUB DE PROTECTIE DIN MATERIAL PLASTIC, D.EXT. &lt;= 25 MM, MONTAT INGROPAT, TUB    IZOLAT   TIP I.P.  (BERGMAN)                             </t>
  </si>
  <si>
    <t xml:space="preserve">CENTR DETECT/AVERTIZ INCENDIU "ANALOG-ADR." &gt; 4 BUCLE+CEN. MASTER/SLAVE-PROGR/VERIF/PROBE-CEN+1BCL, Instalare Centrala Semnalizare Incendiu   </t>
  </si>
  <si>
    <t xml:space="preserve">FIXARE CAMERE VIDEO (FIXE / MOBILE), PE ZID DE BETON / CARAMIDA, NORMALA DE INTERIOR, Instalare camere video de interior tip "bullet"                   </t>
  </si>
  <si>
    <t xml:space="preserve">FIXARE CAMERE VIDEO "SPEED-DOME", PE ZID DE BETON / CARAMIDA, NORMALA DE INTERIOR, Instalare camere video de interior 360° tip "dome"                   </t>
  </si>
  <si>
    <t xml:space="preserve">MONTAJ CAMERE VIDEO DE SUPRAVEGHERE, IN CARCASA, CAMERE VIDEO DE EXTERIOR, Instalare camere video de exterior tip "box"                                </t>
  </si>
  <si>
    <t xml:space="preserve">FIXARE CAMERE VIDEO "SPEED-DOME", PE ZID DE BETON / CARAMIDA, NORMALA DE EXTERIOR,  Instalare camere video de exterior tip"speed dome'                   </t>
  </si>
  <si>
    <t xml:space="preserve">MONTAJ ECHIPAMENTE DIVERSE DE PRELUARE, ADAPTARE SI TRANSPORT: DISTRIBUITOR CU 16 CANALE, Instalare DVR                          </t>
  </si>
  <si>
    <t xml:space="preserve">MONTAJ ECHIPAMENTE VIZUALIZARE: MONITOARE &lt;= 5 KG, Instalare monitor LCD 22"                                                     </t>
  </si>
  <si>
    <t xml:space="preserve">MONTAJ SURSA DE ALIMENTARE SIMPLA DE PUTERE MEDIE / UPS (501-1000W), Instalare UPS                                        </t>
  </si>
  <si>
    <t xml:space="preserve">TABLOU EL.CAPSULAT DIN CUTII(DE BARE,DE SIG.,INTERMED.,TERMIN.)MONT.PE SCHELET MET., 6 … 10 CUTII, Instalare dulap internet, conform specificatii       </t>
  </si>
  <si>
    <t xml:space="preserve">MONTAJ ELEMENTE RESTRICTIONARE ACCES - USOARE: YALA ELECTROMAGNETICA, Instalare yale electromagnetice                                </t>
  </si>
  <si>
    <t xml:space="preserve">MONTARE CITITOR TIP PROXIMITATE, Instalare cititor proximitate                                                                        </t>
  </si>
  <si>
    <t xml:space="preserve">MONTARE ACCESORII: BUTON DE DESCHIDERE, Instalare buton manual cerere iesire                                                               </t>
  </si>
  <si>
    <t xml:space="preserve">PROGRAMARE SOFTWARE ECHIPAMENTE / SISTEM: PROGRAMARE UNITATE CENTRALA, Instalare centrala monitorizare control acces                                  </t>
  </si>
  <si>
    <t xml:space="preserve">MONTAJ UNITATE CENTRALA CU 4 CITITOARE, ECHIPATA COMPLET, Instalare set apelare panica grup sanitar dizabilitati                                                </t>
  </si>
  <si>
    <t xml:space="preserve">VERIFICARI / PROBE MONTAJ UNITATE CENTRALA CU 8 CITITOARE, ECHIPATA COMPLET, Instalare pupitru de comanda pentru sistem sonorizare                               </t>
  </si>
  <si>
    <t xml:space="preserve">PUNERE IN FUNCTIUNE MODULE, Instalare boxe plafon sistem sonorizare                                                                             </t>
  </si>
  <si>
    <t xml:space="preserve">CONDUCTOR PT.LEGARE LA PAMANT, MONT.IN PAMANT-SANTURI EXISTENTE,OTEL MASIV,IMBINARE PRIN SUDURA, BANDA DIN OTEL LAM. CALD S908 4 X 40 OL 37-1N     </t>
  </si>
  <si>
    <t xml:space="preserve">CONDUCTOR PT.LEGARE LA PAMANT, MONT.IN PAMANT-SANTURI EXISTENTE,OTEL MASIV,IMBINARE PRIN SUDURA, BANDA DIN OTEL LAM. CALD S908 4 X 25 OL 37-1N     </t>
  </si>
  <si>
    <t xml:space="preserve">CLEMA DE LEGATURA CU-AL         16-25 MMP,  Cleme pentru fixarea traseelor aparente de platbanda zincata                                                            </t>
  </si>
  <si>
    <t xml:space="preserve">CUTIE CU ECLISA DE LEGATURA PT.CENTURA DE IMPAMANTARE      TIP CES-2                                        </t>
  </si>
  <si>
    <t xml:space="preserve">ELECTROD DIN TEAVA DE OTEL DE DOI TOLI SI JUMATATEPENTRU LEGAREA LA PAMINT IN TEREN NORMAL,  ELECTROZI SUD.OL S.7240-69 E42.26.13/BG.22           </t>
  </si>
  <si>
    <t xml:space="preserve">GRUP ELECTROGEN AUTOMAT : DE LA 23 - 38 KVA,  Instalare grup electrogen 25 kVA                                                               </t>
  </si>
  <si>
    <t xml:space="preserve">USCATOR DE MIINI SAU DISTRIBUITOR AUTOMAT DE SAPUN LICHID,PE PERETE DIN ZIDARIE, Instalare uscatoare de maini, în gr. sanitare                          </t>
  </si>
  <si>
    <t xml:space="preserve">MONTAJ ECHIPAMENTE VIZUALIZARE: MONITOARE &gt; 10 KG, asim. Instalare videoproiector + ecran retractabil                                                   </t>
  </si>
  <si>
    <t xml:space="preserve">CONSTRUCTII METALICE CONFECTIONATE IN SANTIER, Confectionare stelaj metalic sustinere grup electrogen                                                      </t>
  </si>
  <si>
    <t xml:space="preserve">PROBA DE 72 ORE PT.TOTAL ANSAMBLU INSTALATIE (MASURAT LA ANSAMBLU INSTALATIE),  Verificari PRAM                       </t>
  </si>
  <si>
    <t>MACARA PE PNEURI 10-14,9TF,  Închiriere macara mobila pentru instalare grup electrogen</t>
  </si>
  <si>
    <t>TEAVA DIN MATERIAL PLASTIC(PE,PP,PP-R,SIMILAR),SUDURA PRIN POLIFUZIUNE,CONSTRUCTII IND, D=40MM      - Teava din polipropilena compozita avand Dn 40x5,5 mm</t>
  </si>
  <si>
    <t xml:space="preserve">BRATARA PT.FIXARE COND.OL PT.INST.INC.CENTR.SAU GAZE D PANA LA 1" MONT.PRIN DIBLURI EXP PE ZID BETON - BRATARI TEVI INSTALATII APA SI GAZE    1"      </t>
  </si>
  <si>
    <t xml:space="preserve">TEAVA DIN MAT.PLASTIC(PE,PP,PP-R)PT.CANAL, APARENT- INGROPATA SUB PARDOSEALA, IMB. GARNITURA,D=110MM - Teava polipropilena canalizare, D 110mm </t>
  </si>
  <si>
    <t>Valoare Oferta</t>
  </si>
  <si>
    <t>CENTRALIZATOR OFERTA PAVILION V - INSTALATII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</si>
</sst>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000"/>
    <numFmt numFmtId="166" formatCode="#,##0.00%;\ &quot; &quot;"/>
    <numFmt numFmtId="167" formatCode="#,##0.000"/>
    <numFmt numFmtId="168" formatCode="#,##0.000%;\ &quot; &quot;"/>
    <numFmt numFmtId="169" formatCode="_-* #,##0.00\ _l_e_i_-;\-* #,##0.00\ _l_e_i_-;_-* &quot;-&quot;??\ _l_e_i_-;_-@_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8"/>
      <color theme="1"/>
      <name val="Lucida Handwriting"/>
      <family val="4"/>
    </font>
    <font>
      <b/>
      <i/>
      <sz val="16"/>
      <color theme="1"/>
      <name val="Lucida Handwriting"/>
      <family val="4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alibri"/>
      <family val="2"/>
      <scheme val="minor"/>
    </font>
    <font>
      <i/>
      <sz val="8"/>
      <color theme="1"/>
      <name val="Courier New"/>
      <family val="3"/>
    </font>
    <font>
      <sz val="8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Lucida Handwriting"/>
      <family val="4"/>
    </font>
    <font>
      <b/>
      <sz val="9"/>
      <color theme="1"/>
      <name val="Courier New"/>
      <family val="3"/>
    </font>
    <font>
      <b/>
      <i/>
      <sz val="10"/>
      <color theme="1"/>
      <name val="Courier New"/>
      <family val="3"/>
    </font>
    <font>
      <b/>
      <sz val="8"/>
      <color theme="1"/>
      <name val="Courier New"/>
      <family val="3"/>
    </font>
    <font>
      <b/>
      <sz val="11"/>
      <color theme="1"/>
      <name val="Times New Roman"/>
      <family val="1"/>
    </font>
    <font>
      <b/>
      <sz val="10"/>
      <color theme="1"/>
      <name val="Courier New"/>
      <family val="3"/>
    </font>
    <font>
      <sz val="11"/>
      <color theme="1"/>
      <name val="Calibri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49" fontId="2" fillId="0" borderId="0" applyFill="0" applyBorder="0" applyProtection="0">
      <alignment horizontal="left" vertical="center" wrapText="1"/>
    </xf>
    <xf numFmtId="49" fontId="3" fillId="0" borderId="0" applyFill="0" applyBorder="0" applyProtection="0">
      <alignment horizontal="left" vertical="center" wrapText="1"/>
    </xf>
    <xf numFmtId="49" fontId="4" fillId="0" borderId="0" applyFill="0" applyBorder="0" applyProtection="0">
      <alignment horizontal="center" vertical="center" wrapText="1"/>
    </xf>
    <xf numFmtId="0" fontId="6" fillId="0" borderId="0" applyNumberFormat="0" applyFill="0" applyBorder="0" applyProtection="0">
      <alignment horizontal="center"/>
    </xf>
    <xf numFmtId="49" fontId="6" fillId="0" borderId="0" applyFill="0" applyBorder="0" applyProtection="0">
      <alignment horizontal="center" vertical="center"/>
    </xf>
    <xf numFmtId="49" fontId="6" fillId="0" borderId="0" applyFill="0" applyBorder="0" applyProtection="0">
      <alignment horizontal="left" vertical="center" wrapText="1"/>
    </xf>
    <xf numFmtId="49" fontId="6" fillId="0" borderId="0" applyFill="0" applyBorder="0" applyProtection="0">
      <alignment horizontal="left" vertical="center" wrapText="1"/>
    </xf>
    <xf numFmtId="49" fontId="7" fillId="0" borderId="0" applyFill="0" applyBorder="0" applyProtection="0">
      <alignment horizontal="left" vertical="center"/>
    </xf>
    <xf numFmtId="4" fontId="6" fillId="0" borderId="0" applyFill="0" applyBorder="0" applyProtection="0">
      <alignment horizontal="right" vertical="center"/>
    </xf>
    <xf numFmtId="4" fontId="6" fillId="0" borderId="0" applyFill="0" applyBorder="0" applyProtection="0">
      <alignment horizontal="center" vertical="center"/>
    </xf>
    <xf numFmtId="165" fontId="6" fillId="0" borderId="0" applyFill="0" applyBorder="0" applyProtection="0">
      <alignment vertical="center"/>
    </xf>
    <xf numFmtId="166" fontId="11" fillId="0" borderId="0" applyFill="0" applyBorder="0" applyProtection="0">
      <alignment horizontal="right" vertical="center"/>
    </xf>
    <xf numFmtId="4" fontId="5" fillId="0" borderId="0" applyFill="0" applyBorder="0" applyProtection="0">
      <alignment vertical="center"/>
    </xf>
    <xf numFmtId="49" fontId="8" fillId="0" borderId="0" applyFill="0" applyBorder="0" applyProtection="0">
      <alignment horizontal="left"/>
    </xf>
    <xf numFmtId="166" fontId="9" fillId="0" borderId="0" applyFill="0" applyBorder="0" applyAlignment="0" applyProtection="0">
      <alignment vertical="center"/>
    </xf>
    <xf numFmtId="167" fontId="6" fillId="0" borderId="0" applyFill="0" applyBorder="0" applyAlignment="0" applyProtection="0"/>
    <xf numFmtId="165" fontId="5" fillId="0" borderId="0" applyFill="0" applyBorder="0" applyAlignment="0" applyProtection="0"/>
    <xf numFmtId="167" fontId="5" fillId="0" borderId="0" applyFill="0" applyBorder="0" applyAlignment="0" applyProtection="0"/>
    <xf numFmtId="4" fontId="5" fillId="0" borderId="0" applyFill="0" applyBorder="0" applyAlignment="0" applyProtection="0"/>
    <xf numFmtId="168" fontId="6" fillId="0" borderId="0" applyFill="0" applyBorder="0" applyProtection="0">
      <alignment horizontal="right"/>
    </xf>
    <xf numFmtId="49" fontId="6" fillId="0" borderId="0" applyFill="0" applyBorder="0" applyProtection="0"/>
    <xf numFmtId="164" fontId="19" fillId="0" borderId="0" applyFont="0" applyFill="0" applyBorder="0" applyAlignment="0" applyProtection="0"/>
  </cellStyleXfs>
  <cellXfs count="123">
    <xf numFmtId="0" fontId="0" fillId="0" borderId="0" xfId="0"/>
    <xf numFmtId="49" fontId="10" fillId="0" borderId="0" xfId="0" applyNumberFormat="1" applyFont="1"/>
    <xf numFmtId="49" fontId="6" fillId="0" borderId="0" xfId="5">
      <alignment horizontal="center" vertical="center"/>
    </xf>
    <xf numFmtId="49" fontId="6" fillId="0" borderId="0" xfId="6">
      <alignment horizontal="left" vertical="center" wrapText="1"/>
    </xf>
    <xf numFmtId="4" fontId="6" fillId="0" borderId="0" xfId="9">
      <alignment horizontal="right" vertical="center"/>
    </xf>
    <xf numFmtId="49" fontId="7" fillId="0" borderId="0" xfId="8">
      <alignment horizontal="left" vertical="center"/>
    </xf>
    <xf numFmtId="165" fontId="6" fillId="0" borderId="0" xfId="11">
      <alignment vertical="center"/>
    </xf>
    <xf numFmtId="4" fontId="5" fillId="0" borderId="0" xfId="13">
      <alignment vertical="center"/>
    </xf>
    <xf numFmtId="49" fontId="9" fillId="0" borderId="0" xfId="8" applyFont="1">
      <alignment horizontal="left" vertical="center"/>
    </xf>
    <xf numFmtId="0" fontId="1" fillId="0" borderId="0" xfId="0" applyFont="1"/>
    <xf numFmtId="4" fontId="6" fillId="0" borderId="0" xfId="13" applyFont="1">
      <alignment vertical="center"/>
    </xf>
    <xf numFmtId="49" fontId="10" fillId="0" borderId="1" xfId="0" applyNumberFormat="1" applyFont="1" applyBorder="1"/>
    <xf numFmtId="49" fontId="6" fillId="0" borderId="1" xfId="5" applyBorder="1">
      <alignment horizontal="center" vertical="center"/>
    </xf>
    <xf numFmtId="49" fontId="6" fillId="0" borderId="1" xfId="6" applyBorder="1">
      <alignment horizontal="left" vertical="center" wrapText="1"/>
    </xf>
    <xf numFmtId="49" fontId="9" fillId="0" borderId="1" xfId="8" applyFont="1" applyBorder="1">
      <alignment horizontal="left" vertical="center"/>
    </xf>
    <xf numFmtId="0" fontId="1" fillId="0" borderId="1" xfId="0" applyFont="1" applyBorder="1"/>
    <xf numFmtId="165" fontId="6" fillId="0" borderId="1" xfId="11" applyBorder="1">
      <alignment vertical="center"/>
    </xf>
    <xf numFmtId="4" fontId="6" fillId="0" borderId="1" xfId="13" applyFont="1" applyBorder="1">
      <alignment vertical="center"/>
    </xf>
    <xf numFmtId="4" fontId="6" fillId="0" borderId="1" xfId="9" applyBorder="1">
      <alignment horizontal="right" vertical="center"/>
    </xf>
    <xf numFmtId="49" fontId="7" fillId="0" borderId="1" xfId="8" applyBorder="1">
      <alignment horizontal="left" vertical="center"/>
    </xf>
    <xf numFmtId="0" fontId="0" fillId="0" borderId="1" xfId="0" applyBorder="1"/>
    <xf numFmtId="4" fontId="5" fillId="0" borderId="1" xfId="13" applyBorder="1">
      <alignment vertical="center"/>
    </xf>
    <xf numFmtId="4" fontId="5" fillId="0" borderId="2" xfId="13" applyBorder="1">
      <alignment vertical="center"/>
    </xf>
    <xf numFmtId="4" fontId="5" fillId="0" borderId="6" xfId="13" applyBorder="1">
      <alignment vertical="center"/>
    </xf>
    <xf numFmtId="4" fontId="6" fillId="0" borderId="5" xfId="9" applyBorder="1">
      <alignment horizontal="right" vertical="center"/>
    </xf>
    <xf numFmtId="49" fontId="6" fillId="0" borderId="2" xfId="5" applyBorder="1">
      <alignment horizontal="center" vertical="center"/>
    </xf>
    <xf numFmtId="49" fontId="6" fillId="0" borderId="2" xfId="6" applyBorder="1">
      <alignment horizontal="left" vertical="center" wrapText="1"/>
    </xf>
    <xf numFmtId="49" fontId="7" fillId="0" borderId="2" xfId="8" applyBorder="1">
      <alignment horizontal="left" vertical="center"/>
    </xf>
    <xf numFmtId="0" fontId="0" fillId="0" borderId="2" xfId="0" applyBorder="1"/>
    <xf numFmtId="165" fontId="6" fillId="0" borderId="2" xfId="11" applyBorder="1">
      <alignment vertical="center"/>
    </xf>
    <xf numFmtId="4" fontId="6" fillId="0" borderId="2" xfId="9" applyBorder="1">
      <alignment horizontal="right" vertical="center"/>
    </xf>
    <xf numFmtId="49" fontId="6" fillId="0" borderId="0" xfId="5" applyBorder="1">
      <alignment horizontal="center" vertical="center"/>
    </xf>
    <xf numFmtId="49" fontId="6" fillId="0" borderId="0" xfId="6" applyBorder="1">
      <alignment horizontal="left" vertical="center" wrapText="1"/>
    </xf>
    <xf numFmtId="49" fontId="7" fillId="0" borderId="0" xfId="8" applyBorder="1">
      <alignment horizontal="left" vertical="center"/>
    </xf>
    <xf numFmtId="165" fontId="6" fillId="0" borderId="0" xfId="11" applyBorder="1">
      <alignment vertical="center"/>
    </xf>
    <xf numFmtId="4" fontId="5" fillId="0" borderId="0" xfId="13" applyBorder="1">
      <alignment vertical="center"/>
    </xf>
    <xf numFmtId="4" fontId="6" fillId="0" borderId="0" xfId="9" applyBorder="1">
      <alignment horizontal="right" vertical="center"/>
    </xf>
    <xf numFmtId="49" fontId="14" fillId="0" borderId="0" xfId="21" applyFont="1" applyBorder="1"/>
    <xf numFmtId="49" fontId="15" fillId="0" borderId="0" xfId="0" applyNumberFormat="1" applyFont="1"/>
    <xf numFmtId="49" fontId="7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0" borderId="0" xfId="0" applyFont="1"/>
    <xf numFmtId="49" fontId="9" fillId="0" borderId="1" xfId="0" applyNumberFormat="1" applyFont="1" applyBorder="1" applyAlignment="1">
      <alignment horizontal="left"/>
    </xf>
    <xf numFmtId="49" fontId="16" fillId="0" borderId="1" xfId="0" applyNumberFormat="1" applyFont="1" applyBorder="1" applyAlignment="1">
      <alignment horizontal="left"/>
    </xf>
    <xf numFmtId="0" fontId="9" fillId="0" borderId="1" xfId="0" applyFont="1" applyBorder="1"/>
    <xf numFmtId="49" fontId="6" fillId="0" borderId="1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9" fillId="0" borderId="0" xfId="0" applyFont="1"/>
    <xf numFmtId="49" fontId="6" fillId="0" borderId="0" xfId="0" applyNumberFormat="1" applyFont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7" fillId="0" borderId="1" xfId="0" applyFont="1" applyBorder="1"/>
    <xf numFmtId="49" fontId="5" fillId="0" borderId="1" xfId="0" applyNumberFormat="1" applyFont="1" applyBorder="1" applyAlignment="1">
      <alignment horizontal="left"/>
    </xf>
    <xf numFmtId="49" fontId="17" fillId="0" borderId="1" xfId="0" applyNumberFormat="1" applyFont="1" applyBorder="1" applyAlignment="1">
      <alignment horizontal="left"/>
    </xf>
    <xf numFmtId="49" fontId="18" fillId="0" borderId="0" xfId="0" applyNumberFormat="1" applyFont="1"/>
    <xf numFmtId="0" fontId="21" fillId="0" borderId="0" xfId="0" applyFont="1"/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164" fontId="21" fillId="0" borderId="14" xfId="22" applyFont="1" applyBorder="1"/>
    <xf numFmtId="0" fontId="21" fillId="0" borderId="14" xfId="0" applyFont="1" applyBorder="1" applyAlignment="1">
      <alignment horizontal="center"/>
    </xf>
    <xf numFmtId="49" fontId="21" fillId="0" borderId="14" xfId="0" applyNumberFormat="1" applyFont="1" applyBorder="1"/>
    <xf numFmtId="164" fontId="17" fillId="0" borderId="16" xfId="0" applyNumberFormat="1" applyFont="1" applyBorder="1"/>
    <xf numFmtId="164" fontId="21" fillId="0" borderId="0" xfId="0" applyNumberFormat="1" applyFont="1"/>
    <xf numFmtId="49" fontId="21" fillId="0" borderId="14" xfId="0" applyNumberFormat="1" applyFont="1" applyBorder="1" applyAlignment="1">
      <alignment horizontal="center"/>
    </xf>
    <xf numFmtId="4" fontId="5" fillId="0" borderId="4" xfId="13" applyBorder="1">
      <alignment vertical="center"/>
    </xf>
    <xf numFmtId="4" fontId="6" fillId="0" borderId="3" xfId="9" applyBorder="1">
      <alignment horizontal="right" vertical="center"/>
    </xf>
    <xf numFmtId="49" fontId="6" fillId="0" borderId="5" xfId="7" applyBorder="1" applyAlignment="1">
      <alignment vertical="center" wrapText="1"/>
    </xf>
    <xf numFmtId="49" fontId="10" fillId="0" borderId="2" xfId="0" applyNumberFormat="1" applyFont="1" applyBorder="1"/>
    <xf numFmtId="49" fontId="6" fillId="0" borderId="0" xfId="7" applyBorder="1" applyAlignment="1">
      <alignment vertical="center" wrapText="1"/>
    </xf>
    <xf numFmtId="49" fontId="6" fillId="0" borderId="0" xfId="7" applyAlignment="1">
      <alignment vertical="center" wrapText="1"/>
    </xf>
    <xf numFmtId="4" fontId="5" fillId="0" borderId="0" xfId="9" applyFont="1" applyBorder="1">
      <alignment horizontal="right" vertical="center"/>
    </xf>
    <xf numFmtId="49" fontId="5" fillId="0" borderId="2" xfId="5" applyFont="1" applyBorder="1">
      <alignment horizontal="center" vertical="center"/>
    </xf>
    <xf numFmtId="49" fontId="5" fillId="0" borderId="2" xfId="6" applyFont="1" applyBorder="1">
      <alignment horizontal="left" vertical="center" wrapText="1"/>
    </xf>
    <xf numFmtId="165" fontId="5" fillId="0" borderId="2" xfId="11" applyFont="1" applyBorder="1">
      <alignment vertical="center"/>
    </xf>
    <xf numFmtId="4" fontId="5" fillId="0" borderId="2" xfId="9" applyFont="1" applyBorder="1">
      <alignment horizontal="right" vertical="center"/>
    </xf>
    <xf numFmtId="4" fontId="5" fillId="0" borderId="3" xfId="9" applyFont="1" applyBorder="1">
      <alignment horizontal="right" vertical="center"/>
    </xf>
    <xf numFmtId="4" fontId="5" fillId="0" borderId="3" xfId="13" applyBorder="1">
      <alignment vertical="center"/>
    </xf>
    <xf numFmtId="4" fontId="5" fillId="2" borderId="0" xfId="13" applyFill="1" applyBorder="1">
      <alignment vertical="center"/>
    </xf>
    <xf numFmtId="4" fontId="5" fillId="2" borderId="2" xfId="13" applyFill="1" applyBorder="1">
      <alignment vertical="center"/>
    </xf>
    <xf numFmtId="4" fontId="5" fillId="3" borderId="2" xfId="13" applyFill="1" applyBorder="1">
      <alignment vertical="center"/>
    </xf>
    <xf numFmtId="4" fontId="5" fillId="0" borderId="0" xfId="13" applyFill="1">
      <alignment vertical="center"/>
    </xf>
    <xf numFmtId="4" fontId="5" fillId="0" borderId="0" xfId="13" applyFill="1" applyBorder="1">
      <alignment vertical="center"/>
    </xf>
    <xf numFmtId="4" fontId="5" fillId="0" borderId="2" xfId="13" applyFill="1" applyBorder="1">
      <alignment vertical="center"/>
    </xf>
    <xf numFmtId="4" fontId="0" fillId="0" borderId="0" xfId="0" applyNumberFormat="1"/>
    <xf numFmtId="4" fontId="5" fillId="2" borderId="4" xfId="13" applyFill="1" applyBorder="1">
      <alignment vertical="center"/>
    </xf>
    <xf numFmtId="4" fontId="5" fillId="4" borderId="0" xfId="13" applyFill="1" applyBorder="1">
      <alignment vertical="center"/>
    </xf>
    <xf numFmtId="4" fontId="5" fillId="3" borderId="0" xfId="13" applyFill="1">
      <alignment vertical="center"/>
    </xf>
    <xf numFmtId="4" fontId="5" fillId="3" borderId="0" xfId="13" applyFill="1" applyBorder="1">
      <alignment vertical="center"/>
    </xf>
    <xf numFmtId="4" fontId="5" fillId="3" borderId="4" xfId="13" applyFill="1" applyBorder="1">
      <alignment vertic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9" xfId="0" applyFont="1" applyBorder="1" applyAlignment="1">
      <alignment horizontal="center"/>
    </xf>
    <xf numFmtId="49" fontId="12" fillId="0" borderId="1" xfId="1" applyFont="1" applyBorder="1">
      <alignment horizontal="left" vertical="center" wrapText="1"/>
    </xf>
    <xf numFmtId="49" fontId="8" fillId="0" borderId="1" xfId="0" applyNumberFormat="1" applyFont="1" applyBorder="1" applyAlignment="1">
      <alignment horizontal="left"/>
    </xf>
    <xf numFmtId="49" fontId="3" fillId="0" borderId="0" xfId="2">
      <alignment horizontal="left" vertical="center" wrapText="1"/>
    </xf>
    <xf numFmtId="49" fontId="7" fillId="0" borderId="0" xfId="0" applyNumberFormat="1" applyFont="1" applyAlignment="1">
      <alignment horizontal="left"/>
    </xf>
    <xf numFmtId="49" fontId="12" fillId="0" borderId="0" xfId="1" applyFont="1">
      <alignment horizontal="left" vertical="center" wrapText="1"/>
    </xf>
    <xf numFmtId="49" fontId="13" fillId="0" borderId="0" xfId="3" applyFont="1">
      <alignment horizontal="center" vertical="center" wrapText="1"/>
    </xf>
    <xf numFmtId="49" fontId="6" fillId="0" borderId="0" xfId="7" applyBorder="1">
      <alignment horizontal="left" vertical="center" wrapText="1"/>
    </xf>
    <xf numFmtId="49" fontId="10" fillId="0" borderId="0" xfId="0" applyNumberFormat="1" applyFont="1"/>
    <xf numFmtId="49" fontId="10" fillId="0" borderId="3" xfId="0" applyNumberFormat="1" applyFont="1" applyBorder="1"/>
    <xf numFmtId="49" fontId="6" fillId="0" borderId="0" xfId="7">
      <alignment horizontal="left" vertical="center" wrapText="1"/>
    </xf>
    <xf numFmtId="166" fontId="23" fillId="0" borderId="0" xfId="12" applyFont="1" applyBorder="1" applyAlignment="1">
      <alignment horizontal="left" vertical="top" wrapText="1"/>
    </xf>
    <xf numFmtId="166" fontId="25" fillId="0" borderId="0" xfId="12" applyFont="1" applyBorder="1" applyAlignment="1">
      <alignment horizontal="left" vertical="top" wrapText="1"/>
    </xf>
    <xf numFmtId="166" fontId="25" fillId="0" borderId="3" xfId="12" applyFont="1" applyBorder="1" applyAlignment="1">
      <alignment horizontal="left" vertical="top" wrapText="1"/>
    </xf>
    <xf numFmtId="166" fontId="24" fillId="0" borderId="0" xfId="12" applyFont="1" applyBorder="1" applyAlignment="1">
      <alignment horizontal="left" vertical="top" wrapText="1"/>
    </xf>
    <xf numFmtId="166" fontId="24" fillId="0" borderId="3" xfId="12" applyFont="1" applyBorder="1" applyAlignment="1">
      <alignment horizontal="left" vertical="top" wrapText="1"/>
    </xf>
    <xf numFmtId="166" fontId="23" fillId="0" borderId="3" xfId="12" applyFont="1" applyBorder="1" applyAlignment="1">
      <alignment horizontal="left" vertical="top" wrapText="1"/>
    </xf>
    <xf numFmtId="49" fontId="6" fillId="0" borderId="0" xfId="5" applyBorder="1" applyAlignment="1">
      <alignment horizontal="left" vertical="top" wrapText="1"/>
    </xf>
    <xf numFmtId="49" fontId="6" fillId="0" borderId="3" xfId="5" applyBorder="1" applyAlignment="1">
      <alignment horizontal="left" vertical="top" wrapText="1"/>
    </xf>
    <xf numFmtId="49" fontId="5" fillId="0" borderId="0" xfId="7" applyFont="1" applyBorder="1">
      <alignment horizontal="left" vertical="center" wrapText="1"/>
    </xf>
    <xf numFmtId="165" fontId="6" fillId="4" borderId="0" xfId="11" applyFill="1">
      <alignment vertical="center"/>
    </xf>
    <xf numFmtId="49" fontId="7" fillId="3" borderId="2" xfId="8" applyFill="1" applyBorder="1">
      <alignment horizontal="left" vertical="center"/>
    </xf>
    <xf numFmtId="4" fontId="5" fillId="4" borderId="0" xfId="13" applyFill="1">
      <alignment vertical="center"/>
    </xf>
    <xf numFmtId="169" fontId="21" fillId="0" borderId="0" xfId="0" applyNumberFormat="1" applyFont="1"/>
    <xf numFmtId="164" fontId="21" fillId="3" borderId="14" xfId="22" applyFont="1" applyFill="1" applyBorder="1"/>
  </cellXfs>
  <cellStyles count="23">
    <cellStyle name="Antet" xfId="1" xr:uid="{B0BC5CFA-8B51-4CE0-B8CF-21BFF537307B}"/>
    <cellStyle name="Cantitate" xfId="11" xr:uid="{A84EAF34-5965-4929-949C-5266D6726845}"/>
    <cellStyle name="CapTabel" xfId="4" xr:uid="{01F1997B-F6C1-43FF-B2C5-50ECBA75F7EA}"/>
    <cellStyle name="Cod" xfId="6" xr:uid="{6BFF9DE1-EDA1-4892-BF84-B380A78712AE}"/>
    <cellStyle name="Denum" xfId="8" xr:uid="{23783610-A92A-4DAD-8CA2-562AECC67CFA}"/>
    <cellStyle name="Denumire" xfId="7" xr:uid="{624DB749-BA05-4996-8FE5-7F5D1A43DD83}"/>
    <cellStyle name="DenumireRaport" xfId="2" xr:uid="{2ACAEA9D-485A-4CBF-90FD-67C26E291FCB}"/>
    <cellStyle name="Greutate" xfId="16" xr:uid="{BFA19C82-8872-45C1-867A-F998A4028AFD}"/>
    <cellStyle name="kmparcurs" xfId="18" xr:uid="{952C0BA3-FBE5-4727-8AF4-3FAAF8249B62}"/>
    <cellStyle name="Normal" xfId="0" builtinId="0"/>
    <cellStyle name="NrCrt" xfId="5" xr:uid="{952CF95D-CED8-454C-9D14-34FFC3A47BB6}"/>
    <cellStyle name="orefunc" xfId="19" xr:uid="{49E0EDF2-3A3E-4FB9-80B5-81D72733BD6C}"/>
    <cellStyle name="Pondere" xfId="10" xr:uid="{F9D87832-DD45-4928-BD03-70D27A01A459}"/>
    <cellStyle name="PretUnitar" xfId="13" xr:uid="{407AB47D-44EC-4351-B287-466C2F14B967}"/>
    <cellStyle name="Procente" xfId="20" xr:uid="{A8DEAEC0-F442-4E1E-A6DF-B084EF49F2FB}"/>
    <cellStyle name="Recapit" xfId="14" xr:uid="{2D7C3D5B-3AD8-472F-AFFC-7B88DBBE8460}"/>
    <cellStyle name="RecCoef" xfId="15" xr:uid="{B81EFB4F-7F94-4089-9977-D3192DDC6BC7}"/>
    <cellStyle name="Sporuri" xfId="12" xr:uid="{41D33EED-0948-4902-A59F-6F6A43E375B1}"/>
    <cellStyle name="Text" xfId="21" xr:uid="{43F190FB-686B-4B74-AB43-34A901369F95}"/>
    <cellStyle name="TitluRap" xfId="3" xr:uid="{12ACED9F-31A3-445E-8AE8-7756A478210A}"/>
    <cellStyle name="tonaj" xfId="17" xr:uid="{615B6C43-4841-4E7B-A0A3-BC18AFF52552}"/>
    <cellStyle name="Valoare" xfId="9" xr:uid="{9498A8C7-3E7E-48B5-8155-C434C3CDADFB}"/>
    <cellStyle name="Virgulă" xfId="22" builtinId="3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D15C-E076-443B-B8C4-3F9AF780BEC4}">
  <dimension ref="A3:J22"/>
  <sheetViews>
    <sheetView tabSelected="1" topLeftCell="A4" workbookViewId="0">
      <selection activeCell="C12" sqref="C12"/>
    </sheetView>
  </sheetViews>
  <sheetFormatPr defaultColWidth="8.85546875" defaultRowHeight="15" x14ac:dyDescent="0.25"/>
  <cols>
    <col min="1" max="1" width="4.140625" style="56" bestFit="1" customWidth="1"/>
    <col min="2" max="2" width="10.85546875" style="56" customWidth="1"/>
    <col min="3" max="3" width="48.7109375" style="56" customWidth="1"/>
    <col min="4" max="4" width="15" style="56" customWidth="1"/>
    <col min="5" max="6" width="12.7109375" style="56" customWidth="1"/>
    <col min="7" max="7" width="17.42578125" style="56" customWidth="1"/>
    <col min="8" max="8" width="8.85546875" style="56"/>
    <col min="9" max="10" width="15.5703125" style="56" bestFit="1" customWidth="1"/>
    <col min="11" max="16384" width="8.85546875" style="56"/>
  </cols>
  <sheetData>
    <row r="3" spans="1:7" ht="27" x14ac:dyDescent="0.35">
      <c r="A3" s="97" t="s">
        <v>867</v>
      </c>
      <c r="B3" s="97"/>
      <c r="C3" s="97"/>
      <c r="D3" s="97"/>
      <c r="E3" s="97"/>
      <c r="F3" s="97"/>
      <c r="G3" s="97"/>
    </row>
    <row r="5" spans="1:7" ht="15.75" thickBot="1" x14ac:dyDescent="0.3"/>
    <row r="6" spans="1:7" s="59" customFormat="1" x14ac:dyDescent="0.25">
      <c r="A6" s="57" t="s">
        <v>4</v>
      </c>
      <c r="B6" s="58" t="s">
        <v>495</v>
      </c>
      <c r="C6" s="58" t="s">
        <v>496</v>
      </c>
      <c r="D6" s="98" t="s">
        <v>866</v>
      </c>
      <c r="E6" s="98"/>
      <c r="F6" s="98"/>
      <c r="G6" s="98"/>
    </row>
    <row r="7" spans="1:7" s="59" customFormat="1" ht="15.75" thickBot="1" x14ac:dyDescent="0.3">
      <c r="A7" s="60" t="s">
        <v>10</v>
      </c>
      <c r="B7" s="61" t="s">
        <v>497</v>
      </c>
      <c r="C7" s="61" t="s">
        <v>498</v>
      </c>
      <c r="D7" s="62" t="s">
        <v>499</v>
      </c>
      <c r="E7" s="62" t="s">
        <v>500</v>
      </c>
      <c r="F7" s="62" t="s">
        <v>501</v>
      </c>
      <c r="G7" s="62" t="s">
        <v>502</v>
      </c>
    </row>
    <row r="8" spans="1:7" x14ac:dyDescent="0.25">
      <c r="A8" s="63">
        <v>1</v>
      </c>
      <c r="B8" s="65" t="s">
        <v>505</v>
      </c>
      <c r="C8" s="66" t="str">
        <f>'O.03 D.00'!A5</f>
        <v>Categorie: 00 INST.SANITARE-DEMONTARI</v>
      </c>
      <c r="D8" s="64">
        <f>'O.03 D.00'!E43</f>
        <v>132</v>
      </c>
      <c r="E8" s="122">
        <f>'O.03 D.00'!F43</f>
        <v>24894.400000000001</v>
      </c>
      <c r="F8" s="64"/>
      <c r="G8" s="64">
        <f>SUM(D8:F8)</f>
        <v>25026.400000000001</v>
      </c>
    </row>
    <row r="9" spans="1:7" x14ac:dyDescent="0.25">
      <c r="A9" s="63">
        <v>2</v>
      </c>
      <c r="B9" s="65" t="s">
        <v>506</v>
      </c>
      <c r="C9" s="66" t="str">
        <f>'O.03 D.01'!A5</f>
        <v>Categorie: 01 INST.SANITARE INTERIOARE</v>
      </c>
      <c r="D9" s="64">
        <f>'O.03 D.01'!E205</f>
        <v>226126.28571428574</v>
      </c>
      <c r="E9" s="64">
        <f>'O.03 D.01'!F205</f>
        <v>123490.34400000001</v>
      </c>
      <c r="F9" s="64"/>
      <c r="G9" s="64">
        <f>SUM(D9:F9)</f>
        <v>349616.62971428572</v>
      </c>
    </row>
    <row r="10" spans="1:7" x14ac:dyDescent="0.25">
      <c r="A10" s="63">
        <v>3</v>
      </c>
      <c r="B10" s="65" t="s">
        <v>507</v>
      </c>
      <c r="C10" s="66" t="str">
        <f>'O.03 D.02'!A5</f>
        <v>Categorie: 02 INST.HIDRANTI INTERIORI</v>
      </c>
      <c r="D10" s="64">
        <f>'O.03 D.02'!E54</f>
        <v>15696.479999999998</v>
      </c>
      <c r="E10" s="64">
        <f>'O.03 D.02'!F54</f>
        <v>18158.992000000002</v>
      </c>
      <c r="F10" s="64"/>
      <c r="G10" s="64">
        <f>SUM(D10:F10)</f>
        <v>33855.472000000002</v>
      </c>
    </row>
    <row r="11" spans="1:7" x14ac:dyDescent="0.25">
      <c r="A11" s="63">
        <v>4</v>
      </c>
      <c r="B11" s="65" t="s">
        <v>504</v>
      </c>
      <c r="C11" s="66" t="str">
        <f>'O.03 D.03'!A5</f>
        <v>Categorie: 03 STATIE DE POMPARE INCENDIU</v>
      </c>
      <c r="D11" s="64">
        <f>'O.03 D.03'!E99</f>
        <v>22135.83</v>
      </c>
      <c r="E11" s="64">
        <f>'O.03 D.03'!F99</f>
        <v>34680</v>
      </c>
      <c r="F11" s="64"/>
      <c r="G11" s="64">
        <f>SUM(D11:F11)</f>
        <v>56815.83</v>
      </c>
    </row>
    <row r="12" spans="1:7" x14ac:dyDescent="0.25">
      <c r="A12" s="63">
        <v>5</v>
      </c>
      <c r="B12" s="65" t="s">
        <v>508</v>
      </c>
      <c r="C12" s="66" t="str">
        <f>'O.03 D.04'!A5</f>
        <v>Categorie: 04 RETEA EXT.CANALIZARE MENAJERA</v>
      </c>
      <c r="D12" s="64">
        <f>'O.03 D.04'!E42</f>
        <v>8669.6</v>
      </c>
      <c r="E12" s="64">
        <f>'O.03 D.04'!F42</f>
        <v>10504.720000000001</v>
      </c>
      <c r="F12" s="64"/>
      <c r="G12" s="64">
        <f>SUM(D12:F12)</f>
        <v>19174.32</v>
      </c>
    </row>
    <row r="13" spans="1:7" x14ac:dyDescent="0.25">
      <c r="A13" s="63"/>
      <c r="B13" s="65"/>
      <c r="C13" s="69" t="s">
        <v>503</v>
      </c>
      <c r="D13" s="64"/>
      <c r="E13" s="64"/>
      <c r="F13" s="64">
        <f>'F4'!F31</f>
        <v>78549</v>
      </c>
      <c r="G13" s="64">
        <f>F13</f>
        <v>78549</v>
      </c>
    </row>
    <row r="14" spans="1:7" x14ac:dyDescent="0.25">
      <c r="A14" s="63">
        <v>6</v>
      </c>
      <c r="B14" s="65" t="s">
        <v>509</v>
      </c>
      <c r="C14" s="66" t="str">
        <f>'O.04 D.01'!A5</f>
        <v>Categorie: 01 INST.TERMICE RADIAT.+C.T.</v>
      </c>
      <c r="D14" s="64">
        <f>'O.04 D.01'!E357</f>
        <v>303031.30769230769</v>
      </c>
      <c r="E14" s="64">
        <f>'O.04 D.01'!F357</f>
        <v>185521.98769230768</v>
      </c>
      <c r="F14" s="64"/>
      <c r="G14" s="64">
        <f>SUM(D14:F14)</f>
        <v>488553.29538461537</v>
      </c>
    </row>
    <row r="15" spans="1:7" x14ac:dyDescent="0.25">
      <c r="A15" s="63"/>
      <c r="B15" s="65"/>
      <c r="C15" s="69" t="s">
        <v>503</v>
      </c>
      <c r="D15" s="64"/>
      <c r="E15" s="64"/>
      <c r="F15" s="64">
        <f>'F4'!F50</f>
        <v>153446</v>
      </c>
      <c r="G15" s="64">
        <f>F15</f>
        <v>153446</v>
      </c>
    </row>
    <row r="16" spans="1:7" x14ac:dyDescent="0.25">
      <c r="A16" s="63">
        <v>7</v>
      </c>
      <c r="B16" s="65" t="s">
        <v>510</v>
      </c>
      <c r="C16" s="66" t="str">
        <f>'O.05 D.01'!A5</f>
        <v>Categorie: 01 INST.CLIMATIZARE</v>
      </c>
      <c r="D16" s="64">
        <f>'O.05 D.01'!E120</f>
        <v>115889.16666666667</v>
      </c>
      <c r="E16" s="64">
        <f>'O.05 D.01'!F120</f>
        <v>106948.40000000002</v>
      </c>
      <c r="F16" s="64"/>
      <c r="G16" s="64">
        <f>SUM(D16:F16)</f>
        <v>222837.56666666671</v>
      </c>
    </row>
    <row r="17" spans="1:10" x14ac:dyDescent="0.25">
      <c r="A17" s="63">
        <v>8</v>
      </c>
      <c r="B17" s="65" t="s">
        <v>511</v>
      </c>
      <c r="C17" s="66" t="str">
        <f>'O.05 D.02'!A5</f>
        <v>Categorie: 02 INST.VENT.GR.SANIT.VAR.1</v>
      </c>
      <c r="D17" s="64">
        <f>'O.05 D.02'!E105</f>
        <v>18079</v>
      </c>
      <c r="E17" s="64">
        <f>'O.05 D.02'!F105</f>
        <v>14229</v>
      </c>
      <c r="F17" s="64"/>
      <c r="G17" s="64">
        <f>SUM(D17:F17)</f>
        <v>32308</v>
      </c>
    </row>
    <row r="18" spans="1:10" ht="15.75" thickBot="1" x14ac:dyDescent="0.3">
      <c r="A18" s="63"/>
      <c r="B18" s="65"/>
      <c r="C18" s="69" t="s">
        <v>503</v>
      </c>
      <c r="D18" s="64"/>
      <c r="E18" s="64"/>
      <c r="F18" s="64">
        <f>'F4'!F79</f>
        <v>0</v>
      </c>
      <c r="G18" s="64">
        <f>F18</f>
        <v>0</v>
      </c>
    </row>
    <row r="19" spans="1:10" ht="15.75" thickBot="1" x14ac:dyDescent="0.3">
      <c r="A19" s="95" t="s">
        <v>502</v>
      </c>
      <c r="B19" s="96"/>
      <c r="C19" s="96"/>
      <c r="D19" s="67">
        <f>SUM(D8:D18)</f>
        <v>709759.67007325997</v>
      </c>
      <c r="E19" s="67">
        <f>SUM(E8:E18)</f>
        <v>518427.84369230771</v>
      </c>
      <c r="F19" s="67">
        <f>SUM(F8:F18)</f>
        <v>231995</v>
      </c>
      <c r="G19" s="67">
        <f>SUM(G8:G18)</f>
        <v>1460182.5137655679</v>
      </c>
      <c r="I19" s="121"/>
      <c r="J19" s="121"/>
    </row>
    <row r="22" spans="1:10" x14ac:dyDescent="0.25">
      <c r="D22" s="68"/>
    </row>
  </sheetData>
  <mergeCells count="3">
    <mergeCell ref="A19:C19"/>
    <mergeCell ref="A3:G3"/>
    <mergeCell ref="D6:G6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51B1-1968-45F7-99EF-681591CAD6A6}">
  <dimension ref="A1:G82"/>
  <sheetViews>
    <sheetView topLeftCell="A61" workbookViewId="0">
      <selection activeCell="Q74" sqref="Q74"/>
    </sheetView>
  </sheetViews>
  <sheetFormatPr defaultRowHeight="15" x14ac:dyDescent="0.25"/>
  <cols>
    <col min="1" max="1" width="6.7109375" style="39" customWidth="1"/>
    <col min="2" max="2" width="20.7109375" style="41" customWidth="1"/>
    <col min="3" max="3" width="8.7109375" style="42" customWidth="1"/>
    <col min="4" max="4" width="14.7109375" style="6" customWidth="1"/>
    <col min="5" max="5" width="14.7109375" style="7" customWidth="1"/>
    <col min="6" max="6" width="14.7109375" style="4" customWidth="1"/>
    <col min="7" max="7" width="14.7109375" style="40" customWidth="1"/>
    <col min="8" max="15" width="0" hidden="1" customWidth="1"/>
  </cols>
  <sheetData>
    <row r="1" spans="1:7" ht="24.75" customHeight="1" x14ac:dyDescent="0.25">
      <c r="A1" s="101" t="s">
        <v>404</v>
      </c>
      <c r="B1" s="102"/>
      <c r="C1" s="102"/>
    </row>
    <row r="2" spans="1:7" x14ac:dyDescent="0.25">
      <c r="A2" s="103" t="s">
        <v>1</v>
      </c>
      <c r="B2" s="102"/>
      <c r="C2" s="102"/>
      <c r="D2" s="102"/>
      <c r="E2" s="102"/>
      <c r="F2" s="102"/>
      <c r="G2" s="102"/>
    </row>
    <row r="3" spans="1:7" ht="65.25" customHeight="1" x14ac:dyDescent="0.25">
      <c r="A3" s="104" t="s">
        <v>405</v>
      </c>
      <c r="B3" s="102"/>
      <c r="C3" s="102"/>
      <c r="D3" s="102"/>
      <c r="E3" s="102"/>
      <c r="F3" s="102"/>
      <c r="G3" s="102"/>
    </row>
    <row r="4" spans="1:7" ht="15.75" thickBot="1" x14ac:dyDescent="0.3">
      <c r="G4" s="40" t="s">
        <v>3</v>
      </c>
    </row>
    <row r="5" spans="1:7" x14ac:dyDescent="0.25">
      <c r="A5" s="43" t="s">
        <v>4</v>
      </c>
      <c r="B5" s="44" t="s">
        <v>406</v>
      </c>
      <c r="C5" s="45" t="s">
        <v>6</v>
      </c>
      <c r="D5" s="16" t="s">
        <v>7</v>
      </c>
      <c r="E5" s="17" t="s">
        <v>8</v>
      </c>
      <c r="F5" s="18" t="s">
        <v>407</v>
      </c>
      <c r="G5" s="46" t="s">
        <v>408</v>
      </c>
    </row>
    <row r="6" spans="1:7" ht="15.75" thickBot="1" x14ac:dyDescent="0.3">
      <c r="A6" s="47" t="s">
        <v>10</v>
      </c>
      <c r="B6" s="48" t="s">
        <v>409</v>
      </c>
      <c r="C6" s="49"/>
      <c r="E6" s="10"/>
      <c r="F6" s="4" t="s">
        <v>410</v>
      </c>
      <c r="G6" s="50" t="s">
        <v>411</v>
      </c>
    </row>
    <row r="7" spans="1:7" x14ac:dyDescent="0.25">
      <c r="A7" s="43">
        <v>1</v>
      </c>
      <c r="B7" s="99" t="s">
        <v>418</v>
      </c>
      <c r="C7" s="100"/>
      <c r="D7" s="100"/>
      <c r="E7" s="100"/>
      <c r="F7" s="100"/>
      <c r="G7" s="100"/>
    </row>
    <row r="8" spans="1:7" x14ac:dyDescent="0.25">
      <c r="B8" s="41" t="s">
        <v>412</v>
      </c>
    </row>
    <row r="9" spans="1:7" x14ac:dyDescent="0.25">
      <c r="B9" s="41" t="s">
        <v>413</v>
      </c>
      <c r="C9" s="42" t="s">
        <v>25</v>
      </c>
      <c r="D9" s="6">
        <v>1</v>
      </c>
      <c r="E9" s="7">
        <v>840</v>
      </c>
      <c r="F9" s="4">
        <f>D9*E9</f>
        <v>840</v>
      </c>
      <c r="G9" s="40" t="s">
        <v>414</v>
      </c>
    </row>
    <row r="10" spans="1:7" x14ac:dyDescent="0.25">
      <c r="B10" s="41" t="s">
        <v>419</v>
      </c>
    </row>
    <row r="11" spans="1:7" x14ac:dyDescent="0.25">
      <c r="B11" s="41" t="s">
        <v>420</v>
      </c>
      <c r="C11" s="42" t="s">
        <v>25</v>
      </c>
      <c r="D11" s="6">
        <v>1</v>
      </c>
      <c r="E11" s="7">
        <v>334</v>
      </c>
      <c r="F11" s="4">
        <f>D11*E11</f>
        <v>334</v>
      </c>
      <c r="G11" s="40" t="s">
        <v>421</v>
      </c>
    </row>
    <row r="12" spans="1:7" x14ac:dyDescent="0.25">
      <c r="B12" s="41" t="s">
        <v>422</v>
      </c>
    </row>
    <row r="13" spans="1:7" x14ac:dyDescent="0.25">
      <c r="B13" s="41" t="s">
        <v>423</v>
      </c>
      <c r="C13" s="42" t="s">
        <v>25</v>
      </c>
      <c r="D13" s="6">
        <v>1</v>
      </c>
      <c r="E13" s="7">
        <v>1870</v>
      </c>
      <c r="F13" s="4">
        <f>D13*E13</f>
        <v>1870</v>
      </c>
      <c r="G13" s="40" t="s">
        <v>424</v>
      </c>
    </row>
    <row r="14" spans="1:7" x14ac:dyDescent="0.25">
      <c r="B14" s="41" t="s">
        <v>425</v>
      </c>
    </row>
    <row r="15" spans="1:7" x14ac:dyDescent="0.25">
      <c r="B15" s="41" t="s">
        <v>426</v>
      </c>
      <c r="C15" s="42" t="s">
        <v>25</v>
      </c>
      <c r="D15" s="118">
        <v>1</v>
      </c>
      <c r="E15" s="86">
        <v>3850</v>
      </c>
      <c r="F15" s="4">
        <f>D15*E15</f>
        <v>3850</v>
      </c>
      <c r="G15" s="40" t="s">
        <v>415</v>
      </c>
    </row>
    <row r="16" spans="1:7" x14ac:dyDescent="0.25">
      <c r="B16" s="41" t="s">
        <v>427</v>
      </c>
    </row>
    <row r="17" spans="1:7" x14ac:dyDescent="0.25">
      <c r="B17" s="41" t="s">
        <v>428</v>
      </c>
      <c r="C17" s="42" t="s">
        <v>25</v>
      </c>
      <c r="D17" s="118">
        <v>5</v>
      </c>
      <c r="E17" s="92">
        <v>3250</v>
      </c>
      <c r="F17" s="4">
        <f>D17*E17</f>
        <v>16250</v>
      </c>
      <c r="G17" s="40" t="s">
        <v>416</v>
      </c>
    </row>
    <row r="18" spans="1:7" x14ac:dyDescent="0.25">
      <c r="B18" s="41" t="s">
        <v>429</v>
      </c>
    </row>
    <row r="19" spans="1:7" x14ac:dyDescent="0.25">
      <c r="B19" s="41" t="s">
        <v>430</v>
      </c>
      <c r="C19" s="42" t="s">
        <v>25</v>
      </c>
      <c r="D19" s="118">
        <v>3</v>
      </c>
      <c r="E19" s="92">
        <v>2750</v>
      </c>
      <c r="F19" s="4">
        <f>D19*E19</f>
        <v>8250</v>
      </c>
      <c r="G19" s="40" t="s">
        <v>431</v>
      </c>
    </row>
    <row r="20" spans="1:7" x14ac:dyDescent="0.25">
      <c r="B20" s="41" t="s">
        <v>432</v>
      </c>
    </row>
    <row r="21" spans="1:7" x14ac:dyDescent="0.25">
      <c r="B21" s="41" t="s">
        <v>433</v>
      </c>
      <c r="C21" s="42" t="s">
        <v>25</v>
      </c>
      <c r="D21" s="118">
        <v>1</v>
      </c>
      <c r="E21" s="92">
        <v>27580</v>
      </c>
      <c r="F21" s="4">
        <f>D21*E21</f>
        <v>27580</v>
      </c>
      <c r="G21" s="40" t="s">
        <v>434</v>
      </c>
    </row>
    <row r="22" spans="1:7" x14ac:dyDescent="0.25">
      <c r="B22" s="41" t="s">
        <v>435</v>
      </c>
    </row>
    <row r="23" spans="1:7" x14ac:dyDescent="0.25">
      <c r="B23" s="41" t="s">
        <v>436</v>
      </c>
      <c r="C23" s="42" t="s">
        <v>25</v>
      </c>
      <c r="D23" s="6">
        <v>1</v>
      </c>
      <c r="E23" s="7">
        <v>750</v>
      </c>
      <c r="F23" s="4">
        <f>D23*E23</f>
        <v>750</v>
      </c>
      <c r="G23" s="40" t="s">
        <v>437</v>
      </c>
    </row>
    <row r="24" spans="1:7" x14ac:dyDescent="0.25">
      <c r="B24" s="41" t="s">
        <v>438</v>
      </c>
    </row>
    <row r="25" spans="1:7" x14ac:dyDescent="0.25">
      <c r="B25" s="41" t="s">
        <v>439</v>
      </c>
      <c r="C25" s="42" t="s">
        <v>25</v>
      </c>
      <c r="D25" s="118">
        <v>14</v>
      </c>
      <c r="E25" s="7">
        <v>800</v>
      </c>
      <c r="F25" s="4">
        <f>D25*E25</f>
        <v>11200</v>
      </c>
      <c r="G25" s="40" t="s">
        <v>440</v>
      </c>
    </row>
    <row r="26" spans="1:7" x14ac:dyDescent="0.25">
      <c r="B26" s="41" t="s">
        <v>441</v>
      </c>
    </row>
    <row r="27" spans="1:7" x14ac:dyDescent="0.25">
      <c r="B27" s="41" t="s">
        <v>442</v>
      </c>
      <c r="C27" s="42" t="s">
        <v>25</v>
      </c>
      <c r="D27" s="6">
        <v>2</v>
      </c>
      <c r="E27" s="7">
        <v>1450</v>
      </c>
      <c r="F27" s="4">
        <f>D27*E27</f>
        <v>2900</v>
      </c>
      <c r="G27" s="40" t="s">
        <v>443</v>
      </c>
    </row>
    <row r="28" spans="1:7" x14ac:dyDescent="0.25">
      <c r="B28" s="41" t="s">
        <v>444</v>
      </c>
    </row>
    <row r="29" spans="1:7" x14ac:dyDescent="0.25">
      <c r="B29" s="41" t="s">
        <v>445</v>
      </c>
      <c r="C29" s="42" t="s">
        <v>25</v>
      </c>
      <c r="D29" s="6">
        <v>15</v>
      </c>
      <c r="E29" s="7">
        <v>315</v>
      </c>
      <c r="F29" s="4">
        <f>D29*E29</f>
        <v>4725</v>
      </c>
      <c r="G29" s="40" t="s">
        <v>446</v>
      </c>
    </row>
    <row r="30" spans="1:7" ht="15.75" thickBot="1" x14ac:dyDescent="0.3">
      <c r="B30" s="41" t="s">
        <v>447</v>
      </c>
    </row>
    <row r="31" spans="1:7" ht="15.75" thickBot="1" x14ac:dyDescent="0.3">
      <c r="A31" s="43"/>
      <c r="B31" s="51"/>
      <c r="C31" s="52"/>
      <c r="D31" s="16" t="s">
        <v>417</v>
      </c>
      <c r="E31" s="21"/>
      <c r="F31" s="18">
        <f>ROUND($F$9+$F$11+$F$13+$F$15+$F$17+$F$19+$F$21+$F$23+$F$25+$F$27+$F$29,2)</f>
        <v>78549</v>
      </c>
      <c r="G31" s="53"/>
    </row>
    <row r="32" spans="1:7" x14ac:dyDescent="0.25">
      <c r="A32" s="43">
        <v>1</v>
      </c>
      <c r="B32" s="99" t="s">
        <v>448</v>
      </c>
      <c r="C32" s="100"/>
      <c r="D32" s="100"/>
      <c r="E32" s="100"/>
      <c r="F32" s="100"/>
      <c r="G32" s="100"/>
    </row>
    <row r="33" spans="2:7" x14ac:dyDescent="0.25">
      <c r="B33" s="41" t="s">
        <v>412</v>
      </c>
    </row>
    <row r="34" spans="2:7" x14ac:dyDescent="0.25">
      <c r="B34" s="41" t="s">
        <v>449</v>
      </c>
      <c r="C34" s="42" t="s">
        <v>25</v>
      </c>
      <c r="D34" s="6">
        <v>3</v>
      </c>
      <c r="E34" s="120">
        <v>27866</v>
      </c>
      <c r="F34" s="4">
        <f>D34*E34</f>
        <v>83598</v>
      </c>
      <c r="G34" s="40" t="s">
        <v>414</v>
      </c>
    </row>
    <row r="35" spans="2:7" x14ac:dyDescent="0.25">
      <c r="B35" s="41" t="s">
        <v>450</v>
      </c>
    </row>
    <row r="36" spans="2:7" x14ac:dyDescent="0.25">
      <c r="B36" s="41" t="s">
        <v>451</v>
      </c>
      <c r="C36" s="42" t="s">
        <v>25</v>
      </c>
      <c r="D36" s="6">
        <v>3</v>
      </c>
      <c r="E36" s="120">
        <v>1750</v>
      </c>
      <c r="F36" s="4">
        <f>D36*E36</f>
        <v>5250</v>
      </c>
      <c r="G36" s="40" t="s">
        <v>452</v>
      </c>
    </row>
    <row r="37" spans="2:7" x14ac:dyDescent="0.25">
      <c r="B37" s="41" t="s">
        <v>453</v>
      </c>
    </row>
    <row r="38" spans="2:7" x14ac:dyDescent="0.25">
      <c r="B38" s="41" t="s">
        <v>454</v>
      </c>
      <c r="C38" s="42" t="s">
        <v>25</v>
      </c>
      <c r="D38" s="6">
        <v>1</v>
      </c>
      <c r="E38" s="120">
        <v>6650</v>
      </c>
      <c r="F38" s="4">
        <f>D38*E38</f>
        <v>6650</v>
      </c>
      <c r="G38" s="40" t="s">
        <v>416</v>
      </c>
    </row>
    <row r="39" spans="2:7" x14ac:dyDescent="0.25">
      <c r="B39" s="41" t="s">
        <v>455</v>
      </c>
    </row>
    <row r="40" spans="2:7" x14ac:dyDescent="0.25">
      <c r="B40" s="41" t="s">
        <v>456</v>
      </c>
      <c r="C40" s="42" t="s">
        <v>25</v>
      </c>
      <c r="D40" s="6">
        <v>1</v>
      </c>
      <c r="E40" s="7">
        <v>250</v>
      </c>
      <c r="F40" s="4">
        <f>D40*E40</f>
        <v>250</v>
      </c>
      <c r="G40" s="40" t="s">
        <v>431</v>
      </c>
    </row>
    <row r="41" spans="2:7" x14ac:dyDescent="0.25">
      <c r="B41" s="41" t="s">
        <v>457</v>
      </c>
    </row>
    <row r="42" spans="2:7" x14ac:dyDescent="0.25">
      <c r="B42" s="41" t="s">
        <v>458</v>
      </c>
      <c r="C42" s="42" t="s">
        <v>25</v>
      </c>
      <c r="D42" s="6">
        <v>3</v>
      </c>
      <c r="E42" s="120">
        <v>4450</v>
      </c>
      <c r="F42" s="4">
        <f>D42*E42</f>
        <v>13350</v>
      </c>
      <c r="G42" s="40" t="s">
        <v>434</v>
      </c>
    </row>
    <row r="43" spans="2:7" x14ac:dyDescent="0.25">
      <c r="B43" s="41" t="s">
        <v>459</v>
      </c>
    </row>
    <row r="44" spans="2:7" x14ac:dyDescent="0.25">
      <c r="B44" s="41" t="s">
        <v>460</v>
      </c>
      <c r="C44" s="42" t="s">
        <v>25</v>
      </c>
      <c r="D44" s="6">
        <v>2</v>
      </c>
      <c r="E44" s="120">
        <v>17450</v>
      </c>
      <c r="F44" s="4">
        <f>D44*E44</f>
        <v>34900</v>
      </c>
      <c r="G44" s="40" t="s">
        <v>437</v>
      </c>
    </row>
    <row r="45" spans="2:7" x14ac:dyDescent="0.25">
      <c r="B45" s="41" t="s">
        <v>461</v>
      </c>
    </row>
    <row r="46" spans="2:7" x14ac:dyDescent="0.25">
      <c r="B46" s="41" t="s">
        <v>462</v>
      </c>
      <c r="C46" s="42" t="s">
        <v>25</v>
      </c>
      <c r="D46" s="6">
        <v>1</v>
      </c>
      <c r="E46" s="120">
        <v>860</v>
      </c>
      <c r="F46" s="4">
        <f>D46*E46</f>
        <v>860</v>
      </c>
      <c r="G46" s="40" t="s">
        <v>440</v>
      </c>
    </row>
    <row r="47" spans="2:7" x14ac:dyDescent="0.25">
      <c r="B47" s="41" t="s">
        <v>463</v>
      </c>
    </row>
    <row r="48" spans="2:7" x14ac:dyDescent="0.25">
      <c r="B48" s="41" t="s">
        <v>464</v>
      </c>
      <c r="C48" s="42" t="s">
        <v>25</v>
      </c>
      <c r="D48" s="6">
        <v>1</v>
      </c>
      <c r="E48" s="92">
        <v>8588</v>
      </c>
      <c r="F48" s="4">
        <f>D48*E48</f>
        <v>8588</v>
      </c>
      <c r="G48" s="40" t="s">
        <v>443</v>
      </c>
    </row>
    <row r="49" spans="1:7" ht="15.75" thickBot="1" x14ac:dyDescent="0.3">
      <c r="B49" s="41" t="s">
        <v>465</v>
      </c>
    </row>
    <row r="50" spans="1:7" ht="15.75" thickBot="1" x14ac:dyDescent="0.3">
      <c r="A50" s="43"/>
      <c r="B50" s="51"/>
      <c r="C50" s="52"/>
      <c r="D50" s="16" t="s">
        <v>417</v>
      </c>
      <c r="E50" s="21"/>
      <c r="F50" s="18">
        <f>ROUND($F$34+$F$36+$F$38+$F$40+$F$42+$F$44+$F$46+$F$48,2)</f>
        <v>153446</v>
      </c>
      <c r="G50" s="53"/>
    </row>
    <row r="51" spans="1:7" x14ac:dyDescent="0.25">
      <c r="A51" s="43">
        <v>1</v>
      </c>
      <c r="B51" s="99" t="s">
        <v>466</v>
      </c>
      <c r="C51" s="100"/>
      <c r="D51" s="100"/>
      <c r="E51" s="100"/>
      <c r="F51" s="100"/>
      <c r="G51" s="100"/>
    </row>
    <row r="52" spans="1:7" x14ac:dyDescent="0.25">
      <c r="B52" s="41" t="s">
        <v>412</v>
      </c>
    </row>
    <row r="53" spans="1:7" x14ac:dyDescent="0.25">
      <c r="B53" s="41" t="s">
        <v>467</v>
      </c>
      <c r="C53" s="42" t="s">
        <v>25</v>
      </c>
      <c r="D53" s="6">
        <v>1</v>
      </c>
      <c r="E53" s="7">
        <v>0</v>
      </c>
      <c r="F53" s="4">
        <f>D53*E53</f>
        <v>0</v>
      </c>
      <c r="G53" s="40" t="s">
        <v>27</v>
      </c>
    </row>
    <row r="54" spans="1:7" x14ac:dyDescent="0.25">
      <c r="B54" s="41" t="s">
        <v>468</v>
      </c>
    </row>
    <row r="55" spans="1:7" x14ac:dyDescent="0.25">
      <c r="B55" s="41" t="s">
        <v>469</v>
      </c>
      <c r="C55" s="42" t="s">
        <v>25</v>
      </c>
      <c r="D55" s="6">
        <v>1</v>
      </c>
      <c r="E55" s="7">
        <v>0</v>
      </c>
      <c r="F55" s="4">
        <f>D55*E55</f>
        <v>0</v>
      </c>
      <c r="G55" s="40" t="s">
        <v>27</v>
      </c>
    </row>
    <row r="56" spans="1:7" x14ac:dyDescent="0.25">
      <c r="B56" s="41" t="s">
        <v>470</v>
      </c>
    </row>
    <row r="57" spans="1:7" x14ac:dyDescent="0.25">
      <c r="B57" s="41" t="s">
        <v>471</v>
      </c>
      <c r="C57" s="42" t="s">
        <v>25</v>
      </c>
      <c r="D57" s="6">
        <v>4</v>
      </c>
      <c r="E57" s="7">
        <v>0</v>
      </c>
      <c r="F57" s="4">
        <f>D57*E57</f>
        <v>0</v>
      </c>
      <c r="G57" s="40" t="s">
        <v>414</v>
      </c>
    </row>
    <row r="58" spans="1:7" x14ac:dyDescent="0.25">
      <c r="B58" s="41" t="s">
        <v>472</v>
      </c>
    </row>
    <row r="59" spans="1:7" x14ac:dyDescent="0.25">
      <c r="B59" s="41" t="s">
        <v>473</v>
      </c>
      <c r="C59" s="42" t="s">
        <v>25</v>
      </c>
      <c r="D59" s="6">
        <v>14</v>
      </c>
      <c r="E59" s="7">
        <v>0</v>
      </c>
      <c r="F59" s="4">
        <f>D59*E59</f>
        <v>0</v>
      </c>
      <c r="G59" s="40" t="s">
        <v>421</v>
      </c>
    </row>
    <row r="60" spans="1:7" x14ac:dyDescent="0.25">
      <c r="B60" s="41" t="s">
        <v>474</v>
      </c>
    </row>
    <row r="61" spans="1:7" x14ac:dyDescent="0.25">
      <c r="B61" s="41" t="s">
        <v>475</v>
      </c>
      <c r="C61" s="42" t="s">
        <v>25</v>
      </c>
      <c r="D61" s="6">
        <v>2</v>
      </c>
      <c r="E61" s="7">
        <v>0</v>
      </c>
      <c r="F61" s="4">
        <f>D61*E61</f>
        <v>0</v>
      </c>
      <c r="G61" s="40" t="s">
        <v>424</v>
      </c>
    </row>
    <row r="62" spans="1:7" x14ac:dyDescent="0.25">
      <c r="B62" s="41" t="s">
        <v>476</v>
      </c>
    </row>
    <row r="63" spans="1:7" x14ac:dyDescent="0.25">
      <c r="B63" s="41" t="s">
        <v>477</v>
      </c>
      <c r="C63" s="42" t="s">
        <v>25</v>
      </c>
      <c r="D63" s="6">
        <v>13</v>
      </c>
      <c r="E63" s="7">
        <v>0</v>
      </c>
      <c r="F63" s="4">
        <f>D63*E63</f>
        <v>0</v>
      </c>
      <c r="G63" s="40" t="s">
        <v>415</v>
      </c>
    </row>
    <row r="64" spans="1:7" x14ac:dyDescent="0.25">
      <c r="B64" s="41" t="s">
        <v>478</v>
      </c>
    </row>
    <row r="65" spans="1:7" x14ac:dyDescent="0.25">
      <c r="B65" s="41" t="s">
        <v>479</v>
      </c>
      <c r="C65" s="42" t="s">
        <v>25</v>
      </c>
      <c r="D65" s="6">
        <v>8</v>
      </c>
      <c r="E65" s="7">
        <v>0</v>
      </c>
      <c r="F65" s="4">
        <f>D65*E65</f>
        <v>0</v>
      </c>
      <c r="G65" s="40" t="s">
        <v>416</v>
      </c>
    </row>
    <row r="66" spans="1:7" x14ac:dyDescent="0.25">
      <c r="B66" s="41" t="s">
        <v>480</v>
      </c>
    </row>
    <row r="67" spans="1:7" x14ac:dyDescent="0.25">
      <c r="B67" s="41" t="s">
        <v>481</v>
      </c>
      <c r="C67" s="42" t="s">
        <v>25</v>
      </c>
      <c r="D67" s="6">
        <v>15</v>
      </c>
      <c r="E67" s="7">
        <v>0</v>
      </c>
      <c r="F67" s="4">
        <f>D67*E67</f>
        <v>0</v>
      </c>
      <c r="G67" s="40" t="s">
        <v>431</v>
      </c>
    </row>
    <row r="68" spans="1:7" x14ac:dyDescent="0.25">
      <c r="B68" s="41" t="s">
        <v>482</v>
      </c>
    </row>
    <row r="69" spans="1:7" x14ac:dyDescent="0.25">
      <c r="B69" s="41" t="s">
        <v>483</v>
      </c>
      <c r="C69" s="42" t="s">
        <v>25</v>
      </c>
      <c r="D69" s="6">
        <v>3</v>
      </c>
      <c r="E69" s="7">
        <v>0</v>
      </c>
      <c r="F69" s="4">
        <f>D69*E69</f>
        <v>0</v>
      </c>
      <c r="G69" s="40" t="s">
        <v>434</v>
      </c>
    </row>
    <row r="70" spans="1:7" x14ac:dyDescent="0.25">
      <c r="B70" s="41" t="s">
        <v>484</v>
      </c>
    </row>
    <row r="71" spans="1:7" x14ac:dyDescent="0.25">
      <c r="B71" s="41" t="s">
        <v>485</v>
      </c>
      <c r="C71" s="42" t="s">
        <v>25</v>
      </c>
      <c r="D71" s="6">
        <v>5</v>
      </c>
      <c r="E71" s="7">
        <v>0</v>
      </c>
      <c r="F71" s="4">
        <f>D71*E71</f>
        <v>0</v>
      </c>
      <c r="G71" s="40" t="s">
        <v>437</v>
      </c>
    </row>
    <row r="72" spans="1:7" x14ac:dyDescent="0.25">
      <c r="B72" s="41" t="s">
        <v>486</v>
      </c>
    </row>
    <row r="73" spans="1:7" x14ac:dyDescent="0.25">
      <c r="B73" s="41" t="s">
        <v>487</v>
      </c>
      <c r="C73" s="42" t="s">
        <v>25</v>
      </c>
      <c r="D73" s="6">
        <v>22</v>
      </c>
      <c r="E73" s="7">
        <v>0</v>
      </c>
      <c r="F73" s="4">
        <f>D73*E73</f>
        <v>0</v>
      </c>
      <c r="G73" s="40" t="s">
        <v>440</v>
      </c>
    </row>
    <row r="74" spans="1:7" x14ac:dyDescent="0.25">
      <c r="B74" s="41" t="s">
        <v>488</v>
      </c>
    </row>
    <row r="75" spans="1:7" x14ac:dyDescent="0.25">
      <c r="B75" s="41" t="s">
        <v>489</v>
      </c>
      <c r="C75" s="42" t="s">
        <v>25</v>
      </c>
      <c r="D75" s="6">
        <v>17</v>
      </c>
      <c r="E75" s="7">
        <v>0</v>
      </c>
      <c r="F75" s="4">
        <f>D75*E75</f>
        <v>0</v>
      </c>
      <c r="G75" s="40" t="s">
        <v>443</v>
      </c>
    </row>
    <row r="76" spans="1:7" x14ac:dyDescent="0.25">
      <c r="B76" s="41" t="s">
        <v>490</v>
      </c>
    </row>
    <row r="77" spans="1:7" x14ac:dyDescent="0.25">
      <c r="B77" s="41" t="s">
        <v>491</v>
      </c>
      <c r="C77" s="42" t="s">
        <v>25</v>
      </c>
      <c r="D77" s="6">
        <v>12</v>
      </c>
      <c r="E77" s="7">
        <v>0</v>
      </c>
      <c r="F77" s="4">
        <f>D77*E77</f>
        <v>0</v>
      </c>
      <c r="G77" s="40" t="s">
        <v>446</v>
      </c>
    </row>
    <row r="78" spans="1:7" ht="15.75" thickBot="1" x14ac:dyDescent="0.3">
      <c r="B78" s="41" t="s">
        <v>492</v>
      </c>
    </row>
    <row r="79" spans="1:7" ht="15.75" thickBot="1" x14ac:dyDescent="0.3">
      <c r="A79" s="43"/>
      <c r="B79" s="51"/>
      <c r="C79" s="52"/>
      <c r="D79" s="16" t="s">
        <v>417</v>
      </c>
      <c r="E79" s="21"/>
      <c r="F79" s="18">
        <f>ROUND($F$53+$F$55+$F$57+$F$59+$F$61+$F$63+$F$65+$F$67+$F$69+$F$71+$F$73+$F$75+$F$77,2)</f>
        <v>0</v>
      </c>
      <c r="G79" s="53"/>
    </row>
    <row r="80" spans="1:7" x14ac:dyDescent="0.25">
      <c r="A80" s="54" t="s">
        <v>493</v>
      </c>
      <c r="B80" s="51"/>
      <c r="C80" s="52"/>
      <c r="D80" s="16"/>
      <c r="E80" s="21"/>
      <c r="F80" s="18">
        <f>$F$31+$F$50+$F$79</f>
        <v>231995</v>
      </c>
      <c r="G80" s="53"/>
    </row>
    <row r="82" spans="1:1" x14ac:dyDescent="0.25">
      <c r="A82" s="55" t="s">
        <v>494</v>
      </c>
    </row>
  </sheetData>
  <mergeCells count="6">
    <mergeCell ref="B51:G51"/>
    <mergeCell ref="A1:C1"/>
    <mergeCell ref="A2:G2"/>
    <mergeCell ref="A3:G3"/>
    <mergeCell ref="B7:G7"/>
    <mergeCell ref="B32:G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EDDD-4B7E-4AC8-9B78-B87E888A9F04}">
  <dimension ref="A1:T46"/>
  <sheetViews>
    <sheetView topLeftCell="A10" workbookViewId="0">
      <selection activeCell="I31" sqref="I31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10" ht="24.75" customHeight="1" x14ac:dyDescent="0.25">
      <c r="A1" s="101" t="s">
        <v>0</v>
      </c>
      <c r="B1" s="106"/>
      <c r="C1" s="106"/>
      <c r="D1" s="106"/>
      <c r="J1">
        <v>1</v>
      </c>
    </row>
    <row r="2" spans="1:10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0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0" x14ac:dyDescent="0.25">
      <c r="A4" s="103" t="s">
        <v>28</v>
      </c>
      <c r="B4" s="106"/>
      <c r="C4" s="106"/>
      <c r="D4" s="106"/>
      <c r="E4" s="106"/>
      <c r="F4" s="106"/>
      <c r="G4" s="106"/>
      <c r="H4" s="106"/>
      <c r="I4" s="106"/>
    </row>
    <row r="5" spans="1:10" ht="15.75" thickBot="1" x14ac:dyDescent="0.3">
      <c r="A5" s="103" t="s">
        <v>29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10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10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10" x14ac:dyDescent="0.25">
      <c r="C8" s="3" t="s">
        <v>13</v>
      </c>
      <c r="D8" s="8"/>
      <c r="E8" s="9"/>
      <c r="F8" s="9"/>
      <c r="H8" s="10" t="s">
        <v>14</v>
      </c>
    </row>
    <row r="9" spans="1:10" ht="15.75" thickBot="1" x14ac:dyDescent="0.3">
      <c r="C9" s="3" t="s">
        <v>19</v>
      </c>
      <c r="D9" s="8"/>
      <c r="E9" s="9"/>
      <c r="F9" s="9"/>
      <c r="H9" s="10" t="s">
        <v>512</v>
      </c>
    </row>
    <row r="10" spans="1:10" x14ac:dyDescent="0.25">
      <c r="A10" s="11"/>
      <c r="B10" s="12">
        <v>1</v>
      </c>
      <c r="C10" s="13" t="s">
        <v>30</v>
      </c>
      <c r="D10" s="19" t="s">
        <v>24</v>
      </c>
      <c r="E10" s="20"/>
      <c r="F10" s="20"/>
      <c r="G10" s="16">
        <v>93</v>
      </c>
      <c r="H10" s="21">
        <v>0</v>
      </c>
      <c r="I10" s="18">
        <f>G10*H10</f>
        <v>0</v>
      </c>
      <c r="J10">
        <v>1</v>
      </c>
    </row>
    <row r="11" spans="1:10" x14ac:dyDescent="0.25">
      <c r="A11" s="105" t="s">
        <v>31</v>
      </c>
      <c r="B11" s="106"/>
      <c r="C11" s="106"/>
      <c r="D11" s="106"/>
      <c r="E11" s="106"/>
      <c r="F11" s="106"/>
      <c r="G11" s="106"/>
      <c r="H11" s="35">
        <v>28</v>
      </c>
      <c r="I11" s="36">
        <f>G10*H11</f>
        <v>2604</v>
      </c>
      <c r="J11">
        <v>2</v>
      </c>
    </row>
    <row r="12" spans="1:10" x14ac:dyDescent="0.25">
      <c r="A12" s="107"/>
      <c r="B12" s="107"/>
      <c r="C12" s="107"/>
      <c r="D12" s="107"/>
      <c r="E12" s="107"/>
      <c r="F12" s="107"/>
      <c r="G12" s="107"/>
      <c r="H12" s="70">
        <v>28</v>
      </c>
      <c r="I12" s="71">
        <f>I10+I11</f>
        <v>2604</v>
      </c>
      <c r="J12">
        <v>5</v>
      </c>
    </row>
    <row r="13" spans="1:10" x14ac:dyDescent="0.25">
      <c r="B13" s="31">
        <v>2</v>
      </c>
      <c r="C13" s="32" t="s">
        <v>32</v>
      </c>
      <c r="D13" s="33" t="s">
        <v>24</v>
      </c>
      <c r="G13" s="34">
        <v>117</v>
      </c>
      <c r="H13" s="35">
        <v>0</v>
      </c>
      <c r="I13" s="36">
        <f>G13*H13</f>
        <v>0</v>
      </c>
      <c r="J13">
        <v>1</v>
      </c>
    </row>
    <row r="14" spans="1:10" x14ac:dyDescent="0.25">
      <c r="A14" s="105" t="s">
        <v>33</v>
      </c>
      <c r="B14" s="106"/>
      <c r="C14" s="106"/>
      <c r="D14" s="106"/>
      <c r="E14" s="106"/>
      <c r="F14" s="106"/>
      <c r="G14" s="106"/>
      <c r="H14" s="35">
        <v>44.800000000000004</v>
      </c>
      <c r="I14" s="36">
        <f>G13*H14</f>
        <v>5241.6000000000004</v>
      </c>
      <c r="J14">
        <v>2</v>
      </c>
    </row>
    <row r="15" spans="1:10" x14ac:dyDescent="0.25">
      <c r="A15" s="107"/>
      <c r="B15" s="107"/>
      <c r="C15" s="107"/>
      <c r="D15" s="107"/>
      <c r="E15" s="107"/>
      <c r="F15" s="107"/>
      <c r="G15" s="107"/>
      <c r="H15" s="70">
        <v>44.800000000000004</v>
      </c>
      <c r="I15" s="71">
        <f>I13+I14</f>
        <v>5241.6000000000004</v>
      </c>
      <c r="J15">
        <v>5</v>
      </c>
    </row>
    <row r="16" spans="1:10" x14ac:dyDescent="0.25">
      <c r="B16" s="31">
        <v>3</v>
      </c>
      <c r="C16" s="32" t="s">
        <v>34</v>
      </c>
      <c r="D16" s="33" t="s">
        <v>24</v>
      </c>
      <c r="G16" s="34">
        <v>280</v>
      </c>
      <c r="H16" s="35">
        <v>0</v>
      </c>
      <c r="I16" s="36">
        <f>G16*H16</f>
        <v>0</v>
      </c>
      <c r="J16">
        <v>1</v>
      </c>
    </row>
    <row r="17" spans="1:10" x14ac:dyDescent="0.25">
      <c r="A17" s="105" t="s">
        <v>513</v>
      </c>
      <c r="B17" s="106"/>
      <c r="C17" s="106"/>
      <c r="D17" s="106"/>
      <c r="E17" s="106"/>
      <c r="F17" s="106"/>
      <c r="G17" s="106"/>
      <c r="H17" s="35">
        <v>18.400000000000002</v>
      </c>
      <c r="I17" s="36">
        <f>G16*H17</f>
        <v>5152.0000000000009</v>
      </c>
      <c r="J17">
        <v>2</v>
      </c>
    </row>
    <row r="18" spans="1:10" ht="14.45" customHeight="1" x14ac:dyDescent="0.25">
      <c r="A18" s="107"/>
      <c r="B18" s="107"/>
      <c r="C18" s="107"/>
      <c r="D18" s="107"/>
      <c r="E18" s="107"/>
      <c r="F18" s="107"/>
      <c r="G18" s="107"/>
      <c r="H18" s="70">
        <v>18.400000000000002</v>
      </c>
      <c r="I18" s="71">
        <f>I16+I17</f>
        <v>5152.0000000000009</v>
      </c>
      <c r="J18">
        <v>5</v>
      </c>
    </row>
    <row r="19" spans="1:10" x14ac:dyDescent="0.25">
      <c r="B19" s="31">
        <v>4</v>
      </c>
      <c r="C19" s="32" t="s">
        <v>35</v>
      </c>
      <c r="D19" s="33" t="s">
        <v>25</v>
      </c>
      <c r="G19" s="34">
        <v>45</v>
      </c>
      <c r="H19" s="35">
        <v>0</v>
      </c>
      <c r="I19" s="36">
        <f>G19*H19</f>
        <v>0</v>
      </c>
      <c r="J19">
        <v>1</v>
      </c>
    </row>
    <row r="20" spans="1:10" x14ac:dyDescent="0.25">
      <c r="A20" s="105" t="s">
        <v>36</v>
      </c>
      <c r="B20" s="106"/>
      <c r="C20" s="106"/>
      <c r="D20" s="106"/>
      <c r="E20" s="106"/>
      <c r="F20" s="106"/>
      <c r="G20" s="106"/>
      <c r="H20" s="35">
        <v>38.400000000000006</v>
      </c>
      <c r="I20" s="36">
        <f>G19*H20</f>
        <v>1728.0000000000002</v>
      </c>
      <c r="J20">
        <v>2</v>
      </c>
    </row>
    <row r="21" spans="1:10" x14ac:dyDescent="0.25">
      <c r="A21" s="107"/>
      <c r="B21" s="107"/>
      <c r="C21" s="107"/>
      <c r="D21" s="107"/>
      <c r="E21" s="107"/>
      <c r="F21" s="107"/>
      <c r="G21" s="107"/>
      <c r="H21" s="70">
        <v>38.400000000000006</v>
      </c>
      <c r="I21" s="71">
        <f>I19+I20</f>
        <v>1728.0000000000002</v>
      </c>
      <c r="J21">
        <v>5</v>
      </c>
    </row>
    <row r="22" spans="1:10" x14ac:dyDescent="0.25">
      <c r="B22" s="31">
        <v>5</v>
      </c>
      <c r="C22" s="32" t="s">
        <v>37</v>
      </c>
      <c r="D22" s="33" t="s">
        <v>25</v>
      </c>
      <c r="G22" s="34">
        <v>103</v>
      </c>
      <c r="H22" s="35">
        <v>0</v>
      </c>
      <c r="I22" s="36">
        <f>G22*H22</f>
        <v>0</v>
      </c>
      <c r="J22">
        <v>1</v>
      </c>
    </row>
    <row r="23" spans="1:10" x14ac:dyDescent="0.25">
      <c r="A23" s="105" t="s">
        <v>38</v>
      </c>
      <c r="B23" s="106"/>
      <c r="C23" s="106"/>
      <c r="D23" s="106"/>
      <c r="E23" s="106"/>
      <c r="F23" s="106"/>
      <c r="G23" s="106"/>
      <c r="H23" s="35">
        <v>9.6000000000000014</v>
      </c>
      <c r="I23" s="36">
        <f>G22*H23</f>
        <v>988.80000000000018</v>
      </c>
      <c r="J23">
        <v>2</v>
      </c>
    </row>
    <row r="24" spans="1:10" x14ac:dyDescent="0.25">
      <c r="A24" s="107"/>
      <c r="B24" s="107"/>
      <c r="C24" s="107"/>
      <c r="D24" s="107"/>
      <c r="E24" s="107"/>
      <c r="F24" s="107"/>
      <c r="G24" s="107"/>
      <c r="H24" s="70">
        <v>9.6000000000000014</v>
      </c>
      <c r="I24" s="71">
        <f>I22+I23</f>
        <v>988.80000000000018</v>
      </c>
      <c r="J24">
        <v>5</v>
      </c>
    </row>
    <row r="25" spans="1:10" x14ac:dyDescent="0.25">
      <c r="B25" s="31">
        <v>6</v>
      </c>
      <c r="C25" s="32" t="s">
        <v>39</v>
      </c>
      <c r="D25" s="33" t="s">
        <v>40</v>
      </c>
      <c r="G25" s="34">
        <v>21</v>
      </c>
      <c r="H25" s="35">
        <v>0</v>
      </c>
      <c r="I25" s="36">
        <f>G25*H25</f>
        <v>0</v>
      </c>
      <c r="J25">
        <v>1</v>
      </c>
    </row>
    <row r="26" spans="1:10" x14ac:dyDescent="0.25">
      <c r="A26" s="105" t="s">
        <v>41</v>
      </c>
      <c r="B26" s="106"/>
      <c r="C26" s="106"/>
      <c r="D26" s="106"/>
      <c r="E26" s="106"/>
      <c r="F26" s="106"/>
      <c r="G26" s="106"/>
      <c r="H26" s="35">
        <v>36</v>
      </c>
      <c r="I26" s="36">
        <f>G25*H26</f>
        <v>756</v>
      </c>
      <c r="J26">
        <v>2</v>
      </c>
    </row>
    <row r="27" spans="1:10" x14ac:dyDescent="0.25">
      <c r="A27" s="107"/>
      <c r="B27" s="107"/>
      <c r="C27" s="107"/>
      <c r="D27" s="107"/>
      <c r="E27" s="107"/>
      <c r="F27" s="107"/>
      <c r="G27" s="107"/>
      <c r="H27" s="70">
        <v>36</v>
      </c>
      <c r="I27" s="71">
        <f>I25+I26</f>
        <v>756</v>
      </c>
      <c r="J27">
        <v>5</v>
      </c>
    </row>
    <row r="28" spans="1:10" x14ac:dyDescent="0.25">
      <c r="B28" s="31">
        <v>7</v>
      </c>
      <c r="C28" s="32" t="s">
        <v>42</v>
      </c>
      <c r="D28" s="33" t="s">
        <v>25</v>
      </c>
      <c r="G28" s="34">
        <v>22</v>
      </c>
      <c r="H28" s="35">
        <v>6</v>
      </c>
      <c r="I28" s="36">
        <f>G28*H28</f>
        <v>132</v>
      </c>
      <c r="J28">
        <v>1</v>
      </c>
    </row>
    <row r="29" spans="1:10" x14ac:dyDescent="0.25">
      <c r="A29" s="105" t="s">
        <v>514</v>
      </c>
      <c r="B29" s="106"/>
      <c r="C29" s="106"/>
      <c r="D29" s="106"/>
      <c r="E29" s="106"/>
      <c r="F29" s="106"/>
      <c r="G29" s="106"/>
      <c r="H29" s="35">
        <v>12</v>
      </c>
      <c r="I29" s="36">
        <f>G28*H29</f>
        <v>264</v>
      </c>
      <c r="J29">
        <v>2</v>
      </c>
    </row>
    <row r="30" spans="1:10" x14ac:dyDescent="0.25">
      <c r="A30" s="107"/>
      <c r="B30" s="107"/>
      <c r="C30" s="107"/>
      <c r="D30" s="107"/>
      <c r="E30" s="107"/>
      <c r="F30" s="107"/>
      <c r="G30" s="107"/>
      <c r="H30" s="70">
        <v>18</v>
      </c>
      <c r="I30" s="71">
        <f>I28+I29</f>
        <v>396</v>
      </c>
      <c r="J30">
        <v>5</v>
      </c>
    </row>
    <row r="31" spans="1:10" x14ac:dyDescent="0.25">
      <c r="B31" s="31">
        <v>8</v>
      </c>
      <c r="C31" s="32" t="s">
        <v>43</v>
      </c>
      <c r="D31" s="33" t="s">
        <v>24</v>
      </c>
      <c r="G31" s="34">
        <v>17</v>
      </c>
      <c r="H31" s="35">
        <v>0</v>
      </c>
      <c r="I31" s="36">
        <f>G31*H31</f>
        <v>0</v>
      </c>
      <c r="J31">
        <v>1</v>
      </c>
    </row>
    <row r="32" spans="1:10" x14ac:dyDescent="0.25">
      <c r="A32" s="105" t="s">
        <v>44</v>
      </c>
      <c r="B32" s="106"/>
      <c r="C32" s="106"/>
      <c r="D32" s="106"/>
      <c r="E32" s="106"/>
      <c r="F32" s="106"/>
      <c r="G32" s="106"/>
      <c r="H32" s="35">
        <v>144</v>
      </c>
      <c r="I32" s="36">
        <f>G31*H32</f>
        <v>2448</v>
      </c>
      <c r="J32">
        <v>2</v>
      </c>
    </row>
    <row r="33" spans="1:19" x14ac:dyDescent="0.25">
      <c r="A33" s="107"/>
      <c r="B33" s="107"/>
      <c r="C33" s="107"/>
      <c r="D33" s="107"/>
      <c r="E33" s="107"/>
      <c r="F33" s="107"/>
      <c r="G33" s="107"/>
      <c r="H33" s="70">
        <v>144</v>
      </c>
      <c r="I33" s="71">
        <f>I31+I32</f>
        <v>2448</v>
      </c>
      <c r="J33">
        <v>5</v>
      </c>
    </row>
    <row r="34" spans="1:19" x14ac:dyDescent="0.25">
      <c r="B34" s="31">
        <v>9</v>
      </c>
      <c r="C34" s="32" t="s">
        <v>45</v>
      </c>
      <c r="D34" s="33" t="s">
        <v>22</v>
      </c>
      <c r="G34" s="34">
        <v>8.5</v>
      </c>
      <c r="H34" s="35">
        <v>0</v>
      </c>
      <c r="I34" s="36">
        <f>G34*H34</f>
        <v>0</v>
      </c>
      <c r="J34">
        <v>1</v>
      </c>
    </row>
    <row r="35" spans="1:19" x14ac:dyDescent="0.25">
      <c r="A35" s="105" t="s">
        <v>46</v>
      </c>
      <c r="B35" s="106"/>
      <c r="C35" s="106"/>
      <c r="D35" s="106"/>
      <c r="E35" s="106"/>
      <c r="F35" s="106"/>
      <c r="G35" s="106"/>
      <c r="H35" s="35">
        <v>240</v>
      </c>
      <c r="I35" s="36">
        <f>G34*H35</f>
        <v>2040</v>
      </c>
      <c r="J35">
        <v>2</v>
      </c>
    </row>
    <row r="36" spans="1:19" x14ac:dyDescent="0.25">
      <c r="A36" s="107"/>
      <c r="B36" s="107"/>
      <c r="C36" s="107"/>
      <c r="D36" s="107"/>
      <c r="E36" s="107"/>
      <c r="F36" s="107"/>
      <c r="G36" s="107"/>
      <c r="H36" s="70">
        <v>240</v>
      </c>
      <c r="I36" s="71">
        <f>I34+I35</f>
        <v>2040</v>
      </c>
      <c r="J36">
        <v>5</v>
      </c>
    </row>
    <row r="37" spans="1:19" x14ac:dyDescent="0.25">
      <c r="B37" s="31">
        <v>10</v>
      </c>
      <c r="C37" s="32" t="s">
        <v>47</v>
      </c>
      <c r="D37" s="33" t="s">
        <v>21</v>
      </c>
      <c r="G37" s="34">
        <v>3.4</v>
      </c>
      <c r="H37" s="35">
        <v>0</v>
      </c>
      <c r="I37" s="36">
        <f>G37*H37</f>
        <v>0</v>
      </c>
      <c r="J37">
        <v>1</v>
      </c>
    </row>
    <row r="38" spans="1:19" x14ac:dyDescent="0.25">
      <c r="A38" s="105" t="s">
        <v>48</v>
      </c>
      <c r="B38" s="106"/>
      <c r="C38" s="106"/>
      <c r="D38" s="106"/>
      <c r="E38" s="106"/>
      <c r="F38" s="106"/>
      <c r="G38" s="106"/>
      <c r="H38" s="35">
        <v>1080</v>
      </c>
      <c r="I38" s="36">
        <f>G37*H38</f>
        <v>3672</v>
      </c>
      <c r="J38">
        <v>2</v>
      </c>
    </row>
    <row r="39" spans="1:19" x14ac:dyDescent="0.25">
      <c r="A39" s="107"/>
      <c r="B39" s="107"/>
      <c r="C39" s="107"/>
      <c r="D39" s="107"/>
      <c r="E39" s="107"/>
      <c r="F39" s="107"/>
      <c r="G39" s="107"/>
      <c r="H39" s="70">
        <v>0</v>
      </c>
      <c r="I39" s="71">
        <f>I37+I38</f>
        <v>3672</v>
      </c>
      <c r="J39">
        <v>5</v>
      </c>
    </row>
    <row r="40" spans="1:19" x14ac:dyDescent="0.25">
      <c r="B40" s="31">
        <v>11</v>
      </c>
      <c r="C40" s="32" t="s">
        <v>49</v>
      </c>
      <c r="D40" s="33" t="s">
        <v>21</v>
      </c>
      <c r="G40" s="34">
        <v>3.4</v>
      </c>
      <c r="H40" s="87">
        <v>0</v>
      </c>
      <c r="I40" s="36">
        <f>G40*H40</f>
        <v>0</v>
      </c>
      <c r="J40">
        <v>1</v>
      </c>
    </row>
    <row r="41" spans="1:19" x14ac:dyDescent="0.25">
      <c r="A41" s="105" t="s">
        <v>50</v>
      </c>
      <c r="B41" s="106"/>
      <c r="C41" s="106"/>
      <c r="D41" s="106"/>
      <c r="E41" s="106"/>
      <c r="F41" s="106"/>
      <c r="G41" s="106"/>
      <c r="H41" s="83">
        <v>0</v>
      </c>
      <c r="I41" s="36">
        <f>G40*H41</f>
        <v>0</v>
      </c>
      <c r="J41">
        <v>2</v>
      </c>
    </row>
    <row r="42" spans="1:19" x14ac:dyDescent="0.25">
      <c r="A42" s="107"/>
      <c r="B42" s="107"/>
      <c r="C42" s="107"/>
      <c r="D42" s="107"/>
      <c r="E42" s="107"/>
      <c r="F42" s="107"/>
      <c r="G42" s="107"/>
      <c r="H42" s="70">
        <v>0</v>
      </c>
      <c r="I42" s="71">
        <f>I40+I41</f>
        <v>0</v>
      </c>
      <c r="J42">
        <v>5</v>
      </c>
    </row>
    <row r="43" spans="1:19" x14ac:dyDescent="0.25">
      <c r="B43" s="37" t="s">
        <v>502</v>
      </c>
      <c r="C43" s="32"/>
      <c r="D43" s="33"/>
      <c r="E43" s="36">
        <f>SUMIF(J10:J42,"1",I10:I42)</f>
        <v>132</v>
      </c>
      <c r="F43" s="36">
        <f>SUMIF(J10:J42,"2",I10:I42)</f>
        <v>24894.400000000001</v>
      </c>
      <c r="G43" s="36"/>
      <c r="H43" s="36"/>
      <c r="I43" s="36">
        <f>SUMIF(J10:J42,"5",I10:I42)</f>
        <v>25026.400000000001</v>
      </c>
      <c r="K43" s="4">
        <f>SUMIF(J10:J42,"3",K10:K42)</f>
        <v>0</v>
      </c>
      <c r="L43" s="4">
        <f>SUMIF(J10:J42,"3",L10:L42)</f>
        <v>0</v>
      </c>
      <c r="M43" s="4">
        <f>SUMIF(J10:J42,"3",M10:M42)</f>
        <v>0</v>
      </c>
      <c r="N43" s="4">
        <f>SUMIF(J10:J42,"4",N10:N42)</f>
        <v>0</v>
      </c>
      <c r="O43" s="4">
        <f>SUMIF(J10:J42,"4",O10:O42)</f>
        <v>0</v>
      </c>
      <c r="P43" s="4">
        <f>SUMIF(J10:J42,"4",P10:P42)</f>
        <v>0</v>
      </c>
      <c r="Q43" s="4">
        <f>SUMIF(J10:J42,"4",Q10:Q42)</f>
        <v>0</v>
      </c>
      <c r="R43" s="4">
        <f>SUMIF(J10:J42,"4",R10:R42)</f>
        <v>0</v>
      </c>
      <c r="S43" s="4">
        <f>SUMIF(J10:J42,"4",S10:S42)</f>
        <v>0</v>
      </c>
    </row>
    <row r="44" spans="1:19" x14ac:dyDescent="0.25">
      <c r="B44" s="25"/>
      <c r="C44" s="26"/>
      <c r="D44" s="27"/>
      <c r="E44" s="28"/>
      <c r="F44" s="28"/>
      <c r="G44" s="29"/>
      <c r="H44" s="22"/>
      <c r="I44" s="30"/>
    </row>
    <row r="46" spans="1:19" x14ac:dyDescent="0.25">
      <c r="A46" s="38" t="s">
        <v>403</v>
      </c>
    </row>
  </sheetData>
  <mergeCells count="16">
    <mergeCell ref="A41:G42"/>
    <mergeCell ref="A35:G36"/>
    <mergeCell ref="A38:G39"/>
    <mergeCell ref="A32:G33"/>
    <mergeCell ref="A23:G24"/>
    <mergeCell ref="A26:G27"/>
    <mergeCell ref="A29:G30"/>
    <mergeCell ref="A17:G18"/>
    <mergeCell ref="A20:G21"/>
    <mergeCell ref="A1:D1"/>
    <mergeCell ref="A2:I2"/>
    <mergeCell ref="A3:I3"/>
    <mergeCell ref="A4:I4"/>
    <mergeCell ref="A5:H5"/>
    <mergeCell ref="A11:G12"/>
    <mergeCell ref="A14:G15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3" manualBreakCount="3">
    <brk id="21" max="16383" man="1"/>
    <brk id="33" max="16383" man="1"/>
    <brk id="4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5200-B836-40C0-9F70-FE3751266642}">
  <dimension ref="A1:AB205"/>
  <sheetViews>
    <sheetView topLeftCell="A118" zoomScale="110" zoomScaleNormal="110" workbookViewId="0">
      <selection activeCell="H19" sqref="H19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32.42578125" hidden="1" customWidth="1" outlineLevel="1"/>
    <col min="11" max="11" width="25" style="4" hidden="1" customWidth="1" outlineLevel="1"/>
    <col min="12" max="12" width="24.5703125" style="4" hidden="1" customWidth="1" outlineLevel="1"/>
    <col min="13" max="13" width="19.42578125" style="4" hidden="1" customWidth="1" outlineLevel="1"/>
    <col min="14" max="14" width="25.5703125" style="4" hidden="1" customWidth="1" outlineLevel="1"/>
    <col min="15" max="15" width="22.85546875" style="4" hidden="1" customWidth="1" outlineLevel="1"/>
    <col min="16" max="16" width="11" style="4" hidden="1" customWidth="1" outlineLevel="1"/>
    <col min="17" max="17" width="12" style="4" hidden="1" customWidth="1" outlineLevel="1"/>
    <col min="18" max="18" width="4" style="4" hidden="1" customWidth="1" outlineLevel="1"/>
    <col min="19" max="19" width="13.7109375" style="4" customWidth="1" outlineLevel="1"/>
  </cols>
  <sheetData>
    <row r="1" spans="1:19" ht="24.75" customHeight="1" x14ac:dyDescent="0.25">
      <c r="A1" s="101" t="s">
        <v>0</v>
      </c>
      <c r="B1" s="106"/>
      <c r="C1" s="106"/>
      <c r="D1" s="106"/>
      <c r="J1">
        <v>1</v>
      </c>
    </row>
    <row r="2" spans="1:19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9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9" x14ac:dyDescent="0.25">
      <c r="A4" s="103" t="s">
        <v>28</v>
      </c>
      <c r="B4" s="106"/>
      <c r="C4" s="106"/>
      <c r="D4" s="106"/>
      <c r="E4" s="106"/>
      <c r="F4" s="106"/>
      <c r="G4" s="106"/>
      <c r="H4" s="106"/>
      <c r="I4" s="106"/>
    </row>
    <row r="5" spans="1:19" ht="15.75" thickBot="1" x14ac:dyDescent="0.3">
      <c r="A5" s="103" t="s">
        <v>51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19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19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19" x14ac:dyDescent="0.25">
      <c r="C8" s="3" t="s">
        <v>13</v>
      </c>
      <c r="D8" s="8"/>
      <c r="E8" s="9"/>
      <c r="F8" s="9"/>
      <c r="H8" s="10" t="s">
        <v>14</v>
      </c>
    </row>
    <row r="9" spans="1:19" ht="15.75" thickBot="1" x14ac:dyDescent="0.3">
      <c r="C9" s="3" t="s">
        <v>19</v>
      </c>
      <c r="D9" s="8"/>
      <c r="E9" s="9"/>
      <c r="F9" s="9"/>
      <c r="H9" s="10" t="s">
        <v>512</v>
      </c>
    </row>
    <row r="10" spans="1:19" x14ac:dyDescent="0.25">
      <c r="A10" s="11"/>
      <c r="B10" s="12">
        <v>1</v>
      </c>
      <c r="C10" s="13" t="s">
        <v>52</v>
      </c>
      <c r="D10" s="19" t="s">
        <v>24</v>
      </c>
      <c r="E10" s="20"/>
      <c r="F10" s="20"/>
      <c r="G10" s="16">
        <v>17</v>
      </c>
      <c r="H10" s="21">
        <v>75</v>
      </c>
      <c r="I10" s="18">
        <f>G10*H10</f>
        <v>1275</v>
      </c>
      <c r="J10">
        <v>1</v>
      </c>
      <c r="S10" s="89"/>
    </row>
    <row r="11" spans="1:19" x14ac:dyDescent="0.25">
      <c r="A11" s="105" t="s">
        <v>515</v>
      </c>
      <c r="B11" s="106"/>
      <c r="C11" s="106"/>
      <c r="D11" s="106"/>
      <c r="E11" s="106"/>
      <c r="F11" s="106"/>
      <c r="G11" s="106"/>
      <c r="H11" s="35">
        <v>36</v>
      </c>
      <c r="I11" s="36">
        <f>G10*H11</f>
        <v>612</v>
      </c>
      <c r="J11">
        <v>2</v>
      </c>
      <c r="S11"/>
    </row>
    <row r="12" spans="1:19" x14ac:dyDescent="0.25">
      <c r="A12" s="107"/>
      <c r="B12" s="107"/>
      <c r="C12" s="107"/>
      <c r="D12" s="107"/>
      <c r="E12" s="107"/>
      <c r="F12" s="107"/>
      <c r="G12" s="107"/>
      <c r="H12" s="70">
        <v>111</v>
      </c>
      <c r="I12" s="71">
        <f>I10+I11</f>
        <v>1887</v>
      </c>
      <c r="J12">
        <v>5</v>
      </c>
      <c r="S12" s="89"/>
    </row>
    <row r="13" spans="1:19" x14ac:dyDescent="0.25">
      <c r="B13" s="31">
        <v>2</v>
      </c>
      <c r="C13" s="32" t="s">
        <v>53</v>
      </c>
      <c r="D13" s="33" t="s">
        <v>24</v>
      </c>
      <c r="G13" s="34">
        <v>17</v>
      </c>
      <c r="H13" s="35">
        <v>43</v>
      </c>
      <c r="I13" s="36">
        <f>G13*H13</f>
        <v>731</v>
      </c>
      <c r="J13">
        <v>1</v>
      </c>
      <c r="S13" s="89"/>
    </row>
    <row r="14" spans="1:19" x14ac:dyDescent="0.25">
      <c r="A14" s="105" t="s">
        <v>54</v>
      </c>
      <c r="B14" s="106"/>
      <c r="C14" s="106"/>
      <c r="D14" s="106"/>
      <c r="E14" s="106"/>
      <c r="F14" s="106"/>
      <c r="G14" s="106"/>
      <c r="H14" s="35">
        <v>22.36</v>
      </c>
      <c r="I14" s="36">
        <f>G13*H14</f>
        <v>380.12</v>
      </c>
      <c r="J14">
        <v>2</v>
      </c>
      <c r="S14"/>
    </row>
    <row r="15" spans="1:19" x14ac:dyDescent="0.25">
      <c r="A15" s="107"/>
      <c r="B15" s="107"/>
      <c r="C15" s="107"/>
      <c r="D15" s="107"/>
      <c r="E15" s="107"/>
      <c r="F15" s="107"/>
      <c r="G15" s="107"/>
      <c r="H15" s="70">
        <v>65.36</v>
      </c>
      <c r="I15" s="71">
        <f>I13+I14</f>
        <v>1111.1199999999999</v>
      </c>
      <c r="J15">
        <v>5</v>
      </c>
      <c r="S15" s="89"/>
    </row>
    <row r="16" spans="1:19" x14ac:dyDescent="0.25">
      <c r="B16" s="31">
        <v>3</v>
      </c>
      <c r="C16" s="32" t="s">
        <v>55</v>
      </c>
      <c r="D16" s="33" t="s">
        <v>22</v>
      </c>
      <c r="G16" s="34">
        <v>5</v>
      </c>
      <c r="H16" s="87">
        <v>40</v>
      </c>
      <c r="I16" s="36">
        <f>G16*H16</f>
        <v>200</v>
      </c>
      <c r="J16">
        <v>1</v>
      </c>
      <c r="S16" s="89"/>
    </row>
    <row r="17" spans="1:19" x14ac:dyDescent="0.25">
      <c r="A17" s="105" t="s">
        <v>56</v>
      </c>
      <c r="B17" s="106"/>
      <c r="C17" s="106"/>
      <c r="D17" s="106"/>
      <c r="E17" s="106"/>
      <c r="F17" s="106"/>
      <c r="G17" s="106"/>
      <c r="H17" s="35">
        <v>12</v>
      </c>
      <c r="I17" s="36">
        <f>G16*H17</f>
        <v>60</v>
      </c>
      <c r="J17">
        <v>2</v>
      </c>
      <c r="S17"/>
    </row>
    <row r="18" spans="1:19" x14ac:dyDescent="0.25">
      <c r="A18" s="107"/>
      <c r="B18" s="107"/>
      <c r="C18" s="107"/>
      <c r="D18" s="107"/>
      <c r="E18" s="107"/>
      <c r="F18" s="107"/>
      <c r="G18" s="107"/>
      <c r="H18" s="70">
        <f>H17+H16</f>
        <v>52</v>
      </c>
      <c r="I18" s="71">
        <f>I16+I17</f>
        <v>260</v>
      </c>
      <c r="J18">
        <v>5</v>
      </c>
      <c r="S18" s="89"/>
    </row>
    <row r="19" spans="1:19" x14ac:dyDescent="0.25">
      <c r="B19" s="31">
        <v>4</v>
      </c>
      <c r="C19" s="32" t="s">
        <v>57</v>
      </c>
      <c r="D19" s="33" t="s">
        <v>25</v>
      </c>
      <c r="G19" s="34">
        <v>12</v>
      </c>
      <c r="H19" s="35">
        <v>18</v>
      </c>
      <c r="I19" s="36">
        <f>G19*H19</f>
        <v>216</v>
      </c>
      <c r="J19">
        <v>1</v>
      </c>
      <c r="S19" s="89"/>
    </row>
    <row r="20" spans="1:19" x14ac:dyDescent="0.25">
      <c r="A20" s="105" t="s">
        <v>516</v>
      </c>
      <c r="B20" s="106"/>
      <c r="C20" s="106"/>
      <c r="D20" s="106"/>
      <c r="E20" s="106"/>
      <c r="F20" s="106"/>
      <c r="G20" s="106"/>
      <c r="H20" s="35">
        <v>9.36</v>
      </c>
      <c r="I20" s="36">
        <f>G19*H20</f>
        <v>112.32</v>
      </c>
      <c r="J20">
        <v>2</v>
      </c>
      <c r="S20"/>
    </row>
    <row r="21" spans="1:19" x14ac:dyDescent="0.25">
      <c r="A21" s="107"/>
      <c r="B21" s="107"/>
      <c r="C21" s="107"/>
      <c r="D21" s="107"/>
      <c r="E21" s="107"/>
      <c r="F21" s="107"/>
      <c r="G21" s="107"/>
      <c r="H21" s="70">
        <v>27.36</v>
      </c>
      <c r="I21" s="71">
        <f>I19+I20</f>
        <v>328.32</v>
      </c>
      <c r="J21">
        <v>5</v>
      </c>
      <c r="S21" s="89"/>
    </row>
    <row r="22" spans="1:19" x14ac:dyDescent="0.25">
      <c r="B22" s="31">
        <v>5</v>
      </c>
      <c r="C22" s="32" t="s">
        <v>58</v>
      </c>
      <c r="D22" s="33" t="s">
        <v>24</v>
      </c>
      <c r="G22" s="34">
        <v>552</v>
      </c>
      <c r="H22" s="35">
        <v>53</v>
      </c>
      <c r="I22" s="36">
        <f>G22*H22</f>
        <v>29256</v>
      </c>
      <c r="J22">
        <v>1</v>
      </c>
      <c r="S22" s="89"/>
    </row>
    <row r="23" spans="1:19" x14ac:dyDescent="0.25">
      <c r="A23" s="105" t="s">
        <v>517</v>
      </c>
      <c r="B23" s="106"/>
      <c r="C23" s="106"/>
      <c r="D23" s="106"/>
      <c r="E23" s="106"/>
      <c r="F23" s="106"/>
      <c r="G23" s="106"/>
      <c r="H23" s="35">
        <v>25.44</v>
      </c>
      <c r="I23" s="36">
        <f>G22*H23</f>
        <v>14042.880000000001</v>
      </c>
      <c r="J23">
        <v>2</v>
      </c>
      <c r="S23"/>
    </row>
    <row r="24" spans="1:19" x14ac:dyDescent="0.25">
      <c r="A24" s="107"/>
      <c r="B24" s="107"/>
      <c r="C24" s="107"/>
      <c r="D24" s="107"/>
      <c r="E24" s="107"/>
      <c r="F24" s="107"/>
      <c r="G24" s="107"/>
      <c r="H24" s="70">
        <v>78.44</v>
      </c>
      <c r="I24" s="71">
        <f>I22+I23</f>
        <v>43298.880000000005</v>
      </c>
      <c r="J24">
        <v>5</v>
      </c>
      <c r="S24" s="89"/>
    </row>
    <row r="25" spans="1:19" x14ac:dyDescent="0.25">
      <c r="B25" s="31">
        <v>6</v>
      </c>
      <c r="C25" s="32" t="s">
        <v>59</v>
      </c>
      <c r="D25" s="33" t="s">
        <v>24</v>
      </c>
      <c r="G25" s="34">
        <v>42</v>
      </c>
      <c r="H25" s="35">
        <v>55</v>
      </c>
      <c r="I25" s="36">
        <f>G25*H25</f>
        <v>2310</v>
      </c>
      <c r="J25">
        <v>1</v>
      </c>
      <c r="S25" s="89"/>
    </row>
    <row r="26" spans="1:19" x14ac:dyDescent="0.25">
      <c r="A26" s="105" t="s">
        <v>518</v>
      </c>
      <c r="B26" s="106"/>
      <c r="C26" s="106"/>
      <c r="D26" s="106"/>
      <c r="E26" s="106"/>
      <c r="F26" s="106"/>
      <c r="G26" s="106"/>
      <c r="H26" s="35">
        <v>28.6</v>
      </c>
      <c r="I26" s="36">
        <f>G25*H26</f>
        <v>1201.2</v>
      </c>
      <c r="J26">
        <v>2</v>
      </c>
      <c r="S26"/>
    </row>
    <row r="27" spans="1:19" x14ac:dyDescent="0.25">
      <c r="A27" s="107"/>
      <c r="B27" s="107"/>
      <c r="C27" s="107"/>
      <c r="D27" s="107"/>
      <c r="E27" s="107"/>
      <c r="F27" s="107"/>
      <c r="G27" s="107"/>
      <c r="H27" s="70">
        <v>83.6</v>
      </c>
      <c r="I27" s="71">
        <f>I25+I26</f>
        <v>3511.2</v>
      </c>
      <c r="J27">
        <v>5</v>
      </c>
      <c r="S27" s="89"/>
    </row>
    <row r="28" spans="1:19" x14ac:dyDescent="0.25">
      <c r="B28" s="31">
        <v>7</v>
      </c>
      <c r="C28" s="32" t="s">
        <v>60</v>
      </c>
      <c r="D28" s="33" t="s">
        <v>24</v>
      </c>
      <c r="G28" s="34">
        <v>102</v>
      </c>
      <c r="H28" s="35">
        <v>64</v>
      </c>
      <c r="I28" s="36">
        <f>G28*H28</f>
        <v>6528</v>
      </c>
      <c r="J28">
        <v>1</v>
      </c>
      <c r="S28" s="89"/>
    </row>
    <row r="29" spans="1:19" x14ac:dyDescent="0.25">
      <c r="A29" s="105" t="s">
        <v>519</v>
      </c>
      <c r="B29" s="106"/>
      <c r="C29" s="106"/>
      <c r="D29" s="106"/>
      <c r="E29" s="106"/>
      <c r="F29" s="106"/>
      <c r="G29" s="106"/>
      <c r="H29" s="35">
        <v>30.72</v>
      </c>
      <c r="I29" s="36">
        <f>G28*H29</f>
        <v>3133.44</v>
      </c>
      <c r="J29">
        <v>2</v>
      </c>
      <c r="S29"/>
    </row>
    <row r="30" spans="1:19" x14ac:dyDescent="0.25">
      <c r="A30" s="107"/>
      <c r="B30" s="107"/>
      <c r="C30" s="107"/>
      <c r="D30" s="107"/>
      <c r="E30" s="107"/>
      <c r="F30" s="107"/>
      <c r="G30" s="107"/>
      <c r="H30" s="70">
        <v>94.72</v>
      </c>
      <c r="I30" s="71">
        <f>I28+I29</f>
        <v>9661.44</v>
      </c>
      <c r="J30">
        <v>5</v>
      </c>
      <c r="S30" s="89"/>
    </row>
    <row r="31" spans="1:19" x14ac:dyDescent="0.25">
      <c r="B31" s="31">
        <v>8</v>
      </c>
      <c r="C31" s="32" t="s">
        <v>61</v>
      </c>
      <c r="D31" s="33" t="s">
        <v>24</v>
      </c>
      <c r="G31" s="34">
        <v>25</v>
      </c>
      <c r="H31" s="35">
        <v>75</v>
      </c>
      <c r="I31" s="36">
        <f>G31*H31</f>
        <v>1875</v>
      </c>
      <c r="J31">
        <v>1</v>
      </c>
      <c r="S31" s="89"/>
    </row>
    <row r="32" spans="1:19" x14ac:dyDescent="0.25">
      <c r="A32" s="108" t="s">
        <v>863</v>
      </c>
      <c r="B32" s="106"/>
      <c r="C32" s="106"/>
      <c r="D32" s="106"/>
      <c r="E32" s="106"/>
      <c r="F32" s="106"/>
      <c r="G32" s="106"/>
      <c r="H32" s="7">
        <v>39</v>
      </c>
      <c r="I32" s="4">
        <f>G31*H32</f>
        <v>975</v>
      </c>
      <c r="J32">
        <v>2</v>
      </c>
      <c r="S32"/>
    </row>
    <row r="33" spans="1:28" x14ac:dyDescent="0.25">
      <c r="A33" s="106"/>
      <c r="B33" s="106"/>
      <c r="C33" s="106"/>
      <c r="D33" s="106"/>
      <c r="E33" s="106"/>
      <c r="F33" s="106"/>
      <c r="G33" s="106"/>
      <c r="H33" s="22">
        <v>114</v>
      </c>
      <c r="I33" s="36">
        <f>I31+I32</f>
        <v>2850</v>
      </c>
      <c r="J33">
        <v>5</v>
      </c>
      <c r="S33" s="89"/>
    </row>
    <row r="34" spans="1:28" x14ac:dyDescent="0.25">
      <c r="A34" s="73"/>
      <c r="B34" s="25">
        <v>9</v>
      </c>
      <c r="C34" s="26" t="s">
        <v>62</v>
      </c>
      <c r="D34" s="27" t="s">
        <v>24</v>
      </c>
      <c r="E34" s="28"/>
      <c r="F34" s="28"/>
      <c r="G34" s="29">
        <v>17</v>
      </c>
      <c r="H34" s="22">
        <v>86</v>
      </c>
      <c r="I34" s="30">
        <f>G34*H34</f>
        <v>1462</v>
      </c>
      <c r="J34">
        <v>1</v>
      </c>
      <c r="S34" s="89"/>
    </row>
    <row r="35" spans="1:28" x14ac:dyDescent="0.25">
      <c r="A35" s="105" t="s">
        <v>520</v>
      </c>
      <c r="B35" s="106"/>
      <c r="C35" s="106"/>
      <c r="D35" s="106"/>
      <c r="E35" s="106"/>
      <c r="F35" s="106"/>
      <c r="G35" s="106"/>
      <c r="H35" s="35">
        <v>41.28</v>
      </c>
      <c r="I35" s="36">
        <f>G34*H35</f>
        <v>701.76</v>
      </c>
      <c r="J35">
        <v>2</v>
      </c>
      <c r="S35"/>
    </row>
    <row r="36" spans="1:28" x14ac:dyDescent="0.25">
      <c r="A36" s="106"/>
      <c r="B36" s="106"/>
      <c r="C36" s="106"/>
      <c r="D36" s="106"/>
      <c r="E36" s="106"/>
      <c r="F36" s="106"/>
      <c r="G36" s="106"/>
      <c r="H36" s="22">
        <v>127.28</v>
      </c>
      <c r="I36" s="36">
        <f>I34+I35</f>
        <v>2163.7600000000002</v>
      </c>
      <c r="J36">
        <v>5</v>
      </c>
      <c r="S36" s="89"/>
    </row>
    <row r="37" spans="1:28" x14ac:dyDescent="0.25">
      <c r="A37" s="73"/>
      <c r="B37" s="25">
        <v>10</v>
      </c>
      <c r="C37" s="26" t="s">
        <v>63</v>
      </c>
      <c r="D37" s="27" t="s">
        <v>24</v>
      </c>
      <c r="E37" s="28"/>
      <c r="F37" s="28"/>
      <c r="G37" s="29">
        <v>8</v>
      </c>
      <c r="H37" s="22">
        <v>94</v>
      </c>
      <c r="I37" s="30">
        <f>G37*H37</f>
        <v>752</v>
      </c>
      <c r="J37">
        <v>1</v>
      </c>
      <c r="S37" s="89"/>
    </row>
    <row r="38" spans="1:28" x14ac:dyDescent="0.25">
      <c r="A38" s="105" t="s">
        <v>521</v>
      </c>
      <c r="B38" s="106"/>
      <c r="C38" s="106"/>
      <c r="D38" s="106"/>
      <c r="E38" s="106"/>
      <c r="F38" s="106"/>
      <c r="G38" s="106"/>
      <c r="H38" s="35">
        <v>48.88</v>
      </c>
      <c r="I38" s="36">
        <f>G37*H38</f>
        <v>391.04</v>
      </c>
      <c r="J38">
        <v>2</v>
      </c>
      <c r="S38"/>
    </row>
    <row r="39" spans="1:28" x14ac:dyDescent="0.25">
      <c r="A39" s="107"/>
      <c r="B39" s="107"/>
      <c r="C39" s="107"/>
      <c r="D39" s="107"/>
      <c r="E39" s="107"/>
      <c r="F39" s="107"/>
      <c r="G39" s="107"/>
      <c r="H39" s="70">
        <v>142.88</v>
      </c>
      <c r="I39" s="71">
        <f>I37+I38</f>
        <v>1143.04</v>
      </c>
      <c r="J39">
        <v>5</v>
      </c>
      <c r="S39" s="89"/>
    </row>
    <row r="40" spans="1:28" x14ac:dyDescent="0.25">
      <c r="A40" s="73"/>
      <c r="B40" s="25">
        <v>11</v>
      </c>
      <c r="C40" s="26" t="s">
        <v>64</v>
      </c>
      <c r="D40" s="27" t="s">
        <v>24</v>
      </c>
      <c r="E40" s="28"/>
      <c r="F40" s="28"/>
      <c r="G40" s="29">
        <v>552</v>
      </c>
      <c r="H40" s="22">
        <v>14</v>
      </c>
      <c r="I40" s="30">
        <f>G40*H40</f>
        <v>7728</v>
      </c>
      <c r="J40">
        <v>1</v>
      </c>
      <c r="S40" s="89"/>
      <c r="T40" s="1"/>
      <c r="U40" s="1"/>
      <c r="V40" s="1"/>
      <c r="W40" s="1"/>
      <c r="X40" s="1"/>
      <c r="Y40" s="1"/>
    </row>
    <row r="41" spans="1:28" x14ac:dyDescent="0.25">
      <c r="A41" s="105" t="s">
        <v>522</v>
      </c>
      <c r="B41" s="106"/>
      <c r="C41" s="106"/>
      <c r="D41" s="106"/>
      <c r="E41" s="106"/>
      <c r="F41" s="106"/>
      <c r="G41" s="106"/>
      <c r="H41" s="35">
        <v>6.7200000000000006</v>
      </c>
      <c r="I41" s="36">
        <f>G40*H41</f>
        <v>3709.4400000000005</v>
      </c>
      <c r="J41">
        <v>2</v>
      </c>
      <c r="S41"/>
      <c r="T41" s="1"/>
      <c r="U41" s="1"/>
      <c r="V41" s="1"/>
      <c r="W41" s="1"/>
      <c r="X41" s="1"/>
      <c r="Y41" s="1"/>
    </row>
    <row r="42" spans="1:28" x14ac:dyDescent="0.25">
      <c r="A42" s="107"/>
      <c r="B42" s="107"/>
      <c r="C42" s="107"/>
      <c r="D42" s="107"/>
      <c r="E42" s="107"/>
      <c r="F42" s="107"/>
      <c r="G42" s="107"/>
      <c r="H42" s="70">
        <v>20.72</v>
      </c>
      <c r="I42" s="71">
        <f>I40+I41</f>
        <v>11437.44</v>
      </c>
      <c r="J42">
        <v>5</v>
      </c>
      <c r="S42" s="89"/>
    </row>
    <row r="43" spans="1:28" x14ac:dyDescent="0.25">
      <c r="A43" s="73"/>
      <c r="B43" s="25">
        <v>12</v>
      </c>
      <c r="C43" s="26" t="s">
        <v>64</v>
      </c>
      <c r="D43" s="27" t="s">
        <v>24</v>
      </c>
      <c r="E43" s="28"/>
      <c r="F43" s="28"/>
      <c r="G43" s="29">
        <v>42</v>
      </c>
      <c r="H43" s="22">
        <v>16</v>
      </c>
      <c r="I43" s="30">
        <f>G43*H43</f>
        <v>672</v>
      </c>
      <c r="J43">
        <v>1</v>
      </c>
      <c r="S43" s="89"/>
      <c r="T43" s="74"/>
      <c r="U43" s="1"/>
      <c r="V43" s="1"/>
      <c r="W43" s="1"/>
      <c r="X43" s="1"/>
      <c r="Y43" s="1"/>
      <c r="Z43" s="1"/>
    </row>
    <row r="44" spans="1:28" x14ac:dyDescent="0.25">
      <c r="A44" s="105" t="s">
        <v>523</v>
      </c>
      <c r="B44" s="106"/>
      <c r="C44" s="106"/>
      <c r="D44" s="106"/>
      <c r="E44" s="106"/>
      <c r="F44" s="106"/>
      <c r="G44" s="106"/>
      <c r="H44" s="35">
        <v>8.32</v>
      </c>
      <c r="I44" s="36">
        <f>G43*H44</f>
        <v>349.44</v>
      </c>
      <c r="J44">
        <v>2</v>
      </c>
      <c r="S44"/>
      <c r="T44" s="1"/>
      <c r="U44" s="1"/>
      <c r="V44" s="1"/>
      <c r="W44" s="1"/>
      <c r="X44" s="1"/>
      <c r="Y44" s="1"/>
    </row>
    <row r="45" spans="1:28" ht="14.45" customHeight="1" x14ac:dyDescent="0.25">
      <c r="A45" s="107"/>
      <c r="B45" s="107"/>
      <c r="C45" s="107"/>
      <c r="D45" s="107"/>
      <c r="E45" s="107"/>
      <c r="F45" s="107"/>
      <c r="G45" s="107"/>
      <c r="H45" s="70">
        <v>24.32</v>
      </c>
      <c r="I45" s="71">
        <f>I43+I44</f>
        <v>1021.44</v>
      </c>
      <c r="J45">
        <v>5</v>
      </c>
      <c r="S45" s="89"/>
    </row>
    <row r="46" spans="1:28" x14ac:dyDescent="0.25">
      <c r="B46" s="25">
        <v>13</v>
      </c>
      <c r="C46" s="26" t="s">
        <v>64</v>
      </c>
      <c r="D46" s="27" t="s">
        <v>24</v>
      </c>
      <c r="E46" s="28"/>
      <c r="F46" s="28"/>
      <c r="G46" s="29">
        <v>102</v>
      </c>
      <c r="H46" s="22">
        <v>19</v>
      </c>
      <c r="I46" s="30">
        <f>G46*H46</f>
        <v>1938</v>
      </c>
      <c r="J46">
        <v>1</v>
      </c>
      <c r="S46" s="89"/>
      <c r="U46" s="74"/>
      <c r="V46" s="74" t="s">
        <v>526</v>
      </c>
      <c r="W46" s="1"/>
      <c r="X46" s="1"/>
      <c r="Y46" s="1"/>
      <c r="Z46" s="1"/>
      <c r="AA46" s="1"/>
      <c r="AB46" s="1"/>
    </row>
    <row r="47" spans="1:28" x14ac:dyDescent="0.25">
      <c r="B47" s="109" t="s">
        <v>524</v>
      </c>
      <c r="C47" s="112"/>
      <c r="D47" s="112"/>
      <c r="E47" s="112"/>
      <c r="F47" s="112"/>
      <c r="G47" s="112"/>
      <c r="H47" s="35">
        <v>9.120000000000001</v>
      </c>
      <c r="I47" s="36">
        <f>G46*H47</f>
        <v>930.24000000000012</v>
      </c>
      <c r="J47">
        <v>2</v>
      </c>
      <c r="S47"/>
      <c r="V47" s="1"/>
      <c r="W47" s="1"/>
      <c r="X47" s="1"/>
      <c r="Y47" s="1"/>
      <c r="Z47" s="1"/>
      <c r="AA47" s="1"/>
      <c r="AB47" s="1"/>
    </row>
    <row r="48" spans="1:28" x14ac:dyDescent="0.25">
      <c r="B48" s="113"/>
      <c r="C48" s="113"/>
      <c r="D48" s="113"/>
      <c r="E48" s="113"/>
      <c r="F48" s="113"/>
      <c r="G48" s="113"/>
      <c r="H48" s="70">
        <v>28.12</v>
      </c>
      <c r="I48" s="71">
        <f>I46+I47</f>
        <v>2868.2400000000002</v>
      </c>
      <c r="J48">
        <v>5</v>
      </c>
      <c r="S48" s="89"/>
      <c r="T48" s="74"/>
      <c r="U48" s="1"/>
      <c r="V48" s="74" t="s">
        <v>527</v>
      </c>
      <c r="W48" s="1"/>
      <c r="X48" s="1"/>
      <c r="Y48" s="1"/>
      <c r="Z48" s="1"/>
      <c r="AA48" s="1"/>
      <c r="AB48" s="1"/>
    </row>
    <row r="49" spans="1:26" x14ac:dyDescent="0.25">
      <c r="B49" s="25">
        <v>14</v>
      </c>
      <c r="C49" s="26" t="s">
        <v>64</v>
      </c>
      <c r="D49" s="27" t="s">
        <v>24</v>
      </c>
      <c r="E49" s="28"/>
      <c r="F49" s="28"/>
      <c r="G49" s="29">
        <v>25</v>
      </c>
      <c r="H49" s="22">
        <v>23</v>
      </c>
      <c r="I49" s="30">
        <f>G49*H49</f>
        <v>575</v>
      </c>
      <c r="J49">
        <v>1</v>
      </c>
      <c r="S49" s="89"/>
      <c r="T49" s="1"/>
      <c r="U49" s="1"/>
      <c r="V49" s="1"/>
      <c r="W49" s="1"/>
      <c r="X49" s="1"/>
      <c r="Y49" s="1"/>
      <c r="Z49" s="1"/>
    </row>
    <row r="50" spans="1:26" x14ac:dyDescent="0.25">
      <c r="B50" s="109" t="s">
        <v>525</v>
      </c>
      <c r="C50" s="110"/>
      <c r="D50" s="110"/>
      <c r="E50" s="110"/>
      <c r="F50" s="110"/>
      <c r="G50" s="110"/>
      <c r="H50" s="35">
        <v>11.96</v>
      </c>
      <c r="I50" s="36">
        <f>G49*H50</f>
        <v>299</v>
      </c>
      <c r="J50">
        <v>2</v>
      </c>
      <c r="S50"/>
    </row>
    <row r="51" spans="1:26" x14ac:dyDescent="0.25">
      <c r="B51" s="111"/>
      <c r="C51" s="111"/>
      <c r="D51" s="111"/>
      <c r="E51" s="111"/>
      <c r="F51" s="111"/>
      <c r="G51" s="111"/>
      <c r="H51" s="70">
        <v>34.96</v>
      </c>
      <c r="I51" s="71">
        <f>I49+I50</f>
        <v>874</v>
      </c>
      <c r="J51">
        <v>5</v>
      </c>
      <c r="S51" s="89"/>
    </row>
    <row r="52" spans="1:26" x14ac:dyDescent="0.25">
      <c r="B52" s="25">
        <v>15</v>
      </c>
      <c r="C52" s="26" t="s">
        <v>64</v>
      </c>
      <c r="D52" s="27" t="s">
        <v>24</v>
      </c>
      <c r="E52" s="28"/>
      <c r="F52" s="28"/>
      <c r="G52" s="29">
        <v>17</v>
      </c>
      <c r="H52" s="22">
        <v>25</v>
      </c>
      <c r="I52" s="30">
        <f>G52*H52</f>
        <v>425</v>
      </c>
      <c r="J52">
        <v>1</v>
      </c>
      <c r="S52" s="89"/>
      <c r="Z52" s="1"/>
    </row>
    <row r="53" spans="1:26" x14ac:dyDescent="0.25">
      <c r="B53" s="109" t="s">
        <v>528</v>
      </c>
      <c r="C53" s="110"/>
      <c r="D53" s="110"/>
      <c r="E53" s="110"/>
      <c r="F53" s="110"/>
      <c r="G53" s="110"/>
      <c r="H53" s="35">
        <v>12</v>
      </c>
      <c r="I53" s="36">
        <f>G52*H53</f>
        <v>204</v>
      </c>
      <c r="J53">
        <v>2</v>
      </c>
      <c r="S53"/>
      <c r="Z53" s="1"/>
    </row>
    <row r="54" spans="1:26" x14ac:dyDescent="0.25">
      <c r="B54" s="111"/>
      <c r="C54" s="111"/>
      <c r="D54" s="111"/>
      <c r="E54" s="111"/>
      <c r="F54" s="111"/>
      <c r="G54" s="111"/>
      <c r="H54" s="70">
        <v>37</v>
      </c>
      <c r="I54" s="71">
        <f>I52+I53</f>
        <v>629</v>
      </c>
      <c r="J54">
        <v>5</v>
      </c>
      <c r="S54" s="89"/>
      <c r="T54" s="74" t="s">
        <v>529</v>
      </c>
      <c r="U54" s="1"/>
      <c r="V54" s="1"/>
      <c r="W54" s="1"/>
      <c r="X54" s="1"/>
      <c r="Y54" s="1"/>
      <c r="Z54" s="1"/>
    </row>
    <row r="55" spans="1:26" x14ac:dyDescent="0.25">
      <c r="B55" s="25">
        <v>16</v>
      </c>
      <c r="C55" s="26" t="s">
        <v>64</v>
      </c>
      <c r="D55" s="27" t="s">
        <v>24</v>
      </c>
      <c r="E55" s="28"/>
      <c r="F55" s="28"/>
      <c r="G55" s="29">
        <v>8</v>
      </c>
      <c r="H55" s="22">
        <v>29</v>
      </c>
      <c r="I55" s="30">
        <f>G55*H55</f>
        <v>232</v>
      </c>
      <c r="J55">
        <v>1</v>
      </c>
      <c r="S55" s="89"/>
    </row>
    <row r="56" spans="1:26" x14ac:dyDescent="0.25">
      <c r="B56" s="109" t="s">
        <v>530</v>
      </c>
      <c r="C56" s="109"/>
      <c r="D56" s="109"/>
      <c r="E56" s="109"/>
      <c r="F56" s="109"/>
      <c r="G56" s="109"/>
      <c r="H56" s="35">
        <v>15.080000000000002</v>
      </c>
      <c r="I56" s="36">
        <f>G55*H56</f>
        <v>120.64000000000001</v>
      </c>
      <c r="J56">
        <v>2</v>
      </c>
      <c r="S56"/>
    </row>
    <row r="57" spans="1:26" x14ac:dyDescent="0.25">
      <c r="B57" s="114"/>
      <c r="C57" s="114"/>
      <c r="D57" s="114"/>
      <c r="E57" s="114"/>
      <c r="F57" s="114"/>
      <c r="G57" s="114"/>
      <c r="H57" s="70">
        <v>44.08</v>
      </c>
      <c r="I57" s="71">
        <f>I55+I56</f>
        <v>352.64</v>
      </c>
      <c r="J57">
        <v>5</v>
      </c>
      <c r="S57" s="89"/>
    </row>
    <row r="58" spans="1:26" x14ac:dyDescent="0.25">
      <c r="B58" s="25">
        <v>17</v>
      </c>
      <c r="C58" s="26" t="s">
        <v>65</v>
      </c>
      <c r="D58" s="27" t="s">
        <v>24</v>
      </c>
      <c r="E58" s="28"/>
      <c r="F58" s="28"/>
      <c r="G58" s="29">
        <v>620</v>
      </c>
      <c r="H58" s="22">
        <v>4</v>
      </c>
      <c r="I58" s="30">
        <f>G58*H58</f>
        <v>2480</v>
      </c>
      <c r="J58">
        <v>1</v>
      </c>
      <c r="S58" s="89"/>
    </row>
    <row r="59" spans="1:26" x14ac:dyDescent="0.25">
      <c r="B59" s="109" t="s">
        <v>531</v>
      </c>
      <c r="C59" s="109"/>
      <c r="D59" s="109"/>
      <c r="E59" s="109"/>
      <c r="F59" s="109"/>
      <c r="G59" s="109"/>
      <c r="H59" s="93">
        <v>2</v>
      </c>
      <c r="I59" s="36">
        <f>G58*H59</f>
        <v>1240</v>
      </c>
      <c r="J59">
        <v>2</v>
      </c>
      <c r="S59"/>
    </row>
    <row r="60" spans="1:26" x14ac:dyDescent="0.25">
      <c r="A60" s="72"/>
      <c r="B60" s="114"/>
      <c r="C60" s="114"/>
      <c r="D60" s="114"/>
      <c r="E60" s="114"/>
      <c r="F60" s="114"/>
      <c r="G60" s="114"/>
      <c r="H60" s="70">
        <v>0</v>
      </c>
      <c r="I60" s="71">
        <f>I58+I59</f>
        <v>3720</v>
      </c>
      <c r="J60">
        <v>5</v>
      </c>
      <c r="S60" s="89"/>
    </row>
    <row r="61" spans="1:26" x14ac:dyDescent="0.25">
      <c r="B61" s="31">
        <v>18</v>
      </c>
      <c r="C61" s="32" t="s">
        <v>66</v>
      </c>
      <c r="D61" s="33" t="s">
        <v>25</v>
      </c>
      <c r="G61" s="34">
        <v>178</v>
      </c>
      <c r="H61" s="35">
        <v>12</v>
      </c>
      <c r="I61" s="36">
        <f>G61*H61</f>
        <v>2136</v>
      </c>
      <c r="J61">
        <v>1</v>
      </c>
      <c r="S61" s="89"/>
    </row>
    <row r="62" spans="1:26" x14ac:dyDescent="0.25">
      <c r="A62" s="105" t="s">
        <v>864</v>
      </c>
      <c r="B62" s="106"/>
      <c r="C62" s="106"/>
      <c r="D62" s="106"/>
      <c r="E62" s="106"/>
      <c r="F62" s="106"/>
      <c r="G62" s="106"/>
      <c r="H62" s="35">
        <v>6.24</v>
      </c>
      <c r="I62" s="36">
        <f>G61*H62</f>
        <v>1110.72</v>
      </c>
      <c r="J62">
        <v>2</v>
      </c>
      <c r="S62"/>
    </row>
    <row r="63" spans="1:26" x14ac:dyDescent="0.25">
      <c r="A63" s="107"/>
      <c r="B63" s="107"/>
      <c r="C63" s="107"/>
      <c r="D63" s="107"/>
      <c r="E63" s="107"/>
      <c r="F63" s="107"/>
      <c r="G63" s="107"/>
      <c r="H63" s="70">
        <v>18.240000000000002</v>
      </c>
      <c r="I63" s="71">
        <f>I61+I62</f>
        <v>3246.7200000000003</v>
      </c>
      <c r="J63">
        <v>5</v>
      </c>
      <c r="S63" s="89"/>
    </row>
    <row r="64" spans="1:26" x14ac:dyDescent="0.25">
      <c r="A64" s="73"/>
      <c r="B64" s="25">
        <v>19</v>
      </c>
      <c r="C64" s="26" t="s">
        <v>61</v>
      </c>
      <c r="D64" s="27" t="s">
        <v>24</v>
      </c>
      <c r="E64" s="28"/>
      <c r="F64" s="28"/>
      <c r="G64" s="29">
        <v>51</v>
      </c>
      <c r="H64" s="22">
        <v>50</v>
      </c>
      <c r="I64" s="30">
        <f>G64*H64</f>
        <v>2550</v>
      </c>
      <c r="J64">
        <v>1</v>
      </c>
      <c r="S64" s="89"/>
    </row>
    <row r="65" spans="1:26" x14ac:dyDescent="0.25">
      <c r="A65" s="105" t="s">
        <v>532</v>
      </c>
      <c r="B65" s="106"/>
      <c r="C65" s="106"/>
      <c r="D65" s="106"/>
      <c r="E65" s="106"/>
      <c r="F65" s="106"/>
      <c r="G65" s="106"/>
      <c r="H65" s="35">
        <v>24</v>
      </c>
      <c r="I65" s="36">
        <f>G64*H65</f>
        <v>1224</v>
      </c>
      <c r="J65">
        <v>2</v>
      </c>
      <c r="S65"/>
      <c r="T65" s="74"/>
      <c r="U65" s="1"/>
      <c r="V65" s="1"/>
      <c r="W65" s="1"/>
      <c r="X65" s="1"/>
      <c r="Y65" s="1"/>
      <c r="Z65" s="1"/>
    </row>
    <row r="66" spans="1:26" ht="14.45" customHeight="1" x14ac:dyDescent="0.25">
      <c r="A66" s="107"/>
      <c r="B66" s="107"/>
      <c r="C66" s="107"/>
      <c r="D66" s="107"/>
      <c r="E66" s="107"/>
      <c r="F66" s="107"/>
      <c r="G66" s="107"/>
      <c r="H66" s="70">
        <v>74</v>
      </c>
      <c r="I66" s="71">
        <f>I64+I65</f>
        <v>3774</v>
      </c>
      <c r="J66">
        <v>5</v>
      </c>
      <c r="S66" s="89"/>
      <c r="T66" s="74"/>
      <c r="U66" s="1"/>
      <c r="V66" s="1"/>
      <c r="W66" s="1"/>
      <c r="X66" s="1"/>
      <c r="Y66" s="1"/>
      <c r="Z66" s="1"/>
    </row>
    <row r="67" spans="1:26" x14ac:dyDescent="0.25">
      <c r="B67" s="25">
        <v>20</v>
      </c>
      <c r="C67" s="26" t="s">
        <v>67</v>
      </c>
      <c r="D67" s="27" t="s">
        <v>24</v>
      </c>
      <c r="E67" s="28"/>
      <c r="F67" s="28"/>
      <c r="G67" s="29">
        <v>102</v>
      </c>
      <c r="H67" s="22">
        <v>47</v>
      </c>
      <c r="I67" s="30">
        <f>G67*H67</f>
        <v>4794</v>
      </c>
      <c r="J67">
        <v>1</v>
      </c>
      <c r="S67" s="89"/>
      <c r="T67" s="1"/>
      <c r="U67" s="1"/>
      <c r="V67" s="1"/>
      <c r="W67" s="1"/>
      <c r="X67" s="1"/>
      <c r="Y67" s="1"/>
      <c r="Z67" s="1"/>
    </row>
    <row r="68" spans="1:26" ht="14.45" customHeight="1" x14ac:dyDescent="0.25">
      <c r="B68" s="109" t="s">
        <v>533</v>
      </c>
      <c r="C68" s="109"/>
      <c r="D68" s="109"/>
      <c r="E68" s="109"/>
      <c r="F68" s="109"/>
      <c r="G68" s="109"/>
      <c r="H68" s="35">
        <v>24.44</v>
      </c>
      <c r="I68" s="36">
        <f>G67*H68</f>
        <v>2492.88</v>
      </c>
      <c r="J68">
        <v>2</v>
      </c>
      <c r="S68"/>
      <c r="T68" s="74"/>
      <c r="U68" s="74"/>
      <c r="V68" s="74"/>
      <c r="W68" s="74"/>
      <c r="X68" s="74"/>
      <c r="Y68" s="74"/>
      <c r="Z68" s="74"/>
    </row>
    <row r="69" spans="1:26" x14ac:dyDescent="0.25">
      <c r="B69" s="114"/>
      <c r="C69" s="114"/>
      <c r="D69" s="114"/>
      <c r="E69" s="114"/>
      <c r="F69" s="114"/>
      <c r="G69" s="114"/>
      <c r="H69" s="70">
        <v>71.44</v>
      </c>
      <c r="I69" s="71">
        <f>I67+I68</f>
        <v>7286.88</v>
      </c>
      <c r="J69">
        <v>5</v>
      </c>
      <c r="S69" s="89"/>
      <c r="T69" s="74"/>
      <c r="U69" s="74"/>
      <c r="V69" s="74"/>
      <c r="W69" s="74"/>
      <c r="X69" s="74"/>
      <c r="Y69" s="74"/>
      <c r="Z69" s="74"/>
    </row>
    <row r="70" spans="1:26" x14ac:dyDescent="0.25">
      <c r="B70" s="25">
        <v>21</v>
      </c>
      <c r="C70" s="26" t="s">
        <v>68</v>
      </c>
      <c r="D70" s="27" t="s">
        <v>24</v>
      </c>
      <c r="E70" s="28"/>
      <c r="F70" s="28"/>
      <c r="G70" s="29">
        <v>102</v>
      </c>
      <c r="H70" s="22">
        <v>63</v>
      </c>
      <c r="I70" s="30">
        <f>G70*H70</f>
        <v>6426</v>
      </c>
      <c r="J70">
        <v>1</v>
      </c>
      <c r="S70" s="89"/>
      <c r="T70" s="74"/>
      <c r="U70" s="74"/>
      <c r="V70" s="74"/>
      <c r="W70" s="74"/>
      <c r="X70" s="74"/>
      <c r="Y70" s="74"/>
      <c r="Z70" s="74"/>
    </row>
    <row r="71" spans="1:26" x14ac:dyDescent="0.25">
      <c r="B71" s="109" t="s">
        <v>534</v>
      </c>
      <c r="C71" s="109"/>
      <c r="D71" s="109"/>
      <c r="E71" s="109"/>
      <c r="F71" s="109"/>
      <c r="G71" s="109"/>
      <c r="H71" s="35">
        <v>30.24</v>
      </c>
      <c r="I71" s="36">
        <f>G70*H71</f>
        <v>3084.48</v>
      </c>
      <c r="J71">
        <v>2</v>
      </c>
      <c r="S71"/>
      <c r="T71" s="74"/>
      <c r="U71" s="74"/>
      <c r="V71" s="74"/>
      <c r="W71" s="74"/>
      <c r="X71" s="74"/>
      <c r="Y71" s="74"/>
      <c r="Z71" s="74"/>
    </row>
    <row r="72" spans="1:26" x14ac:dyDescent="0.25">
      <c r="B72" s="114"/>
      <c r="C72" s="114"/>
      <c r="D72" s="114"/>
      <c r="E72" s="114"/>
      <c r="F72" s="114"/>
      <c r="G72" s="114"/>
      <c r="H72" s="70">
        <v>93.24</v>
      </c>
      <c r="I72" s="71">
        <f>I70+I71</f>
        <v>9510.48</v>
      </c>
      <c r="J72">
        <v>5</v>
      </c>
      <c r="S72" s="89"/>
      <c r="T72" s="74"/>
      <c r="U72" s="74"/>
      <c r="V72" s="74"/>
      <c r="W72" s="74"/>
      <c r="X72" s="74"/>
      <c r="Y72" s="74"/>
      <c r="Z72" s="74"/>
    </row>
    <row r="73" spans="1:26" x14ac:dyDescent="0.25">
      <c r="B73" s="25">
        <v>22</v>
      </c>
      <c r="C73" s="26" t="s">
        <v>69</v>
      </c>
      <c r="D73" s="27" t="s">
        <v>24</v>
      </c>
      <c r="E73" s="28"/>
      <c r="F73" s="28"/>
      <c r="G73" s="29">
        <v>255</v>
      </c>
      <c r="H73" s="22">
        <v>67.142857142857153</v>
      </c>
      <c r="I73" s="30">
        <f>G73*H73</f>
        <v>17121.428571428572</v>
      </c>
      <c r="J73">
        <v>1</v>
      </c>
      <c r="S73" s="74"/>
      <c r="T73" s="1"/>
      <c r="U73" s="1"/>
      <c r="V73" s="1"/>
      <c r="W73" s="1"/>
      <c r="X73" s="1"/>
      <c r="Y73" s="1"/>
    </row>
    <row r="74" spans="1:26" x14ac:dyDescent="0.25">
      <c r="B74" s="115" t="s">
        <v>865</v>
      </c>
      <c r="C74" s="115"/>
      <c r="D74" s="115"/>
      <c r="E74" s="115"/>
      <c r="F74" s="115"/>
      <c r="G74" s="115"/>
      <c r="H74" s="35">
        <v>34.914285714285718</v>
      </c>
      <c r="I74" s="36">
        <f>G73*H74</f>
        <v>8903.1428571428587</v>
      </c>
      <c r="J74">
        <v>2</v>
      </c>
      <c r="S74" s="1"/>
      <c r="T74" s="1"/>
      <c r="U74" s="1"/>
      <c r="V74" s="1"/>
      <c r="W74" s="1"/>
      <c r="X74" s="1"/>
      <c r="Y74" s="1"/>
    </row>
    <row r="75" spans="1:26" x14ac:dyDescent="0.25">
      <c r="B75" s="116"/>
      <c r="C75" s="116"/>
      <c r="D75" s="116"/>
      <c r="E75" s="116"/>
      <c r="F75" s="116"/>
      <c r="G75" s="116"/>
      <c r="H75" s="70">
        <v>102.05714285714286</v>
      </c>
      <c r="I75" s="71">
        <f>I73+I74</f>
        <v>26024.571428571431</v>
      </c>
      <c r="J75">
        <v>5</v>
      </c>
      <c r="S75" s="74"/>
      <c r="T75" s="1"/>
      <c r="U75" s="1"/>
      <c r="V75" s="1"/>
      <c r="W75" s="1"/>
      <c r="X75" s="1"/>
      <c r="Y75" s="1"/>
    </row>
    <row r="76" spans="1:26" x14ac:dyDescent="0.25">
      <c r="B76" s="25">
        <v>23</v>
      </c>
      <c r="C76" s="26" t="s">
        <v>70</v>
      </c>
      <c r="D76" s="27" t="s">
        <v>25</v>
      </c>
      <c r="E76" s="28"/>
      <c r="F76" s="28"/>
      <c r="G76" s="29">
        <v>170</v>
      </c>
      <c r="H76" s="22">
        <v>16.428571428571431</v>
      </c>
      <c r="I76" s="30">
        <f>G76*H76</f>
        <v>2792.8571428571431</v>
      </c>
      <c r="J76">
        <v>1</v>
      </c>
      <c r="S76"/>
    </row>
    <row r="77" spans="1:26" x14ac:dyDescent="0.25">
      <c r="B77" s="109" t="s">
        <v>535</v>
      </c>
      <c r="C77" s="109"/>
      <c r="D77" s="109"/>
      <c r="E77" s="109"/>
      <c r="F77" s="109"/>
      <c r="G77" s="109"/>
      <c r="H77" s="35">
        <v>7.885714285714287</v>
      </c>
      <c r="I77" s="36">
        <f>G76*H77</f>
        <v>1340.5714285714289</v>
      </c>
      <c r="J77">
        <v>2</v>
      </c>
      <c r="S77"/>
    </row>
    <row r="78" spans="1:26" x14ac:dyDescent="0.25">
      <c r="B78" s="114"/>
      <c r="C78" s="114"/>
      <c r="D78" s="114"/>
      <c r="E78" s="114"/>
      <c r="F78" s="114"/>
      <c r="G78" s="114"/>
      <c r="H78" s="70">
        <v>24.314285714285717</v>
      </c>
      <c r="I78" s="71">
        <f>I76+I77</f>
        <v>4133.4285714285725</v>
      </c>
      <c r="J78">
        <v>5</v>
      </c>
      <c r="S78" s="1"/>
      <c r="T78" s="1"/>
      <c r="U78" s="1"/>
      <c r="V78" s="1"/>
      <c r="W78" s="1"/>
      <c r="X78" s="1"/>
    </row>
    <row r="79" spans="1:26" x14ac:dyDescent="0.25">
      <c r="B79" s="25">
        <v>24</v>
      </c>
      <c r="C79" s="26" t="s">
        <v>71</v>
      </c>
      <c r="D79" s="27" t="s">
        <v>25</v>
      </c>
      <c r="E79" s="28"/>
      <c r="F79" s="28"/>
      <c r="G79" s="29">
        <v>59</v>
      </c>
      <c r="H79" s="22">
        <v>20.714285714285715</v>
      </c>
      <c r="I79" s="30">
        <f>G79*H79</f>
        <v>1222.1428571428571</v>
      </c>
      <c r="J79">
        <v>1</v>
      </c>
      <c r="S79" s="1"/>
      <c r="T79" s="1"/>
      <c r="U79" s="1"/>
      <c r="V79" s="1"/>
      <c r="W79" s="1"/>
      <c r="X79" s="1"/>
    </row>
    <row r="80" spans="1:26" x14ac:dyDescent="0.25">
      <c r="B80" s="109" t="s">
        <v>536</v>
      </c>
      <c r="C80" s="109"/>
      <c r="D80" s="109"/>
      <c r="E80" s="109"/>
      <c r="F80" s="109"/>
      <c r="G80" s="109"/>
      <c r="H80" s="35">
        <v>10.771428571428574</v>
      </c>
      <c r="I80" s="36">
        <f>G79*H80</f>
        <v>635.51428571428585</v>
      </c>
      <c r="J80">
        <v>2</v>
      </c>
      <c r="S80" s="1"/>
      <c r="T80" s="1"/>
      <c r="U80" s="1"/>
      <c r="V80" s="1"/>
      <c r="W80" s="1"/>
      <c r="X80" s="1"/>
    </row>
    <row r="81" spans="1:24" x14ac:dyDescent="0.25">
      <c r="B81" s="114"/>
      <c r="C81" s="114"/>
      <c r="D81" s="114"/>
      <c r="E81" s="114"/>
      <c r="F81" s="114"/>
      <c r="G81" s="114"/>
      <c r="H81" s="70">
        <v>31.485714285714288</v>
      </c>
      <c r="I81" s="71">
        <f>I79+I80</f>
        <v>1857.6571428571428</v>
      </c>
      <c r="J81">
        <v>5</v>
      </c>
      <c r="S81"/>
    </row>
    <row r="82" spans="1:24" x14ac:dyDescent="0.25">
      <c r="B82" s="25">
        <v>25</v>
      </c>
      <c r="C82" s="26" t="s">
        <v>72</v>
      </c>
      <c r="D82" s="27" t="s">
        <v>25</v>
      </c>
      <c r="E82" s="28"/>
      <c r="F82" s="28"/>
      <c r="G82" s="29">
        <v>170</v>
      </c>
      <c r="H82" s="22">
        <v>26.428571428571431</v>
      </c>
      <c r="I82" s="30">
        <f>G82*H82</f>
        <v>4492.8571428571431</v>
      </c>
      <c r="J82">
        <v>1</v>
      </c>
      <c r="S82"/>
    </row>
    <row r="83" spans="1:24" x14ac:dyDescent="0.25">
      <c r="B83" s="109" t="s">
        <v>537</v>
      </c>
      <c r="C83" s="109"/>
      <c r="D83" s="109"/>
      <c r="E83" s="109"/>
      <c r="F83" s="109"/>
      <c r="G83" s="109"/>
      <c r="H83" s="35">
        <v>12.685714285714287</v>
      </c>
      <c r="I83" s="36">
        <f>G82*H83</f>
        <v>2156.5714285714289</v>
      </c>
      <c r="J83">
        <v>2</v>
      </c>
      <c r="S83"/>
    </row>
    <row r="84" spans="1:24" x14ac:dyDescent="0.25">
      <c r="B84" s="114"/>
      <c r="C84" s="114"/>
      <c r="D84" s="114"/>
      <c r="E84" s="114"/>
      <c r="F84" s="114"/>
      <c r="G84" s="114"/>
      <c r="H84" s="70">
        <v>39.114285714285721</v>
      </c>
      <c r="I84" s="71">
        <f>I82+I83</f>
        <v>6649.4285714285725</v>
      </c>
      <c r="J84">
        <v>5</v>
      </c>
      <c r="S84"/>
    </row>
    <row r="85" spans="1:24" x14ac:dyDescent="0.25">
      <c r="B85" s="31">
        <v>26</v>
      </c>
      <c r="C85" s="32" t="s">
        <v>69</v>
      </c>
      <c r="D85" s="33" t="s">
        <v>24</v>
      </c>
      <c r="G85" s="34">
        <v>204</v>
      </c>
      <c r="H85" s="87">
        <v>123</v>
      </c>
      <c r="I85" s="36">
        <f>G85*H85</f>
        <v>25092</v>
      </c>
      <c r="J85">
        <v>1</v>
      </c>
      <c r="S85" s="89"/>
    </row>
    <row r="86" spans="1:24" x14ac:dyDescent="0.25">
      <c r="A86" s="105" t="s">
        <v>538</v>
      </c>
      <c r="B86" s="106"/>
      <c r="C86" s="106"/>
      <c r="D86" s="106"/>
      <c r="E86" s="106"/>
      <c r="F86" s="106"/>
      <c r="G86" s="106"/>
      <c r="H86" s="35">
        <v>58.400000000000006</v>
      </c>
      <c r="I86" s="36">
        <f>G85*H86</f>
        <v>11913.6</v>
      </c>
      <c r="J86">
        <v>2</v>
      </c>
      <c r="S86"/>
    </row>
    <row r="87" spans="1:24" x14ac:dyDescent="0.25">
      <c r="A87" s="107"/>
      <c r="B87" s="107"/>
      <c r="C87" s="107"/>
      <c r="D87" s="107"/>
      <c r="E87" s="107"/>
      <c r="F87" s="107"/>
      <c r="G87" s="107"/>
      <c r="H87" s="70">
        <v>181.4</v>
      </c>
      <c r="I87" s="71">
        <f>I85+I86</f>
        <v>37005.599999999999</v>
      </c>
      <c r="J87">
        <v>5</v>
      </c>
      <c r="S87" s="89"/>
    </row>
    <row r="88" spans="1:24" x14ac:dyDescent="0.25">
      <c r="A88" s="73"/>
      <c r="B88" s="25">
        <v>27</v>
      </c>
      <c r="C88" s="26" t="s">
        <v>73</v>
      </c>
      <c r="D88" s="27" t="s">
        <v>25</v>
      </c>
      <c r="E88" s="28"/>
      <c r="F88" s="28"/>
      <c r="G88" s="29">
        <v>8</v>
      </c>
      <c r="H88" s="22">
        <v>58</v>
      </c>
      <c r="I88" s="30">
        <f>G88*H88</f>
        <v>464</v>
      </c>
      <c r="J88">
        <v>1</v>
      </c>
      <c r="S88" s="89"/>
    </row>
    <row r="89" spans="1:24" x14ac:dyDescent="0.25">
      <c r="A89" s="105" t="s">
        <v>539</v>
      </c>
      <c r="B89" s="106"/>
      <c r="C89" s="106"/>
      <c r="D89" s="106"/>
      <c r="E89" s="106"/>
      <c r="F89" s="106"/>
      <c r="G89" s="106"/>
      <c r="H89" s="35">
        <v>27.84</v>
      </c>
      <c r="I89" s="36">
        <f>G88*H89</f>
        <v>222.72</v>
      </c>
      <c r="J89">
        <v>2</v>
      </c>
      <c r="S89"/>
    </row>
    <row r="90" spans="1:24" x14ac:dyDescent="0.25">
      <c r="A90" s="107"/>
      <c r="B90" s="107"/>
      <c r="C90" s="107"/>
      <c r="D90" s="107"/>
      <c r="E90" s="107"/>
      <c r="F90" s="107"/>
      <c r="G90" s="107"/>
      <c r="H90" s="70">
        <v>85.84</v>
      </c>
      <c r="I90" s="71">
        <f>I88+I89</f>
        <v>686.72</v>
      </c>
      <c r="J90">
        <v>5</v>
      </c>
      <c r="S90" s="89"/>
    </row>
    <row r="91" spans="1:24" x14ac:dyDescent="0.25">
      <c r="A91" s="73"/>
      <c r="B91" s="25">
        <v>28</v>
      </c>
      <c r="C91" s="26" t="s">
        <v>74</v>
      </c>
      <c r="D91" s="27" t="s">
        <v>23</v>
      </c>
      <c r="E91" s="28"/>
      <c r="F91" s="28"/>
      <c r="G91" s="29">
        <v>170</v>
      </c>
      <c r="H91" s="85">
        <v>32</v>
      </c>
      <c r="I91" s="30">
        <f>G91*H91</f>
        <v>5440</v>
      </c>
      <c r="J91">
        <v>1</v>
      </c>
      <c r="S91" s="89"/>
    </row>
    <row r="92" spans="1:24" x14ac:dyDescent="0.25">
      <c r="A92" s="105" t="s">
        <v>540</v>
      </c>
      <c r="B92" s="106"/>
      <c r="C92" s="106"/>
      <c r="D92" s="106"/>
      <c r="E92" s="106"/>
      <c r="F92" s="106"/>
      <c r="G92" s="106"/>
      <c r="H92" s="35">
        <v>16.64</v>
      </c>
      <c r="I92" s="36">
        <f>G91*H92</f>
        <v>2828.8</v>
      </c>
      <c r="J92">
        <v>2</v>
      </c>
      <c r="S92"/>
    </row>
    <row r="93" spans="1:24" x14ac:dyDescent="0.25">
      <c r="A93" s="107"/>
      <c r="B93" s="107"/>
      <c r="C93" s="107"/>
      <c r="D93" s="107"/>
      <c r="E93" s="107"/>
      <c r="F93" s="107"/>
      <c r="G93" s="107"/>
      <c r="H93" s="70">
        <v>48.64</v>
      </c>
      <c r="I93" s="71">
        <f>I91+I92</f>
        <v>8268.7999999999993</v>
      </c>
      <c r="J93">
        <v>5</v>
      </c>
      <c r="S93" s="89"/>
    </row>
    <row r="94" spans="1:24" x14ac:dyDescent="0.25">
      <c r="A94" s="73"/>
      <c r="B94" s="25">
        <v>29</v>
      </c>
      <c r="C94" s="26" t="s">
        <v>75</v>
      </c>
      <c r="D94" s="27" t="s">
        <v>25</v>
      </c>
      <c r="E94" s="28"/>
      <c r="F94" s="28"/>
      <c r="G94" s="29">
        <v>5</v>
      </c>
      <c r="H94" s="22">
        <v>12</v>
      </c>
      <c r="I94" s="30">
        <f>G94*H94</f>
        <v>60</v>
      </c>
      <c r="J94">
        <v>1</v>
      </c>
      <c r="S94" s="89"/>
    </row>
    <row r="95" spans="1:24" x14ac:dyDescent="0.25">
      <c r="A95" s="105" t="s">
        <v>541</v>
      </c>
      <c r="B95" s="106"/>
      <c r="C95" s="106"/>
      <c r="D95" s="106"/>
      <c r="E95" s="106"/>
      <c r="F95" s="106"/>
      <c r="G95" s="106"/>
      <c r="H95" s="35">
        <v>5.7600000000000007</v>
      </c>
      <c r="I95" s="36">
        <f>G94*H95</f>
        <v>28.800000000000004</v>
      </c>
      <c r="J95">
        <v>2</v>
      </c>
      <c r="S95"/>
    </row>
    <row r="96" spans="1:24" x14ac:dyDescent="0.25">
      <c r="A96" s="107"/>
      <c r="B96" s="107"/>
      <c r="C96" s="107"/>
      <c r="D96" s="107"/>
      <c r="E96" s="107"/>
      <c r="F96" s="107"/>
      <c r="G96" s="107"/>
      <c r="H96" s="70">
        <v>17.760000000000002</v>
      </c>
      <c r="I96" s="71">
        <f>I94+I95</f>
        <v>88.800000000000011</v>
      </c>
      <c r="J96">
        <v>5</v>
      </c>
      <c r="S96" s="89"/>
      <c r="T96" s="1"/>
      <c r="U96" s="1"/>
      <c r="V96" s="1"/>
      <c r="W96" s="1"/>
      <c r="X96" s="1"/>
    </row>
    <row r="97" spans="1:24" x14ac:dyDescent="0.25">
      <c r="B97" s="25">
        <v>30</v>
      </c>
      <c r="C97" s="26" t="s">
        <v>76</v>
      </c>
      <c r="D97" s="27" t="s">
        <v>25</v>
      </c>
      <c r="E97" s="28"/>
      <c r="F97" s="28"/>
      <c r="G97" s="29">
        <v>4</v>
      </c>
      <c r="H97" s="22">
        <v>329</v>
      </c>
      <c r="I97" s="30">
        <f>G97*H97</f>
        <v>1316</v>
      </c>
      <c r="J97">
        <v>1</v>
      </c>
      <c r="S97" s="89"/>
      <c r="T97" s="1"/>
      <c r="U97" s="1"/>
      <c r="V97" s="1"/>
      <c r="W97" s="1"/>
      <c r="X97" s="1"/>
    </row>
    <row r="98" spans="1:24" x14ac:dyDescent="0.25">
      <c r="B98" s="109" t="s">
        <v>542</v>
      </c>
      <c r="C98" s="109"/>
      <c r="D98" s="109"/>
      <c r="E98" s="109"/>
      <c r="F98" s="109"/>
      <c r="G98" s="109"/>
      <c r="H98" s="35">
        <v>171.08</v>
      </c>
      <c r="I98" s="36">
        <f>G97*H98</f>
        <v>684.32</v>
      </c>
      <c r="J98">
        <v>2</v>
      </c>
      <c r="S98"/>
      <c r="T98" s="1"/>
      <c r="U98" s="1"/>
      <c r="V98" s="1"/>
      <c r="W98" s="1"/>
      <c r="X98" s="1"/>
    </row>
    <row r="99" spans="1:24" x14ac:dyDescent="0.25">
      <c r="B99" s="114"/>
      <c r="C99" s="114"/>
      <c r="D99" s="114"/>
      <c r="E99" s="114"/>
      <c r="F99" s="114"/>
      <c r="G99" s="114"/>
      <c r="H99" s="70">
        <v>500.08000000000004</v>
      </c>
      <c r="I99" s="71">
        <f>I97+I98</f>
        <v>2000.3200000000002</v>
      </c>
      <c r="J99">
        <v>5</v>
      </c>
      <c r="S99" s="89"/>
    </row>
    <row r="100" spans="1:24" x14ac:dyDescent="0.25">
      <c r="B100" s="31">
        <v>31</v>
      </c>
      <c r="C100" s="32" t="s">
        <v>77</v>
      </c>
      <c r="D100" s="33" t="s">
        <v>24</v>
      </c>
      <c r="G100" s="34">
        <v>765</v>
      </c>
      <c r="H100" s="35">
        <v>0</v>
      </c>
      <c r="I100" s="36">
        <f>G100*H100</f>
        <v>0</v>
      </c>
      <c r="J100">
        <v>1</v>
      </c>
      <c r="S100" s="89"/>
    </row>
    <row r="101" spans="1:24" x14ac:dyDescent="0.25">
      <c r="A101" s="105" t="s">
        <v>78</v>
      </c>
      <c r="B101" s="106"/>
      <c r="C101" s="106"/>
      <c r="D101" s="106"/>
      <c r="E101" s="106"/>
      <c r="F101" s="106"/>
      <c r="G101" s="106"/>
      <c r="H101" s="35">
        <v>2.4000000000000004</v>
      </c>
      <c r="I101" s="36">
        <f>G100*H101</f>
        <v>1836.0000000000002</v>
      </c>
      <c r="J101">
        <v>2</v>
      </c>
      <c r="S101"/>
    </row>
    <row r="102" spans="1:24" x14ac:dyDescent="0.25">
      <c r="A102" s="107"/>
      <c r="B102" s="107"/>
      <c r="C102" s="107"/>
      <c r="D102" s="107"/>
      <c r="E102" s="107"/>
      <c r="F102" s="107"/>
      <c r="G102" s="107"/>
      <c r="H102" s="70">
        <v>2.4000000000000004</v>
      </c>
      <c r="I102" s="71">
        <f>I100+I101</f>
        <v>1836.0000000000002</v>
      </c>
      <c r="J102">
        <v>5</v>
      </c>
      <c r="S102" s="89"/>
    </row>
    <row r="103" spans="1:24" x14ac:dyDescent="0.25">
      <c r="A103" s="73"/>
      <c r="B103" s="25">
        <v>32</v>
      </c>
      <c r="C103" s="26" t="s">
        <v>79</v>
      </c>
      <c r="D103" s="27" t="s">
        <v>40</v>
      </c>
      <c r="E103" s="28"/>
      <c r="F103" s="28"/>
      <c r="G103" s="29">
        <v>41</v>
      </c>
      <c r="H103" s="22">
        <v>0</v>
      </c>
      <c r="I103" s="30">
        <f>G103*H103</f>
        <v>0</v>
      </c>
      <c r="J103">
        <v>1</v>
      </c>
      <c r="S103" s="89"/>
    </row>
    <row r="104" spans="1:24" x14ac:dyDescent="0.25">
      <c r="A104" s="105" t="s">
        <v>80</v>
      </c>
      <c r="B104" s="106"/>
      <c r="C104" s="106"/>
      <c r="D104" s="106"/>
      <c r="E104" s="106"/>
      <c r="F104" s="106"/>
      <c r="G104" s="106"/>
      <c r="H104" s="35">
        <v>2.5840000000000001</v>
      </c>
      <c r="I104" s="36">
        <f>G103*H104</f>
        <v>105.944</v>
      </c>
      <c r="J104">
        <v>2</v>
      </c>
      <c r="S104"/>
    </row>
    <row r="105" spans="1:24" x14ac:dyDescent="0.25">
      <c r="A105" s="107"/>
      <c r="B105" s="107"/>
      <c r="C105" s="107"/>
      <c r="D105" s="107"/>
      <c r="E105" s="107"/>
      <c r="F105" s="107"/>
      <c r="G105" s="107"/>
      <c r="H105" s="70">
        <v>2.5840000000000001</v>
      </c>
      <c r="I105" s="71">
        <f>I103+I104</f>
        <v>105.944</v>
      </c>
      <c r="J105">
        <v>5</v>
      </c>
      <c r="S105" s="89"/>
    </row>
    <row r="106" spans="1:24" x14ac:dyDescent="0.25">
      <c r="A106" s="73"/>
      <c r="B106" s="25">
        <v>33</v>
      </c>
      <c r="C106" s="26" t="s">
        <v>81</v>
      </c>
      <c r="D106" s="27" t="s">
        <v>40</v>
      </c>
      <c r="E106" s="28"/>
      <c r="F106" s="28"/>
      <c r="G106" s="29">
        <v>34</v>
      </c>
      <c r="H106" s="22">
        <v>0</v>
      </c>
      <c r="I106" s="30">
        <f>G106*H106</f>
        <v>0</v>
      </c>
      <c r="J106">
        <v>1</v>
      </c>
      <c r="S106" s="89"/>
    </row>
    <row r="107" spans="1:24" x14ac:dyDescent="0.25">
      <c r="A107" s="105" t="s">
        <v>82</v>
      </c>
      <c r="B107" s="106"/>
      <c r="C107" s="106"/>
      <c r="D107" s="106"/>
      <c r="E107" s="106"/>
      <c r="F107" s="106"/>
      <c r="G107" s="106"/>
      <c r="H107" s="35">
        <v>2.4000000000000004</v>
      </c>
      <c r="I107" s="36">
        <f>G106*H107</f>
        <v>81.600000000000009</v>
      </c>
      <c r="J107">
        <v>2</v>
      </c>
      <c r="S107"/>
    </row>
    <row r="108" spans="1:24" x14ac:dyDescent="0.25">
      <c r="A108" s="107"/>
      <c r="B108" s="107"/>
      <c r="C108" s="107"/>
      <c r="D108" s="107"/>
      <c r="E108" s="107"/>
      <c r="F108" s="107"/>
      <c r="G108" s="107"/>
      <c r="H108" s="70">
        <v>2.4000000000000004</v>
      </c>
      <c r="I108" s="71">
        <f>I106+I107</f>
        <v>81.600000000000009</v>
      </c>
      <c r="J108">
        <v>5</v>
      </c>
      <c r="S108" s="89"/>
    </row>
    <row r="109" spans="1:24" x14ac:dyDescent="0.25">
      <c r="A109" s="73"/>
      <c r="B109" s="25">
        <v>34</v>
      </c>
      <c r="C109" s="26" t="s">
        <v>83</v>
      </c>
      <c r="D109" s="27" t="s">
        <v>40</v>
      </c>
      <c r="E109" s="28"/>
      <c r="F109" s="28"/>
      <c r="G109" s="29">
        <v>66</v>
      </c>
      <c r="H109" s="22">
        <v>0</v>
      </c>
      <c r="I109" s="30">
        <f>G109*H109</f>
        <v>0</v>
      </c>
      <c r="J109">
        <v>1</v>
      </c>
      <c r="S109" s="89"/>
    </row>
    <row r="110" spans="1:24" x14ac:dyDescent="0.25">
      <c r="A110" s="105" t="s">
        <v>84</v>
      </c>
      <c r="B110" s="106"/>
      <c r="C110" s="106"/>
      <c r="D110" s="106"/>
      <c r="E110" s="106"/>
      <c r="F110" s="106"/>
      <c r="G110" s="106"/>
      <c r="H110" s="35">
        <v>16</v>
      </c>
      <c r="I110" s="36">
        <f>G109*H110</f>
        <v>1056</v>
      </c>
      <c r="J110">
        <v>2</v>
      </c>
      <c r="S110"/>
    </row>
    <row r="111" spans="1:24" x14ac:dyDescent="0.25">
      <c r="A111" s="107"/>
      <c r="B111" s="107"/>
      <c r="C111" s="107"/>
      <c r="D111" s="107"/>
      <c r="E111" s="107"/>
      <c r="F111" s="107"/>
      <c r="G111" s="107"/>
      <c r="H111" s="70">
        <v>16</v>
      </c>
      <c r="I111" s="71">
        <f>I109+I110</f>
        <v>1056</v>
      </c>
      <c r="J111">
        <v>5</v>
      </c>
      <c r="S111" s="89"/>
    </row>
    <row r="112" spans="1:24" x14ac:dyDescent="0.25">
      <c r="A112" s="73"/>
      <c r="B112" s="25">
        <v>35</v>
      </c>
      <c r="C112" s="26" t="s">
        <v>85</v>
      </c>
      <c r="D112" s="27" t="s">
        <v>24</v>
      </c>
      <c r="E112" s="28"/>
      <c r="F112" s="28"/>
      <c r="G112" s="29">
        <v>765</v>
      </c>
      <c r="H112" s="22">
        <v>0</v>
      </c>
      <c r="I112" s="30">
        <f>G112*H112</f>
        <v>0</v>
      </c>
      <c r="J112">
        <v>1</v>
      </c>
      <c r="S112" s="89"/>
    </row>
    <row r="113" spans="1:19" x14ac:dyDescent="0.25">
      <c r="A113" s="105" t="s">
        <v>86</v>
      </c>
      <c r="B113" s="106"/>
      <c r="C113" s="106"/>
      <c r="D113" s="106"/>
      <c r="E113" s="106"/>
      <c r="F113" s="106"/>
      <c r="G113" s="106"/>
      <c r="H113" s="35">
        <v>2.4000000000000004</v>
      </c>
      <c r="I113" s="36">
        <f>G112*H113</f>
        <v>1836.0000000000002</v>
      </c>
      <c r="J113">
        <v>2</v>
      </c>
      <c r="S113"/>
    </row>
    <row r="114" spans="1:19" x14ac:dyDescent="0.25">
      <c r="A114" s="107"/>
      <c r="B114" s="107"/>
      <c r="C114" s="107"/>
      <c r="D114" s="107"/>
      <c r="E114" s="107"/>
      <c r="F114" s="107"/>
      <c r="G114" s="107"/>
      <c r="H114" s="70">
        <v>2.4000000000000004</v>
      </c>
      <c r="I114" s="71">
        <f>I112+I113</f>
        <v>1836.0000000000002</v>
      </c>
      <c r="J114">
        <v>5</v>
      </c>
      <c r="S114" s="89"/>
    </row>
    <row r="115" spans="1:19" x14ac:dyDescent="0.25">
      <c r="A115" s="73"/>
      <c r="B115" s="25">
        <v>36</v>
      </c>
      <c r="C115" s="26" t="s">
        <v>87</v>
      </c>
      <c r="D115" s="27" t="s">
        <v>25</v>
      </c>
      <c r="E115" s="28"/>
      <c r="F115" s="28"/>
      <c r="G115" s="29">
        <v>42</v>
      </c>
      <c r="H115" s="22">
        <v>430</v>
      </c>
      <c r="I115" s="30">
        <f>G115*H115</f>
        <v>18060</v>
      </c>
      <c r="J115">
        <v>1</v>
      </c>
      <c r="S115" s="89"/>
    </row>
    <row r="116" spans="1:19" x14ac:dyDescent="0.25">
      <c r="A116" s="105" t="s">
        <v>543</v>
      </c>
      <c r="B116" s="106"/>
      <c r="C116" s="106"/>
      <c r="D116" s="106"/>
      <c r="E116" s="106"/>
      <c r="F116" s="106"/>
      <c r="G116" s="106"/>
      <c r="H116" s="35">
        <v>223.20000000000002</v>
      </c>
      <c r="I116" s="36">
        <f>G115*H116</f>
        <v>9374.4000000000015</v>
      </c>
      <c r="J116">
        <v>2</v>
      </c>
      <c r="S116"/>
    </row>
    <row r="117" spans="1:19" x14ac:dyDescent="0.25">
      <c r="A117" s="107"/>
      <c r="B117" s="107"/>
      <c r="C117" s="107"/>
      <c r="D117" s="107"/>
      <c r="E117" s="107"/>
      <c r="F117" s="107"/>
      <c r="G117" s="107"/>
      <c r="H117" s="70">
        <v>653.20000000000005</v>
      </c>
      <c r="I117" s="71">
        <f>I115+I116</f>
        <v>27434.400000000001</v>
      </c>
      <c r="J117">
        <v>5</v>
      </c>
      <c r="S117" s="89"/>
    </row>
    <row r="118" spans="1:19" x14ac:dyDescent="0.25">
      <c r="A118" s="73"/>
      <c r="B118" s="25">
        <v>37</v>
      </c>
      <c r="C118" s="26" t="s">
        <v>88</v>
      </c>
      <c r="D118" s="27" t="s">
        <v>25</v>
      </c>
      <c r="E118" s="28"/>
      <c r="F118" s="28"/>
      <c r="G118" s="29">
        <v>31</v>
      </c>
      <c r="H118" s="22">
        <v>580</v>
      </c>
      <c r="I118" s="30">
        <f>G118*H118</f>
        <v>17980</v>
      </c>
      <c r="J118">
        <v>1</v>
      </c>
      <c r="S118" s="89"/>
    </row>
    <row r="119" spans="1:19" x14ac:dyDescent="0.25">
      <c r="A119" s="105" t="s">
        <v>544</v>
      </c>
      <c r="B119" s="106"/>
      <c r="C119" s="106"/>
      <c r="D119" s="106"/>
      <c r="E119" s="106"/>
      <c r="F119" s="106"/>
      <c r="G119" s="106"/>
      <c r="H119" s="35">
        <v>278.40000000000003</v>
      </c>
      <c r="I119" s="36">
        <f>G118*H119</f>
        <v>8630.4000000000015</v>
      </c>
      <c r="J119">
        <v>2</v>
      </c>
      <c r="S119"/>
    </row>
    <row r="120" spans="1:19" x14ac:dyDescent="0.25">
      <c r="A120" s="107"/>
      <c r="B120" s="107"/>
      <c r="C120" s="107"/>
      <c r="D120" s="107"/>
      <c r="E120" s="107"/>
      <c r="F120" s="107"/>
      <c r="G120" s="107"/>
      <c r="H120" s="70">
        <v>858.40000000000009</v>
      </c>
      <c r="I120" s="71">
        <f>I118+I119</f>
        <v>26610.400000000001</v>
      </c>
      <c r="J120">
        <v>5</v>
      </c>
      <c r="S120" s="89"/>
    </row>
    <row r="121" spans="1:19" x14ac:dyDescent="0.25">
      <c r="A121" s="73"/>
      <c r="B121" s="25">
        <v>38</v>
      </c>
      <c r="C121" s="26" t="s">
        <v>89</v>
      </c>
      <c r="D121" s="27" t="s">
        <v>25</v>
      </c>
      <c r="E121" s="28"/>
      <c r="F121" s="28"/>
      <c r="G121" s="29">
        <v>42</v>
      </c>
      <c r="H121" s="22">
        <v>60</v>
      </c>
      <c r="I121" s="30">
        <f>G121*H121</f>
        <v>2520</v>
      </c>
      <c r="J121">
        <v>1</v>
      </c>
      <c r="S121" s="89"/>
    </row>
    <row r="122" spans="1:19" x14ac:dyDescent="0.25">
      <c r="A122" s="105" t="s">
        <v>545</v>
      </c>
      <c r="B122" s="106"/>
      <c r="C122" s="106"/>
      <c r="D122" s="106"/>
      <c r="E122" s="106"/>
      <c r="F122" s="106"/>
      <c r="G122" s="106"/>
      <c r="H122" s="35">
        <v>31.200000000000003</v>
      </c>
      <c r="I122" s="36">
        <f>G121*H122</f>
        <v>1310.4000000000001</v>
      </c>
      <c r="J122">
        <v>2</v>
      </c>
      <c r="S122"/>
    </row>
    <row r="123" spans="1:19" x14ac:dyDescent="0.25">
      <c r="A123" s="107"/>
      <c r="B123" s="107"/>
      <c r="C123" s="107"/>
      <c r="D123" s="107"/>
      <c r="E123" s="107"/>
      <c r="F123" s="107"/>
      <c r="G123" s="107"/>
      <c r="H123" s="70">
        <v>91.2</v>
      </c>
      <c r="I123" s="71">
        <f>I121+I122</f>
        <v>3830.4</v>
      </c>
      <c r="J123">
        <v>5</v>
      </c>
      <c r="S123" s="89"/>
    </row>
    <row r="124" spans="1:19" x14ac:dyDescent="0.25">
      <c r="A124" s="73"/>
      <c r="B124" s="25">
        <v>39</v>
      </c>
      <c r="C124" s="26" t="s">
        <v>90</v>
      </c>
      <c r="D124" s="27" t="s">
        <v>25</v>
      </c>
      <c r="E124" s="28"/>
      <c r="F124" s="28"/>
      <c r="G124" s="29">
        <v>42</v>
      </c>
      <c r="H124" s="22">
        <v>127</v>
      </c>
      <c r="I124" s="30">
        <f>G124*H124</f>
        <v>5334</v>
      </c>
      <c r="J124">
        <v>1</v>
      </c>
      <c r="S124" s="89"/>
    </row>
    <row r="125" spans="1:19" x14ac:dyDescent="0.25">
      <c r="A125" s="105" t="s">
        <v>546</v>
      </c>
      <c r="B125" s="106"/>
      <c r="C125" s="106"/>
      <c r="D125" s="106"/>
      <c r="E125" s="106"/>
      <c r="F125" s="106"/>
      <c r="G125" s="106"/>
      <c r="H125" s="35">
        <v>60.960000000000008</v>
      </c>
      <c r="I125" s="36">
        <f>G124*H125</f>
        <v>2560.3200000000002</v>
      </c>
      <c r="J125">
        <v>2</v>
      </c>
      <c r="S125"/>
    </row>
    <row r="126" spans="1:19" x14ac:dyDescent="0.25">
      <c r="A126" s="107"/>
      <c r="B126" s="107"/>
      <c r="C126" s="107"/>
      <c r="D126" s="107"/>
      <c r="E126" s="107"/>
      <c r="F126" s="107"/>
      <c r="G126" s="107"/>
      <c r="H126" s="70">
        <v>187.96</v>
      </c>
      <c r="I126" s="71">
        <f>I124+I125</f>
        <v>7894.32</v>
      </c>
      <c r="J126">
        <v>5</v>
      </c>
      <c r="S126" s="89"/>
    </row>
    <row r="127" spans="1:19" x14ac:dyDescent="0.25">
      <c r="A127" s="73"/>
      <c r="B127" s="25">
        <v>40</v>
      </c>
      <c r="C127" s="26" t="s">
        <v>92</v>
      </c>
      <c r="D127" s="27" t="s">
        <v>25</v>
      </c>
      <c r="E127" s="28"/>
      <c r="F127" s="28"/>
      <c r="G127" s="29">
        <v>37</v>
      </c>
      <c r="H127" s="22">
        <v>32</v>
      </c>
      <c r="I127" s="30">
        <f>G127*H127</f>
        <v>1184</v>
      </c>
      <c r="J127">
        <v>1</v>
      </c>
      <c r="S127" s="89"/>
    </row>
    <row r="128" spans="1:19" x14ac:dyDescent="0.25">
      <c r="A128" s="105" t="s">
        <v>547</v>
      </c>
      <c r="B128" s="106"/>
      <c r="C128" s="106"/>
      <c r="D128" s="106"/>
      <c r="E128" s="106"/>
      <c r="F128" s="106"/>
      <c r="G128" s="106"/>
      <c r="H128" s="35">
        <v>16.64</v>
      </c>
      <c r="I128" s="36">
        <f>G127*H128</f>
        <v>615.68000000000006</v>
      </c>
      <c r="J128">
        <v>2</v>
      </c>
      <c r="S128"/>
    </row>
    <row r="129" spans="1:19" x14ac:dyDescent="0.25">
      <c r="A129" s="107"/>
      <c r="B129" s="107"/>
      <c r="C129" s="107"/>
      <c r="D129" s="107"/>
      <c r="E129" s="107"/>
      <c r="F129" s="107"/>
      <c r="G129" s="107"/>
      <c r="H129" s="70">
        <v>48.64</v>
      </c>
      <c r="I129" s="71">
        <f>I127+I128</f>
        <v>1799.68</v>
      </c>
      <c r="J129">
        <v>5</v>
      </c>
      <c r="S129" s="89"/>
    </row>
    <row r="130" spans="1:19" x14ac:dyDescent="0.25">
      <c r="A130" s="73"/>
      <c r="B130" s="25">
        <v>41</v>
      </c>
      <c r="C130" s="26" t="s">
        <v>92</v>
      </c>
      <c r="D130" s="27" t="s">
        <v>25</v>
      </c>
      <c r="E130" s="28"/>
      <c r="F130" s="28"/>
      <c r="G130" s="29">
        <v>31</v>
      </c>
      <c r="H130" s="22">
        <v>43</v>
      </c>
      <c r="I130" s="30">
        <f>G130*H130</f>
        <v>1333</v>
      </c>
      <c r="J130">
        <v>1</v>
      </c>
      <c r="S130" s="89"/>
    </row>
    <row r="131" spans="1:19" x14ac:dyDescent="0.25">
      <c r="A131" s="105" t="s">
        <v>548</v>
      </c>
      <c r="B131" s="106"/>
      <c r="C131" s="106"/>
      <c r="D131" s="106"/>
      <c r="E131" s="106"/>
      <c r="F131" s="106"/>
      <c r="G131" s="106"/>
      <c r="H131" s="35">
        <v>20.64</v>
      </c>
      <c r="I131" s="36">
        <f>G130*H131</f>
        <v>639.84</v>
      </c>
      <c r="J131">
        <v>2</v>
      </c>
      <c r="S131"/>
    </row>
    <row r="132" spans="1:19" x14ac:dyDescent="0.25">
      <c r="A132" s="107"/>
      <c r="B132" s="107"/>
      <c r="C132" s="107"/>
      <c r="D132" s="107"/>
      <c r="E132" s="107"/>
      <c r="F132" s="107"/>
      <c r="G132" s="107"/>
      <c r="H132" s="70">
        <v>63.64</v>
      </c>
      <c r="I132" s="71">
        <f>I130+I131</f>
        <v>1972.8400000000001</v>
      </c>
      <c r="J132">
        <v>5</v>
      </c>
      <c r="S132" s="89"/>
    </row>
    <row r="133" spans="1:19" x14ac:dyDescent="0.25">
      <c r="A133" s="73"/>
      <c r="B133" s="25">
        <v>42</v>
      </c>
      <c r="C133" s="26" t="s">
        <v>93</v>
      </c>
      <c r="D133" s="27" t="s">
        <v>25</v>
      </c>
      <c r="E133" s="28"/>
      <c r="F133" s="28"/>
      <c r="G133" s="29">
        <v>48</v>
      </c>
      <c r="H133" s="22">
        <v>190</v>
      </c>
      <c r="I133" s="30">
        <f>G133*H133</f>
        <v>9120</v>
      </c>
      <c r="J133">
        <v>1</v>
      </c>
      <c r="S133" s="89"/>
    </row>
    <row r="134" spans="1:19" x14ac:dyDescent="0.25">
      <c r="A134" s="105" t="s">
        <v>549</v>
      </c>
      <c r="B134" s="106"/>
      <c r="C134" s="106"/>
      <c r="D134" s="106"/>
      <c r="E134" s="106"/>
      <c r="F134" s="106"/>
      <c r="G134" s="106"/>
      <c r="H134" s="35">
        <v>98.4</v>
      </c>
      <c r="I134" s="36">
        <f>G133*H134</f>
        <v>4723.2000000000007</v>
      </c>
      <c r="J134">
        <v>2</v>
      </c>
      <c r="S134"/>
    </row>
    <row r="135" spans="1:19" x14ac:dyDescent="0.25">
      <c r="A135" s="107"/>
      <c r="B135" s="107"/>
      <c r="C135" s="107"/>
      <c r="D135" s="107"/>
      <c r="E135" s="107"/>
      <c r="F135" s="107"/>
      <c r="G135" s="107"/>
      <c r="H135" s="70">
        <v>288.39999999999998</v>
      </c>
      <c r="I135" s="71">
        <f>I133+I134</f>
        <v>13843.2</v>
      </c>
      <c r="J135">
        <v>5</v>
      </c>
      <c r="S135" s="89"/>
    </row>
    <row r="136" spans="1:19" x14ac:dyDescent="0.25">
      <c r="A136" s="73"/>
      <c r="B136" s="25">
        <v>43</v>
      </c>
      <c r="C136" s="26" t="s">
        <v>95</v>
      </c>
      <c r="D136" s="27" t="s">
        <v>25</v>
      </c>
      <c r="E136" s="28"/>
      <c r="F136" s="28"/>
      <c r="G136" s="29">
        <v>1</v>
      </c>
      <c r="H136" s="22">
        <v>760</v>
      </c>
      <c r="I136" s="30">
        <f>G136*H136</f>
        <v>760</v>
      </c>
      <c r="J136">
        <v>1</v>
      </c>
      <c r="S136" s="89"/>
    </row>
    <row r="137" spans="1:19" x14ac:dyDescent="0.25">
      <c r="A137" s="105" t="s">
        <v>96</v>
      </c>
      <c r="B137" s="106"/>
      <c r="C137" s="106"/>
      <c r="D137" s="106"/>
      <c r="E137" s="106"/>
      <c r="F137" s="106"/>
      <c r="G137" s="106"/>
      <c r="H137" s="35">
        <v>364.8</v>
      </c>
      <c r="I137" s="36">
        <f>G136*H137</f>
        <v>364.8</v>
      </c>
      <c r="J137">
        <v>2</v>
      </c>
      <c r="S137"/>
    </row>
    <row r="138" spans="1:19" x14ac:dyDescent="0.25">
      <c r="A138" s="107"/>
      <c r="B138" s="107"/>
      <c r="C138" s="107"/>
      <c r="D138" s="107"/>
      <c r="E138" s="107"/>
      <c r="F138" s="107"/>
      <c r="G138" s="107"/>
      <c r="H138" s="70">
        <v>1124.8</v>
      </c>
      <c r="I138" s="71">
        <f>I136+I137</f>
        <v>1124.8</v>
      </c>
      <c r="J138">
        <v>5</v>
      </c>
      <c r="S138" s="89"/>
    </row>
    <row r="139" spans="1:19" x14ac:dyDescent="0.25">
      <c r="A139" s="73"/>
      <c r="B139" s="25">
        <v>44</v>
      </c>
      <c r="C139" s="26" t="s">
        <v>93</v>
      </c>
      <c r="D139" s="27" t="s">
        <v>25</v>
      </c>
      <c r="E139" s="28"/>
      <c r="F139" s="28"/>
      <c r="G139" s="29">
        <v>1</v>
      </c>
      <c r="H139" s="22">
        <v>530</v>
      </c>
      <c r="I139" s="30">
        <f>G139*H139</f>
        <v>530</v>
      </c>
      <c r="J139">
        <v>1</v>
      </c>
      <c r="S139" s="89"/>
    </row>
    <row r="140" spans="1:19" x14ac:dyDescent="0.25">
      <c r="A140" s="105" t="s">
        <v>94</v>
      </c>
      <c r="B140" s="106"/>
      <c r="C140" s="106"/>
      <c r="D140" s="106"/>
      <c r="E140" s="106"/>
      <c r="F140" s="106"/>
      <c r="G140" s="106"/>
      <c r="H140" s="35">
        <v>275.2</v>
      </c>
      <c r="I140" s="36">
        <f>G139*H140</f>
        <v>275.2</v>
      </c>
      <c r="J140">
        <v>2</v>
      </c>
      <c r="S140"/>
    </row>
    <row r="141" spans="1:19" x14ac:dyDescent="0.25">
      <c r="A141" s="107"/>
      <c r="B141" s="107"/>
      <c r="C141" s="107"/>
      <c r="D141" s="107"/>
      <c r="E141" s="107"/>
      <c r="F141" s="107"/>
      <c r="G141" s="107"/>
      <c r="H141" s="70">
        <v>805.2</v>
      </c>
      <c r="I141" s="71">
        <f>I139+I140</f>
        <v>805.2</v>
      </c>
      <c r="J141">
        <v>5</v>
      </c>
      <c r="S141" s="89"/>
    </row>
    <row r="142" spans="1:19" x14ac:dyDescent="0.25">
      <c r="A142" s="73"/>
      <c r="B142" s="25">
        <v>45</v>
      </c>
      <c r="C142" s="26" t="s">
        <v>97</v>
      </c>
      <c r="D142" s="27" t="s">
        <v>25</v>
      </c>
      <c r="E142" s="28"/>
      <c r="F142" s="28"/>
      <c r="G142" s="29">
        <v>10</v>
      </c>
      <c r="H142" s="22">
        <v>650</v>
      </c>
      <c r="I142" s="30">
        <f>G142*H142</f>
        <v>6500</v>
      </c>
      <c r="J142">
        <v>1</v>
      </c>
      <c r="S142" s="89"/>
    </row>
    <row r="143" spans="1:19" x14ac:dyDescent="0.25">
      <c r="A143" s="105" t="s">
        <v>98</v>
      </c>
      <c r="B143" s="106"/>
      <c r="C143" s="106"/>
      <c r="D143" s="106"/>
      <c r="E143" s="106"/>
      <c r="F143" s="106"/>
      <c r="G143" s="106"/>
      <c r="H143" s="35">
        <v>312</v>
      </c>
      <c r="I143" s="36">
        <f>G142*H143</f>
        <v>3120</v>
      </c>
      <c r="J143">
        <v>2</v>
      </c>
      <c r="S143"/>
    </row>
    <row r="144" spans="1:19" x14ac:dyDescent="0.25">
      <c r="A144" s="107"/>
      <c r="B144" s="107"/>
      <c r="C144" s="107"/>
      <c r="D144" s="107"/>
      <c r="E144" s="107"/>
      <c r="F144" s="107"/>
      <c r="G144" s="107"/>
      <c r="H144" s="70">
        <v>962</v>
      </c>
      <c r="I144" s="71">
        <f>I142+I143</f>
        <v>9620</v>
      </c>
      <c r="J144">
        <v>5</v>
      </c>
      <c r="S144" s="89"/>
    </row>
    <row r="145" spans="1:19" x14ac:dyDescent="0.25">
      <c r="A145" s="73"/>
      <c r="B145" s="25">
        <v>46</v>
      </c>
      <c r="C145" s="26" t="s">
        <v>99</v>
      </c>
      <c r="D145" s="27" t="s">
        <v>25</v>
      </c>
      <c r="E145" s="28"/>
      <c r="F145" s="28"/>
      <c r="G145" s="29">
        <v>10</v>
      </c>
      <c r="H145" s="22">
        <v>320</v>
      </c>
      <c r="I145" s="30">
        <f>G145*H145</f>
        <v>3200</v>
      </c>
      <c r="J145">
        <v>1</v>
      </c>
      <c r="S145" s="89"/>
    </row>
    <row r="146" spans="1:19" x14ac:dyDescent="0.25">
      <c r="A146" s="105" t="s">
        <v>550</v>
      </c>
      <c r="B146" s="106"/>
      <c r="C146" s="106"/>
      <c r="D146" s="106"/>
      <c r="E146" s="106"/>
      <c r="F146" s="106"/>
      <c r="G146" s="106"/>
      <c r="H146" s="35">
        <v>166.4</v>
      </c>
      <c r="I146" s="36">
        <f>G145*H146</f>
        <v>1664</v>
      </c>
      <c r="J146">
        <v>2</v>
      </c>
      <c r="S146"/>
    </row>
    <row r="147" spans="1:19" ht="14.45" customHeight="1" x14ac:dyDescent="0.25">
      <c r="A147" s="107"/>
      <c r="B147" s="107"/>
      <c r="C147" s="107"/>
      <c r="D147" s="107"/>
      <c r="E147" s="107"/>
      <c r="F147" s="107"/>
      <c r="G147" s="107"/>
      <c r="H147" s="70">
        <v>486.4</v>
      </c>
      <c r="I147" s="71">
        <f>I145+I146</f>
        <v>4864</v>
      </c>
      <c r="J147">
        <v>5</v>
      </c>
      <c r="S147" s="89"/>
    </row>
    <row r="148" spans="1:19" x14ac:dyDescent="0.25">
      <c r="A148" s="73"/>
      <c r="B148" s="25">
        <v>47</v>
      </c>
      <c r="C148" s="26" t="s">
        <v>99</v>
      </c>
      <c r="D148" s="27" t="s">
        <v>25</v>
      </c>
      <c r="E148" s="28"/>
      <c r="F148" s="28"/>
      <c r="G148" s="29">
        <v>114</v>
      </c>
      <c r="H148" s="22">
        <v>37</v>
      </c>
      <c r="I148" s="30">
        <f>G148*H148</f>
        <v>4218</v>
      </c>
      <c r="J148">
        <v>1</v>
      </c>
      <c r="S148" s="89"/>
    </row>
    <row r="149" spans="1:19" x14ac:dyDescent="0.25">
      <c r="A149" s="105" t="s">
        <v>100</v>
      </c>
      <c r="B149" s="106"/>
      <c r="C149" s="106"/>
      <c r="D149" s="106"/>
      <c r="E149" s="106"/>
      <c r="F149" s="106"/>
      <c r="G149" s="106"/>
      <c r="H149" s="35">
        <v>17.760000000000002</v>
      </c>
      <c r="I149" s="36">
        <f>G148*H149</f>
        <v>2024.64</v>
      </c>
      <c r="J149">
        <v>2</v>
      </c>
      <c r="S149"/>
    </row>
    <row r="150" spans="1:19" ht="14.45" customHeight="1" x14ac:dyDescent="0.25">
      <c r="A150" s="107"/>
      <c r="B150" s="107"/>
      <c r="C150" s="107"/>
      <c r="D150" s="107"/>
      <c r="E150" s="107"/>
      <c r="F150" s="107"/>
      <c r="G150" s="107"/>
      <c r="H150" s="70">
        <v>54.760000000000005</v>
      </c>
      <c r="I150" s="71">
        <f>I148+I149</f>
        <v>6242.64</v>
      </c>
      <c r="J150">
        <v>5</v>
      </c>
      <c r="S150" s="89"/>
    </row>
    <row r="151" spans="1:19" x14ac:dyDescent="0.25">
      <c r="A151" s="73"/>
      <c r="B151" s="25">
        <v>48</v>
      </c>
      <c r="C151" s="26" t="s">
        <v>101</v>
      </c>
      <c r="D151" s="27" t="s">
        <v>25</v>
      </c>
      <c r="E151" s="28"/>
      <c r="F151" s="28"/>
      <c r="G151" s="29">
        <v>11</v>
      </c>
      <c r="H151" s="22">
        <v>53</v>
      </c>
      <c r="I151" s="30">
        <f>G151*H151</f>
        <v>583</v>
      </c>
      <c r="J151">
        <v>1</v>
      </c>
      <c r="S151" s="89"/>
    </row>
    <row r="152" spans="1:19" x14ac:dyDescent="0.25">
      <c r="A152" s="105" t="s">
        <v>551</v>
      </c>
      <c r="B152" s="106"/>
      <c r="C152" s="106"/>
      <c r="D152" s="106"/>
      <c r="E152" s="106"/>
      <c r="F152" s="106"/>
      <c r="G152" s="106"/>
      <c r="H152" s="35">
        <v>27.200000000000003</v>
      </c>
      <c r="I152" s="36">
        <f>G151*H152</f>
        <v>299.20000000000005</v>
      </c>
      <c r="J152">
        <v>2</v>
      </c>
      <c r="S152"/>
    </row>
    <row r="153" spans="1:19" ht="14.45" customHeight="1" x14ac:dyDescent="0.25">
      <c r="A153" s="107"/>
      <c r="B153" s="107"/>
      <c r="C153" s="107"/>
      <c r="D153" s="107"/>
      <c r="E153" s="107"/>
      <c r="F153" s="107"/>
      <c r="G153" s="107"/>
      <c r="H153" s="70">
        <v>80.2</v>
      </c>
      <c r="I153" s="71">
        <f>I151+I152</f>
        <v>882.2</v>
      </c>
      <c r="J153">
        <v>5</v>
      </c>
      <c r="S153" s="89"/>
    </row>
    <row r="154" spans="1:19" x14ac:dyDescent="0.25">
      <c r="A154" s="73"/>
      <c r="B154" s="25">
        <v>49</v>
      </c>
      <c r="C154" s="26" t="s">
        <v>101</v>
      </c>
      <c r="D154" s="27" t="s">
        <v>25</v>
      </c>
      <c r="E154" s="28"/>
      <c r="F154" s="28"/>
      <c r="G154" s="29">
        <v>34</v>
      </c>
      <c r="H154" s="22">
        <v>53</v>
      </c>
      <c r="I154" s="30">
        <f>G154*H154</f>
        <v>1802</v>
      </c>
      <c r="J154">
        <v>1</v>
      </c>
      <c r="S154" s="89"/>
    </row>
    <row r="155" spans="1:19" x14ac:dyDescent="0.25">
      <c r="A155" s="105" t="s">
        <v>552</v>
      </c>
      <c r="B155" s="106"/>
      <c r="C155" s="106"/>
      <c r="D155" s="106"/>
      <c r="E155" s="106"/>
      <c r="F155" s="106"/>
      <c r="G155" s="106"/>
      <c r="H155" s="35">
        <v>24.8</v>
      </c>
      <c r="I155" s="36">
        <f>G154*H155</f>
        <v>843.2</v>
      </c>
      <c r="J155">
        <v>2</v>
      </c>
      <c r="S155"/>
    </row>
    <row r="156" spans="1:19" x14ac:dyDescent="0.25">
      <c r="A156" s="107"/>
      <c r="B156" s="107"/>
      <c r="C156" s="107"/>
      <c r="D156" s="107"/>
      <c r="E156" s="107"/>
      <c r="F156" s="107"/>
      <c r="G156" s="107"/>
      <c r="H156" s="70">
        <v>77.8</v>
      </c>
      <c r="I156" s="71">
        <f>I154+I155</f>
        <v>2645.2</v>
      </c>
      <c r="J156">
        <v>5</v>
      </c>
      <c r="S156" s="89"/>
    </row>
    <row r="157" spans="1:19" x14ac:dyDescent="0.25">
      <c r="A157" s="73"/>
      <c r="B157" s="25">
        <v>50</v>
      </c>
      <c r="C157" s="26" t="s">
        <v>102</v>
      </c>
      <c r="D157" s="27" t="s">
        <v>25</v>
      </c>
      <c r="E157" s="28"/>
      <c r="F157" s="28"/>
      <c r="G157" s="29">
        <v>3</v>
      </c>
      <c r="H157" s="22">
        <v>55</v>
      </c>
      <c r="I157" s="30">
        <f>G157*H157</f>
        <v>165</v>
      </c>
      <c r="J157">
        <v>1</v>
      </c>
      <c r="S157" s="89"/>
    </row>
    <row r="158" spans="1:19" x14ac:dyDescent="0.25">
      <c r="A158" s="105" t="s">
        <v>553</v>
      </c>
      <c r="B158" s="106"/>
      <c r="C158" s="106"/>
      <c r="D158" s="106"/>
      <c r="E158" s="106"/>
      <c r="F158" s="106"/>
      <c r="G158" s="106"/>
      <c r="H158" s="35">
        <v>28</v>
      </c>
      <c r="I158" s="36">
        <f>G157*H158</f>
        <v>84</v>
      </c>
      <c r="J158">
        <v>2</v>
      </c>
      <c r="S158"/>
    </row>
    <row r="159" spans="1:19" x14ac:dyDescent="0.25">
      <c r="A159" s="107"/>
      <c r="B159" s="107"/>
      <c r="C159" s="107"/>
      <c r="D159" s="107"/>
      <c r="E159" s="107"/>
      <c r="F159" s="107"/>
      <c r="G159" s="107"/>
      <c r="H159" s="70">
        <v>83</v>
      </c>
      <c r="I159" s="71">
        <f>I157+I158</f>
        <v>249</v>
      </c>
      <c r="J159">
        <v>5</v>
      </c>
      <c r="S159" s="89"/>
    </row>
    <row r="160" spans="1:19" x14ac:dyDescent="0.25">
      <c r="A160" s="73"/>
      <c r="B160" s="25">
        <v>51</v>
      </c>
      <c r="C160" s="26" t="s">
        <v>103</v>
      </c>
      <c r="D160" s="27" t="s">
        <v>25</v>
      </c>
      <c r="E160" s="28"/>
      <c r="F160" s="28"/>
      <c r="G160" s="29">
        <v>1</v>
      </c>
      <c r="H160" s="22">
        <v>61</v>
      </c>
      <c r="I160" s="30">
        <f>G160*H160</f>
        <v>61</v>
      </c>
      <c r="J160">
        <v>1</v>
      </c>
      <c r="S160" s="89"/>
    </row>
    <row r="161" spans="1:19" x14ac:dyDescent="0.25">
      <c r="A161" s="105" t="s">
        <v>554</v>
      </c>
      <c r="B161" s="106"/>
      <c r="C161" s="106"/>
      <c r="D161" s="106"/>
      <c r="E161" s="106"/>
      <c r="F161" s="106"/>
      <c r="G161" s="106"/>
      <c r="H161" s="35">
        <v>28.8</v>
      </c>
      <c r="I161" s="36">
        <f>G160*H161</f>
        <v>28.8</v>
      </c>
      <c r="J161">
        <v>2</v>
      </c>
      <c r="S161"/>
    </row>
    <row r="162" spans="1:19" x14ac:dyDescent="0.25">
      <c r="A162" s="107"/>
      <c r="B162" s="107"/>
      <c r="C162" s="107"/>
      <c r="D162" s="107"/>
      <c r="E162" s="107"/>
      <c r="F162" s="107"/>
      <c r="G162" s="107"/>
      <c r="H162" s="70">
        <v>89.8</v>
      </c>
      <c r="I162" s="71">
        <f>I160+I161</f>
        <v>89.8</v>
      </c>
      <c r="J162">
        <v>5</v>
      </c>
      <c r="S162" s="89"/>
    </row>
    <row r="163" spans="1:19" x14ac:dyDescent="0.25">
      <c r="A163" s="73"/>
      <c r="B163" s="25">
        <v>52</v>
      </c>
      <c r="C163" s="26" t="s">
        <v>104</v>
      </c>
      <c r="D163" s="27" t="s">
        <v>25</v>
      </c>
      <c r="E163" s="28"/>
      <c r="F163" s="28"/>
      <c r="G163" s="29">
        <v>3</v>
      </c>
      <c r="H163" s="22">
        <v>73</v>
      </c>
      <c r="I163" s="30">
        <f>G163*H163</f>
        <v>219</v>
      </c>
      <c r="J163">
        <v>1</v>
      </c>
      <c r="S163" s="89"/>
    </row>
    <row r="164" spans="1:19" x14ac:dyDescent="0.25">
      <c r="A164" s="105" t="s">
        <v>555</v>
      </c>
      <c r="B164" s="106"/>
      <c r="C164" s="106"/>
      <c r="D164" s="106"/>
      <c r="E164" s="106"/>
      <c r="F164" s="106"/>
      <c r="G164" s="106"/>
      <c r="H164" s="35">
        <v>37.6</v>
      </c>
      <c r="I164" s="36">
        <f>G163*H164</f>
        <v>112.80000000000001</v>
      </c>
      <c r="J164">
        <v>2</v>
      </c>
      <c r="S164"/>
    </row>
    <row r="165" spans="1:19" x14ac:dyDescent="0.25">
      <c r="A165" s="107"/>
      <c r="B165" s="107"/>
      <c r="C165" s="107"/>
      <c r="D165" s="107"/>
      <c r="E165" s="107"/>
      <c r="F165" s="107"/>
      <c r="G165" s="107"/>
      <c r="H165" s="70">
        <v>110.6</v>
      </c>
      <c r="I165" s="71">
        <f>I163+I164</f>
        <v>331.8</v>
      </c>
      <c r="J165">
        <v>5</v>
      </c>
      <c r="S165" s="89"/>
    </row>
    <row r="166" spans="1:19" x14ac:dyDescent="0.25">
      <c r="A166" s="73"/>
      <c r="B166" s="25">
        <v>53</v>
      </c>
      <c r="C166" s="26" t="s">
        <v>105</v>
      </c>
      <c r="D166" s="27" t="s">
        <v>25</v>
      </c>
      <c r="E166" s="28"/>
      <c r="F166" s="28"/>
      <c r="G166" s="29">
        <v>6</v>
      </c>
      <c r="H166" s="22">
        <v>280</v>
      </c>
      <c r="I166" s="30">
        <f>G166*H166</f>
        <v>1680</v>
      </c>
      <c r="J166">
        <v>1</v>
      </c>
      <c r="S166" s="89"/>
    </row>
    <row r="167" spans="1:19" x14ac:dyDescent="0.25">
      <c r="A167" s="105" t="s">
        <v>556</v>
      </c>
      <c r="B167" s="106"/>
      <c r="C167" s="106"/>
      <c r="D167" s="106"/>
      <c r="E167" s="106"/>
      <c r="F167" s="106"/>
      <c r="G167" s="106"/>
      <c r="H167" s="35">
        <v>134.4</v>
      </c>
      <c r="I167" s="36">
        <f>G166*H167</f>
        <v>806.40000000000009</v>
      </c>
      <c r="J167">
        <v>2</v>
      </c>
      <c r="S167"/>
    </row>
    <row r="168" spans="1:19" x14ac:dyDescent="0.25">
      <c r="A168" s="107"/>
      <c r="B168" s="107"/>
      <c r="C168" s="107"/>
      <c r="D168" s="107"/>
      <c r="E168" s="107"/>
      <c r="F168" s="107"/>
      <c r="G168" s="107"/>
      <c r="H168" s="70">
        <v>414.4</v>
      </c>
      <c r="I168" s="71">
        <f>I166+I167</f>
        <v>2486.4</v>
      </c>
      <c r="J168">
        <v>5</v>
      </c>
      <c r="S168" s="89"/>
    </row>
    <row r="169" spans="1:19" x14ac:dyDescent="0.25">
      <c r="A169" s="73"/>
      <c r="B169" s="25">
        <v>54</v>
      </c>
      <c r="C169" s="26" t="s">
        <v>106</v>
      </c>
      <c r="D169" s="27" t="s">
        <v>21</v>
      </c>
      <c r="E169" s="28"/>
      <c r="F169" s="28"/>
      <c r="G169" s="29">
        <v>1.2</v>
      </c>
      <c r="H169" s="22">
        <v>0</v>
      </c>
      <c r="I169" s="30">
        <f>G169*H169</f>
        <v>0</v>
      </c>
      <c r="J169">
        <v>1</v>
      </c>
      <c r="S169" s="89"/>
    </row>
    <row r="170" spans="1:19" x14ac:dyDescent="0.25">
      <c r="A170" s="105" t="s">
        <v>557</v>
      </c>
      <c r="B170" s="106"/>
      <c r="C170" s="106"/>
      <c r="D170" s="106"/>
      <c r="E170" s="106"/>
      <c r="F170" s="106"/>
      <c r="G170" s="106"/>
      <c r="H170" s="35">
        <v>1080</v>
      </c>
      <c r="I170" s="36">
        <f>G169*H170</f>
        <v>1296</v>
      </c>
      <c r="J170">
        <v>2</v>
      </c>
      <c r="S170"/>
    </row>
    <row r="171" spans="1:19" x14ac:dyDescent="0.25">
      <c r="A171" s="107"/>
      <c r="B171" s="107"/>
      <c r="C171" s="107"/>
      <c r="D171" s="107"/>
      <c r="E171" s="107"/>
      <c r="F171" s="107"/>
      <c r="G171" s="107"/>
      <c r="H171" s="70">
        <v>1080</v>
      </c>
      <c r="I171" s="71">
        <f>I169+I170</f>
        <v>1296</v>
      </c>
      <c r="J171">
        <v>5</v>
      </c>
      <c r="S171" s="89"/>
    </row>
    <row r="172" spans="1:19" x14ac:dyDescent="0.25">
      <c r="A172" s="73"/>
      <c r="B172" s="25">
        <v>55</v>
      </c>
      <c r="C172" s="26" t="s">
        <v>107</v>
      </c>
      <c r="D172" s="27" t="s">
        <v>25</v>
      </c>
      <c r="E172" s="28"/>
      <c r="F172" s="28"/>
      <c r="G172" s="29">
        <v>28</v>
      </c>
      <c r="H172" s="22">
        <v>120</v>
      </c>
      <c r="I172" s="30">
        <f>G172*H172</f>
        <v>3360</v>
      </c>
      <c r="J172">
        <v>1</v>
      </c>
      <c r="S172" s="89"/>
    </row>
    <row r="173" spans="1:19" x14ac:dyDescent="0.25">
      <c r="A173" s="105" t="s">
        <v>108</v>
      </c>
      <c r="B173" s="106"/>
      <c r="C173" s="106"/>
      <c r="D173" s="106"/>
      <c r="E173" s="106"/>
      <c r="F173" s="106"/>
      <c r="G173" s="106"/>
      <c r="H173" s="35">
        <v>57.6</v>
      </c>
      <c r="I173" s="36">
        <f>G172*H173</f>
        <v>1612.8</v>
      </c>
      <c r="J173">
        <v>2</v>
      </c>
      <c r="S173"/>
    </row>
    <row r="174" spans="1:19" x14ac:dyDescent="0.25">
      <c r="A174" s="107"/>
      <c r="B174" s="107"/>
      <c r="C174" s="107"/>
      <c r="D174" s="107"/>
      <c r="E174" s="107"/>
      <c r="F174" s="107"/>
      <c r="G174" s="107"/>
      <c r="H174" s="70">
        <v>177.6</v>
      </c>
      <c r="I174" s="71">
        <f>I172+I173</f>
        <v>4972.8</v>
      </c>
      <c r="J174">
        <v>5</v>
      </c>
      <c r="S174" s="89"/>
    </row>
    <row r="175" spans="1:19" x14ac:dyDescent="0.25">
      <c r="A175" s="73"/>
      <c r="B175" s="25">
        <v>56</v>
      </c>
      <c r="C175" s="26" t="s">
        <v>109</v>
      </c>
      <c r="D175" s="27" t="s">
        <v>25</v>
      </c>
      <c r="E175" s="28"/>
      <c r="F175" s="28"/>
      <c r="G175" s="29">
        <v>20</v>
      </c>
      <c r="H175" s="85">
        <v>17.5</v>
      </c>
      <c r="I175" s="30">
        <f>G175*H175</f>
        <v>350</v>
      </c>
      <c r="J175">
        <v>1</v>
      </c>
      <c r="S175" s="89"/>
    </row>
    <row r="176" spans="1:19" x14ac:dyDescent="0.25">
      <c r="A176" s="105" t="s">
        <v>558</v>
      </c>
      <c r="B176" s="106"/>
      <c r="C176" s="106"/>
      <c r="D176" s="106"/>
      <c r="E176" s="106"/>
      <c r="F176" s="106"/>
      <c r="G176" s="106"/>
      <c r="H176" s="93">
        <v>7.6000000000000005</v>
      </c>
      <c r="I176" s="36">
        <f>G175*H176</f>
        <v>152</v>
      </c>
      <c r="J176">
        <v>2</v>
      </c>
      <c r="S176"/>
    </row>
    <row r="177" spans="1:19" x14ac:dyDescent="0.25">
      <c r="A177" s="107"/>
      <c r="B177" s="107"/>
      <c r="C177" s="107"/>
      <c r="D177" s="107"/>
      <c r="E177" s="107"/>
      <c r="F177" s="107"/>
      <c r="G177" s="107"/>
      <c r="H177" s="94">
        <v>25.1</v>
      </c>
      <c r="I177" s="71">
        <f>I175+I176</f>
        <v>502</v>
      </c>
      <c r="J177">
        <v>5</v>
      </c>
      <c r="S177" s="89"/>
    </row>
    <row r="178" spans="1:19" x14ac:dyDescent="0.25">
      <c r="A178" s="73"/>
      <c r="B178" s="25">
        <v>57</v>
      </c>
      <c r="C178" s="26" t="s">
        <v>110</v>
      </c>
      <c r="D178" s="27" t="s">
        <v>25</v>
      </c>
      <c r="E178" s="28"/>
      <c r="F178" s="28"/>
      <c r="G178" s="29">
        <v>85</v>
      </c>
      <c r="H178" s="85">
        <v>21</v>
      </c>
      <c r="I178" s="30">
        <f>G178*H178</f>
        <v>1785</v>
      </c>
      <c r="J178">
        <v>1</v>
      </c>
      <c r="S178" s="89"/>
    </row>
    <row r="179" spans="1:19" x14ac:dyDescent="0.25">
      <c r="A179" s="105" t="s">
        <v>559</v>
      </c>
      <c r="B179" s="106"/>
      <c r="C179" s="106"/>
      <c r="D179" s="106"/>
      <c r="E179" s="106"/>
      <c r="F179" s="106"/>
      <c r="G179" s="106"/>
      <c r="H179" s="93">
        <v>6</v>
      </c>
      <c r="I179" s="36">
        <f>G178*H179</f>
        <v>510</v>
      </c>
      <c r="J179">
        <v>2</v>
      </c>
      <c r="S179"/>
    </row>
    <row r="180" spans="1:19" x14ac:dyDescent="0.25">
      <c r="A180" s="107"/>
      <c r="B180" s="107"/>
      <c r="C180" s="107"/>
      <c r="D180" s="107"/>
      <c r="E180" s="107"/>
      <c r="F180" s="107"/>
      <c r="G180" s="107"/>
      <c r="H180" s="94">
        <v>27</v>
      </c>
      <c r="I180" s="71">
        <f>I178+I179</f>
        <v>2295</v>
      </c>
      <c r="J180">
        <v>5</v>
      </c>
      <c r="S180" s="89"/>
    </row>
    <row r="181" spans="1:19" x14ac:dyDescent="0.25">
      <c r="A181" s="73"/>
      <c r="B181" s="25">
        <v>58</v>
      </c>
      <c r="C181" s="26" t="s">
        <v>111</v>
      </c>
      <c r="D181" s="27" t="s">
        <v>25</v>
      </c>
      <c r="E181" s="28"/>
      <c r="F181" s="28"/>
      <c r="G181" s="29">
        <v>1</v>
      </c>
      <c r="H181" s="22">
        <v>280</v>
      </c>
      <c r="I181" s="30">
        <f>G181*H181</f>
        <v>280</v>
      </c>
      <c r="J181">
        <v>1</v>
      </c>
      <c r="S181" s="89"/>
    </row>
    <row r="182" spans="1:19" x14ac:dyDescent="0.25">
      <c r="A182" s="105" t="s">
        <v>112</v>
      </c>
      <c r="B182" s="106"/>
      <c r="C182" s="106"/>
      <c r="D182" s="106"/>
      <c r="E182" s="106"/>
      <c r="F182" s="106"/>
      <c r="G182" s="106"/>
      <c r="H182" s="35">
        <v>33.28</v>
      </c>
      <c r="I182" s="36">
        <f>G181*H182</f>
        <v>33.28</v>
      </c>
      <c r="J182">
        <v>2</v>
      </c>
      <c r="S182"/>
    </row>
    <row r="183" spans="1:19" x14ac:dyDescent="0.25">
      <c r="A183" s="107"/>
      <c r="B183" s="107"/>
      <c r="C183" s="107"/>
      <c r="D183" s="107"/>
      <c r="E183" s="107"/>
      <c r="F183" s="107"/>
      <c r="G183" s="107"/>
      <c r="H183" s="70">
        <v>313.27999999999997</v>
      </c>
      <c r="I183" s="71">
        <f>I181+I182</f>
        <v>313.27999999999997</v>
      </c>
      <c r="J183">
        <v>5</v>
      </c>
      <c r="S183" s="89"/>
    </row>
    <row r="184" spans="1:19" x14ac:dyDescent="0.25">
      <c r="A184" s="73"/>
      <c r="B184" s="25">
        <v>59</v>
      </c>
      <c r="C184" s="26" t="s">
        <v>87</v>
      </c>
      <c r="D184" s="27" t="s">
        <v>25</v>
      </c>
      <c r="E184" s="28"/>
      <c r="F184" s="28"/>
      <c r="G184" s="29">
        <v>6</v>
      </c>
      <c r="H184" s="22">
        <v>850</v>
      </c>
      <c r="I184" s="30">
        <f>G184*H184</f>
        <v>5100</v>
      </c>
      <c r="J184">
        <v>1</v>
      </c>
      <c r="S184" s="89"/>
    </row>
    <row r="185" spans="1:19" x14ac:dyDescent="0.25">
      <c r="A185" s="105" t="s">
        <v>560</v>
      </c>
      <c r="B185" s="106"/>
      <c r="C185" s="106"/>
      <c r="D185" s="106"/>
      <c r="E185" s="106"/>
      <c r="F185" s="106"/>
      <c r="G185" s="106"/>
      <c r="H185" s="35">
        <v>408</v>
      </c>
      <c r="I185" s="36">
        <f>G184*H185</f>
        <v>2448</v>
      </c>
      <c r="J185">
        <v>2</v>
      </c>
      <c r="S185"/>
    </row>
    <row r="186" spans="1:19" x14ac:dyDescent="0.25">
      <c r="A186" s="107"/>
      <c r="B186" s="107"/>
      <c r="C186" s="107"/>
      <c r="D186" s="107"/>
      <c r="E186" s="107"/>
      <c r="F186" s="107"/>
      <c r="G186" s="107"/>
      <c r="H186" s="70">
        <v>1258</v>
      </c>
      <c r="I186" s="71">
        <f>I184+I185</f>
        <v>7548</v>
      </c>
      <c r="J186">
        <v>5</v>
      </c>
      <c r="S186" s="89"/>
    </row>
    <row r="187" spans="1:19" x14ac:dyDescent="0.25">
      <c r="A187" s="73"/>
      <c r="B187" s="25">
        <v>60</v>
      </c>
      <c r="C187" s="26" t="s">
        <v>90</v>
      </c>
      <c r="D187" s="27" t="s">
        <v>25</v>
      </c>
      <c r="E187" s="28"/>
      <c r="F187" s="28"/>
      <c r="G187" s="29">
        <v>6</v>
      </c>
      <c r="H187" s="22">
        <v>280</v>
      </c>
      <c r="I187" s="30">
        <f>G187*H187</f>
        <v>1680</v>
      </c>
      <c r="J187">
        <v>1</v>
      </c>
      <c r="S187" s="89"/>
    </row>
    <row r="188" spans="1:19" x14ac:dyDescent="0.25">
      <c r="A188" s="105" t="s">
        <v>91</v>
      </c>
      <c r="B188" s="106"/>
      <c r="C188" s="106"/>
      <c r="D188" s="106"/>
      <c r="E188" s="106"/>
      <c r="F188" s="106"/>
      <c r="G188" s="106"/>
      <c r="H188" s="35">
        <v>145.6</v>
      </c>
      <c r="I188" s="36">
        <f>G187*H188</f>
        <v>873.59999999999991</v>
      </c>
      <c r="J188">
        <v>2</v>
      </c>
      <c r="S188"/>
    </row>
    <row r="189" spans="1:19" x14ac:dyDescent="0.25">
      <c r="A189" s="107"/>
      <c r="B189" s="107"/>
      <c r="C189" s="107"/>
      <c r="D189" s="107"/>
      <c r="E189" s="107"/>
      <c r="F189" s="107"/>
      <c r="G189" s="107"/>
      <c r="H189" s="70">
        <v>425.6</v>
      </c>
      <c r="I189" s="71">
        <f>I187+I188</f>
        <v>2553.6</v>
      </c>
      <c r="J189">
        <v>5</v>
      </c>
      <c r="S189" s="89"/>
    </row>
    <row r="190" spans="1:19" x14ac:dyDescent="0.25">
      <c r="A190" s="73"/>
      <c r="B190" s="25">
        <v>61</v>
      </c>
      <c r="C190" s="26" t="s">
        <v>88</v>
      </c>
      <c r="D190" s="27" t="s">
        <v>25</v>
      </c>
      <c r="E190" s="28"/>
      <c r="F190" s="28"/>
      <c r="G190" s="29">
        <v>6</v>
      </c>
      <c r="H190" s="22">
        <v>800</v>
      </c>
      <c r="I190" s="30">
        <f>G190*H190</f>
        <v>4800</v>
      </c>
      <c r="J190">
        <v>1</v>
      </c>
      <c r="S190" s="89"/>
    </row>
    <row r="191" spans="1:19" x14ac:dyDescent="0.25">
      <c r="A191" s="105" t="s">
        <v>561</v>
      </c>
      <c r="B191" s="106"/>
      <c r="C191" s="106"/>
      <c r="D191" s="106"/>
      <c r="E191" s="106"/>
      <c r="F191" s="106"/>
      <c r="G191" s="106"/>
      <c r="H191" s="35">
        <v>384</v>
      </c>
      <c r="I191" s="36">
        <f>G190*H191</f>
        <v>2304</v>
      </c>
      <c r="J191">
        <v>2</v>
      </c>
      <c r="S191"/>
    </row>
    <row r="192" spans="1:19" x14ac:dyDescent="0.25">
      <c r="A192" s="107"/>
      <c r="B192" s="107"/>
      <c r="C192" s="107"/>
      <c r="D192" s="107"/>
      <c r="E192" s="107"/>
      <c r="F192" s="107"/>
      <c r="G192" s="107"/>
      <c r="H192" s="70">
        <v>1184</v>
      </c>
      <c r="I192" s="71">
        <f>I190+I191</f>
        <v>7104</v>
      </c>
      <c r="J192">
        <v>5</v>
      </c>
      <c r="S192" s="89"/>
    </row>
    <row r="193" spans="1:19" x14ac:dyDescent="0.25">
      <c r="A193" s="73"/>
      <c r="B193" s="25">
        <v>62</v>
      </c>
      <c r="C193" s="26" t="s">
        <v>113</v>
      </c>
      <c r="D193" s="27" t="s">
        <v>25</v>
      </c>
      <c r="E193" s="28"/>
      <c r="F193" s="28"/>
      <c r="G193" s="29">
        <v>1</v>
      </c>
      <c r="H193" s="22">
        <v>960</v>
      </c>
      <c r="I193" s="30">
        <f>G193*H193</f>
        <v>960</v>
      </c>
      <c r="J193">
        <v>1</v>
      </c>
      <c r="S193" s="89"/>
    </row>
    <row r="194" spans="1:19" x14ac:dyDescent="0.25">
      <c r="A194" s="105" t="s">
        <v>562</v>
      </c>
      <c r="B194" s="106"/>
      <c r="C194" s="106"/>
      <c r="D194" s="106"/>
      <c r="E194" s="106"/>
      <c r="F194" s="106"/>
      <c r="G194" s="106"/>
      <c r="H194" s="35">
        <v>499.20000000000005</v>
      </c>
      <c r="I194" s="36">
        <f>G193*H194</f>
        <v>499.20000000000005</v>
      </c>
      <c r="J194">
        <v>2</v>
      </c>
      <c r="S194"/>
    </row>
    <row r="195" spans="1:19" ht="14.45" customHeight="1" x14ac:dyDescent="0.25">
      <c r="A195" s="107"/>
      <c r="B195" s="107"/>
      <c r="C195" s="107"/>
      <c r="D195" s="107"/>
      <c r="E195" s="107"/>
      <c r="F195" s="107"/>
      <c r="G195" s="107"/>
      <c r="H195" s="70">
        <v>1459.2</v>
      </c>
      <c r="I195" s="71">
        <f>I193+I194</f>
        <v>1459.2</v>
      </c>
      <c r="J195">
        <v>5</v>
      </c>
      <c r="S195" s="89"/>
    </row>
    <row r="196" spans="1:19" x14ac:dyDescent="0.25">
      <c r="A196" s="73"/>
      <c r="B196" s="25">
        <v>63</v>
      </c>
      <c r="C196" s="26" t="s">
        <v>114</v>
      </c>
      <c r="D196" s="27" t="s">
        <v>25</v>
      </c>
      <c r="E196" s="28"/>
      <c r="F196" s="28"/>
      <c r="G196" s="29">
        <v>1</v>
      </c>
      <c r="H196" s="85">
        <v>0</v>
      </c>
      <c r="I196" s="30">
        <f>G196*H196</f>
        <v>0</v>
      </c>
      <c r="J196">
        <v>1</v>
      </c>
      <c r="S196" s="89"/>
    </row>
    <row r="197" spans="1:19" x14ac:dyDescent="0.25">
      <c r="A197" s="105" t="s">
        <v>563</v>
      </c>
      <c r="B197" s="106"/>
      <c r="C197" s="106"/>
      <c r="D197" s="106"/>
      <c r="E197" s="106"/>
      <c r="F197" s="106"/>
      <c r="G197" s="106"/>
      <c r="H197" s="93">
        <v>1080</v>
      </c>
      <c r="I197" s="36">
        <f>G196*H197</f>
        <v>1080</v>
      </c>
      <c r="J197">
        <v>2</v>
      </c>
      <c r="S197"/>
    </row>
    <row r="198" spans="1:19" ht="14.45" customHeight="1" x14ac:dyDescent="0.25">
      <c r="A198" s="107"/>
      <c r="B198" s="107"/>
      <c r="C198" s="107"/>
      <c r="D198" s="107"/>
      <c r="E198" s="107"/>
      <c r="F198" s="107"/>
      <c r="G198" s="107"/>
      <c r="H198" s="94">
        <f>H196+H197</f>
        <v>1080</v>
      </c>
      <c r="I198" s="71">
        <f>I196+I197</f>
        <v>1080</v>
      </c>
      <c r="J198">
        <v>5</v>
      </c>
      <c r="S198" s="89"/>
    </row>
    <row r="199" spans="1:19" x14ac:dyDescent="0.25">
      <c r="A199" s="73"/>
      <c r="B199" s="25">
        <v>64</v>
      </c>
      <c r="C199" s="26" t="s">
        <v>114</v>
      </c>
      <c r="D199" s="27" t="s">
        <v>25</v>
      </c>
      <c r="E199" s="28"/>
      <c r="F199" s="28"/>
      <c r="G199" s="29">
        <v>5</v>
      </c>
      <c r="H199" s="85">
        <v>0</v>
      </c>
      <c r="I199" s="30">
        <f>G199*H199</f>
        <v>0</v>
      </c>
      <c r="J199">
        <v>1</v>
      </c>
      <c r="S199" s="89"/>
    </row>
    <row r="200" spans="1:19" x14ac:dyDescent="0.25">
      <c r="A200" s="105" t="s">
        <v>564</v>
      </c>
      <c r="B200" s="106"/>
      <c r="C200" s="106"/>
      <c r="D200" s="106"/>
      <c r="E200" s="106"/>
      <c r="F200" s="106"/>
      <c r="G200" s="106"/>
      <c r="H200" s="93">
        <v>680</v>
      </c>
      <c r="I200" s="36">
        <f>G199*H200</f>
        <v>3400</v>
      </c>
      <c r="J200">
        <v>2</v>
      </c>
      <c r="S200"/>
    </row>
    <row r="201" spans="1:19" x14ac:dyDescent="0.25">
      <c r="A201" s="107"/>
      <c r="B201" s="107"/>
      <c r="C201" s="107"/>
      <c r="D201" s="107"/>
      <c r="E201" s="107"/>
      <c r="F201" s="107"/>
      <c r="G201" s="107"/>
      <c r="H201" s="94">
        <f>H199+H200</f>
        <v>680</v>
      </c>
      <c r="I201" s="71">
        <f>I199+I200</f>
        <v>3400</v>
      </c>
      <c r="J201">
        <v>5</v>
      </c>
      <c r="S201" s="89"/>
    </row>
    <row r="202" spans="1:19" x14ac:dyDescent="0.25">
      <c r="A202" s="73"/>
      <c r="B202" s="25">
        <v>65</v>
      </c>
      <c r="C202" s="26" t="s">
        <v>114</v>
      </c>
      <c r="D202" s="27" t="s">
        <v>25</v>
      </c>
      <c r="E202" s="28"/>
      <c r="F202" s="28"/>
      <c r="G202" s="29">
        <v>3</v>
      </c>
      <c r="H202" s="85">
        <v>0</v>
      </c>
      <c r="I202" s="30">
        <f>G202*H202</f>
        <v>0</v>
      </c>
      <c r="J202">
        <v>1</v>
      </c>
      <c r="S202" s="89"/>
    </row>
    <row r="203" spans="1:19" x14ac:dyDescent="0.25">
      <c r="A203" s="105" t="s">
        <v>565</v>
      </c>
      <c r="B203" s="106"/>
      <c r="C203" s="106"/>
      <c r="D203" s="106"/>
      <c r="E203" s="106"/>
      <c r="F203" s="106"/>
      <c r="G203" s="106"/>
      <c r="H203" s="93">
        <v>600</v>
      </c>
      <c r="I203" s="36">
        <f>G202*H203</f>
        <v>1800</v>
      </c>
      <c r="J203">
        <v>2</v>
      </c>
      <c r="S203"/>
    </row>
    <row r="204" spans="1:19" x14ac:dyDescent="0.25">
      <c r="A204" s="107"/>
      <c r="B204" s="107"/>
      <c r="C204" s="107"/>
      <c r="D204" s="107"/>
      <c r="E204" s="107"/>
      <c r="F204" s="107"/>
      <c r="G204" s="107"/>
      <c r="H204" s="94">
        <f>H202+H203</f>
        <v>600</v>
      </c>
      <c r="I204" s="71">
        <f>I202+I203</f>
        <v>1800</v>
      </c>
      <c r="J204">
        <v>5</v>
      </c>
      <c r="S204" s="89"/>
    </row>
    <row r="205" spans="1:19" x14ac:dyDescent="0.25">
      <c r="B205" s="37" t="s">
        <v>26</v>
      </c>
      <c r="C205" s="32"/>
      <c r="D205" s="33"/>
      <c r="E205" s="36">
        <f>SUMIF(J10:J204,"1",I10:I204)</f>
        <v>226126.28571428574</v>
      </c>
      <c r="F205" s="36">
        <f>SUMIF(J10:J204,"2",I10:I204)</f>
        <v>123490.34400000001</v>
      </c>
      <c r="G205" s="36"/>
      <c r="H205" s="36"/>
      <c r="I205" s="36">
        <f>SUMIF(J10:J204,"5",I10:I204)</f>
        <v>349616.62971428578</v>
      </c>
      <c r="K205" s="4">
        <f>SUMIF(J10:J204,"3",K10:K204)</f>
        <v>0</v>
      </c>
      <c r="L205" s="4">
        <f>SUMIF(J10:J204,"3",L10:L204)</f>
        <v>0</v>
      </c>
      <c r="M205" s="4">
        <f>SUMIF(J10:J204,"3",M10:M204)</f>
        <v>0</v>
      </c>
      <c r="N205" s="4">
        <f>SUMIF(J10:J204,"4",N10:N204)</f>
        <v>0</v>
      </c>
      <c r="O205" s="4">
        <f>SUMIF(J10:J204,"4",O10:O204)</f>
        <v>0</v>
      </c>
      <c r="P205" s="4">
        <f>SUMIF(J10:J204,"4",P10:P204)</f>
        <v>0</v>
      </c>
      <c r="Q205" s="4">
        <f>SUMIF(J10:J204,"4",Q10:Q204)</f>
        <v>0</v>
      </c>
      <c r="R205" s="4">
        <f>SUMIF(J10:J204,"4",R10:R204)</f>
        <v>0</v>
      </c>
      <c r="S205"/>
    </row>
  </sheetData>
  <mergeCells count="70">
    <mergeCell ref="A203:G204"/>
    <mergeCell ref="A200:G201"/>
    <mergeCell ref="A197:G198"/>
    <mergeCell ref="A194:G195"/>
    <mergeCell ref="A191:G192"/>
    <mergeCell ref="A188:G189"/>
    <mergeCell ref="A185:G186"/>
    <mergeCell ref="A182:G183"/>
    <mergeCell ref="A179:G180"/>
    <mergeCell ref="A176:G177"/>
    <mergeCell ref="A173:G174"/>
    <mergeCell ref="A170:G171"/>
    <mergeCell ref="A167:G168"/>
    <mergeCell ref="A164:G165"/>
    <mergeCell ref="A161:G162"/>
    <mergeCell ref="A158:G159"/>
    <mergeCell ref="A155:G156"/>
    <mergeCell ref="A152:G153"/>
    <mergeCell ref="A149:G150"/>
    <mergeCell ref="A146:G147"/>
    <mergeCell ref="A143:G144"/>
    <mergeCell ref="A140:G141"/>
    <mergeCell ref="A137:G138"/>
    <mergeCell ref="A134:G135"/>
    <mergeCell ref="A131:G132"/>
    <mergeCell ref="A128:G129"/>
    <mergeCell ref="A125:G126"/>
    <mergeCell ref="A122:G123"/>
    <mergeCell ref="A119:G120"/>
    <mergeCell ref="A116:G117"/>
    <mergeCell ref="A113:G114"/>
    <mergeCell ref="A107:G108"/>
    <mergeCell ref="A110:G111"/>
    <mergeCell ref="A104:G105"/>
    <mergeCell ref="A101:G102"/>
    <mergeCell ref="B98:G99"/>
    <mergeCell ref="A95:G96"/>
    <mergeCell ref="A92:G93"/>
    <mergeCell ref="A89:G90"/>
    <mergeCell ref="A86:G87"/>
    <mergeCell ref="B83:G84"/>
    <mergeCell ref="B80:G81"/>
    <mergeCell ref="B77:G78"/>
    <mergeCell ref="B74:G75"/>
    <mergeCell ref="B71:G72"/>
    <mergeCell ref="B68:G69"/>
    <mergeCell ref="A65:G66"/>
    <mergeCell ref="A62:G63"/>
    <mergeCell ref="B59:G60"/>
    <mergeCell ref="B56:G57"/>
    <mergeCell ref="B53:G54"/>
    <mergeCell ref="B50:G51"/>
    <mergeCell ref="B47:G48"/>
    <mergeCell ref="A44:G45"/>
    <mergeCell ref="A41:G42"/>
    <mergeCell ref="A38:G39"/>
    <mergeCell ref="A35:G36"/>
    <mergeCell ref="A23:G24"/>
    <mergeCell ref="A26:G27"/>
    <mergeCell ref="A29:G30"/>
    <mergeCell ref="A32:G33"/>
    <mergeCell ref="A20:G21"/>
    <mergeCell ref="A17:G18"/>
    <mergeCell ref="A14:G15"/>
    <mergeCell ref="A1:D1"/>
    <mergeCell ref="A2:I2"/>
    <mergeCell ref="A3:I3"/>
    <mergeCell ref="A4:I4"/>
    <mergeCell ref="A5:H5"/>
    <mergeCell ref="A11:G12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32" manualBreakCount="32">
    <brk id="12" max="16383" man="1"/>
    <brk id="18" max="16383" man="1"/>
    <brk id="21" max="16383" man="1"/>
    <brk id="24" max="16383" man="1"/>
    <brk id="27" max="16383" man="1"/>
    <brk id="30" max="16383" man="1"/>
    <brk id="33" max="16383" man="1"/>
    <brk id="36" max="16383" man="1"/>
    <brk id="39" max="16383" man="1"/>
    <brk id="48" max="16383" man="1"/>
    <brk id="57" max="16383" man="1"/>
    <brk id="63" max="16383" man="1"/>
    <brk id="66" max="16383" man="1"/>
    <brk id="75" max="16383" man="1"/>
    <brk id="84" max="16383" man="1"/>
    <brk id="93" max="16383" man="1"/>
    <brk id="102" max="16383" man="1"/>
    <brk id="114" max="16383" man="1"/>
    <brk id="117" max="16383" man="1"/>
    <brk id="120" max="16383" man="1"/>
    <brk id="129" max="16383" man="1"/>
    <brk id="135" max="16383" man="1"/>
    <brk id="141" max="16383" man="1"/>
    <brk id="147" max="16383" man="1"/>
    <brk id="156" max="16383" man="1"/>
    <brk id="165" max="16383" man="1"/>
    <brk id="174" max="16383" man="1"/>
    <brk id="180" max="16383" man="1"/>
    <brk id="183" max="16383" man="1"/>
    <brk id="189" max="16383" man="1"/>
    <brk id="192" max="16383" man="1"/>
    <brk id="20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A521-42FF-4168-9E1A-81185A4C1C79}">
  <dimension ref="A1:T54"/>
  <sheetViews>
    <sheetView workbookViewId="0">
      <selection activeCell="F54" sqref="F54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10" ht="24.75" customHeight="1" x14ac:dyDescent="0.25">
      <c r="A1" s="101" t="s">
        <v>0</v>
      </c>
      <c r="B1" s="106"/>
      <c r="C1" s="106"/>
      <c r="D1" s="106"/>
      <c r="J1">
        <v>1</v>
      </c>
    </row>
    <row r="2" spans="1:10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0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0" x14ac:dyDescent="0.25">
      <c r="A4" s="103" t="s">
        <v>28</v>
      </c>
      <c r="B4" s="106"/>
      <c r="C4" s="106"/>
      <c r="D4" s="106"/>
      <c r="E4" s="106"/>
      <c r="F4" s="106"/>
      <c r="G4" s="106"/>
      <c r="H4" s="106"/>
      <c r="I4" s="106"/>
    </row>
    <row r="5" spans="1:10" ht="15.75" thickBot="1" x14ac:dyDescent="0.3">
      <c r="A5" s="103" t="s">
        <v>115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10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10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10" x14ac:dyDescent="0.25">
      <c r="C8" s="3" t="s">
        <v>13</v>
      </c>
      <c r="D8" s="8"/>
      <c r="E8" s="9"/>
      <c r="F8" s="9"/>
      <c r="H8" s="10" t="s">
        <v>14</v>
      </c>
    </row>
    <row r="9" spans="1:10" x14ac:dyDescent="0.25">
      <c r="C9" s="3" t="s">
        <v>15</v>
      </c>
      <c r="D9" s="8"/>
      <c r="E9" s="9"/>
      <c r="F9" s="9"/>
      <c r="H9" s="10" t="s">
        <v>16</v>
      </c>
    </row>
    <row r="10" spans="1:10" x14ac:dyDescent="0.25">
      <c r="C10" s="3" t="s">
        <v>17</v>
      </c>
      <c r="D10" s="8"/>
      <c r="E10" s="9"/>
      <c r="F10" s="9"/>
      <c r="H10" s="10" t="s">
        <v>18</v>
      </c>
    </row>
    <row r="11" spans="1:10" ht="15.75" thickBot="1" x14ac:dyDescent="0.3">
      <c r="C11" s="3" t="s">
        <v>19</v>
      </c>
      <c r="D11" s="8"/>
      <c r="E11" s="9"/>
      <c r="F11" s="9"/>
      <c r="H11" s="10" t="s">
        <v>20</v>
      </c>
    </row>
    <row r="12" spans="1:10" x14ac:dyDescent="0.25">
      <c r="A12" s="11"/>
      <c r="B12" s="12">
        <v>1</v>
      </c>
      <c r="C12" s="13" t="s">
        <v>52</v>
      </c>
      <c r="D12" s="19" t="s">
        <v>24</v>
      </c>
      <c r="E12" s="20"/>
      <c r="F12" s="20"/>
      <c r="G12" s="16">
        <v>102</v>
      </c>
      <c r="H12" s="21">
        <v>90</v>
      </c>
      <c r="I12" s="18">
        <f>G12*H12</f>
        <v>9180</v>
      </c>
      <c r="J12">
        <v>1</v>
      </c>
    </row>
    <row r="13" spans="1:10" x14ac:dyDescent="0.25">
      <c r="A13" s="105" t="s">
        <v>566</v>
      </c>
      <c r="B13" s="106"/>
      <c r="C13" s="106"/>
      <c r="D13" s="106"/>
      <c r="E13" s="106"/>
      <c r="F13" s="106"/>
      <c r="G13" s="106"/>
      <c r="H13" s="35">
        <v>61.199999999999996</v>
      </c>
      <c r="I13" s="36">
        <f>G12*H13</f>
        <v>6242.4</v>
      </c>
      <c r="J13">
        <v>2</v>
      </c>
    </row>
    <row r="14" spans="1:10" x14ac:dyDescent="0.25">
      <c r="A14" s="107"/>
      <c r="B14" s="107"/>
      <c r="C14" s="107"/>
      <c r="D14" s="107"/>
      <c r="E14" s="107"/>
      <c r="F14" s="107"/>
      <c r="G14" s="107"/>
      <c r="H14" s="70">
        <v>151.19999999999999</v>
      </c>
      <c r="I14" s="71">
        <f>I12+I13</f>
        <v>15422.4</v>
      </c>
      <c r="J14">
        <v>5</v>
      </c>
    </row>
    <row r="15" spans="1:10" x14ac:dyDescent="0.25">
      <c r="A15" s="73"/>
      <c r="B15" s="25">
        <v>2</v>
      </c>
      <c r="C15" s="26" t="s">
        <v>116</v>
      </c>
      <c r="D15" s="27" t="s">
        <v>25</v>
      </c>
      <c r="E15" s="28"/>
      <c r="F15" s="28"/>
      <c r="G15" s="29">
        <v>80</v>
      </c>
      <c r="H15" s="22">
        <v>21.599999999999998</v>
      </c>
      <c r="I15" s="30">
        <f>G15*H15</f>
        <v>1727.9999999999998</v>
      </c>
      <c r="J15">
        <v>1</v>
      </c>
    </row>
    <row r="16" spans="1:10" x14ac:dyDescent="0.25">
      <c r="A16" s="105" t="s">
        <v>567</v>
      </c>
      <c r="B16" s="106"/>
      <c r="C16" s="106"/>
      <c r="D16" s="106"/>
      <c r="E16" s="106"/>
      <c r="F16" s="106"/>
      <c r="G16" s="106"/>
      <c r="H16" s="35">
        <v>13.6</v>
      </c>
      <c r="I16" s="36">
        <f>G15*H16</f>
        <v>1088</v>
      </c>
      <c r="J16">
        <v>2</v>
      </c>
    </row>
    <row r="17" spans="1:10" x14ac:dyDescent="0.25">
      <c r="A17" s="107"/>
      <c r="B17" s="107"/>
      <c r="C17" s="107"/>
      <c r="D17" s="107"/>
      <c r="E17" s="107"/>
      <c r="F17" s="107"/>
      <c r="G17" s="107"/>
      <c r="H17" s="70">
        <v>35.199999999999996</v>
      </c>
      <c r="I17" s="71">
        <f>I15+I16</f>
        <v>2816</v>
      </c>
      <c r="J17">
        <v>5</v>
      </c>
    </row>
    <row r="18" spans="1:10" x14ac:dyDescent="0.25">
      <c r="A18" s="73"/>
      <c r="B18" s="25">
        <v>3</v>
      </c>
      <c r="C18" s="26" t="s">
        <v>118</v>
      </c>
      <c r="D18" s="27" t="s">
        <v>25</v>
      </c>
      <c r="E18" s="28"/>
      <c r="F18" s="28"/>
      <c r="G18" s="29">
        <v>17</v>
      </c>
      <c r="H18" s="22">
        <v>61.199999999999996</v>
      </c>
      <c r="I18" s="30">
        <f>G18*H18</f>
        <v>1040.3999999999999</v>
      </c>
      <c r="J18">
        <v>1</v>
      </c>
    </row>
    <row r="19" spans="1:10" x14ac:dyDescent="0.25">
      <c r="A19" s="105" t="s">
        <v>568</v>
      </c>
      <c r="B19" s="106"/>
      <c r="C19" s="106"/>
      <c r="D19" s="106"/>
      <c r="E19" s="106"/>
      <c r="F19" s="106"/>
      <c r="G19" s="106"/>
      <c r="H19" s="35">
        <v>40.799999999999997</v>
      </c>
      <c r="I19" s="36">
        <f>G18*H19</f>
        <v>693.59999999999991</v>
      </c>
      <c r="J19">
        <v>2</v>
      </c>
    </row>
    <row r="20" spans="1:10" x14ac:dyDescent="0.25">
      <c r="A20" s="107"/>
      <c r="B20" s="107"/>
      <c r="C20" s="107"/>
      <c r="D20" s="107"/>
      <c r="E20" s="107"/>
      <c r="F20" s="107"/>
      <c r="G20" s="107"/>
      <c r="H20" s="70">
        <v>102</v>
      </c>
      <c r="I20" s="71">
        <f>I18+I19</f>
        <v>1733.9999999999998</v>
      </c>
      <c r="J20">
        <v>5</v>
      </c>
    </row>
    <row r="21" spans="1:10" x14ac:dyDescent="0.25">
      <c r="A21" s="73"/>
      <c r="B21" s="25">
        <v>4</v>
      </c>
      <c r="C21" s="26" t="s">
        <v>118</v>
      </c>
      <c r="D21" s="27" t="s">
        <v>25</v>
      </c>
      <c r="E21" s="28"/>
      <c r="F21" s="28"/>
      <c r="G21" s="29">
        <v>42</v>
      </c>
      <c r="H21" s="22">
        <v>61.199999999999996</v>
      </c>
      <c r="I21" s="30">
        <f>G21*H21</f>
        <v>2570.3999999999996</v>
      </c>
      <c r="J21">
        <v>1</v>
      </c>
    </row>
    <row r="22" spans="1:10" x14ac:dyDescent="0.25">
      <c r="A22" s="105" t="s">
        <v>569</v>
      </c>
      <c r="B22" s="106"/>
      <c r="C22" s="106"/>
      <c r="D22" s="106"/>
      <c r="E22" s="106"/>
      <c r="F22" s="106"/>
      <c r="G22" s="106"/>
      <c r="H22" s="35">
        <v>40.799999999999997</v>
      </c>
      <c r="I22" s="36">
        <f>G21*H22</f>
        <v>1713.6</v>
      </c>
      <c r="J22">
        <v>2</v>
      </c>
    </row>
    <row r="23" spans="1:10" ht="14.45" customHeight="1" x14ac:dyDescent="0.25">
      <c r="A23" s="107"/>
      <c r="B23" s="107"/>
      <c r="C23" s="107"/>
      <c r="D23" s="107"/>
      <c r="E23" s="107"/>
      <c r="F23" s="107"/>
      <c r="G23" s="107"/>
      <c r="H23" s="70">
        <v>102</v>
      </c>
      <c r="I23" s="71">
        <f>I21+I22</f>
        <v>4284</v>
      </c>
      <c r="J23">
        <v>5</v>
      </c>
    </row>
    <row r="24" spans="1:10" x14ac:dyDescent="0.25">
      <c r="A24" s="73"/>
      <c r="B24" s="25">
        <v>5</v>
      </c>
      <c r="C24" s="26" t="s">
        <v>118</v>
      </c>
      <c r="D24" s="27" t="s">
        <v>25</v>
      </c>
      <c r="E24" s="28"/>
      <c r="F24" s="28"/>
      <c r="G24" s="29">
        <v>12</v>
      </c>
      <c r="H24" s="22">
        <v>61.199999999999996</v>
      </c>
      <c r="I24" s="30">
        <f>G24*H24</f>
        <v>734.4</v>
      </c>
      <c r="J24">
        <v>1</v>
      </c>
    </row>
    <row r="25" spans="1:10" x14ac:dyDescent="0.25">
      <c r="A25" s="105" t="s">
        <v>570</v>
      </c>
      <c r="B25" s="106"/>
      <c r="C25" s="106"/>
      <c r="D25" s="106"/>
      <c r="E25" s="106"/>
      <c r="F25" s="106"/>
      <c r="G25" s="106"/>
      <c r="H25" s="35">
        <v>40.799999999999997</v>
      </c>
      <c r="I25" s="36">
        <f>G24*H25</f>
        <v>489.59999999999997</v>
      </c>
      <c r="J25">
        <v>2</v>
      </c>
    </row>
    <row r="26" spans="1:10" ht="14.45" customHeight="1" x14ac:dyDescent="0.25">
      <c r="A26" s="107"/>
      <c r="B26" s="107"/>
      <c r="C26" s="107"/>
      <c r="D26" s="107"/>
      <c r="E26" s="107"/>
      <c r="F26" s="107"/>
      <c r="G26" s="107"/>
      <c r="H26" s="70">
        <v>102</v>
      </c>
      <c r="I26" s="71">
        <f>I24+I25</f>
        <v>1224</v>
      </c>
      <c r="J26">
        <v>5</v>
      </c>
    </row>
    <row r="27" spans="1:10" x14ac:dyDescent="0.25">
      <c r="A27" s="73"/>
      <c r="B27" s="25">
        <v>6</v>
      </c>
      <c r="C27" s="26" t="s">
        <v>119</v>
      </c>
      <c r="D27" s="27" t="s">
        <v>25</v>
      </c>
      <c r="E27" s="28"/>
      <c r="F27" s="28"/>
      <c r="G27" s="29">
        <v>14</v>
      </c>
      <c r="H27" s="22">
        <v>0</v>
      </c>
      <c r="I27" s="30">
        <f>G27*H27</f>
        <v>0</v>
      </c>
      <c r="J27">
        <v>1</v>
      </c>
    </row>
    <row r="28" spans="1:10" x14ac:dyDescent="0.25">
      <c r="A28" s="105" t="s">
        <v>120</v>
      </c>
      <c r="B28" s="106"/>
      <c r="C28" s="106"/>
      <c r="D28" s="106"/>
      <c r="E28" s="106"/>
      <c r="F28" s="106"/>
      <c r="G28" s="106"/>
      <c r="H28" s="35">
        <v>516.79999999999995</v>
      </c>
      <c r="I28" s="36">
        <f>G27*H28</f>
        <v>7235.1999999999989</v>
      </c>
      <c r="J28">
        <v>2</v>
      </c>
    </row>
    <row r="29" spans="1:10" x14ac:dyDescent="0.25">
      <c r="A29" s="107"/>
      <c r="B29" s="107"/>
      <c r="C29" s="107"/>
      <c r="D29" s="107"/>
      <c r="E29" s="107"/>
      <c r="F29" s="107"/>
      <c r="G29" s="107"/>
      <c r="H29" s="70">
        <v>516.79999999999995</v>
      </c>
      <c r="I29" s="71">
        <f>I27+I28</f>
        <v>7235.1999999999989</v>
      </c>
      <c r="J29">
        <v>5</v>
      </c>
    </row>
    <row r="30" spans="1:10" x14ac:dyDescent="0.25">
      <c r="A30" s="73"/>
      <c r="B30" s="25">
        <v>7</v>
      </c>
      <c r="C30" s="26" t="s">
        <v>121</v>
      </c>
      <c r="D30" s="27" t="s">
        <v>24</v>
      </c>
      <c r="E30" s="28"/>
      <c r="F30" s="28"/>
      <c r="G30" s="29">
        <v>2</v>
      </c>
      <c r="H30" s="22">
        <v>31.2</v>
      </c>
      <c r="I30" s="30">
        <f>G30*H30</f>
        <v>62.4</v>
      </c>
      <c r="J30">
        <v>1</v>
      </c>
    </row>
    <row r="31" spans="1:10" x14ac:dyDescent="0.25">
      <c r="A31" s="105" t="s">
        <v>571</v>
      </c>
      <c r="B31" s="106"/>
      <c r="C31" s="106"/>
      <c r="D31" s="106"/>
      <c r="E31" s="106"/>
      <c r="F31" s="106"/>
      <c r="G31" s="106"/>
      <c r="H31" s="35">
        <v>20.399999999999999</v>
      </c>
      <c r="I31" s="36">
        <f>G30*H31</f>
        <v>40.799999999999997</v>
      </c>
      <c r="J31">
        <v>2</v>
      </c>
    </row>
    <row r="32" spans="1:10" x14ac:dyDescent="0.25">
      <c r="A32" s="107"/>
      <c r="B32" s="107"/>
      <c r="C32" s="107"/>
      <c r="D32" s="107"/>
      <c r="E32" s="107"/>
      <c r="F32" s="107"/>
      <c r="G32" s="107"/>
      <c r="H32" s="70">
        <v>51.599999999999994</v>
      </c>
      <c r="I32" s="71">
        <f>I30+I31</f>
        <v>103.19999999999999</v>
      </c>
      <c r="J32">
        <v>5</v>
      </c>
    </row>
    <row r="33" spans="1:10" x14ac:dyDescent="0.25">
      <c r="A33" s="73"/>
      <c r="B33" s="25">
        <v>8</v>
      </c>
      <c r="C33" s="26" t="s">
        <v>122</v>
      </c>
      <c r="D33" s="27" t="s">
        <v>25</v>
      </c>
      <c r="E33" s="28"/>
      <c r="F33" s="28"/>
      <c r="G33" s="29">
        <v>2</v>
      </c>
      <c r="H33" s="22">
        <v>10.799999999999999</v>
      </c>
      <c r="I33" s="30">
        <f>G33*H33</f>
        <v>21.599999999999998</v>
      </c>
      <c r="J33">
        <v>1</v>
      </c>
    </row>
    <row r="34" spans="1:10" x14ac:dyDescent="0.25">
      <c r="A34" s="105" t="s">
        <v>123</v>
      </c>
      <c r="B34" s="106"/>
      <c r="C34" s="106"/>
      <c r="D34" s="106"/>
      <c r="E34" s="106"/>
      <c r="F34" s="106"/>
      <c r="G34" s="106"/>
      <c r="H34" s="35">
        <v>6.8</v>
      </c>
      <c r="I34" s="36">
        <f>G33*H34</f>
        <v>13.6</v>
      </c>
      <c r="J34">
        <v>2</v>
      </c>
    </row>
    <row r="35" spans="1:10" x14ac:dyDescent="0.25">
      <c r="A35" s="107"/>
      <c r="B35" s="107"/>
      <c r="C35" s="107"/>
      <c r="D35" s="107"/>
      <c r="E35" s="107"/>
      <c r="F35" s="107"/>
      <c r="G35" s="107"/>
      <c r="H35" s="70">
        <v>17.599999999999998</v>
      </c>
      <c r="I35" s="71">
        <f>I33+I34</f>
        <v>35.199999999999996</v>
      </c>
      <c r="J35">
        <v>5</v>
      </c>
    </row>
    <row r="36" spans="1:10" x14ac:dyDescent="0.25">
      <c r="A36" s="73"/>
      <c r="B36" s="25">
        <v>9</v>
      </c>
      <c r="C36" s="26" t="s">
        <v>118</v>
      </c>
      <c r="D36" s="27" t="s">
        <v>25</v>
      </c>
      <c r="E36" s="28"/>
      <c r="F36" s="28"/>
      <c r="G36" s="29">
        <v>1</v>
      </c>
      <c r="H36" s="22">
        <v>61.199999999999996</v>
      </c>
      <c r="I36" s="30">
        <f>G36*H36</f>
        <v>61.199999999999996</v>
      </c>
      <c r="J36">
        <v>1</v>
      </c>
    </row>
    <row r="37" spans="1:10" x14ac:dyDescent="0.25">
      <c r="A37" s="105" t="s">
        <v>572</v>
      </c>
      <c r="B37" s="106"/>
      <c r="C37" s="106"/>
      <c r="D37" s="106"/>
      <c r="E37" s="106"/>
      <c r="F37" s="106"/>
      <c r="G37" s="106"/>
      <c r="H37" s="35">
        <v>40.799999999999997</v>
      </c>
      <c r="I37" s="36">
        <f>G36*H37</f>
        <v>40.799999999999997</v>
      </c>
      <c r="J37">
        <v>2</v>
      </c>
    </row>
    <row r="38" spans="1:10" x14ac:dyDescent="0.25">
      <c r="A38" s="107"/>
      <c r="B38" s="107"/>
      <c r="C38" s="107"/>
      <c r="D38" s="107"/>
      <c r="E38" s="107"/>
      <c r="F38" s="107"/>
      <c r="G38" s="107"/>
      <c r="H38" s="70">
        <v>102</v>
      </c>
      <c r="I38" s="71">
        <f>I36+I37</f>
        <v>102</v>
      </c>
      <c r="J38">
        <v>5</v>
      </c>
    </row>
    <row r="39" spans="1:10" x14ac:dyDescent="0.25">
      <c r="A39" s="73"/>
      <c r="B39" s="25">
        <v>10</v>
      </c>
      <c r="C39" s="26" t="s">
        <v>101</v>
      </c>
      <c r="D39" s="27" t="s">
        <v>25</v>
      </c>
      <c r="E39" s="28"/>
      <c r="F39" s="28"/>
      <c r="G39" s="29">
        <v>1</v>
      </c>
      <c r="H39" s="22">
        <v>38.4</v>
      </c>
      <c r="I39" s="30">
        <f>G39*H39</f>
        <v>38.4</v>
      </c>
      <c r="J39">
        <v>1</v>
      </c>
    </row>
    <row r="40" spans="1:10" x14ac:dyDescent="0.25">
      <c r="A40" s="105" t="s">
        <v>573</v>
      </c>
      <c r="B40" s="106"/>
      <c r="C40" s="106"/>
      <c r="D40" s="106"/>
      <c r="E40" s="106"/>
      <c r="F40" s="106"/>
      <c r="G40" s="106"/>
      <c r="H40" s="35">
        <v>25.84</v>
      </c>
      <c r="I40" s="36">
        <f>G39*H40</f>
        <v>25.84</v>
      </c>
      <c r="J40">
        <v>2</v>
      </c>
    </row>
    <row r="41" spans="1:10" x14ac:dyDescent="0.25">
      <c r="A41" s="107"/>
      <c r="B41" s="107"/>
      <c r="C41" s="107"/>
      <c r="D41" s="107"/>
      <c r="E41" s="107"/>
      <c r="F41" s="107"/>
      <c r="G41" s="107"/>
      <c r="H41" s="70">
        <v>64.239999999999995</v>
      </c>
      <c r="I41" s="71">
        <f>I39+I40</f>
        <v>64.239999999999995</v>
      </c>
      <c r="J41">
        <v>5</v>
      </c>
    </row>
    <row r="42" spans="1:10" x14ac:dyDescent="0.25">
      <c r="A42" s="73"/>
      <c r="B42" s="25">
        <v>11</v>
      </c>
      <c r="C42" s="26" t="s">
        <v>124</v>
      </c>
      <c r="D42" s="27" t="s">
        <v>25</v>
      </c>
      <c r="E42" s="28"/>
      <c r="F42" s="28"/>
      <c r="G42" s="29">
        <v>1</v>
      </c>
      <c r="H42" s="22">
        <v>112.8</v>
      </c>
      <c r="I42" s="30">
        <f>G42*H42</f>
        <v>112.8</v>
      </c>
      <c r="J42">
        <v>1</v>
      </c>
    </row>
    <row r="43" spans="1:10" x14ac:dyDescent="0.25">
      <c r="A43" s="105" t="s">
        <v>125</v>
      </c>
      <c r="B43" s="106"/>
      <c r="C43" s="106"/>
      <c r="D43" s="106"/>
      <c r="E43" s="106"/>
      <c r="F43" s="106"/>
      <c r="G43" s="106"/>
      <c r="H43" s="35">
        <v>76.160000000000011</v>
      </c>
      <c r="I43" s="36">
        <f>G42*H43</f>
        <v>76.160000000000011</v>
      </c>
      <c r="J43">
        <v>2</v>
      </c>
    </row>
    <row r="44" spans="1:10" ht="14.45" customHeight="1" x14ac:dyDescent="0.25">
      <c r="A44" s="107"/>
      <c r="B44" s="107"/>
      <c r="C44" s="107"/>
      <c r="D44" s="107"/>
      <c r="E44" s="107"/>
      <c r="F44" s="107"/>
      <c r="G44" s="107"/>
      <c r="H44" s="70">
        <v>188.96</v>
      </c>
      <c r="I44" s="71">
        <f>I42+I43</f>
        <v>188.96</v>
      </c>
      <c r="J44">
        <v>5</v>
      </c>
    </row>
    <row r="45" spans="1:10" x14ac:dyDescent="0.25">
      <c r="A45" s="73"/>
      <c r="B45" s="25">
        <v>12</v>
      </c>
      <c r="C45" s="26" t="s">
        <v>77</v>
      </c>
      <c r="D45" s="27" t="s">
        <v>24</v>
      </c>
      <c r="E45" s="28"/>
      <c r="F45" s="28"/>
      <c r="G45" s="29">
        <v>102</v>
      </c>
      <c r="H45" s="22">
        <v>0</v>
      </c>
      <c r="I45" s="30">
        <f>G45*H45</f>
        <v>0</v>
      </c>
      <c r="J45">
        <v>1</v>
      </c>
    </row>
    <row r="46" spans="1:10" x14ac:dyDescent="0.25">
      <c r="A46" s="105" t="s">
        <v>78</v>
      </c>
      <c r="B46" s="106"/>
      <c r="C46" s="106"/>
      <c r="D46" s="106"/>
      <c r="E46" s="106"/>
      <c r="F46" s="106"/>
      <c r="G46" s="106"/>
      <c r="H46" s="35">
        <v>4.08</v>
      </c>
      <c r="I46" s="36">
        <f>G45*H46</f>
        <v>416.16</v>
      </c>
      <c r="J46">
        <v>2</v>
      </c>
    </row>
    <row r="47" spans="1:10" x14ac:dyDescent="0.25">
      <c r="A47" s="107"/>
      <c r="B47" s="107"/>
      <c r="C47" s="107"/>
      <c r="D47" s="107"/>
      <c r="E47" s="107"/>
      <c r="F47" s="107"/>
      <c r="G47" s="107"/>
      <c r="H47" s="70">
        <v>4.08</v>
      </c>
      <c r="I47" s="71">
        <f>I45+I46</f>
        <v>416.16</v>
      </c>
      <c r="J47">
        <v>5</v>
      </c>
    </row>
    <row r="48" spans="1:10" x14ac:dyDescent="0.25">
      <c r="A48" s="73"/>
      <c r="B48" s="25">
        <v>13</v>
      </c>
      <c r="C48" s="26" t="s">
        <v>79</v>
      </c>
      <c r="D48" s="27" t="s">
        <v>40</v>
      </c>
      <c r="E48" s="28"/>
      <c r="F48" s="28"/>
      <c r="G48" s="29">
        <v>10.199999999999999</v>
      </c>
      <c r="H48" s="22">
        <v>0</v>
      </c>
      <c r="I48" s="30">
        <f>G48*H48</f>
        <v>0</v>
      </c>
      <c r="J48">
        <v>1</v>
      </c>
    </row>
    <row r="49" spans="1:19" x14ac:dyDescent="0.25">
      <c r="A49" s="105" t="s">
        <v>80</v>
      </c>
      <c r="B49" s="106"/>
      <c r="C49" s="106"/>
      <c r="D49" s="106"/>
      <c r="E49" s="106"/>
      <c r="F49" s="106"/>
      <c r="G49" s="106"/>
      <c r="H49" s="35">
        <v>4.08</v>
      </c>
      <c r="I49" s="36">
        <f>G48*H49</f>
        <v>41.616</v>
      </c>
      <c r="J49">
        <v>2</v>
      </c>
    </row>
    <row r="50" spans="1:19" x14ac:dyDescent="0.25">
      <c r="A50" s="107"/>
      <c r="B50" s="107"/>
      <c r="C50" s="107"/>
      <c r="D50" s="107"/>
      <c r="E50" s="107"/>
      <c r="F50" s="107"/>
      <c r="G50" s="107"/>
      <c r="H50" s="70">
        <v>4.08</v>
      </c>
      <c r="I50" s="71">
        <f>I48+I49</f>
        <v>41.616</v>
      </c>
      <c r="J50">
        <v>5</v>
      </c>
    </row>
    <row r="51" spans="1:19" x14ac:dyDescent="0.25">
      <c r="B51" s="31">
        <v>14</v>
      </c>
      <c r="C51" s="32" t="s">
        <v>126</v>
      </c>
      <c r="D51" s="33" t="s">
        <v>25</v>
      </c>
      <c r="G51" s="34">
        <v>10.199999999999999</v>
      </c>
      <c r="H51" s="35">
        <v>14.399999999999999</v>
      </c>
      <c r="I51" s="36">
        <f>G51*H51</f>
        <v>146.87999999999997</v>
      </c>
      <c r="J51">
        <v>1</v>
      </c>
    </row>
    <row r="52" spans="1:19" x14ac:dyDescent="0.25">
      <c r="A52" s="105" t="s">
        <v>574</v>
      </c>
      <c r="B52" s="106"/>
      <c r="C52" s="106"/>
      <c r="D52" s="106"/>
      <c r="E52" s="106"/>
      <c r="F52" s="106"/>
      <c r="G52" s="106"/>
      <c r="H52" s="35">
        <v>4.08</v>
      </c>
      <c r="I52" s="36">
        <f>G51*H52</f>
        <v>41.616</v>
      </c>
      <c r="J52">
        <v>2</v>
      </c>
    </row>
    <row r="53" spans="1:19" x14ac:dyDescent="0.25">
      <c r="A53" s="107"/>
      <c r="B53" s="107"/>
      <c r="C53" s="107"/>
      <c r="D53" s="107"/>
      <c r="E53" s="107"/>
      <c r="F53" s="107"/>
      <c r="G53" s="107"/>
      <c r="H53" s="70">
        <v>18.479999999999997</v>
      </c>
      <c r="I53" s="71">
        <f>I51+I52</f>
        <v>188.49599999999998</v>
      </c>
      <c r="J53">
        <v>5</v>
      </c>
    </row>
    <row r="54" spans="1:19" x14ac:dyDescent="0.25">
      <c r="B54" s="37" t="s">
        <v>26</v>
      </c>
      <c r="C54" s="32"/>
      <c r="D54" s="33"/>
      <c r="E54" s="36">
        <f>SUMIF(J12:J53,"1",I12:I53)</f>
        <v>15696.479999999998</v>
      </c>
      <c r="F54" s="36">
        <f>SUMIF(J12:J53,"2",I12:I53)</f>
        <v>18158.992000000002</v>
      </c>
      <c r="G54" s="36"/>
      <c r="H54" s="36"/>
      <c r="I54" s="36">
        <f>SUMIF(J12:J53,"5",I12:I53)</f>
        <v>33855.471999999994</v>
      </c>
      <c r="K54" s="4">
        <f>SUMIF(J12:J53,"3",K12:K53)</f>
        <v>0</v>
      </c>
      <c r="L54" s="4">
        <f>SUMIF(J12:J53,"3",L12:L53)</f>
        <v>0</v>
      </c>
      <c r="M54" s="4">
        <f>SUMIF(J12:J53,"3",M12:M53)</f>
        <v>0</v>
      </c>
      <c r="N54" s="4">
        <f>SUMIF(J12:J53,"4",N12:N53)</f>
        <v>0</v>
      </c>
      <c r="O54" s="4">
        <f>SUMIF(J12:J53,"4",O12:O53)</f>
        <v>0</v>
      </c>
      <c r="P54" s="4">
        <f>SUMIF(J12:J53,"4",P12:P53)</f>
        <v>0</v>
      </c>
      <c r="Q54" s="4">
        <f>SUMIF(J12:J53,"4",Q12:Q53)</f>
        <v>0</v>
      </c>
      <c r="R54" s="4">
        <f>SUMIF(J12:J53,"4",R12:R53)</f>
        <v>0</v>
      </c>
      <c r="S54" s="4">
        <f>SUMIF(J12:J53,"4",S12:S53)</f>
        <v>0</v>
      </c>
    </row>
  </sheetData>
  <mergeCells count="19">
    <mergeCell ref="A52:G53"/>
    <mergeCell ref="A49:G50"/>
    <mergeCell ref="A46:G47"/>
    <mergeCell ref="A43:G44"/>
    <mergeCell ref="A40:G41"/>
    <mergeCell ref="A37:G38"/>
    <mergeCell ref="A34:G35"/>
    <mergeCell ref="A31:G32"/>
    <mergeCell ref="A28:G29"/>
    <mergeCell ref="A25:G26"/>
    <mergeCell ref="A22:G23"/>
    <mergeCell ref="A19:G20"/>
    <mergeCell ref="A16:G17"/>
    <mergeCell ref="A1:D1"/>
    <mergeCell ref="A2:I2"/>
    <mergeCell ref="A3:I3"/>
    <mergeCell ref="A4:I4"/>
    <mergeCell ref="A5:H5"/>
    <mergeCell ref="A13:G14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6" manualBreakCount="6">
    <brk id="17" max="16383" man="1"/>
    <brk id="26" max="16383" man="1"/>
    <brk id="29" max="16383" man="1"/>
    <brk id="32" max="16383" man="1"/>
    <brk id="38" max="16383" man="1"/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251A-BF6C-4D21-8CAC-DE21857787B3}">
  <dimension ref="A1:U99"/>
  <sheetViews>
    <sheetView topLeftCell="A29" workbookViewId="0">
      <selection activeCell="U80" sqref="U80:U81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9.140625" hidden="1" customWidth="1" outlineLevel="1"/>
    <col min="11" max="19" width="9.140625" style="4" hidden="1" customWidth="1" outlineLevel="1"/>
    <col min="20" max="20" width="9.140625" collapsed="1"/>
  </cols>
  <sheetData>
    <row r="1" spans="1:21" ht="24.75" customHeight="1" x14ac:dyDescent="0.25">
      <c r="A1" s="101" t="s">
        <v>0</v>
      </c>
      <c r="B1" s="106"/>
      <c r="C1" s="106"/>
      <c r="D1" s="106"/>
      <c r="J1">
        <v>1</v>
      </c>
    </row>
    <row r="2" spans="1:21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21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21" x14ac:dyDescent="0.25">
      <c r="A4" s="103" t="s">
        <v>28</v>
      </c>
      <c r="B4" s="106"/>
      <c r="C4" s="106"/>
      <c r="D4" s="106"/>
      <c r="E4" s="106"/>
      <c r="F4" s="106"/>
      <c r="G4" s="106"/>
      <c r="H4" s="106"/>
      <c r="I4" s="106"/>
    </row>
    <row r="5" spans="1:21" ht="15.75" thickBot="1" x14ac:dyDescent="0.3">
      <c r="A5" s="103" t="s">
        <v>127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21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21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21" x14ac:dyDescent="0.25">
      <c r="C8" s="3" t="s">
        <v>13</v>
      </c>
      <c r="D8" s="8"/>
      <c r="E8" s="9"/>
      <c r="F8" s="9"/>
      <c r="H8" s="10" t="s">
        <v>14</v>
      </c>
    </row>
    <row r="9" spans="1:21" x14ac:dyDescent="0.25">
      <c r="C9" s="3" t="s">
        <v>15</v>
      </c>
      <c r="D9" s="8"/>
      <c r="E9" s="9"/>
      <c r="F9" s="9"/>
      <c r="H9" s="10" t="s">
        <v>16</v>
      </c>
    </row>
    <row r="10" spans="1:21" x14ac:dyDescent="0.25">
      <c r="C10" s="3" t="s">
        <v>17</v>
      </c>
      <c r="D10" s="8"/>
      <c r="E10" s="9"/>
      <c r="F10" s="9"/>
      <c r="H10" s="10" t="s">
        <v>18</v>
      </c>
    </row>
    <row r="11" spans="1:21" ht="15.75" thickBot="1" x14ac:dyDescent="0.3">
      <c r="C11" s="3" t="s">
        <v>19</v>
      </c>
      <c r="D11" s="8"/>
      <c r="E11" s="9"/>
      <c r="F11" s="9"/>
      <c r="H11" s="10" t="s">
        <v>20</v>
      </c>
    </row>
    <row r="12" spans="1:21" x14ac:dyDescent="0.25">
      <c r="A12" s="11"/>
      <c r="B12" s="12">
        <v>1</v>
      </c>
      <c r="C12" s="13" t="s">
        <v>128</v>
      </c>
      <c r="D12" s="19" t="s">
        <v>24</v>
      </c>
      <c r="E12" s="20"/>
      <c r="F12" s="20"/>
      <c r="G12" s="16">
        <v>12</v>
      </c>
      <c r="H12" s="21">
        <v>37.5</v>
      </c>
      <c r="I12" s="18">
        <f>G12*H12</f>
        <v>450</v>
      </c>
      <c r="J12">
        <v>1</v>
      </c>
      <c r="U12" s="89"/>
    </row>
    <row r="13" spans="1:21" x14ac:dyDescent="0.25">
      <c r="A13" s="105" t="s">
        <v>575</v>
      </c>
      <c r="B13" s="106"/>
      <c r="C13" s="106"/>
      <c r="D13" s="106"/>
      <c r="E13" s="106"/>
      <c r="F13" s="106"/>
      <c r="G13" s="106"/>
      <c r="H13" s="35">
        <v>29.92</v>
      </c>
      <c r="I13" s="36">
        <f>G12*H13</f>
        <v>359.04</v>
      </c>
      <c r="J13">
        <v>2</v>
      </c>
    </row>
    <row r="14" spans="1:21" x14ac:dyDescent="0.25">
      <c r="A14" s="107"/>
      <c r="B14" s="107"/>
      <c r="C14" s="107"/>
      <c r="D14" s="107"/>
      <c r="E14" s="107"/>
      <c r="F14" s="107"/>
      <c r="G14" s="107"/>
      <c r="H14" s="70">
        <v>67.42</v>
      </c>
      <c r="I14" s="71">
        <f>I12+I13</f>
        <v>809.04</v>
      </c>
      <c r="J14">
        <v>5</v>
      </c>
    </row>
    <row r="15" spans="1:21" x14ac:dyDescent="0.25">
      <c r="B15" s="31">
        <v>2</v>
      </c>
      <c r="C15" s="32" t="s">
        <v>129</v>
      </c>
      <c r="D15" s="33" t="s">
        <v>24</v>
      </c>
      <c r="G15" s="34">
        <v>17</v>
      </c>
      <c r="H15" s="35">
        <v>75</v>
      </c>
      <c r="I15" s="36">
        <f>G15*H15</f>
        <v>1275</v>
      </c>
      <c r="J15">
        <v>1</v>
      </c>
    </row>
    <row r="16" spans="1:21" x14ac:dyDescent="0.25">
      <c r="A16" s="105" t="s">
        <v>576</v>
      </c>
      <c r="B16" s="106"/>
      <c r="C16" s="106"/>
      <c r="D16" s="106"/>
      <c r="E16" s="106"/>
      <c r="F16" s="106"/>
      <c r="G16" s="106"/>
      <c r="H16" s="35">
        <v>61.199999999999996</v>
      </c>
      <c r="I16" s="36">
        <f>G15*H16</f>
        <v>1040.3999999999999</v>
      </c>
      <c r="J16">
        <v>2</v>
      </c>
    </row>
    <row r="17" spans="1:10" x14ac:dyDescent="0.25">
      <c r="A17" s="107"/>
      <c r="B17" s="107"/>
      <c r="C17" s="107"/>
      <c r="D17" s="107"/>
      <c r="E17" s="107"/>
      <c r="F17" s="107"/>
      <c r="G17" s="107"/>
      <c r="H17" s="70">
        <v>136.19999999999999</v>
      </c>
      <c r="I17" s="71">
        <f>I15+I16</f>
        <v>2315.3999999999996</v>
      </c>
      <c r="J17">
        <v>5</v>
      </c>
    </row>
    <row r="18" spans="1:10" x14ac:dyDescent="0.25">
      <c r="A18" s="73"/>
      <c r="B18" s="25">
        <v>3</v>
      </c>
      <c r="C18" s="26" t="s">
        <v>130</v>
      </c>
      <c r="D18" s="27" t="s">
        <v>24</v>
      </c>
      <c r="E18" s="28"/>
      <c r="F18" s="28"/>
      <c r="G18" s="29">
        <v>8</v>
      </c>
      <c r="H18" s="22">
        <v>56.25</v>
      </c>
      <c r="I18" s="30">
        <f>G18*H18</f>
        <v>450</v>
      </c>
      <c r="J18">
        <v>1</v>
      </c>
    </row>
    <row r="19" spans="1:10" x14ac:dyDescent="0.25">
      <c r="A19" s="105" t="s">
        <v>577</v>
      </c>
      <c r="B19" s="106"/>
      <c r="C19" s="106"/>
      <c r="D19" s="106"/>
      <c r="E19" s="106"/>
      <c r="F19" s="106"/>
      <c r="G19" s="106"/>
      <c r="H19" s="35">
        <v>44.88</v>
      </c>
      <c r="I19" s="36">
        <f>G18*H19</f>
        <v>359.04</v>
      </c>
      <c r="J19">
        <v>2</v>
      </c>
    </row>
    <row r="20" spans="1:10" x14ac:dyDescent="0.25">
      <c r="A20" s="107"/>
      <c r="B20" s="107"/>
      <c r="C20" s="107"/>
      <c r="D20" s="107"/>
      <c r="E20" s="107"/>
      <c r="F20" s="107"/>
      <c r="G20" s="107"/>
      <c r="H20" s="70">
        <v>101.13</v>
      </c>
      <c r="I20" s="71">
        <f>I18+I19</f>
        <v>809.04</v>
      </c>
      <c r="J20">
        <v>5</v>
      </c>
    </row>
    <row r="21" spans="1:10" x14ac:dyDescent="0.25">
      <c r="A21" s="73"/>
      <c r="B21" s="25">
        <v>4</v>
      </c>
      <c r="C21" s="26" t="s">
        <v>131</v>
      </c>
      <c r="D21" s="27" t="s">
        <v>25</v>
      </c>
      <c r="E21" s="28"/>
      <c r="F21" s="28"/>
      <c r="G21" s="29">
        <v>17</v>
      </c>
      <c r="H21" s="22">
        <v>99.99</v>
      </c>
      <c r="I21" s="30">
        <f>G21*H21</f>
        <v>1699.83</v>
      </c>
      <c r="J21">
        <v>1</v>
      </c>
    </row>
    <row r="22" spans="1:10" x14ac:dyDescent="0.25">
      <c r="A22" s="105" t="s">
        <v>132</v>
      </c>
      <c r="B22" s="106"/>
      <c r="C22" s="106"/>
      <c r="D22" s="106"/>
      <c r="E22" s="106"/>
      <c r="F22" s="106"/>
      <c r="G22" s="106"/>
      <c r="H22" s="35">
        <v>80.240000000000009</v>
      </c>
      <c r="I22" s="36">
        <f>G21*H22</f>
        <v>1364.0800000000002</v>
      </c>
      <c r="J22">
        <v>2</v>
      </c>
    </row>
    <row r="23" spans="1:10" x14ac:dyDescent="0.25">
      <c r="A23" s="107"/>
      <c r="B23" s="107"/>
      <c r="C23" s="107"/>
      <c r="D23" s="107"/>
      <c r="E23" s="107"/>
      <c r="F23" s="107"/>
      <c r="G23" s="107"/>
      <c r="H23" s="70">
        <v>180.23000000000002</v>
      </c>
      <c r="I23" s="71">
        <f>I21+I22</f>
        <v>3063.91</v>
      </c>
      <c r="J23">
        <v>5</v>
      </c>
    </row>
    <row r="24" spans="1:10" x14ac:dyDescent="0.25">
      <c r="A24" s="73"/>
      <c r="B24" s="25">
        <v>5</v>
      </c>
      <c r="C24" s="26" t="s">
        <v>133</v>
      </c>
      <c r="D24" s="27" t="s">
        <v>25</v>
      </c>
      <c r="E24" s="28"/>
      <c r="F24" s="28"/>
      <c r="G24" s="29">
        <v>12</v>
      </c>
      <c r="H24" s="22">
        <v>13</v>
      </c>
      <c r="I24" s="30">
        <f>G24*H24</f>
        <v>156</v>
      </c>
      <c r="J24">
        <v>1</v>
      </c>
    </row>
    <row r="25" spans="1:10" x14ac:dyDescent="0.25">
      <c r="A25" s="105" t="s">
        <v>134</v>
      </c>
      <c r="B25" s="106"/>
      <c r="C25" s="106"/>
      <c r="D25" s="106"/>
      <c r="E25" s="106"/>
      <c r="F25" s="106"/>
      <c r="G25" s="106"/>
      <c r="H25" s="35">
        <v>9.5200000000000014</v>
      </c>
      <c r="I25" s="36">
        <f>G24*H25</f>
        <v>114.24000000000001</v>
      </c>
      <c r="J25">
        <v>2</v>
      </c>
    </row>
    <row r="26" spans="1:10" x14ac:dyDescent="0.25">
      <c r="A26" s="107"/>
      <c r="B26" s="107"/>
      <c r="C26" s="107"/>
      <c r="D26" s="107"/>
      <c r="E26" s="107"/>
      <c r="F26" s="107"/>
      <c r="G26" s="107"/>
      <c r="H26" s="70">
        <v>22.520000000000003</v>
      </c>
      <c r="I26" s="71">
        <f>I24+I25</f>
        <v>270.24</v>
      </c>
      <c r="J26">
        <v>5</v>
      </c>
    </row>
    <row r="27" spans="1:10" x14ac:dyDescent="0.25">
      <c r="A27" s="73"/>
      <c r="B27" s="25">
        <v>6</v>
      </c>
      <c r="C27" s="26" t="s">
        <v>135</v>
      </c>
      <c r="D27" s="27" t="s">
        <v>25</v>
      </c>
      <c r="E27" s="28"/>
      <c r="F27" s="28"/>
      <c r="G27" s="29">
        <v>8</v>
      </c>
      <c r="H27" s="22">
        <v>16</v>
      </c>
      <c r="I27" s="30">
        <f>G27*H27</f>
        <v>128</v>
      </c>
      <c r="J27">
        <v>1</v>
      </c>
    </row>
    <row r="28" spans="1:10" x14ac:dyDescent="0.25">
      <c r="A28" s="105" t="s">
        <v>136</v>
      </c>
      <c r="B28" s="106"/>
      <c r="C28" s="106"/>
      <c r="D28" s="106"/>
      <c r="E28" s="106"/>
      <c r="F28" s="106"/>
      <c r="G28" s="106"/>
      <c r="H28" s="35">
        <v>12.24</v>
      </c>
      <c r="I28" s="36">
        <f>G27*H28</f>
        <v>97.92</v>
      </c>
      <c r="J28">
        <v>2</v>
      </c>
    </row>
    <row r="29" spans="1:10" x14ac:dyDescent="0.25">
      <c r="A29" s="107"/>
      <c r="B29" s="107"/>
      <c r="C29" s="107"/>
      <c r="D29" s="107"/>
      <c r="E29" s="107"/>
      <c r="F29" s="107"/>
      <c r="G29" s="107"/>
      <c r="H29" s="70">
        <v>28.240000000000002</v>
      </c>
      <c r="I29" s="71">
        <f>I27+I28</f>
        <v>225.92000000000002</v>
      </c>
      <c r="J29">
        <v>5</v>
      </c>
    </row>
    <row r="30" spans="1:10" x14ac:dyDescent="0.25">
      <c r="A30" s="73"/>
      <c r="B30" s="25">
        <v>7</v>
      </c>
      <c r="C30" s="26" t="s">
        <v>116</v>
      </c>
      <c r="D30" s="27" t="s">
        <v>25</v>
      </c>
      <c r="E30" s="28"/>
      <c r="F30" s="28"/>
      <c r="G30" s="29">
        <v>17</v>
      </c>
      <c r="H30" s="22">
        <v>18</v>
      </c>
      <c r="I30" s="30">
        <f>G30*H30</f>
        <v>306</v>
      </c>
      <c r="J30">
        <v>1</v>
      </c>
    </row>
    <row r="31" spans="1:10" x14ac:dyDescent="0.25">
      <c r="A31" s="105" t="s">
        <v>117</v>
      </c>
      <c r="B31" s="106"/>
      <c r="C31" s="106"/>
      <c r="D31" s="106"/>
      <c r="E31" s="106"/>
      <c r="F31" s="106"/>
      <c r="G31" s="106"/>
      <c r="H31" s="35">
        <v>13.6</v>
      </c>
      <c r="I31" s="36">
        <f>G30*H31</f>
        <v>231.2</v>
      </c>
      <c r="J31">
        <v>2</v>
      </c>
    </row>
    <row r="32" spans="1:10" x14ac:dyDescent="0.25">
      <c r="A32" s="107"/>
      <c r="B32" s="107"/>
      <c r="C32" s="107"/>
      <c r="D32" s="107"/>
      <c r="E32" s="107"/>
      <c r="F32" s="107"/>
      <c r="G32" s="107"/>
      <c r="H32" s="70">
        <v>31.6</v>
      </c>
      <c r="I32" s="71">
        <f>I30+I31</f>
        <v>537.20000000000005</v>
      </c>
      <c r="J32">
        <v>5</v>
      </c>
    </row>
    <row r="33" spans="1:10" x14ac:dyDescent="0.25">
      <c r="A33" s="73"/>
      <c r="B33" s="25">
        <v>8</v>
      </c>
      <c r="C33" s="26" t="s">
        <v>118</v>
      </c>
      <c r="D33" s="27" t="s">
        <v>25</v>
      </c>
      <c r="E33" s="28"/>
      <c r="F33" s="28"/>
      <c r="G33" s="29">
        <v>17</v>
      </c>
      <c r="H33" s="22">
        <v>51</v>
      </c>
      <c r="I33" s="30">
        <f>G33*H33</f>
        <v>867</v>
      </c>
      <c r="J33">
        <v>1</v>
      </c>
    </row>
    <row r="34" spans="1:10" x14ac:dyDescent="0.25">
      <c r="A34" s="105" t="s">
        <v>578</v>
      </c>
      <c r="B34" s="106"/>
      <c r="C34" s="106"/>
      <c r="D34" s="106"/>
      <c r="E34" s="106"/>
      <c r="F34" s="106"/>
      <c r="G34" s="106"/>
      <c r="H34" s="35">
        <v>40.799999999999997</v>
      </c>
      <c r="I34" s="36">
        <f>G33*H34</f>
        <v>693.59999999999991</v>
      </c>
      <c r="J34">
        <v>2</v>
      </c>
    </row>
    <row r="35" spans="1:10" x14ac:dyDescent="0.25">
      <c r="A35" s="107"/>
      <c r="B35" s="107"/>
      <c r="C35" s="107"/>
      <c r="D35" s="107"/>
      <c r="E35" s="107"/>
      <c r="F35" s="107"/>
      <c r="G35" s="107"/>
      <c r="H35" s="70">
        <v>91.8</v>
      </c>
      <c r="I35" s="71">
        <f>I33+I34</f>
        <v>1560.6</v>
      </c>
      <c r="J35">
        <v>5</v>
      </c>
    </row>
    <row r="36" spans="1:10" x14ac:dyDescent="0.25">
      <c r="A36" s="73"/>
      <c r="B36" s="25">
        <v>9</v>
      </c>
      <c r="C36" s="26" t="s">
        <v>118</v>
      </c>
      <c r="D36" s="27" t="s">
        <v>25</v>
      </c>
      <c r="E36" s="28"/>
      <c r="F36" s="28"/>
      <c r="G36" s="29">
        <v>2</v>
      </c>
      <c r="H36" s="22">
        <v>51</v>
      </c>
      <c r="I36" s="30">
        <f>G36*H36</f>
        <v>102</v>
      </c>
      <c r="J36">
        <v>1</v>
      </c>
    </row>
    <row r="37" spans="1:10" x14ac:dyDescent="0.25">
      <c r="A37" s="105" t="s">
        <v>579</v>
      </c>
      <c r="B37" s="106"/>
      <c r="C37" s="106"/>
      <c r="D37" s="106"/>
      <c r="E37" s="106"/>
      <c r="F37" s="106"/>
      <c r="G37" s="106"/>
      <c r="H37" s="35">
        <v>40.799999999999997</v>
      </c>
      <c r="I37" s="36">
        <f>G36*H37</f>
        <v>81.599999999999994</v>
      </c>
      <c r="J37">
        <v>2</v>
      </c>
    </row>
    <row r="38" spans="1:10" x14ac:dyDescent="0.25">
      <c r="A38" s="107"/>
      <c r="B38" s="107"/>
      <c r="C38" s="107"/>
      <c r="D38" s="107"/>
      <c r="E38" s="107"/>
      <c r="F38" s="107"/>
      <c r="G38" s="107"/>
      <c r="H38" s="70">
        <v>91.8</v>
      </c>
      <c r="I38" s="71">
        <f>I36+I37</f>
        <v>183.6</v>
      </c>
      <c r="J38">
        <v>5</v>
      </c>
    </row>
    <row r="39" spans="1:10" x14ac:dyDescent="0.25">
      <c r="A39" s="73"/>
      <c r="B39" s="25">
        <v>10</v>
      </c>
      <c r="C39" s="26" t="s">
        <v>118</v>
      </c>
      <c r="D39" s="27" t="s">
        <v>25</v>
      </c>
      <c r="E39" s="28"/>
      <c r="F39" s="28"/>
      <c r="G39" s="29">
        <v>2</v>
      </c>
      <c r="H39" s="22">
        <v>36</v>
      </c>
      <c r="I39" s="30">
        <f>G39*H39</f>
        <v>72</v>
      </c>
      <c r="J39">
        <v>1</v>
      </c>
    </row>
    <row r="40" spans="1:10" x14ac:dyDescent="0.25">
      <c r="A40" s="105" t="s">
        <v>580</v>
      </c>
      <c r="B40" s="106"/>
      <c r="C40" s="106"/>
      <c r="D40" s="106"/>
      <c r="E40" s="106"/>
      <c r="F40" s="106"/>
      <c r="G40" s="106"/>
      <c r="H40" s="35">
        <v>28.56</v>
      </c>
      <c r="I40" s="36">
        <f>G39*H40</f>
        <v>57.12</v>
      </c>
      <c r="J40">
        <v>2</v>
      </c>
    </row>
    <row r="41" spans="1:10" x14ac:dyDescent="0.25">
      <c r="A41" s="107"/>
      <c r="B41" s="107"/>
      <c r="C41" s="107"/>
      <c r="D41" s="107"/>
      <c r="E41" s="107"/>
      <c r="F41" s="107"/>
      <c r="G41" s="107"/>
      <c r="H41" s="70">
        <v>64.56</v>
      </c>
      <c r="I41" s="71">
        <f>I39+I40</f>
        <v>129.12</v>
      </c>
      <c r="J41">
        <v>5</v>
      </c>
    </row>
    <row r="42" spans="1:10" x14ac:dyDescent="0.25">
      <c r="A42" s="73"/>
      <c r="B42" s="25">
        <v>11</v>
      </c>
      <c r="C42" s="26" t="s">
        <v>137</v>
      </c>
      <c r="D42" s="27" t="s">
        <v>25</v>
      </c>
      <c r="E42" s="28"/>
      <c r="F42" s="28"/>
      <c r="G42" s="29">
        <v>3</v>
      </c>
      <c r="H42" s="22">
        <v>32</v>
      </c>
      <c r="I42" s="30">
        <f>G42*H42</f>
        <v>96</v>
      </c>
      <c r="J42">
        <v>1</v>
      </c>
    </row>
    <row r="43" spans="1:10" x14ac:dyDescent="0.25">
      <c r="A43" s="105" t="s">
        <v>581</v>
      </c>
      <c r="B43" s="106"/>
      <c r="C43" s="106"/>
      <c r="D43" s="106"/>
      <c r="E43" s="106"/>
      <c r="F43" s="106"/>
      <c r="G43" s="106"/>
      <c r="H43" s="35">
        <v>25.84</v>
      </c>
      <c r="I43" s="36">
        <f>G42*H43</f>
        <v>77.52</v>
      </c>
      <c r="J43">
        <v>2</v>
      </c>
    </row>
    <row r="44" spans="1:10" x14ac:dyDescent="0.25">
      <c r="A44" s="107"/>
      <c r="B44" s="107"/>
      <c r="C44" s="107"/>
      <c r="D44" s="107"/>
      <c r="E44" s="107"/>
      <c r="F44" s="107"/>
      <c r="G44" s="107"/>
      <c r="H44" s="70">
        <v>57.84</v>
      </c>
      <c r="I44" s="71">
        <f>I42+I43</f>
        <v>173.51999999999998</v>
      </c>
      <c r="J44">
        <v>5</v>
      </c>
    </row>
    <row r="45" spans="1:10" x14ac:dyDescent="0.25">
      <c r="A45" s="73"/>
      <c r="B45" s="25">
        <v>12</v>
      </c>
      <c r="C45" s="26" t="s">
        <v>138</v>
      </c>
      <c r="D45" s="27" t="s">
        <v>25</v>
      </c>
      <c r="E45" s="28"/>
      <c r="F45" s="28"/>
      <c r="G45" s="29">
        <v>2</v>
      </c>
      <c r="H45" s="22">
        <v>45</v>
      </c>
      <c r="I45" s="30">
        <f>G45*H45</f>
        <v>90</v>
      </c>
      <c r="J45">
        <v>1</v>
      </c>
    </row>
    <row r="46" spans="1:10" x14ac:dyDescent="0.25">
      <c r="A46" s="105" t="s">
        <v>582</v>
      </c>
      <c r="B46" s="106"/>
      <c r="C46" s="106"/>
      <c r="D46" s="106"/>
      <c r="E46" s="106"/>
      <c r="F46" s="106"/>
      <c r="G46" s="106"/>
      <c r="H46" s="35">
        <v>36.72</v>
      </c>
      <c r="I46" s="36">
        <f>G45*H46</f>
        <v>73.44</v>
      </c>
      <c r="J46">
        <v>2</v>
      </c>
    </row>
    <row r="47" spans="1:10" x14ac:dyDescent="0.25">
      <c r="A47" s="107"/>
      <c r="B47" s="107"/>
      <c r="C47" s="107"/>
      <c r="D47" s="107"/>
      <c r="E47" s="107"/>
      <c r="F47" s="107"/>
      <c r="G47" s="107"/>
      <c r="H47" s="70">
        <v>81.72</v>
      </c>
      <c r="I47" s="71">
        <f>I45+I46</f>
        <v>163.44</v>
      </c>
      <c r="J47">
        <v>5</v>
      </c>
    </row>
    <row r="48" spans="1:10" x14ac:dyDescent="0.25">
      <c r="A48" s="73"/>
      <c r="B48" s="25">
        <v>13</v>
      </c>
      <c r="C48" s="26" t="s">
        <v>139</v>
      </c>
      <c r="D48" s="27" t="s">
        <v>25</v>
      </c>
      <c r="E48" s="28"/>
      <c r="F48" s="28"/>
      <c r="G48" s="29">
        <v>4</v>
      </c>
      <c r="H48" s="22">
        <v>14</v>
      </c>
      <c r="I48" s="30">
        <f>G48*H48</f>
        <v>56</v>
      </c>
      <c r="J48">
        <v>1</v>
      </c>
    </row>
    <row r="49" spans="1:10" x14ac:dyDescent="0.25">
      <c r="A49" s="105" t="s">
        <v>583</v>
      </c>
      <c r="B49" s="106"/>
      <c r="C49" s="106"/>
      <c r="D49" s="106"/>
      <c r="E49" s="106"/>
      <c r="F49" s="106"/>
      <c r="G49" s="106"/>
      <c r="H49" s="35">
        <v>10.88</v>
      </c>
      <c r="I49" s="36">
        <f>G48*H49</f>
        <v>43.52</v>
      </c>
      <c r="J49">
        <v>2</v>
      </c>
    </row>
    <row r="50" spans="1:10" x14ac:dyDescent="0.25">
      <c r="A50" s="107"/>
      <c r="B50" s="107"/>
      <c r="C50" s="107"/>
      <c r="D50" s="107"/>
      <c r="E50" s="107"/>
      <c r="F50" s="107"/>
      <c r="G50" s="107"/>
      <c r="H50" s="70">
        <v>24.880000000000003</v>
      </c>
      <c r="I50" s="71">
        <f>I48+I49</f>
        <v>99.52000000000001</v>
      </c>
      <c r="J50">
        <v>5</v>
      </c>
    </row>
    <row r="51" spans="1:10" x14ac:dyDescent="0.25">
      <c r="A51" s="73"/>
      <c r="B51" s="25">
        <v>14</v>
      </c>
      <c r="C51" s="26" t="s">
        <v>140</v>
      </c>
      <c r="D51" s="27" t="s">
        <v>25</v>
      </c>
      <c r="E51" s="28"/>
      <c r="F51" s="28"/>
      <c r="G51" s="29">
        <v>8</v>
      </c>
      <c r="H51" s="22">
        <v>344</v>
      </c>
      <c r="I51" s="30">
        <f>G51*H51</f>
        <v>2752</v>
      </c>
      <c r="J51">
        <v>1</v>
      </c>
    </row>
    <row r="52" spans="1:10" x14ac:dyDescent="0.25">
      <c r="A52" s="105" t="s">
        <v>584</v>
      </c>
      <c r="B52" s="106"/>
      <c r="C52" s="106"/>
      <c r="D52" s="106"/>
      <c r="E52" s="106"/>
      <c r="F52" s="106"/>
      <c r="G52" s="106"/>
      <c r="H52" s="35">
        <v>272</v>
      </c>
      <c r="I52" s="36">
        <f>G51*H52</f>
        <v>2176</v>
      </c>
      <c r="J52">
        <v>2</v>
      </c>
    </row>
    <row r="53" spans="1:10" x14ac:dyDescent="0.25">
      <c r="A53" s="107"/>
      <c r="B53" s="107"/>
      <c r="C53" s="107"/>
      <c r="D53" s="107"/>
      <c r="E53" s="107"/>
      <c r="F53" s="107"/>
      <c r="G53" s="107"/>
      <c r="H53" s="70">
        <v>616</v>
      </c>
      <c r="I53" s="71">
        <f>I51+I52</f>
        <v>4928</v>
      </c>
      <c r="J53">
        <v>5</v>
      </c>
    </row>
    <row r="54" spans="1:10" x14ac:dyDescent="0.25">
      <c r="A54" s="73"/>
      <c r="B54" s="25">
        <v>15</v>
      </c>
      <c r="C54" s="26" t="s">
        <v>124</v>
      </c>
      <c r="D54" s="27" t="s">
        <v>25</v>
      </c>
      <c r="E54" s="28"/>
      <c r="F54" s="28"/>
      <c r="G54" s="29">
        <v>3</v>
      </c>
      <c r="H54" s="22">
        <v>94</v>
      </c>
      <c r="I54" s="30">
        <f>G54*H54</f>
        <v>282</v>
      </c>
      <c r="J54">
        <v>1</v>
      </c>
    </row>
    <row r="55" spans="1:10" x14ac:dyDescent="0.25">
      <c r="A55" s="105" t="s">
        <v>125</v>
      </c>
      <c r="B55" s="106"/>
      <c r="C55" s="106"/>
      <c r="D55" s="106"/>
      <c r="E55" s="106"/>
      <c r="F55" s="106"/>
      <c r="G55" s="106"/>
      <c r="H55" s="35">
        <v>76.160000000000011</v>
      </c>
      <c r="I55" s="36">
        <f>G54*H55</f>
        <v>228.48000000000002</v>
      </c>
      <c r="J55">
        <v>2</v>
      </c>
    </row>
    <row r="56" spans="1:10" ht="14.45" customHeight="1" x14ac:dyDescent="0.25">
      <c r="A56" s="107"/>
      <c r="B56" s="107"/>
      <c r="C56" s="107"/>
      <c r="D56" s="107"/>
      <c r="E56" s="107"/>
      <c r="F56" s="107"/>
      <c r="G56" s="107"/>
      <c r="H56" s="70">
        <v>170.16000000000003</v>
      </c>
      <c r="I56" s="71">
        <f>I54+I55</f>
        <v>510.48</v>
      </c>
      <c r="J56">
        <v>5</v>
      </c>
    </row>
    <row r="57" spans="1:10" x14ac:dyDescent="0.25">
      <c r="A57" s="73"/>
      <c r="B57" s="25">
        <v>16</v>
      </c>
      <c r="C57" s="26" t="s">
        <v>141</v>
      </c>
      <c r="D57" s="27" t="s">
        <v>25</v>
      </c>
      <c r="E57" s="28"/>
      <c r="F57" s="28"/>
      <c r="G57" s="29">
        <v>2</v>
      </c>
      <c r="H57" s="22">
        <v>320</v>
      </c>
      <c r="I57" s="30">
        <f>G57*H57</f>
        <v>640</v>
      </c>
      <c r="J57">
        <v>1</v>
      </c>
    </row>
    <row r="58" spans="1:10" x14ac:dyDescent="0.25">
      <c r="A58" s="105" t="s">
        <v>585</v>
      </c>
      <c r="B58" s="106"/>
      <c r="C58" s="106"/>
      <c r="D58" s="106"/>
      <c r="E58" s="106"/>
      <c r="F58" s="106"/>
      <c r="G58" s="106"/>
      <c r="H58" s="35">
        <v>261.12</v>
      </c>
      <c r="I58" s="36">
        <f>G57*H58</f>
        <v>522.24</v>
      </c>
      <c r="J58">
        <v>2</v>
      </c>
    </row>
    <row r="59" spans="1:10" x14ac:dyDescent="0.25">
      <c r="A59" s="107"/>
      <c r="B59" s="107"/>
      <c r="C59" s="107"/>
      <c r="D59" s="107"/>
      <c r="E59" s="107"/>
      <c r="F59" s="107"/>
      <c r="G59" s="107"/>
      <c r="H59" s="70">
        <v>581.12</v>
      </c>
      <c r="I59" s="71">
        <f>I57+I58</f>
        <v>1162.24</v>
      </c>
      <c r="J59">
        <v>5</v>
      </c>
    </row>
    <row r="60" spans="1:10" x14ac:dyDescent="0.25">
      <c r="A60" s="73"/>
      <c r="B60" s="25">
        <v>17</v>
      </c>
      <c r="C60" s="26" t="s">
        <v>142</v>
      </c>
      <c r="D60" s="27" t="s">
        <v>25</v>
      </c>
      <c r="E60" s="28"/>
      <c r="F60" s="28"/>
      <c r="G60" s="29">
        <v>2</v>
      </c>
      <c r="H60" s="22">
        <v>230</v>
      </c>
      <c r="I60" s="30">
        <f>G60*H60</f>
        <v>460</v>
      </c>
      <c r="J60">
        <v>1</v>
      </c>
    </row>
    <row r="61" spans="1:10" x14ac:dyDescent="0.25">
      <c r="A61" s="105" t="s">
        <v>586</v>
      </c>
      <c r="B61" s="106"/>
      <c r="C61" s="106"/>
      <c r="D61" s="106"/>
      <c r="E61" s="106"/>
      <c r="F61" s="106"/>
      <c r="G61" s="106"/>
      <c r="H61" s="35">
        <v>179.52</v>
      </c>
      <c r="I61" s="36">
        <f>G60*H61</f>
        <v>359.04</v>
      </c>
      <c r="J61">
        <v>2</v>
      </c>
    </row>
    <row r="62" spans="1:10" x14ac:dyDescent="0.25">
      <c r="A62" s="107"/>
      <c r="B62" s="107"/>
      <c r="C62" s="107"/>
      <c r="D62" s="107"/>
      <c r="E62" s="107"/>
      <c r="F62" s="107"/>
      <c r="G62" s="107"/>
      <c r="H62" s="70">
        <v>409.52</v>
      </c>
      <c r="I62" s="71">
        <f>I60+I61</f>
        <v>819.04</v>
      </c>
      <c r="J62">
        <v>5</v>
      </c>
    </row>
    <row r="63" spans="1:10" x14ac:dyDescent="0.25">
      <c r="B63" s="31">
        <v>18</v>
      </c>
      <c r="C63" s="32" t="s">
        <v>143</v>
      </c>
      <c r="D63" s="33" t="s">
        <v>25</v>
      </c>
      <c r="G63" s="34">
        <v>2</v>
      </c>
      <c r="H63" s="35">
        <v>450</v>
      </c>
      <c r="I63" s="36">
        <f>G63*H63</f>
        <v>900</v>
      </c>
      <c r="J63">
        <v>1</v>
      </c>
    </row>
    <row r="64" spans="1:10" x14ac:dyDescent="0.25">
      <c r="A64" s="105" t="s">
        <v>587</v>
      </c>
      <c r="B64" s="106"/>
      <c r="C64" s="106"/>
      <c r="D64" s="106"/>
      <c r="E64" s="106"/>
      <c r="F64" s="106"/>
      <c r="G64" s="106"/>
      <c r="H64" s="35">
        <v>367.2</v>
      </c>
      <c r="I64" s="36">
        <f>G63*H64</f>
        <v>734.4</v>
      </c>
      <c r="J64">
        <v>2</v>
      </c>
    </row>
    <row r="65" spans="1:10" ht="14.45" customHeight="1" x14ac:dyDescent="0.25">
      <c r="A65" s="107"/>
      <c r="B65" s="107"/>
      <c r="C65" s="107"/>
      <c r="D65" s="107"/>
      <c r="E65" s="107"/>
      <c r="F65" s="107"/>
      <c r="G65" s="107"/>
      <c r="H65" s="70">
        <v>817.2</v>
      </c>
      <c r="I65" s="71">
        <f>I63+I64</f>
        <v>1634.4</v>
      </c>
      <c r="J65">
        <v>5</v>
      </c>
    </row>
    <row r="66" spans="1:10" x14ac:dyDescent="0.25">
      <c r="A66" s="73"/>
      <c r="B66" s="25">
        <v>19</v>
      </c>
      <c r="C66" s="26" t="s">
        <v>144</v>
      </c>
      <c r="D66" s="27" t="s">
        <v>25</v>
      </c>
      <c r="E66" s="28"/>
      <c r="F66" s="28"/>
      <c r="G66" s="29">
        <v>1</v>
      </c>
      <c r="H66" s="22">
        <v>180</v>
      </c>
      <c r="I66" s="30">
        <f>G66*H66</f>
        <v>180</v>
      </c>
      <c r="J66">
        <v>1</v>
      </c>
    </row>
    <row r="67" spans="1:10" x14ac:dyDescent="0.25">
      <c r="A67" s="105" t="s">
        <v>145</v>
      </c>
      <c r="B67" s="106"/>
      <c r="C67" s="106"/>
      <c r="D67" s="106"/>
      <c r="E67" s="106"/>
      <c r="F67" s="106"/>
      <c r="G67" s="106"/>
      <c r="H67" s="35">
        <v>136</v>
      </c>
      <c r="I67" s="36">
        <f>G66*H67</f>
        <v>136</v>
      </c>
      <c r="J67">
        <v>2</v>
      </c>
    </row>
    <row r="68" spans="1:10" x14ac:dyDescent="0.25">
      <c r="A68" s="107"/>
      <c r="B68" s="107"/>
      <c r="C68" s="107"/>
      <c r="D68" s="107"/>
      <c r="E68" s="107"/>
      <c r="F68" s="107"/>
      <c r="G68" s="107"/>
      <c r="H68" s="70">
        <v>316</v>
      </c>
      <c r="I68" s="71">
        <f>I66+I67</f>
        <v>316</v>
      </c>
      <c r="J68">
        <v>5</v>
      </c>
    </row>
    <row r="69" spans="1:10" x14ac:dyDescent="0.25">
      <c r="A69" s="73"/>
      <c r="B69" s="25">
        <v>20</v>
      </c>
      <c r="C69" s="26" t="s">
        <v>146</v>
      </c>
      <c r="D69" s="27" t="s">
        <v>25</v>
      </c>
      <c r="E69" s="28"/>
      <c r="F69" s="28"/>
      <c r="G69" s="29">
        <v>1</v>
      </c>
      <c r="H69" s="22">
        <v>840</v>
      </c>
      <c r="I69" s="30">
        <f>G69*H69</f>
        <v>840</v>
      </c>
      <c r="J69">
        <v>1</v>
      </c>
    </row>
    <row r="70" spans="1:10" x14ac:dyDescent="0.25">
      <c r="A70" s="105" t="s">
        <v>588</v>
      </c>
      <c r="B70" s="106"/>
      <c r="C70" s="106"/>
      <c r="D70" s="106"/>
      <c r="E70" s="106"/>
      <c r="F70" s="106"/>
      <c r="G70" s="106"/>
      <c r="H70" s="35">
        <v>489.59999999999997</v>
      </c>
      <c r="I70" s="36">
        <f>G69*H70</f>
        <v>489.59999999999997</v>
      </c>
      <c r="J70">
        <v>2</v>
      </c>
    </row>
    <row r="71" spans="1:10" x14ac:dyDescent="0.25">
      <c r="A71" s="107"/>
      <c r="B71" s="107"/>
      <c r="C71" s="107"/>
      <c r="D71" s="107"/>
      <c r="E71" s="107"/>
      <c r="F71" s="107"/>
      <c r="G71" s="107"/>
      <c r="H71" s="70">
        <v>1329.6</v>
      </c>
      <c r="I71" s="71">
        <f>I69+I70</f>
        <v>1329.6</v>
      </c>
      <c r="J71">
        <v>5</v>
      </c>
    </row>
    <row r="72" spans="1:10" x14ac:dyDescent="0.25">
      <c r="A72" s="73"/>
      <c r="B72" s="25">
        <v>21</v>
      </c>
      <c r="C72" s="26" t="s">
        <v>147</v>
      </c>
      <c r="D72" s="27" t="s">
        <v>25</v>
      </c>
      <c r="E72" s="28"/>
      <c r="F72" s="28"/>
      <c r="G72" s="29">
        <v>1</v>
      </c>
      <c r="H72" s="84">
        <v>0</v>
      </c>
      <c r="I72" s="30">
        <f>G72*H72</f>
        <v>0</v>
      </c>
      <c r="J72">
        <v>1</v>
      </c>
    </row>
    <row r="73" spans="1:10" x14ac:dyDescent="0.25">
      <c r="A73" s="105" t="s">
        <v>589</v>
      </c>
      <c r="B73" s="106"/>
      <c r="C73" s="106"/>
      <c r="D73" s="106"/>
      <c r="E73" s="106"/>
      <c r="F73" s="106"/>
      <c r="G73" s="106"/>
      <c r="H73" s="83">
        <v>0</v>
      </c>
      <c r="I73" s="36">
        <f>G72*H73</f>
        <v>0</v>
      </c>
      <c r="J73">
        <v>2</v>
      </c>
    </row>
    <row r="74" spans="1:10" x14ac:dyDescent="0.25">
      <c r="A74" s="107"/>
      <c r="B74" s="107"/>
      <c r="C74" s="107"/>
      <c r="D74" s="107"/>
      <c r="E74" s="107"/>
      <c r="F74" s="107"/>
      <c r="G74" s="107"/>
      <c r="H74" s="90">
        <v>0</v>
      </c>
      <c r="I74" s="71">
        <f>I72+I73</f>
        <v>0</v>
      </c>
      <c r="J74">
        <v>5</v>
      </c>
    </row>
    <row r="75" spans="1:10" x14ac:dyDescent="0.25">
      <c r="B75" s="31">
        <v>22</v>
      </c>
      <c r="C75" s="32" t="s">
        <v>148</v>
      </c>
      <c r="D75" s="33" t="s">
        <v>25</v>
      </c>
      <c r="G75" s="34">
        <v>1</v>
      </c>
      <c r="H75" s="35">
        <v>138</v>
      </c>
      <c r="I75" s="36">
        <f>G75*H75</f>
        <v>138</v>
      </c>
      <c r="J75">
        <v>1</v>
      </c>
    </row>
    <row r="76" spans="1:10" x14ac:dyDescent="0.25">
      <c r="A76" s="105" t="s">
        <v>590</v>
      </c>
      <c r="B76" s="106"/>
      <c r="C76" s="106"/>
      <c r="D76" s="106"/>
      <c r="E76" s="106"/>
      <c r="F76" s="106"/>
      <c r="G76" s="106"/>
      <c r="H76" s="35">
        <v>111.52000000000001</v>
      </c>
      <c r="I76" s="36">
        <f>G75*H76</f>
        <v>111.52000000000001</v>
      </c>
      <c r="J76">
        <v>2</v>
      </c>
    </row>
    <row r="77" spans="1:10" ht="14.45" customHeight="1" x14ac:dyDescent="0.25">
      <c r="A77" s="107"/>
      <c r="B77" s="107"/>
      <c r="C77" s="107"/>
      <c r="D77" s="107"/>
      <c r="E77" s="107"/>
      <c r="F77" s="107"/>
      <c r="G77" s="107"/>
      <c r="H77" s="70">
        <v>249.52</v>
      </c>
      <c r="I77" s="71">
        <f>I75+I76</f>
        <v>249.52</v>
      </c>
      <c r="J77">
        <v>5</v>
      </c>
    </row>
    <row r="78" spans="1:10" x14ac:dyDescent="0.25">
      <c r="A78" s="73"/>
      <c r="B78" s="25">
        <v>23</v>
      </c>
      <c r="C78" s="26" t="s">
        <v>77</v>
      </c>
      <c r="D78" s="27" t="s">
        <v>24</v>
      </c>
      <c r="E78" s="28"/>
      <c r="F78" s="28"/>
      <c r="G78" s="29">
        <v>42</v>
      </c>
      <c r="H78" s="22">
        <v>0</v>
      </c>
      <c r="I78" s="30">
        <f>G78*H78</f>
        <v>0</v>
      </c>
      <c r="J78">
        <v>1</v>
      </c>
    </row>
    <row r="79" spans="1:10" x14ac:dyDescent="0.25">
      <c r="A79" s="105" t="s">
        <v>78</v>
      </c>
      <c r="B79" s="106"/>
      <c r="C79" s="106"/>
      <c r="D79" s="106"/>
      <c r="E79" s="106"/>
      <c r="F79" s="106"/>
      <c r="G79" s="106"/>
      <c r="H79" s="35">
        <v>4.08</v>
      </c>
      <c r="I79" s="36">
        <f>G78*H79</f>
        <v>171.36</v>
      </c>
      <c r="J79">
        <v>2</v>
      </c>
    </row>
    <row r="80" spans="1:10" x14ac:dyDescent="0.25">
      <c r="A80" s="107"/>
      <c r="B80" s="107"/>
      <c r="C80" s="107"/>
      <c r="D80" s="107"/>
      <c r="E80" s="107"/>
      <c r="F80" s="107"/>
      <c r="G80" s="107"/>
      <c r="H80" s="70">
        <v>4.08</v>
      </c>
      <c r="I80" s="71">
        <f>I78+I79</f>
        <v>171.36</v>
      </c>
      <c r="J80">
        <v>5</v>
      </c>
    </row>
    <row r="81" spans="1:10" x14ac:dyDescent="0.25">
      <c r="A81" s="73"/>
      <c r="B81" s="25">
        <v>24</v>
      </c>
      <c r="C81" s="26" t="s">
        <v>149</v>
      </c>
      <c r="D81" s="27" t="s">
        <v>22</v>
      </c>
      <c r="E81" s="28"/>
      <c r="F81" s="28"/>
      <c r="G81" s="29">
        <v>76</v>
      </c>
      <c r="H81" s="22">
        <v>43</v>
      </c>
      <c r="I81" s="30">
        <f>G81*H81</f>
        <v>3268</v>
      </c>
      <c r="J81">
        <v>1</v>
      </c>
    </row>
    <row r="82" spans="1:10" x14ac:dyDescent="0.25">
      <c r="A82" s="105" t="s">
        <v>591</v>
      </c>
      <c r="B82" s="106"/>
      <c r="C82" s="106"/>
      <c r="D82" s="106"/>
      <c r="E82" s="106"/>
      <c r="F82" s="106"/>
      <c r="G82" s="106"/>
      <c r="H82" s="35">
        <v>34</v>
      </c>
      <c r="I82" s="36">
        <f>G81*H82</f>
        <v>2584</v>
      </c>
      <c r="J82">
        <v>2</v>
      </c>
    </row>
    <row r="83" spans="1:10" x14ac:dyDescent="0.25">
      <c r="A83" s="107"/>
      <c r="B83" s="107"/>
      <c r="C83" s="107"/>
      <c r="D83" s="107"/>
      <c r="E83" s="107"/>
      <c r="F83" s="107"/>
      <c r="G83" s="107"/>
      <c r="H83" s="70">
        <v>77</v>
      </c>
      <c r="I83" s="71">
        <f>I81+I82</f>
        <v>5852</v>
      </c>
      <c r="J83">
        <v>5</v>
      </c>
    </row>
    <row r="84" spans="1:10" x14ac:dyDescent="0.25">
      <c r="A84" s="73"/>
      <c r="B84" s="25">
        <v>25</v>
      </c>
      <c r="C84" s="26" t="s">
        <v>114</v>
      </c>
      <c r="D84" s="27" t="s">
        <v>25</v>
      </c>
      <c r="E84" s="28"/>
      <c r="F84" s="28"/>
      <c r="G84" s="29">
        <v>1</v>
      </c>
      <c r="H84" s="85">
        <v>0</v>
      </c>
      <c r="I84" s="30">
        <f>G84*H84</f>
        <v>0</v>
      </c>
      <c r="J84">
        <v>1</v>
      </c>
    </row>
    <row r="85" spans="1:10" x14ac:dyDescent="0.25">
      <c r="A85" s="105" t="s">
        <v>592</v>
      </c>
      <c r="B85" s="106"/>
      <c r="C85" s="106"/>
      <c r="D85" s="106"/>
      <c r="E85" s="106"/>
      <c r="F85" s="106"/>
      <c r="G85" s="106"/>
      <c r="H85" s="93">
        <v>19720</v>
      </c>
      <c r="I85" s="36">
        <f>G84*H85</f>
        <v>19720</v>
      </c>
      <c r="J85">
        <v>2</v>
      </c>
    </row>
    <row r="86" spans="1:10" x14ac:dyDescent="0.25">
      <c r="A86" s="107"/>
      <c r="B86" s="107"/>
      <c r="C86" s="107"/>
      <c r="D86" s="107"/>
      <c r="E86" s="107"/>
      <c r="F86" s="107"/>
      <c r="G86" s="107"/>
      <c r="H86" s="94">
        <v>19720</v>
      </c>
      <c r="I86" s="71">
        <f>I84+I85</f>
        <v>19720</v>
      </c>
      <c r="J86">
        <v>5</v>
      </c>
    </row>
    <row r="87" spans="1:10" x14ac:dyDescent="0.25">
      <c r="A87" s="73"/>
      <c r="B87" s="25">
        <v>26</v>
      </c>
      <c r="C87" s="26" t="s">
        <v>150</v>
      </c>
      <c r="D87" s="27" t="s">
        <v>25</v>
      </c>
      <c r="E87" s="28"/>
      <c r="F87" s="28"/>
      <c r="G87" s="29">
        <v>2</v>
      </c>
      <c r="H87" s="22">
        <v>1800</v>
      </c>
      <c r="I87" s="30">
        <f>G87*H87</f>
        <v>3600</v>
      </c>
      <c r="J87">
        <v>1</v>
      </c>
    </row>
    <row r="88" spans="1:10" x14ac:dyDescent="0.25">
      <c r="A88" s="105" t="s">
        <v>593</v>
      </c>
      <c r="B88" s="106"/>
      <c r="C88" s="106"/>
      <c r="D88" s="106"/>
      <c r="E88" s="106"/>
      <c r="F88" s="106"/>
      <c r="G88" s="106"/>
      <c r="H88" s="35">
        <v>136</v>
      </c>
      <c r="I88" s="36">
        <f>G87*H88</f>
        <v>272</v>
      </c>
      <c r="J88">
        <v>2</v>
      </c>
    </row>
    <row r="89" spans="1:10" x14ac:dyDescent="0.25">
      <c r="A89" s="107"/>
      <c r="B89" s="107"/>
      <c r="C89" s="107"/>
      <c r="D89" s="107"/>
      <c r="E89" s="107"/>
      <c r="F89" s="107"/>
      <c r="G89" s="107"/>
      <c r="H89" s="70">
        <v>1936</v>
      </c>
      <c r="I89" s="71">
        <f>I87+I88</f>
        <v>3872</v>
      </c>
      <c r="J89">
        <v>5</v>
      </c>
    </row>
    <row r="90" spans="1:10" x14ac:dyDescent="0.25">
      <c r="A90" s="73"/>
      <c r="B90" s="25">
        <v>27</v>
      </c>
      <c r="C90" s="26" t="s">
        <v>151</v>
      </c>
      <c r="D90" s="27" t="s">
        <v>25</v>
      </c>
      <c r="E90" s="28"/>
      <c r="F90" s="28"/>
      <c r="G90" s="29">
        <v>2</v>
      </c>
      <c r="H90" s="22">
        <v>430</v>
      </c>
      <c r="I90" s="30">
        <f>G90*H90</f>
        <v>860</v>
      </c>
      <c r="J90">
        <v>1</v>
      </c>
    </row>
    <row r="91" spans="1:10" x14ac:dyDescent="0.25">
      <c r="A91" s="105" t="s">
        <v>594</v>
      </c>
      <c r="B91" s="106"/>
      <c r="C91" s="106"/>
      <c r="D91" s="106"/>
      <c r="E91" s="106"/>
      <c r="F91" s="106"/>
      <c r="G91" s="106"/>
      <c r="H91" s="35">
        <v>340</v>
      </c>
      <c r="I91" s="36">
        <f>G90*H91</f>
        <v>680</v>
      </c>
      <c r="J91">
        <v>2</v>
      </c>
    </row>
    <row r="92" spans="1:10" x14ac:dyDescent="0.25">
      <c r="A92" s="107"/>
      <c r="B92" s="107"/>
      <c r="C92" s="107"/>
      <c r="D92" s="107"/>
      <c r="E92" s="107"/>
      <c r="F92" s="107"/>
      <c r="G92" s="107"/>
      <c r="H92" s="70">
        <v>770</v>
      </c>
      <c r="I92" s="71">
        <f>I90+I91</f>
        <v>1540</v>
      </c>
      <c r="J92">
        <v>5</v>
      </c>
    </row>
    <row r="93" spans="1:10" x14ac:dyDescent="0.25">
      <c r="A93" s="73"/>
      <c r="B93" s="25">
        <v>28</v>
      </c>
      <c r="C93" s="26" t="s">
        <v>103</v>
      </c>
      <c r="D93" s="27" t="s">
        <v>25</v>
      </c>
      <c r="E93" s="28"/>
      <c r="F93" s="28"/>
      <c r="G93" s="29">
        <v>3</v>
      </c>
      <c r="H93" s="22">
        <v>56</v>
      </c>
      <c r="I93" s="30">
        <f>G93*H93</f>
        <v>168</v>
      </c>
      <c r="J93">
        <v>1</v>
      </c>
    </row>
    <row r="94" spans="1:10" x14ac:dyDescent="0.25">
      <c r="A94" s="105" t="s">
        <v>595</v>
      </c>
      <c r="B94" s="106"/>
      <c r="C94" s="106"/>
      <c r="D94" s="106"/>
      <c r="E94" s="106"/>
      <c r="F94" s="106"/>
      <c r="G94" s="106"/>
      <c r="H94" s="35">
        <v>44.88</v>
      </c>
      <c r="I94" s="36">
        <f>G93*H94</f>
        <v>134.64000000000001</v>
      </c>
      <c r="J94">
        <v>2</v>
      </c>
    </row>
    <row r="95" spans="1:10" x14ac:dyDescent="0.25">
      <c r="A95" s="107"/>
      <c r="B95" s="107"/>
      <c r="C95" s="107"/>
      <c r="D95" s="107"/>
      <c r="E95" s="107"/>
      <c r="F95" s="107"/>
      <c r="G95" s="107"/>
      <c r="H95" s="70">
        <v>100.88</v>
      </c>
      <c r="I95" s="71">
        <f>I93+I94</f>
        <v>302.64</v>
      </c>
      <c r="J95">
        <v>5</v>
      </c>
    </row>
    <row r="96" spans="1:10" x14ac:dyDescent="0.25">
      <c r="A96" s="73"/>
      <c r="B96" s="25">
        <v>29</v>
      </c>
      <c r="C96" s="26" t="s">
        <v>152</v>
      </c>
      <c r="D96" s="27" t="s">
        <v>25</v>
      </c>
      <c r="E96" s="28"/>
      <c r="F96" s="28"/>
      <c r="G96" s="29">
        <v>1</v>
      </c>
      <c r="H96" s="22">
        <v>2300</v>
      </c>
      <c r="I96" s="30">
        <f>G96*H96</f>
        <v>2300</v>
      </c>
      <c r="J96">
        <v>1</v>
      </c>
    </row>
    <row r="97" spans="1:19" x14ac:dyDescent="0.25">
      <c r="A97" s="105" t="s">
        <v>153</v>
      </c>
      <c r="B97" s="106"/>
      <c r="C97" s="106"/>
      <c r="D97" s="106"/>
      <c r="E97" s="106"/>
      <c r="F97" s="106"/>
      <c r="G97" s="106"/>
      <c r="H97" s="35">
        <v>1768</v>
      </c>
      <c r="I97" s="36">
        <f>G96*H97</f>
        <v>1768</v>
      </c>
      <c r="J97">
        <v>2</v>
      </c>
    </row>
    <row r="98" spans="1:19" x14ac:dyDescent="0.25">
      <c r="A98" s="107"/>
      <c r="B98" s="107"/>
      <c r="C98" s="107"/>
      <c r="D98" s="107"/>
      <c r="E98" s="107"/>
      <c r="F98" s="107"/>
      <c r="G98" s="107"/>
      <c r="H98" s="70">
        <v>4068</v>
      </c>
      <c r="I98" s="71">
        <f>I96+I97</f>
        <v>4068</v>
      </c>
      <c r="J98">
        <v>5</v>
      </c>
    </row>
    <row r="99" spans="1:19" x14ac:dyDescent="0.25">
      <c r="B99" s="37" t="s">
        <v>26</v>
      </c>
      <c r="C99" s="32"/>
      <c r="D99" s="33"/>
      <c r="E99" s="36">
        <f>SUMIF(J12:J98,"1",I12:I98)</f>
        <v>22135.83</v>
      </c>
      <c r="F99" s="36">
        <f>SUMIF(J12:J98,"2",I12:I98)</f>
        <v>34680</v>
      </c>
      <c r="G99" s="36"/>
      <c r="H99" s="36"/>
      <c r="I99" s="36">
        <f>SUMIF(J12:J98,"5",I12:I98)</f>
        <v>56815.83</v>
      </c>
      <c r="K99" s="4">
        <f>SUMIF(J12:J98,"3",K12:K98)</f>
        <v>0</v>
      </c>
      <c r="L99" s="4">
        <f>SUMIF(J12:J98,"3",L12:L98)</f>
        <v>0</v>
      </c>
      <c r="M99" s="4">
        <f>SUMIF(J12:J98,"3",M12:M98)</f>
        <v>0</v>
      </c>
      <c r="N99" s="4">
        <f>SUMIF(J12:J98,"4",N12:N98)</f>
        <v>0</v>
      </c>
      <c r="O99" s="4">
        <f>SUMIF(J12:J98,"4",O12:O98)</f>
        <v>0</v>
      </c>
      <c r="P99" s="4">
        <f>SUMIF(J12:J98,"4",P12:P98)</f>
        <v>0</v>
      </c>
      <c r="Q99" s="4">
        <f>SUMIF(J12:J98,"4",Q12:Q98)</f>
        <v>0</v>
      </c>
      <c r="R99" s="4">
        <f>SUMIF(J12:J98,"4",R12:R98)</f>
        <v>0</v>
      </c>
      <c r="S99" s="4">
        <f>SUMIF(J12:J98,"4",S12:S98)</f>
        <v>0</v>
      </c>
    </row>
  </sheetData>
  <mergeCells count="34">
    <mergeCell ref="A97:G98"/>
    <mergeCell ref="A94:G95"/>
    <mergeCell ref="A91:G92"/>
    <mergeCell ref="A88:G89"/>
    <mergeCell ref="A85:G86"/>
    <mergeCell ref="A79:G80"/>
    <mergeCell ref="A82:G83"/>
    <mergeCell ref="A73:G74"/>
    <mergeCell ref="A70:G71"/>
    <mergeCell ref="A67:G68"/>
    <mergeCell ref="A64:G65"/>
    <mergeCell ref="A76:G77"/>
    <mergeCell ref="A61:G62"/>
    <mergeCell ref="A58:G59"/>
    <mergeCell ref="A55:G56"/>
    <mergeCell ref="A52:G53"/>
    <mergeCell ref="A49:G50"/>
    <mergeCell ref="A46:G47"/>
    <mergeCell ref="A43:G44"/>
    <mergeCell ref="A40:G41"/>
    <mergeCell ref="A37:G38"/>
    <mergeCell ref="A34:G35"/>
    <mergeCell ref="A31:G32"/>
    <mergeCell ref="A28:G29"/>
    <mergeCell ref="A25:G26"/>
    <mergeCell ref="A22:G23"/>
    <mergeCell ref="A19:G20"/>
    <mergeCell ref="A16:G17"/>
    <mergeCell ref="A1:D1"/>
    <mergeCell ref="A2:I2"/>
    <mergeCell ref="A3:I3"/>
    <mergeCell ref="A4:I4"/>
    <mergeCell ref="A5:H5"/>
    <mergeCell ref="A13:G14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15" manualBreakCount="15">
    <brk id="14" max="16383" man="1"/>
    <brk id="17" max="16383" man="1"/>
    <brk id="20" max="16383" man="1"/>
    <brk id="26" max="16383" man="1"/>
    <brk id="32" max="16383" man="1"/>
    <brk id="38" max="16383" man="1"/>
    <brk id="44" max="16383" man="1"/>
    <brk id="50" max="16383" man="1"/>
    <brk id="56" max="16383" man="1"/>
    <brk id="62" max="16383" man="1"/>
    <brk id="68" max="16383" man="1"/>
    <brk id="74" max="16383" man="1"/>
    <brk id="83" max="16383" man="1"/>
    <brk id="92" max="16383" man="1"/>
    <brk id="9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FC-BBFE-4E92-9427-EB7670BC597C}">
  <sheetPr>
    <tabColor theme="6" tint="0.59999389629810485"/>
  </sheetPr>
  <dimension ref="A1:T42"/>
  <sheetViews>
    <sheetView topLeftCell="A34" workbookViewId="0">
      <selection activeCell="U12" sqref="U12:U41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10" ht="24.75" customHeight="1" x14ac:dyDescent="0.25">
      <c r="A1" s="101" t="s">
        <v>0</v>
      </c>
      <c r="B1" s="106"/>
      <c r="C1" s="106"/>
      <c r="D1" s="106"/>
      <c r="J1">
        <v>1</v>
      </c>
    </row>
    <row r="2" spans="1:10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0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0" x14ac:dyDescent="0.25">
      <c r="A4" s="103" t="s">
        <v>28</v>
      </c>
      <c r="B4" s="106"/>
      <c r="C4" s="106"/>
      <c r="D4" s="106"/>
      <c r="E4" s="106"/>
      <c r="F4" s="106"/>
      <c r="G4" s="106"/>
      <c r="H4" s="106"/>
      <c r="I4" s="106"/>
    </row>
    <row r="5" spans="1:10" ht="15.75" thickBot="1" x14ac:dyDescent="0.3">
      <c r="A5" s="103" t="s">
        <v>154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10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10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10" x14ac:dyDescent="0.25">
      <c r="C8" s="3" t="s">
        <v>13</v>
      </c>
      <c r="D8" s="8"/>
      <c r="E8" s="9"/>
      <c r="F8" s="9"/>
      <c r="H8" s="10" t="s">
        <v>14</v>
      </c>
    </row>
    <row r="9" spans="1:10" x14ac:dyDescent="0.25">
      <c r="C9" s="3" t="s">
        <v>15</v>
      </c>
      <c r="D9" s="8"/>
      <c r="E9" s="9"/>
      <c r="F9" s="9"/>
      <c r="H9" s="10" t="s">
        <v>16</v>
      </c>
    </row>
    <row r="10" spans="1:10" x14ac:dyDescent="0.25">
      <c r="C10" s="3" t="s">
        <v>17</v>
      </c>
      <c r="D10" s="8"/>
      <c r="E10" s="9"/>
      <c r="F10" s="9"/>
      <c r="H10" s="10" t="s">
        <v>18</v>
      </c>
    </row>
    <row r="11" spans="1:10" ht="15.75" thickBot="1" x14ac:dyDescent="0.3">
      <c r="C11" s="3" t="s">
        <v>19</v>
      </c>
      <c r="D11" s="8"/>
      <c r="E11" s="9"/>
      <c r="F11" s="9"/>
      <c r="H11" s="10" t="s">
        <v>20</v>
      </c>
    </row>
    <row r="12" spans="1:10" x14ac:dyDescent="0.25">
      <c r="A12" s="11"/>
      <c r="B12" s="12">
        <v>1</v>
      </c>
      <c r="C12" s="13" t="s">
        <v>155</v>
      </c>
      <c r="D12" s="19" t="s">
        <v>25</v>
      </c>
      <c r="E12" s="20"/>
      <c r="F12" s="20"/>
      <c r="G12" s="16">
        <v>1</v>
      </c>
      <c r="H12" s="21">
        <v>700</v>
      </c>
      <c r="I12" s="18">
        <f>G12*H12</f>
        <v>700</v>
      </c>
      <c r="J12">
        <v>1</v>
      </c>
    </row>
    <row r="13" spans="1:10" x14ac:dyDescent="0.25">
      <c r="A13" s="105" t="s">
        <v>156</v>
      </c>
      <c r="B13" s="106"/>
      <c r="C13" s="106"/>
      <c r="D13" s="106"/>
      <c r="E13" s="106"/>
      <c r="F13" s="106"/>
      <c r="G13" s="106"/>
      <c r="H13" s="35">
        <v>571.19999999999993</v>
      </c>
      <c r="I13" s="36">
        <f>G12*H13</f>
        <v>571.19999999999993</v>
      </c>
      <c r="J13">
        <v>2</v>
      </c>
    </row>
    <row r="14" spans="1:10" x14ac:dyDescent="0.25">
      <c r="A14" s="107"/>
      <c r="B14" s="107"/>
      <c r="C14" s="107"/>
      <c r="D14" s="107"/>
      <c r="E14" s="107"/>
      <c r="F14" s="107"/>
      <c r="G14" s="107"/>
      <c r="H14" s="70">
        <v>1036</v>
      </c>
      <c r="I14" s="71">
        <f>I12+I13</f>
        <v>1271.1999999999998</v>
      </c>
      <c r="J14">
        <v>5</v>
      </c>
    </row>
    <row r="15" spans="1:10" x14ac:dyDescent="0.25">
      <c r="A15" s="73"/>
      <c r="B15" s="77">
        <v>2</v>
      </c>
      <c r="C15" s="78" t="s">
        <v>157</v>
      </c>
      <c r="D15" s="27" t="s">
        <v>25</v>
      </c>
      <c r="E15" s="28"/>
      <c r="F15" s="28"/>
      <c r="G15" s="79">
        <v>1</v>
      </c>
      <c r="H15" s="22">
        <v>4930</v>
      </c>
      <c r="I15" s="80">
        <f>G15*H15</f>
        <v>4930</v>
      </c>
      <c r="J15">
        <v>1</v>
      </c>
    </row>
    <row r="16" spans="1:10" x14ac:dyDescent="0.25">
      <c r="A16" s="117" t="s">
        <v>158</v>
      </c>
      <c r="B16" s="106"/>
      <c r="C16" s="106"/>
      <c r="D16" s="106"/>
      <c r="E16" s="106"/>
      <c r="F16" s="106"/>
      <c r="G16" s="106"/>
      <c r="H16" s="35">
        <v>1392</v>
      </c>
      <c r="I16" s="76">
        <f>G15*H16</f>
        <v>1392</v>
      </c>
      <c r="J16">
        <v>2</v>
      </c>
    </row>
    <row r="17" spans="1:10" x14ac:dyDescent="0.25">
      <c r="A17" s="107"/>
      <c r="B17" s="107"/>
      <c r="C17" s="107"/>
      <c r="D17" s="107"/>
      <c r="E17" s="107"/>
      <c r="F17" s="107"/>
      <c r="G17" s="107"/>
      <c r="H17" s="70">
        <v>7296.4</v>
      </c>
      <c r="I17" s="81">
        <f>I15+I16</f>
        <v>6322</v>
      </c>
      <c r="J17">
        <v>5</v>
      </c>
    </row>
    <row r="18" spans="1:10" x14ac:dyDescent="0.25">
      <c r="B18" s="31">
        <v>3</v>
      </c>
      <c r="C18" s="32" t="s">
        <v>159</v>
      </c>
      <c r="D18" s="33" t="s">
        <v>24</v>
      </c>
      <c r="G18" s="34">
        <v>51</v>
      </c>
      <c r="H18" s="35">
        <v>46</v>
      </c>
      <c r="I18" s="36">
        <f>G18*H18</f>
        <v>2346</v>
      </c>
      <c r="J18">
        <v>1</v>
      </c>
    </row>
    <row r="19" spans="1:10" x14ac:dyDescent="0.25">
      <c r="A19" s="105" t="s">
        <v>596</v>
      </c>
      <c r="B19" s="106"/>
      <c r="C19" s="106"/>
      <c r="D19" s="106"/>
      <c r="E19" s="106"/>
      <c r="F19" s="106"/>
      <c r="G19" s="106"/>
      <c r="H19" s="35">
        <v>36.72</v>
      </c>
      <c r="I19" s="36">
        <f>G18*H19</f>
        <v>1872.72</v>
      </c>
      <c r="J19">
        <v>2</v>
      </c>
    </row>
    <row r="20" spans="1:10" x14ac:dyDescent="0.25">
      <c r="A20" s="107"/>
      <c r="B20" s="107"/>
      <c r="C20" s="107"/>
      <c r="D20" s="107"/>
      <c r="E20" s="107"/>
      <c r="F20" s="107"/>
      <c r="G20" s="107"/>
      <c r="H20" s="70">
        <v>67.599999999999994</v>
      </c>
      <c r="I20" s="71">
        <f>I18+I19</f>
        <v>4218.72</v>
      </c>
      <c r="J20">
        <v>5</v>
      </c>
    </row>
    <row r="21" spans="1:10" x14ac:dyDescent="0.25">
      <c r="A21" s="73"/>
      <c r="B21" s="25">
        <v>4</v>
      </c>
      <c r="C21" s="26" t="s">
        <v>160</v>
      </c>
      <c r="D21" s="27" t="s">
        <v>24</v>
      </c>
      <c r="E21" s="28"/>
      <c r="F21" s="28"/>
      <c r="G21" s="29">
        <v>34</v>
      </c>
      <c r="H21" s="22">
        <v>20.399999999999999</v>
      </c>
      <c r="I21" s="30">
        <f>G21*H21</f>
        <v>693.59999999999991</v>
      </c>
      <c r="J21">
        <v>1</v>
      </c>
    </row>
    <row r="22" spans="1:10" x14ac:dyDescent="0.25">
      <c r="A22" s="105" t="s">
        <v>597</v>
      </c>
      <c r="B22" s="106"/>
      <c r="C22" s="106"/>
      <c r="D22" s="106"/>
      <c r="E22" s="106"/>
      <c r="F22" s="106"/>
      <c r="G22" s="106"/>
      <c r="H22" s="35">
        <v>3.2</v>
      </c>
      <c r="I22" s="36">
        <f>G21*H22</f>
        <v>108.80000000000001</v>
      </c>
      <c r="J22">
        <v>2</v>
      </c>
    </row>
    <row r="23" spans="1:10" x14ac:dyDescent="0.25">
      <c r="A23" s="107"/>
      <c r="B23" s="107"/>
      <c r="C23" s="107"/>
      <c r="D23" s="107"/>
      <c r="E23" s="107"/>
      <c r="F23" s="107"/>
      <c r="G23" s="107"/>
      <c r="H23" s="70">
        <v>25.84</v>
      </c>
      <c r="I23" s="71">
        <f>I21+I22</f>
        <v>802.39999999999986</v>
      </c>
      <c r="J23">
        <v>5</v>
      </c>
    </row>
    <row r="24" spans="1:10" x14ac:dyDescent="0.25">
      <c r="A24" s="73"/>
      <c r="B24" s="25">
        <v>5</v>
      </c>
      <c r="C24" s="26" t="s">
        <v>161</v>
      </c>
      <c r="D24" s="27" t="s">
        <v>21</v>
      </c>
      <c r="E24" s="28"/>
      <c r="F24" s="28"/>
      <c r="G24" s="29">
        <v>24</v>
      </c>
      <c r="H24" s="84">
        <v>0</v>
      </c>
      <c r="I24" s="30">
        <f>G24*H24</f>
        <v>0</v>
      </c>
      <c r="J24">
        <v>1</v>
      </c>
    </row>
    <row r="25" spans="1:10" x14ac:dyDescent="0.25">
      <c r="A25" s="117" t="s">
        <v>162</v>
      </c>
      <c r="B25" s="106"/>
      <c r="C25" s="106"/>
      <c r="D25" s="106"/>
      <c r="E25" s="106"/>
      <c r="F25" s="106"/>
      <c r="G25" s="106"/>
      <c r="H25" s="83">
        <v>0</v>
      </c>
      <c r="I25" s="76">
        <f>G24*H25</f>
        <v>0</v>
      </c>
      <c r="J25">
        <v>2</v>
      </c>
    </row>
    <row r="26" spans="1:10" ht="14.45" customHeight="1" x14ac:dyDescent="0.25">
      <c r="A26" s="107"/>
      <c r="B26" s="107"/>
      <c r="C26" s="107"/>
      <c r="D26" s="107"/>
      <c r="E26" s="107"/>
      <c r="F26" s="107"/>
      <c r="G26" s="107"/>
      <c r="H26" s="90">
        <v>0</v>
      </c>
      <c r="I26" s="81">
        <f>I24+I25</f>
        <v>0</v>
      </c>
      <c r="J26">
        <v>5</v>
      </c>
    </row>
    <row r="27" spans="1:10" x14ac:dyDescent="0.25">
      <c r="B27" s="31">
        <v>6</v>
      </c>
      <c r="C27" s="32" t="s">
        <v>163</v>
      </c>
      <c r="D27" s="33" t="s">
        <v>21</v>
      </c>
      <c r="G27" s="34">
        <v>10</v>
      </c>
      <c r="H27" s="35">
        <v>0</v>
      </c>
      <c r="I27" s="36">
        <f>G27*H27</f>
        <v>0</v>
      </c>
      <c r="J27">
        <v>1</v>
      </c>
    </row>
    <row r="28" spans="1:10" x14ac:dyDescent="0.25">
      <c r="A28" s="105" t="s">
        <v>164</v>
      </c>
      <c r="B28" s="106"/>
      <c r="C28" s="106"/>
      <c r="D28" s="106"/>
      <c r="E28" s="106"/>
      <c r="F28" s="106"/>
      <c r="G28" s="106"/>
      <c r="H28" s="35">
        <v>640</v>
      </c>
      <c r="I28" s="36">
        <f>G27*H28</f>
        <v>6400</v>
      </c>
      <c r="J28">
        <v>2</v>
      </c>
    </row>
    <row r="29" spans="1:10" x14ac:dyDescent="0.25">
      <c r="A29" s="107"/>
      <c r="B29" s="107"/>
      <c r="C29" s="107"/>
      <c r="D29" s="107"/>
      <c r="E29" s="107"/>
      <c r="F29" s="107"/>
      <c r="G29" s="107"/>
      <c r="H29" s="70">
        <v>1088</v>
      </c>
      <c r="I29" s="71">
        <f>I27+I28</f>
        <v>6400</v>
      </c>
      <c r="J29">
        <v>5</v>
      </c>
    </row>
    <row r="30" spans="1:10" x14ac:dyDescent="0.25">
      <c r="A30" s="73"/>
      <c r="B30" s="25">
        <v>7</v>
      </c>
      <c r="C30" s="26" t="s">
        <v>165</v>
      </c>
      <c r="D30" s="27" t="s">
        <v>21</v>
      </c>
      <c r="E30" s="28"/>
      <c r="F30" s="28"/>
      <c r="G30" s="29">
        <v>14</v>
      </c>
      <c r="H30" s="22">
        <v>0</v>
      </c>
      <c r="I30" s="30">
        <f>G30*H30</f>
        <v>0</v>
      </c>
      <c r="J30">
        <v>1</v>
      </c>
    </row>
    <row r="31" spans="1:10" x14ac:dyDescent="0.25">
      <c r="A31" s="105" t="s">
        <v>166</v>
      </c>
      <c r="B31" s="106"/>
      <c r="C31" s="106"/>
      <c r="D31" s="106"/>
      <c r="E31" s="106"/>
      <c r="F31" s="106"/>
      <c r="G31" s="106"/>
      <c r="H31" s="35">
        <v>0</v>
      </c>
      <c r="I31" s="36">
        <f>G30*H31</f>
        <v>0</v>
      </c>
      <c r="J31">
        <v>2</v>
      </c>
    </row>
    <row r="32" spans="1:10" x14ac:dyDescent="0.25">
      <c r="A32" s="107"/>
      <c r="B32" s="107"/>
      <c r="C32" s="107"/>
      <c r="D32" s="107"/>
      <c r="E32" s="107"/>
      <c r="F32" s="107"/>
      <c r="G32" s="107"/>
      <c r="H32" s="70">
        <v>0</v>
      </c>
      <c r="I32" s="71">
        <f>I30+I31</f>
        <v>0</v>
      </c>
      <c r="J32">
        <v>5</v>
      </c>
    </row>
    <row r="33" spans="1:19" x14ac:dyDescent="0.25">
      <c r="A33" s="73"/>
      <c r="B33" s="25">
        <v>8</v>
      </c>
      <c r="C33" s="26" t="s">
        <v>167</v>
      </c>
      <c r="D33" s="27" t="s">
        <v>21</v>
      </c>
      <c r="E33" s="28"/>
      <c r="F33" s="28"/>
      <c r="G33" s="29">
        <v>14</v>
      </c>
      <c r="H33" s="22">
        <v>0</v>
      </c>
      <c r="I33" s="30">
        <f>G33*H33</f>
        <v>0</v>
      </c>
      <c r="J33">
        <v>1</v>
      </c>
    </row>
    <row r="34" spans="1:19" x14ac:dyDescent="0.25">
      <c r="A34" s="105" t="s">
        <v>168</v>
      </c>
      <c r="B34" s="106"/>
      <c r="C34" s="106"/>
      <c r="D34" s="106"/>
      <c r="E34" s="106"/>
      <c r="F34" s="106"/>
      <c r="G34" s="106"/>
      <c r="H34" s="35">
        <v>0</v>
      </c>
      <c r="I34" s="36">
        <f>G33*H34</f>
        <v>0</v>
      </c>
      <c r="J34">
        <v>2</v>
      </c>
    </row>
    <row r="35" spans="1:19" x14ac:dyDescent="0.25">
      <c r="A35" s="107"/>
      <c r="B35" s="107"/>
      <c r="C35" s="107"/>
      <c r="D35" s="107"/>
      <c r="E35" s="107"/>
      <c r="F35" s="107"/>
      <c r="G35" s="107"/>
      <c r="H35" s="70">
        <v>0</v>
      </c>
      <c r="I35" s="71">
        <f>I33+I34</f>
        <v>0</v>
      </c>
      <c r="J35">
        <v>5</v>
      </c>
    </row>
    <row r="36" spans="1:19" x14ac:dyDescent="0.25">
      <c r="A36" s="73"/>
      <c r="B36" s="25">
        <v>9</v>
      </c>
      <c r="C36" s="26" t="s">
        <v>169</v>
      </c>
      <c r="D36" s="27" t="s">
        <v>21</v>
      </c>
      <c r="E36" s="28"/>
      <c r="F36" s="28"/>
      <c r="G36" s="29">
        <v>1.4</v>
      </c>
      <c r="H36" s="22">
        <v>0</v>
      </c>
      <c r="I36" s="30">
        <f>G36*H36</f>
        <v>0</v>
      </c>
      <c r="J36">
        <v>1</v>
      </c>
    </row>
    <row r="37" spans="1:19" x14ac:dyDescent="0.25">
      <c r="A37" s="105" t="s">
        <v>170</v>
      </c>
      <c r="B37" s="106"/>
      <c r="C37" s="106"/>
      <c r="D37" s="106"/>
      <c r="E37" s="106"/>
      <c r="F37" s="106"/>
      <c r="G37" s="106"/>
      <c r="H37" s="35">
        <v>0</v>
      </c>
      <c r="I37" s="36">
        <f>G36*H37</f>
        <v>0</v>
      </c>
      <c r="J37">
        <v>2</v>
      </c>
    </row>
    <row r="38" spans="1:19" x14ac:dyDescent="0.25">
      <c r="A38" s="107"/>
      <c r="B38" s="107"/>
      <c r="C38" s="107"/>
      <c r="D38" s="107"/>
      <c r="E38" s="107"/>
      <c r="F38" s="107"/>
      <c r="G38" s="107"/>
      <c r="H38" s="70">
        <v>0</v>
      </c>
      <c r="I38" s="71">
        <f>I36+I37</f>
        <v>0</v>
      </c>
      <c r="J38">
        <v>5</v>
      </c>
    </row>
    <row r="39" spans="1:19" x14ac:dyDescent="0.25">
      <c r="A39" s="73"/>
      <c r="B39" s="25">
        <v>10</v>
      </c>
      <c r="C39" s="26" t="s">
        <v>171</v>
      </c>
      <c r="D39" s="27" t="s">
        <v>40</v>
      </c>
      <c r="E39" s="28"/>
      <c r="F39" s="28"/>
      <c r="G39" s="29">
        <v>5</v>
      </c>
      <c r="H39" s="22">
        <v>0</v>
      </c>
      <c r="I39" s="30">
        <f>G39*H39</f>
        <v>0</v>
      </c>
      <c r="J39">
        <v>1</v>
      </c>
    </row>
    <row r="40" spans="1:19" x14ac:dyDescent="0.25">
      <c r="A40" s="105" t="s">
        <v>172</v>
      </c>
      <c r="B40" s="106"/>
      <c r="C40" s="106"/>
      <c r="D40" s="106"/>
      <c r="E40" s="106"/>
      <c r="F40" s="106"/>
      <c r="G40" s="106"/>
      <c r="H40" s="35">
        <v>32</v>
      </c>
      <c r="I40" s="36">
        <f>G39*H40</f>
        <v>160</v>
      </c>
      <c r="J40">
        <v>2</v>
      </c>
    </row>
    <row r="41" spans="1:19" x14ac:dyDescent="0.25">
      <c r="A41" s="107"/>
      <c r="B41" s="107"/>
      <c r="C41" s="107"/>
      <c r="D41" s="107"/>
      <c r="E41" s="107"/>
      <c r="F41" s="107"/>
      <c r="G41" s="107"/>
      <c r="H41" s="70">
        <v>54.4</v>
      </c>
      <c r="I41" s="71">
        <f>I39+I40</f>
        <v>160</v>
      </c>
      <c r="J41">
        <v>5</v>
      </c>
    </row>
    <row r="42" spans="1:19" x14ac:dyDescent="0.25">
      <c r="B42" s="37" t="s">
        <v>26</v>
      </c>
      <c r="C42" s="32"/>
      <c r="D42" s="33"/>
      <c r="E42" s="36">
        <f>SUMIF(J12:J41,"1",I12:I41)</f>
        <v>8669.6</v>
      </c>
      <c r="F42" s="36">
        <f>SUMIF(J12:J41,"2",I12:I41)</f>
        <v>10504.720000000001</v>
      </c>
      <c r="G42" s="36"/>
      <c r="H42" s="36"/>
      <c r="I42" s="36">
        <f>SUMIF(J12:J41,"5",I12:I41)</f>
        <v>19174.32</v>
      </c>
      <c r="K42" s="4">
        <f>SUMIF(J12:J41,"3",K12:K41)</f>
        <v>0</v>
      </c>
      <c r="L42" s="4">
        <f>SUMIF(J12:J41,"3",L12:L41)</f>
        <v>0</v>
      </c>
      <c r="M42" s="4">
        <f>SUMIF(J12:J41,"3",M12:M41)</f>
        <v>0</v>
      </c>
      <c r="N42" s="4">
        <f>SUMIF(J12:J41,"4",N12:N41)</f>
        <v>0</v>
      </c>
      <c r="O42" s="4">
        <f>SUMIF(J12:J41,"4",O12:O41)</f>
        <v>0</v>
      </c>
      <c r="P42" s="4">
        <f>SUMIF(J12:J41,"4",P12:P41)</f>
        <v>0</v>
      </c>
      <c r="Q42" s="4">
        <f>SUMIF(J12:J41,"4",Q12:Q41)</f>
        <v>0</v>
      </c>
      <c r="R42" s="4">
        <f>SUMIF(J12:J41,"4",R12:R41)</f>
        <v>0</v>
      </c>
      <c r="S42" s="4">
        <f>SUMIF(J12:J41,"4",S12:S41)</f>
        <v>0</v>
      </c>
    </row>
  </sheetData>
  <mergeCells count="15">
    <mergeCell ref="A40:G41"/>
    <mergeCell ref="A37:G38"/>
    <mergeCell ref="A34:G35"/>
    <mergeCell ref="A31:G32"/>
    <mergeCell ref="A25:G26"/>
    <mergeCell ref="A28:G29"/>
    <mergeCell ref="A22:G23"/>
    <mergeCell ref="A19:G20"/>
    <mergeCell ref="A16:G17"/>
    <mergeCell ref="A1:D1"/>
    <mergeCell ref="A2:I2"/>
    <mergeCell ref="A3:I3"/>
    <mergeCell ref="A4:I4"/>
    <mergeCell ref="A5:H5"/>
    <mergeCell ref="A13:G14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4" manualBreakCount="4">
    <brk id="14" max="16383" man="1"/>
    <brk id="17" max="16383" man="1"/>
    <brk id="23" max="16383" man="1"/>
    <brk id="3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EF0E-C421-4A99-B45E-08C215D3E62D}">
  <sheetPr>
    <tabColor theme="6" tint="0.59999389629810485"/>
  </sheetPr>
  <dimension ref="A1:AB357"/>
  <sheetViews>
    <sheetView topLeftCell="A122" workbookViewId="0">
      <selection activeCell="F357" sqref="F357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24" ht="24.75" customHeight="1" x14ac:dyDescent="0.25">
      <c r="A1" s="101" t="s">
        <v>0</v>
      </c>
      <c r="B1" s="106"/>
      <c r="C1" s="106"/>
      <c r="D1" s="106"/>
      <c r="J1">
        <v>1</v>
      </c>
    </row>
    <row r="2" spans="1:24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24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24" x14ac:dyDescent="0.25">
      <c r="A4" s="103" t="s">
        <v>173</v>
      </c>
      <c r="B4" s="106"/>
      <c r="C4" s="106"/>
      <c r="D4" s="106"/>
      <c r="E4" s="106"/>
      <c r="F4" s="106"/>
      <c r="G4" s="106"/>
      <c r="H4" s="106"/>
      <c r="I4" s="106"/>
    </row>
    <row r="5" spans="1:24" ht="15.75" thickBot="1" x14ac:dyDescent="0.3">
      <c r="A5" s="103" t="s">
        <v>174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24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24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24" x14ac:dyDescent="0.25">
      <c r="C8" s="3" t="s">
        <v>13</v>
      </c>
      <c r="D8" s="8"/>
      <c r="E8" s="9"/>
      <c r="F8" s="9"/>
      <c r="H8" s="10" t="s">
        <v>14</v>
      </c>
    </row>
    <row r="9" spans="1:24" x14ac:dyDescent="0.25">
      <c r="C9" s="3" t="s">
        <v>15</v>
      </c>
      <c r="D9" s="8"/>
      <c r="E9" s="9"/>
      <c r="F9" s="9"/>
      <c r="H9" s="10" t="s">
        <v>16</v>
      </c>
    </row>
    <row r="10" spans="1:24" x14ac:dyDescent="0.25">
      <c r="C10" s="3" t="s">
        <v>17</v>
      </c>
      <c r="D10" s="8"/>
      <c r="E10" s="9"/>
      <c r="F10" s="9"/>
      <c r="H10" s="10" t="s">
        <v>18</v>
      </c>
    </row>
    <row r="11" spans="1:24" ht="15.75" thickBot="1" x14ac:dyDescent="0.3">
      <c r="C11" s="3" t="s">
        <v>19</v>
      </c>
      <c r="D11" s="8"/>
      <c r="E11" s="9"/>
      <c r="F11" s="9"/>
      <c r="H11" s="10" t="s">
        <v>20</v>
      </c>
    </row>
    <row r="12" spans="1:24" x14ac:dyDescent="0.25">
      <c r="A12" s="11"/>
      <c r="B12" s="12">
        <v>1</v>
      </c>
      <c r="C12" s="13" t="s">
        <v>175</v>
      </c>
      <c r="D12" s="19" t="s">
        <v>25</v>
      </c>
      <c r="E12" s="20"/>
      <c r="F12" s="20"/>
      <c r="G12" s="16">
        <v>7</v>
      </c>
      <c r="H12" s="21">
        <v>740</v>
      </c>
      <c r="I12" s="18">
        <f>G12*H12</f>
        <v>5180</v>
      </c>
      <c r="J12">
        <v>1</v>
      </c>
      <c r="U12" s="89"/>
      <c r="W12" s="89"/>
      <c r="X12" s="89"/>
    </row>
    <row r="13" spans="1:24" x14ac:dyDescent="0.25">
      <c r="A13" s="105" t="s">
        <v>640</v>
      </c>
      <c r="B13" s="106"/>
      <c r="C13" s="106"/>
      <c r="D13" s="106"/>
      <c r="E13" s="106"/>
      <c r="F13" s="106"/>
      <c r="G13" s="106"/>
      <c r="H13" s="35">
        <v>355.20000000000005</v>
      </c>
      <c r="I13" s="36">
        <f>G12*H13</f>
        <v>2486.4000000000005</v>
      </c>
      <c r="J13">
        <v>2</v>
      </c>
      <c r="W13" s="89"/>
    </row>
    <row r="14" spans="1:24" x14ac:dyDescent="0.25">
      <c r="A14" s="107"/>
      <c r="B14" s="107"/>
      <c r="C14" s="107"/>
      <c r="D14" s="107"/>
      <c r="E14" s="107"/>
      <c r="F14" s="107"/>
      <c r="G14" s="107"/>
      <c r="H14" s="70">
        <v>1095.2</v>
      </c>
      <c r="I14" s="71">
        <f>I12+I13</f>
        <v>7666.4000000000005</v>
      </c>
      <c r="J14">
        <v>5</v>
      </c>
      <c r="U14" s="89"/>
      <c r="W14" s="89"/>
      <c r="X14" s="89"/>
    </row>
    <row r="15" spans="1:24" x14ac:dyDescent="0.25">
      <c r="A15" s="73"/>
      <c r="B15" s="25">
        <v>2</v>
      </c>
      <c r="C15" s="26" t="s">
        <v>175</v>
      </c>
      <c r="D15" s="27" t="s">
        <v>25</v>
      </c>
      <c r="E15" s="28"/>
      <c r="F15" s="28"/>
      <c r="G15" s="29">
        <v>11</v>
      </c>
      <c r="H15" s="22">
        <v>555</v>
      </c>
      <c r="I15" s="30">
        <f>G15*H15</f>
        <v>6105</v>
      </c>
      <c r="J15">
        <v>1</v>
      </c>
      <c r="U15" s="89"/>
      <c r="W15" s="89"/>
      <c r="X15" s="89"/>
    </row>
    <row r="16" spans="1:24" x14ac:dyDescent="0.25">
      <c r="A16" s="105" t="s">
        <v>641</v>
      </c>
      <c r="B16" s="106"/>
      <c r="C16" s="106"/>
      <c r="D16" s="106"/>
      <c r="E16" s="106"/>
      <c r="F16" s="106"/>
      <c r="G16" s="106"/>
      <c r="H16" s="35">
        <v>266.40000000000003</v>
      </c>
      <c r="I16" s="36">
        <f>G15*H16</f>
        <v>2930.4000000000005</v>
      </c>
      <c r="J16">
        <v>2</v>
      </c>
      <c r="W16" s="89"/>
    </row>
    <row r="17" spans="1:24" x14ac:dyDescent="0.25">
      <c r="A17" s="107"/>
      <c r="B17" s="107"/>
      <c r="C17" s="107"/>
      <c r="D17" s="107"/>
      <c r="E17" s="107"/>
      <c r="F17" s="107"/>
      <c r="G17" s="107"/>
      <c r="H17" s="70">
        <v>821.40000000000009</v>
      </c>
      <c r="I17" s="71">
        <f>I15+I16</f>
        <v>9035.4000000000015</v>
      </c>
      <c r="J17">
        <v>5</v>
      </c>
      <c r="U17" s="89"/>
      <c r="W17" s="89"/>
      <c r="X17" s="89"/>
    </row>
    <row r="18" spans="1:24" x14ac:dyDescent="0.25">
      <c r="A18" s="73"/>
      <c r="B18" s="25">
        <v>3</v>
      </c>
      <c r="C18" s="26" t="s">
        <v>176</v>
      </c>
      <c r="D18" s="27" t="s">
        <v>25</v>
      </c>
      <c r="E18" s="28"/>
      <c r="F18" s="28"/>
      <c r="G18" s="29">
        <v>37</v>
      </c>
      <c r="H18" s="22">
        <v>495</v>
      </c>
      <c r="I18" s="30">
        <f>G18*H18</f>
        <v>18315</v>
      </c>
      <c r="J18">
        <v>1</v>
      </c>
      <c r="U18" s="89"/>
      <c r="W18" s="89"/>
      <c r="X18" s="89"/>
    </row>
    <row r="19" spans="1:24" x14ac:dyDescent="0.25">
      <c r="A19" s="105" t="s">
        <v>642</v>
      </c>
      <c r="B19" s="106"/>
      <c r="C19" s="106"/>
      <c r="D19" s="106"/>
      <c r="E19" s="106"/>
      <c r="F19" s="106"/>
      <c r="G19" s="106"/>
      <c r="H19" s="35">
        <v>237.60000000000002</v>
      </c>
      <c r="I19" s="36">
        <f>G18*H19</f>
        <v>8791.2000000000007</v>
      </c>
      <c r="J19">
        <v>2</v>
      </c>
      <c r="W19" s="89"/>
    </row>
    <row r="20" spans="1:24" x14ac:dyDescent="0.25">
      <c r="A20" s="107"/>
      <c r="B20" s="107"/>
      <c r="C20" s="107"/>
      <c r="D20" s="107"/>
      <c r="E20" s="107"/>
      <c r="F20" s="107"/>
      <c r="G20" s="107"/>
      <c r="H20" s="70">
        <v>732.6</v>
      </c>
      <c r="I20" s="71">
        <f>I18+I19</f>
        <v>27106.2</v>
      </c>
      <c r="J20">
        <v>5</v>
      </c>
      <c r="U20" s="89"/>
      <c r="W20" s="89"/>
      <c r="X20" s="89"/>
    </row>
    <row r="21" spans="1:24" x14ac:dyDescent="0.25">
      <c r="A21" s="73"/>
      <c r="B21" s="25">
        <v>4</v>
      </c>
      <c r="C21" s="26" t="s">
        <v>176</v>
      </c>
      <c r="D21" s="27" t="s">
        <v>25</v>
      </c>
      <c r="E21" s="28"/>
      <c r="F21" s="28"/>
      <c r="G21" s="29">
        <v>17</v>
      </c>
      <c r="H21" s="22">
        <v>428</v>
      </c>
      <c r="I21" s="30">
        <f>G21*H21</f>
        <v>7276</v>
      </c>
      <c r="J21">
        <v>1</v>
      </c>
      <c r="U21" s="89"/>
      <c r="W21" s="89"/>
      <c r="X21" s="89"/>
    </row>
    <row r="22" spans="1:24" x14ac:dyDescent="0.25">
      <c r="A22" s="105" t="s">
        <v>643</v>
      </c>
      <c r="B22" s="106"/>
      <c r="C22" s="106"/>
      <c r="D22" s="106"/>
      <c r="E22" s="106"/>
      <c r="F22" s="106"/>
      <c r="G22" s="106"/>
      <c r="H22" s="35">
        <v>205.44000000000003</v>
      </c>
      <c r="I22" s="36">
        <f>G21*H22</f>
        <v>3492.4800000000005</v>
      </c>
      <c r="J22">
        <v>2</v>
      </c>
      <c r="W22" s="89"/>
    </row>
    <row r="23" spans="1:24" x14ac:dyDescent="0.25">
      <c r="A23" s="107"/>
      <c r="B23" s="107"/>
      <c r="C23" s="107"/>
      <c r="D23" s="107"/>
      <c r="E23" s="107"/>
      <c r="F23" s="107"/>
      <c r="G23" s="107"/>
      <c r="H23" s="70">
        <v>633.44000000000005</v>
      </c>
      <c r="I23" s="71">
        <f>I21+I22</f>
        <v>10768.48</v>
      </c>
      <c r="J23">
        <v>5</v>
      </c>
      <c r="U23" s="89"/>
      <c r="V23" s="89"/>
    </row>
    <row r="24" spans="1:24" x14ac:dyDescent="0.25">
      <c r="A24" s="73"/>
      <c r="B24" s="25" t="s">
        <v>645</v>
      </c>
      <c r="C24" s="26" t="s">
        <v>176</v>
      </c>
      <c r="D24" s="27" t="s">
        <v>25</v>
      </c>
      <c r="E24" s="28"/>
      <c r="F24" s="28"/>
      <c r="G24" s="29">
        <v>6</v>
      </c>
      <c r="H24" s="22">
        <v>344</v>
      </c>
      <c r="I24" s="30">
        <f>G24*H24</f>
        <v>2064</v>
      </c>
      <c r="J24">
        <v>1</v>
      </c>
      <c r="U24" s="89"/>
      <c r="V24" s="89"/>
    </row>
    <row r="25" spans="1:24" x14ac:dyDescent="0.25">
      <c r="A25" s="105" t="s">
        <v>644</v>
      </c>
      <c r="B25" s="106"/>
      <c r="C25" s="106"/>
      <c r="D25" s="106"/>
      <c r="E25" s="106"/>
      <c r="F25" s="106"/>
      <c r="G25" s="106"/>
      <c r="H25" s="35">
        <v>229.33333333333334</v>
      </c>
      <c r="I25" s="36">
        <f>G24*H25</f>
        <v>1376</v>
      </c>
      <c r="J25">
        <v>2</v>
      </c>
      <c r="U25" s="89"/>
    </row>
    <row r="26" spans="1:24" x14ac:dyDescent="0.25">
      <c r="A26" s="107"/>
      <c r="B26" s="107"/>
      <c r="C26" s="107"/>
      <c r="D26" s="107"/>
      <c r="E26" s="107"/>
      <c r="F26" s="107"/>
      <c r="G26" s="107"/>
      <c r="H26" s="70">
        <f>H25+H24</f>
        <v>573.33333333333337</v>
      </c>
      <c r="I26" s="71">
        <f>I24+I25</f>
        <v>3440</v>
      </c>
      <c r="J26">
        <v>5</v>
      </c>
      <c r="U26" s="89"/>
      <c r="V26" s="89"/>
    </row>
    <row r="27" spans="1:24" x14ac:dyDescent="0.25">
      <c r="A27" s="73"/>
      <c r="B27" s="25">
        <v>6</v>
      </c>
      <c r="C27" s="26" t="s">
        <v>177</v>
      </c>
      <c r="D27" s="27" t="s">
        <v>25</v>
      </c>
      <c r="E27" s="28"/>
      <c r="F27" s="28"/>
      <c r="G27" s="29">
        <v>12</v>
      </c>
      <c r="H27" s="22">
        <v>403</v>
      </c>
      <c r="I27" s="30">
        <f>G27*H27</f>
        <v>4836</v>
      </c>
      <c r="J27">
        <v>1</v>
      </c>
      <c r="U27" s="89"/>
      <c r="V27" s="89"/>
    </row>
    <row r="28" spans="1:24" x14ac:dyDescent="0.25">
      <c r="A28" s="105" t="s">
        <v>646</v>
      </c>
      <c r="B28" s="106"/>
      <c r="C28" s="106"/>
      <c r="D28" s="106"/>
      <c r="E28" s="106"/>
      <c r="F28" s="106"/>
      <c r="G28" s="106"/>
      <c r="H28" s="35">
        <v>268.66666666666669</v>
      </c>
      <c r="I28" s="36">
        <f>G27*H28</f>
        <v>3224</v>
      </c>
      <c r="J28">
        <v>2</v>
      </c>
      <c r="U28" s="89"/>
    </row>
    <row r="29" spans="1:24" x14ac:dyDescent="0.25">
      <c r="A29" s="107"/>
      <c r="B29" s="107"/>
      <c r="C29" s="107"/>
      <c r="D29" s="107"/>
      <c r="E29" s="107"/>
      <c r="F29" s="107"/>
      <c r="G29" s="107"/>
      <c r="H29" s="70">
        <f>H28+H27</f>
        <v>671.66666666666674</v>
      </c>
      <c r="I29" s="71">
        <f>I27+I28</f>
        <v>8060</v>
      </c>
      <c r="J29">
        <v>5</v>
      </c>
      <c r="U29" s="89"/>
      <c r="V29" s="89"/>
    </row>
    <row r="30" spans="1:24" x14ac:dyDescent="0.25">
      <c r="A30" s="73"/>
      <c r="B30" s="25">
        <v>7</v>
      </c>
      <c r="C30" s="26" t="s">
        <v>177</v>
      </c>
      <c r="D30" s="27" t="s">
        <v>25</v>
      </c>
      <c r="E30" s="28"/>
      <c r="F30" s="28"/>
      <c r="G30" s="29">
        <v>6</v>
      </c>
      <c r="H30" s="22">
        <v>327</v>
      </c>
      <c r="I30" s="30">
        <f>G30*H30</f>
        <v>1962</v>
      </c>
      <c r="J30">
        <v>1</v>
      </c>
      <c r="U30" s="89"/>
      <c r="W30" s="89"/>
      <c r="X30" s="89"/>
    </row>
    <row r="31" spans="1:24" x14ac:dyDescent="0.25">
      <c r="A31" s="105" t="s">
        <v>647</v>
      </c>
      <c r="B31" s="106"/>
      <c r="C31" s="106"/>
      <c r="D31" s="106"/>
      <c r="E31" s="106"/>
      <c r="F31" s="106"/>
      <c r="G31" s="106"/>
      <c r="H31" s="35">
        <v>156.96</v>
      </c>
      <c r="I31" s="36">
        <f>G30*H31</f>
        <v>941.76</v>
      </c>
      <c r="J31">
        <v>2</v>
      </c>
      <c r="W31" s="89"/>
    </row>
    <row r="32" spans="1:24" x14ac:dyDescent="0.25">
      <c r="A32" s="107"/>
      <c r="B32" s="107"/>
      <c r="C32" s="107"/>
      <c r="D32" s="107"/>
      <c r="E32" s="107"/>
      <c r="F32" s="107"/>
      <c r="G32" s="107"/>
      <c r="H32" s="70">
        <v>483.96000000000004</v>
      </c>
      <c r="I32" s="71">
        <f>I30+I31</f>
        <v>2903.76</v>
      </c>
      <c r="J32">
        <v>5</v>
      </c>
      <c r="U32" s="89"/>
      <c r="W32" s="89"/>
      <c r="X32" s="89"/>
    </row>
    <row r="33" spans="1:24" x14ac:dyDescent="0.25">
      <c r="A33" s="73"/>
      <c r="B33" s="25">
        <v>8</v>
      </c>
      <c r="C33" s="26" t="s">
        <v>177</v>
      </c>
      <c r="D33" s="27" t="s">
        <v>25</v>
      </c>
      <c r="E33" s="28"/>
      <c r="F33" s="28"/>
      <c r="G33" s="29">
        <v>8</v>
      </c>
      <c r="H33" s="22">
        <v>319</v>
      </c>
      <c r="I33" s="30">
        <f>G33*H33</f>
        <v>2552</v>
      </c>
      <c r="J33">
        <v>1</v>
      </c>
      <c r="U33" s="89"/>
      <c r="W33" s="89"/>
      <c r="X33" s="89"/>
    </row>
    <row r="34" spans="1:24" x14ac:dyDescent="0.25">
      <c r="A34" s="105" t="s">
        <v>648</v>
      </c>
      <c r="B34" s="106"/>
      <c r="C34" s="106"/>
      <c r="D34" s="106"/>
      <c r="E34" s="106"/>
      <c r="F34" s="106"/>
      <c r="G34" s="106"/>
      <c r="H34" s="35">
        <v>153.12</v>
      </c>
      <c r="I34" s="36">
        <f>G33*H34</f>
        <v>1224.96</v>
      </c>
      <c r="J34">
        <v>2</v>
      </c>
      <c r="W34" s="89"/>
    </row>
    <row r="35" spans="1:24" x14ac:dyDescent="0.25">
      <c r="A35" s="107"/>
      <c r="B35" s="107"/>
      <c r="C35" s="107"/>
      <c r="D35" s="107"/>
      <c r="E35" s="107"/>
      <c r="F35" s="107"/>
      <c r="G35" s="107"/>
      <c r="H35" s="70">
        <v>472.12</v>
      </c>
      <c r="I35" s="71">
        <f>I33+I34</f>
        <v>3776.96</v>
      </c>
      <c r="J35">
        <v>5</v>
      </c>
      <c r="U35" s="89"/>
      <c r="W35" s="89"/>
      <c r="X35" s="89"/>
    </row>
    <row r="36" spans="1:24" x14ac:dyDescent="0.25">
      <c r="A36" s="73"/>
      <c r="B36" s="25">
        <v>9</v>
      </c>
      <c r="C36" s="26" t="s">
        <v>177</v>
      </c>
      <c r="D36" s="27" t="s">
        <v>25</v>
      </c>
      <c r="E36" s="28"/>
      <c r="F36" s="28"/>
      <c r="G36" s="29">
        <v>10</v>
      </c>
      <c r="H36" s="22">
        <v>243</v>
      </c>
      <c r="I36" s="30">
        <f>G36*H36</f>
        <v>2430</v>
      </c>
      <c r="J36">
        <v>1</v>
      </c>
      <c r="U36" s="89"/>
      <c r="W36" s="89"/>
      <c r="X36" s="89"/>
    </row>
    <row r="37" spans="1:24" x14ac:dyDescent="0.25">
      <c r="A37" s="105" t="s">
        <v>649</v>
      </c>
      <c r="B37" s="106"/>
      <c r="C37" s="106"/>
      <c r="D37" s="106"/>
      <c r="E37" s="106"/>
      <c r="F37" s="106"/>
      <c r="G37" s="106"/>
      <c r="H37" s="35">
        <v>116.63999999999999</v>
      </c>
      <c r="I37" s="36">
        <f>G36*H37</f>
        <v>1166.3999999999999</v>
      </c>
      <c r="J37">
        <v>2</v>
      </c>
      <c r="W37" s="89"/>
    </row>
    <row r="38" spans="1:24" x14ac:dyDescent="0.25">
      <c r="A38" s="107"/>
      <c r="B38" s="107"/>
      <c r="C38" s="107"/>
      <c r="D38" s="107"/>
      <c r="E38" s="107"/>
      <c r="F38" s="107"/>
      <c r="G38" s="107"/>
      <c r="H38" s="70">
        <v>359.64</v>
      </c>
      <c r="I38" s="71">
        <f>I36+I37</f>
        <v>3596.3999999999996</v>
      </c>
      <c r="J38">
        <v>5</v>
      </c>
      <c r="U38" s="89"/>
      <c r="W38" s="89"/>
      <c r="X38" s="89"/>
    </row>
    <row r="39" spans="1:24" x14ac:dyDescent="0.25">
      <c r="A39" s="73"/>
      <c r="B39" s="25">
        <v>10</v>
      </c>
      <c r="C39" s="26" t="s">
        <v>177</v>
      </c>
      <c r="D39" s="27" t="s">
        <v>25</v>
      </c>
      <c r="E39" s="28"/>
      <c r="F39" s="28"/>
      <c r="G39" s="29">
        <v>1</v>
      </c>
      <c r="H39" s="22">
        <v>235</v>
      </c>
      <c r="I39" s="30">
        <f>G39*H39</f>
        <v>235</v>
      </c>
      <c r="J39">
        <v>1</v>
      </c>
      <c r="U39" s="89"/>
      <c r="W39" s="89"/>
      <c r="X39" s="89"/>
    </row>
    <row r="40" spans="1:24" x14ac:dyDescent="0.25">
      <c r="A40" s="105" t="s">
        <v>650</v>
      </c>
      <c r="B40" s="106"/>
      <c r="C40" s="106"/>
      <c r="D40" s="106"/>
      <c r="E40" s="106"/>
      <c r="F40" s="106"/>
      <c r="G40" s="106"/>
      <c r="H40" s="35">
        <v>112.80000000000001</v>
      </c>
      <c r="I40" s="36">
        <f>G39*H40</f>
        <v>112.80000000000001</v>
      </c>
      <c r="J40">
        <v>2</v>
      </c>
      <c r="W40" s="89"/>
    </row>
    <row r="41" spans="1:24" x14ac:dyDescent="0.25">
      <c r="A41" s="107"/>
      <c r="B41" s="107"/>
      <c r="C41" s="107"/>
      <c r="D41" s="107"/>
      <c r="E41" s="107"/>
      <c r="F41" s="107"/>
      <c r="G41" s="107"/>
      <c r="H41" s="70">
        <v>347.8</v>
      </c>
      <c r="I41" s="71">
        <f>I39+I40</f>
        <v>347.8</v>
      </c>
      <c r="J41">
        <v>5</v>
      </c>
      <c r="U41" s="89"/>
      <c r="W41" s="89"/>
      <c r="X41" s="89"/>
    </row>
    <row r="42" spans="1:24" x14ac:dyDescent="0.25">
      <c r="A42" s="73"/>
      <c r="B42" s="25">
        <v>11</v>
      </c>
      <c r="C42" s="26" t="s">
        <v>177</v>
      </c>
      <c r="D42" s="27" t="s">
        <v>25</v>
      </c>
      <c r="E42" s="28"/>
      <c r="F42" s="28"/>
      <c r="G42" s="29">
        <v>4</v>
      </c>
      <c r="H42" s="22">
        <v>155</v>
      </c>
      <c r="I42" s="30">
        <f>G42*H42</f>
        <v>620</v>
      </c>
      <c r="J42">
        <v>1</v>
      </c>
      <c r="U42" s="89"/>
      <c r="W42" s="89"/>
      <c r="X42" s="89"/>
    </row>
    <row r="43" spans="1:24" x14ac:dyDescent="0.25">
      <c r="A43" s="105" t="s">
        <v>651</v>
      </c>
      <c r="B43" s="106"/>
      <c r="C43" s="106"/>
      <c r="D43" s="106"/>
      <c r="E43" s="106"/>
      <c r="F43" s="106"/>
      <c r="G43" s="106"/>
      <c r="H43" s="35">
        <v>74.400000000000006</v>
      </c>
      <c r="I43" s="36">
        <f>G42*H43</f>
        <v>297.60000000000002</v>
      </c>
      <c r="J43">
        <v>2</v>
      </c>
      <c r="W43" s="89"/>
    </row>
    <row r="44" spans="1:24" x14ac:dyDescent="0.25">
      <c r="A44" s="107"/>
      <c r="B44" s="107"/>
      <c r="C44" s="107"/>
      <c r="D44" s="107"/>
      <c r="E44" s="107"/>
      <c r="F44" s="107"/>
      <c r="G44" s="107"/>
      <c r="H44" s="70">
        <v>229.4</v>
      </c>
      <c r="I44" s="71">
        <f>I42+I43</f>
        <v>917.6</v>
      </c>
      <c r="J44">
        <v>5</v>
      </c>
      <c r="U44" s="89"/>
      <c r="W44" s="89"/>
      <c r="X44" s="89"/>
    </row>
    <row r="45" spans="1:24" x14ac:dyDescent="0.25">
      <c r="A45" s="73"/>
      <c r="B45" s="25">
        <v>12</v>
      </c>
      <c r="C45" s="26" t="s">
        <v>177</v>
      </c>
      <c r="D45" s="27" t="s">
        <v>25</v>
      </c>
      <c r="E45" s="28"/>
      <c r="F45" s="28"/>
      <c r="G45" s="29">
        <v>6</v>
      </c>
      <c r="H45" s="22">
        <v>138</v>
      </c>
      <c r="I45" s="30">
        <f>G45*H45</f>
        <v>828</v>
      </c>
      <c r="J45">
        <v>1</v>
      </c>
      <c r="U45" s="89"/>
      <c r="W45" s="89"/>
      <c r="X45" s="89"/>
    </row>
    <row r="46" spans="1:24" x14ac:dyDescent="0.25">
      <c r="A46" s="105" t="s">
        <v>652</v>
      </c>
      <c r="B46" s="106"/>
      <c r="C46" s="106"/>
      <c r="D46" s="106"/>
      <c r="E46" s="106"/>
      <c r="F46" s="106"/>
      <c r="G46" s="106"/>
      <c r="H46" s="35">
        <v>66.239999999999995</v>
      </c>
      <c r="I46" s="36">
        <f>G45*H46</f>
        <v>397.43999999999994</v>
      </c>
      <c r="J46">
        <v>2</v>
      </c>
      <c r="W46" s="89"/>
    </row>
    <row r="47" spans="1:24" x14ac:dyDescent="0.25">
      <c r="A47" s="107"/>
      <c r="B47" s="107"/>
      <c r="C47" s="107"/>
      <c r="D47" s="107"/>
      <c r="E47" s="107"/>
      <c r="F47" s="107"/>
      <c r="G47" s="107"/>
      <c r="H47" s="70">
        <v>204.24</v>
      </c>
      <c r="I47" s="71">
        <f>I45+I46</f>
        <v>1225.44</v>
      </c>
      <c r="J47">
        <v>5</v>
      </c>
      <c r="U47" s="89"/>
      <c r="W47" s="89"/>
      <c r="X47" s="89"/>
    </row>
    <row r="48" spans="1:24" x14ac:dyDescent="0.25">
      <c r="A48" s="73"/>
      <c r="B48" s="25">
        <v>13</v>
      </c>
      <c r="C48" s="26" t="s">
        <v>178</v>
      </c>
      <c r="D48" s="27" t="s">
        <v>25</v>
      </c>
      <c r="E48" s="28"/>
      <c r="F48" s="28"/>
      <c r="G48" s="29">
        <v>11</v>
      </c>
      <c r="H48" s="22">
        <v>3200</v>
      </c>
      <c r="I48" s="30">
        <f>G48*H48</f>
        <v>35200</v>
      </c>
      <c r="J48">
        <v>1</v>
      </c>
      <c r="U48" s="89"/>
      <c r="W48" s="89"/>
      <c r="X48" s="89"/>
    </row>
    <row r="49" spans="1:24" x14ac:dyDescent="0.25">
      <c r="A49" s="105" t="s">
        <v>653</v>
      </c>
      <c r="B49" s="106"/>
      <c r="C49" s="106"/>
      <c r="D49" s="106"/>
      <c r="E49" s="106"/>
      <c r="F49" s="106"/>
      <c r="G49" s="106"/>
      <c r="H49" s="35">
        <v>700</v>
      </c>
      <c r="I49" s="36">
        <f>G48*H49</f>
        <v>7700</v>
      </c>
      <c r="J49">
        <v>2</v>
      </c>
      <c r="W49" s="89"/>
    </row>
    <row r="50" spans="1:24" x14ac:dyDescent="0.25">
      <c r="A50" s="107"/>
      <c r="B50" s="107"/>
      <c r="C50" s="107"/>
      <c r="D50" s="107"/>
      <c r="E50" s="107"/>
      <c r="F50" s="107"/>
      <c r="G50" s="107"/>
      <c r="H50" s="70">
        <v>4736</v>
      </c>
      <c r="I50" s="71">
        <f>I48+I49</f>
        <v>42900</v>
      </c>
      <c r="J50">
        <v>5</v>
      </c>
      <c r="U50" s="89"/>
      <c r="W50" s="89"/>
      <c r="X50" s="89"/>
    </row>
    <row r="51" spans="1:24" x14ac:dyDescent="0.25">
      <c r="A51" s="73"/>
      <c r="B51" s="25">
        <v>14</v>
      </c>
      <c r="C51" s="26" t="s">
        <v>178</v>
      </c>
      <c r="D51" s="27" t="s">
        <v>25</v>
      </c>
      <c r="E51" s="28"/>
      <c r="F51" s="28"/>
      <c r="G51" s="29">
        <v>1</v>
      </c>
      <c r="H51" s="22">
        <v>3200</v>
      </c>
      <c r="I51" s="30">
        <f>G51*H51</f>
        <v>3200</v>
      </c>
      <c r="J51">
        <v>1</v>
      </c>
      <c r="U51" s="89"/>
      <c r="W51" s="89"/>
      <c r="X51" s="89"/>
    </row>
    <row r="52" spans="1:24" x14ac:dyDescent="0.25">
      <c r="A52" s="105" t="s">
        <v>654</v>
      </c>
      <c r="B52" s="106"/>
      <c r="C52" s="106"/>
      <c r="D52" s="106"/>
      <c r="E52" s="106"/>
      <c r="F52" s="106"/>
      <c r="G52" s="106"/>
      <c r="H52" s="35">
        <v>700</v>
      </c>
      <c r="I52" s="36">
        <f>G51*H52</f>
        <v>700</v>
      </c>
      <c r="J52">
        <v>2</v>
      </c>
      <c r="W52" s="89"/>
    </row>
    <row r="53" spans="1:24" x14ac:dyDescent="0.25">
      <c r="A53" s="107"/>
      <c r="B53" s="107"/>
      <c r="C53" s="107"/>
      <c r="D53" s="107"/>
      <c r="E53" s="107"/>
      <c r="F53" s="107"/>
      <c r="G53" s="107"/>
      <c r="H53" s="70">
        <v>4736</v>
      </c>
      <c r="I53" s="71">
        <f>I51+I52</f>
        <v>3900</v>
      </c>
      <c r="J53">
        <v>5</v>
      </c>
      <c r="U53" s="89"/>
      <c r="W53" s="89"/>
      <c r="X53" s="89"/>
    </row>
    <row r="54" spans="1:24" x14ac:dyDescent="0.25">
      <c r="A54" s="73"/>
      <c r="B54" s="25">
        <v>15</v>
      </c>
      <c r="C54" s="26" t="s">
        <v>179</v>
      </c>
      <c r="D54" s="27" t="s">
        <v>25</v>
      </c>
      <c r="E54" s="28"/>
      <c r="F54" s="28"/>
      <c r="G54" s="29">
        <v>48</v>
      </c>
      <c r="H54" s="22">
        <v>170</v>
      </c>
      <c r="I54" s="30">
        <f>G54*H54</f>
        <v>8160</v>
      </c>
      <c r="J54">
        <v>1</v>
      </c>
      <c r="U54" s="89"/>
      <c r="W54" s="89"/>
      <c r="X54" s="89"/>
    </row>
    <row r="55" spans="1:24" x14ac:dyDescent="0.25">
      <c r="A55" s="105" t="s">
        <v>655</v>
      </c>
      <c r="B55" s="106"/>
      <c r="C55" s="106"/>
      <c r="D55" s="106"/>
      <c r="E55" s="106"/>
      <c r="F55" s="106"/>
      <c r="G55" s="106"/>
      <c r="H55" s="35">
        <v>81.600000000000009</v>
      </c>
      <c r="I55" s="36">
        <f>G54*H55</f>
        <v>3916.8</v>
      </c>
      <c r="J55">
        <v>2</v>
      </c>
      <c r="W55" s="89"/>
    </row>
    <row r="56" spans="1:24" x14ac:dyDescent="0.25">
      <c r="A56" s="107"/>
      <c r="B56" s="107"/>
      <c r="C56" s="107"/>
      <c r="D56" s="107"/>
      <c r="E56" s="107"/>
      <c r="F56" s="107"/>
      <c r="G56" s="107"/>
      <c r="H56" s="70">
        <v>251.60000000000002</v>
      </c>
      <c r="I56" s="71">
        <f>I54+I55</f>
        <v>12076.8</v>
      </c>
      <c r="J56">
        <v>5</v>
      </c>
      <c r="U56" s="89"/>
      <c r="W56" s="89"/>
      <c r="X56" s="89"/>
    </row>
    <row r="57" spans="1:24" x14ac:dyDescent="0.25">
      <c r="A57" s="73"/>
      <c r="B57" s="25">
        <v>16</v>
      </c>
      <c r="C57" s="26" t="s">
        <v>179</v>
      </c>
      <c r="D57" s="27" t="s">
        <v>25</v>
      </c>
      <c r="E57" s="28"/>
      <c r="F57" s="28"/>
      <c r="G57" s="29">
        <v>89</v>
      </c>
      <c r="H57" s="22">
        <v>168</v>
      </c>
      <c r="I57" s="30">
        <f>G57*H57</f>
        <v>14952</v>
      </c>
      <c r="J57">
        <v>1</v>
      </c>
      <c r="U57" s="89"/>
      <c r="W57" s="89"/>
      <c r="X57" s="89"/>
    </row>
    <row r="58" spans="1:24" x14ac:dyDescent="0.25">
      <c r="A58" s="105" t="s">
        <v>656</v>
      </c>
      <c r="B58" s="106"/>
      <c r="C58" s="106"/>
      <c r="D58" s="106"/>
      <c r="E58" s="106"/>
      <c r="F58" s="106"/>
      <c r="G58" s="106"/>
      <c r="H58" s="35">
        <v>80.64</v>
      </c>
      <c r="I58" s="36">
        <f>G57*H58</f>
        <v>7176.96</v>
      </c>
      <c r="J58">
        <v>2</v>
      </c>
      <c r="W58" s="89"/>
    </row>
    <row r="59" spans="1:24" x14ac:dyDescent="0.25">
      <c r="A59" s="107"/>
      <c r="B59" s="107"/>
      <c r="C59" s="107"/>
      <c r="D59" s="107"/>
      <c r="E59" s="107"/>
      <c r="F59" s="107"/>
      <c r="G59" s="107"/>
      <c r="H59" s="70">
        <v>248.64</v>
      </c>
      <c r="I59" s="71">
        <f>I57+I58</f>
        <v>22128.959999999999</v>
      </c>
      <c r="J59">
        <v>5</v>
      </c>
      <c r="U59" s="89"/>
      <c r="W59" s="89"/>
      <c r="X59" s="89"/>
    </row>
    <row r="60" spans="1:24" x14ac:dyDescent="0.25">
      <c r="A60" s="73"/>
      <c r="B60" s="25">
        <v>17</v>
      </c>
      <c r="C60" s="26" t="s">
        <v>179</v>
      </c>
      <c r="D60" s="27" t="s">
        <v>25</v>
      </c>
      <c r="E60" s="28"/>
      <c r="F60" s="28"/>
      <c r="G60" s="29">
        <v>137</v>
      </c>
      <c r="H60" s="22">
        <v>170</v>
      </c>
      <c r="I60" s="30">
        <f>G60*H60</f>
        <v>23290</v>
      </c>
      <c r="J60">
        <v>1</v>
      </c>
      <c r="U60" s="89"/>
      <c r="W60" s="89"/>
      <c r="X60" s="89"/>
    </row>
    <row r="61" spans="1:24" x14ac:dyDescent="0.25">
      <c r="A61" s="105" t="s">
        <v>657</v>
      </c>
      <c r="B61" s="106"/>
      <c r="C61" s="106"/>
      <c r="D61" s="106"/>
      <c r="E61" s="106"/>
      <c r="F61" s="106"/>
      <c r="G61" s="106"/>
      <c r="H61" s="35">
        <v>81.600000000000009</v>
      </c>
      <c r="I61" s="36">
        <f>G60*H61</f>
        <v>11179.2</v>
      </c>
      <c r="J61">
        <v>2</v>
      </c>
      <c r="W61" s="89"/>
    </row>
    <row r="62" spans="1:24" x14ac:dyDescent="0.25">
      <c r="A62" s="107"/>
      <c r="B62" s="107"/>
      <c r="C62" s="107"/>
      <c r="D62" s="107"/>
      <c r="E62" s="107"/>
      <c r="F62" s="107"/>
      <c r="G62" s="107"/>
      <c r="H62" s="70">
        <v>251.60000000000002</v>
      </c>
      <c r="I62" s="71">
        <f>I60+I61</f>
        <v>34469.199999999997</v>
      </c>
      <c r="J62">
        <v>5</v>
      </c>
      <c r="U62" s="89"/>
      <c r="W62" s="89"/>
      <c r="X62" s="89"/>
    </row>
    <row r="63" spans="1:24" x14ac:dyDescent="0.25">
      <c r="A63" s="73"/>
      <c r="B63" s="25">
        <v>18</v>
      </c>
      <c r="C63" s="26" t="s">
        <v>180</v>
      </c>
      <c r="D63" s="27" t="s">
        <v>24</v>
      </c>
      <c r="E63" s="28"/>
      <c r="F63" s="28"/>
      <c r="G63" s="29">
        <v>40</v>
      </c>
      <c r="H63" s="22">
        <v>94</v>
      </c>
      <c r="I63" s="30">
        <f>G63*H63</f>
        <v>3760</v>
      </c>
      <c r="J63">
        <v>1</v>
      </c>
      <c r="U63" s="89"/>
      <c r="W63" s="89"/>
      <c r="X63" s="89"/>
    </row>
    <row r="64" spans="1:24" x14ac:dyDescent="0.25">
      <c r="A64" s="105" t="s">
        <v>658</v>
      </c>
      <c r="B64" s="106"/>
      <c r="C64" s="106"/>
      <c r="D64" s="106"/>
      <c r="E64" s="106"/>
      <c r="F64" s="106"/>
      <c r="G64" s="106"/>
      <c r="H64" s="35">
        <v>45.120000000000005</v>
      </c>
      <c r="I64" s="36">
        <f>G63*H64</f>
        <v>1804.8000000000002</v>
      </c>
      <c r="J64">
        <v>2</v>
      </c>
      <c r="W64" s="89"/>
    </row>
    <row r="65" spans="1:24" x14ac:dyDescent="0.25">
      <c r="A65" s="107"/>
      <c r="B65" s="107"/>
      <c r="C65" s="107"/>
      <c r="D65" s="107"/>
      <c r="E65" s="107"/>
      <c r="F65" s="107"/>
      <c r="G65" s="107"/>
      <c r="H65" s="70">
        <v>139.12</v>
      </c>
      <c r="I65" s="71">
        <f>I63+I64</f>
        <v>5564.8</v>
      </c>
      <c r="J65">
        <v>5</v>
      </c>
      <c r="U65" s="89"/>
      <c r="W65" s="89"/>
      <c r="X65" s="89"/>
    </row>
    <row r="66" spans="1:24" x14ac:dyDescent="0.25">
      <c r="A66" s="73"/>
      <c r="B66" s="25">
        <v>19</v>
      </c>
      <c r="C66" s="26" t="s">
        <v>181</v>
      </c>
      <c r="D66" s="27" t="s">
        <v>24</v>
      </c>
      <c r="E66" s="28"/>
      <c r="F66" s="28"/>
      <c r="G66" s="29">
        <v>27</v>
      </c>
      <c r="H66" s="22">
        <v>86</v>
      </c>
      <c r="I66" s="30">
        <f>G66*H66</f>
        <v>2322</v>
      </c>
      <c r="J66">
        <v>1</v>
      </c>
      <c r="U66" s="89"/>
      <c r="W66" s="89"/>
      <c r="X66" s="89"/>
    </row>
    <row r="67" spans="1:24" x14ac:dyDescent="0.25">
      <c r="A67" s="105" t="s">
        <v>659</v>
      </c>
      <c r="B67" s="106"/>
      <c r="C67" s="106"/>
      <c r="D67" s="106"/>
      <c r="E67" s="106"/>
      <c r="F67" s="106"/>
      <c r="G67" s="106"/>
      <c r="H67" s="35">
        <v>41.28</v>
      </c>
      <c r="I67" s="36">
        <f>G66*H67</f>
        <v>1114.56</v>
      </c>
      <c r="J67">
        <v>2</v>
      </c>
      <c r="W67" s="89"/>
    </row>
    <row r="68" spans="1:24" x14ac:dyDescent="0.25">
      <c r="A68" s="107"/>
      <c r="B68" s="107"/>
      <c r="C68" s="107"/>
      <c r="D68" s="107"/>
      <c r="E68" s="107"/>
      <c r="F68" s="107"/>
      <c r="G68" s="107"/>
      <c r="H68" s="70">
        <v>127.28</v>
      </c>
      <c r="I68" s="71">
        <f>I66+I67</f>
        <v>3436.56</v>
      </c>
      <c r="J68">
        <v>5</v>
      </c>
      <c r="U68" s="89"/>
      <c r="W68" s="89"/>
      <c r="X68" s="89"/>
    </row>
    <row r="69" spans="1:24" x14ac:dyDescent="0.25">
      <c r="A69" s="73"/>
      <c r="B69" s="25">
        <v>20</v>
      </c>
      <c r="C69" s="26" t="s">
        <v>182</v>
      </c>
      <c r="D69" s="27" t="s">
        <v>24</v>
      </c>
      <c r="E69" s="28"/>
      <c r="F69" s="28"/>
      <c r="G69" s="29">
        <v>27</v>
      </c>
      <c r="H69" s="22">
        <v>75</v>
      </c>
      <c r="I69" s="30">
        <f>G69*H69</f>
        <v>2025</v>
      </c>
      <c r="J69">
        <v>1</v>
      </c>
      <c r="U69" s="89"/>
      <c r="W69" s="89"/>
      <c r="X69" s="89"/>
    </row>
    <row r="70" spans="1:24" x14ac:dyDescent="0.25">
      <c r="A70" s="105" t="s">
        <v>660</v>
      </c>
      <c r="B70" s="106"/>
      <c r="C70" s="106"/>
      <c r="D70" s="106"/>
      <c r="E70" s="106"/>
      <c r="F70" s="106"/>
      <c r="G70" s="106"/>
      <c r="H70" s="35">
        <v>36</v>
      </c>
      <c r="I70" s="36">
        <f>G69*H70</f>
        <v>972</v>
      </c>
      <c r="J70">
        <v>2</v>
      </c>
      <c r="W70" s="89"/>
    </row>
    <row r="71" spans="1:24" ht="14.45" customHeight="1" x14ac:dyDescent="0.25">
      <c r="A71" s="107"/>
      <c r="B71" s="107"/>
      <c r="C71" s="107"/>
      <c r="D71" s="107"/>
      <c r="E71" s="107"/>
      <c r="F71" s="107"/>
      <c r="G71" s="107"/>
      <c r="H71" s="70">
        <v>111</v>
      </c>
      <c r="I71" s="71">
        <f>I69+I70</f>
        <v>2997</v>
      </c>
      <c r="J71">
        <v>5</v>
      </c>
      <c r="U71" s="89"/>
      <c r="W71" s="89"/>
      <c r="X71" s="89"/>
    </row>
    <row r="72" spans="1:24" x14ac:dyDescent="0.25">
      <c r="A72" s="73"/>
      <c r="B72" s="25">
        <v>21</v>
      </c>
      <c r="C72" s="26" t="s">
        <v>183</v>
      </c>
      <c r="D72" s="27" t="s">
        <v>24</v>
      </c>
      <c r="E72" s="28"/>
      <c r="F72" s="28"/>
      <c r="G72" s="29">
        <v>64</v>
      </c>
      <c r="H72" s="22">
        <v>64</v>
      </c>
      <c r="I72" s="30">
        <f>G72*H72</f>
        <v>4096</v>
      </c>
      <c r="J72">
        <v>1</v>
      </c>
      <c r="U72" s="89"/>
      <c r="W72" s="89"/>
      <c r="X72" s="89"/>
    </row>
    <row r="73" spans="1:24" x14ac:dyDescent="0.25">
      <c r="A73" s="105" t="s">
        <v>661</v>
      </c>
      <c r="B73" s="106"/>
      <c r="C73" s="106"/>
      <c r="D73" s="106"/>
      <c r="E73" s="106"/>
      <c r="F73" s="106"/>
      <c r="G73" s="106"/>
      <c r="H73" s="35">
        <v>30.72</v>
      </c>
      <c r="I73" s="36">
        <f>G72*H73</f>
        <v>1966.08</v>
      </c>
      <c r="J73">
        <v>2</v>
      </c>
      <c r="W73" s="89"/>
    </row>
    <row r="74" spans="1:24" x14ac:dyDescent="0.25">
      <c r="A74" s="107"/>
      <c r="B74" s="107"/>
      <c r="C74" s="107"/>
      <c r="D74" s="107"/>
      <c r="E74" s="107"/>
      <c r="F74" s="107"/>
      <c r="G74" s="107"/>
      <c r="H74" s="70">
        <v>94.72</v>
      </c>
      <c r="I74" s="71">
        <f>I72+I73</f>
        <v>6062.08</v>
      </c>
      <c r="J74">
        <v>5</v>
      </c>
      <c r="U74" s="89"/>
      <c r="W74" s="89"/>
      <c r="X74" s="89"/>
    </row>
    <row r="75" spans="1:24" x14ac:dyDescent="0.25">
      <c r="A75" s="73"/>
      <c r="B75" s="25">
        <v>22</v>
      </c>
      <c r="C75" s="26" t="s">
        <v>184</v>
      </c>
      <c r="D75" s="27" t="s">
        <v>24</v>
      </c>
      <c r="E75" s="28"/>
      <c r="F75" s="28"/>
      <c r="G75" s="29">
        <v>3560</v>
      </c>
      <c r="H75" s="22">
        <v>5.5</v>
      </c>
      <c r="I75" s="30">
        <f>G75*H75</f>
        <v>19580</v>
      </c>
      <c r="J75">
        <v>1</v>
      </c>
      <c r="U75" s="89"/>
      <c r="W75" s="89"/>
      <c r="X75" s="89"/>
    </row>
    <row r="76" spans="1:24" x14ac:dyDescent="0.25">
      <c r="A76" s="105" t="s">
        <v>662</v>
      </c>
      <c r="B76" s="106"/>
      <c r="C76" s="106"/>
      <c r="D76" s="106"/>
      <c r="E76" s="106"/>
      <c r="F76" s="106"/>
      <c r="G76" s="106"/>
      <c r="H76" s="35">
        <v>3</v>
      </c>
      <c r="I76" s="36">
        <f>G75*H76</f>
        <v>10680</v>
      </c>
      <c r="J76">
        <v>2</v>
      </c>
      <c r="W76" s="89"/>
    </row>
    <row r="77" spans="1:24" x14ac:dyDescent="0.25">
      <c r="A77" s="107"/>
      <c r="B77" s="107"/>
      <c r="C77" s="107"/>
      <c r="D77" s="107"/>
      <c r="E77" s="107"/>
      <c r="F77" s="107"/>
      <c r="G77" s="107"/>
      <c r="H77" s="70">
        <f>H75+H76</f>
        <v>8.5</v>
      </c>
      <c r="I77" s="71">
        <f>I75+I76</f>
        <v>30260</v>
      </c>
      <c r="J77">
        <v>5</v>
      </c>
      <c r="U77" s="89"/>
      <c r="W77" s="89"/>
      <c r="X77" s="89"/>
    </row>
    <row r="78" spans="1:24" x14ac:dyDescent="0.25">
      <c r="A78" s="73"/>
      <c r="B78" s="25">
        <v>23</v>
      </c>
      <c r="C78" s="26" t="s">
        <v>185</v>
      </c>
      <c r="D78" s="27" t="s">
        <v>25</v>
      </c>
      <c r="E78" s="28"/>
      <c r="F78" s="28"/>
      <c r="G78" s="29">
        <v>6</v>
      </c>
      <c r="H78" s="22">
        <v>1692.3076923076922</v>
      </c>
      <c r="I78" s="30">
        <f>G78*H78</f>
        <v>10153.846153846152</v>
      </c>
      <c r="J78">
        <v>1</v>
      </c>
      <c r="V78" s="89"/>
      <c r="W78" s="89"/>
    </row>
    <row r="79" spans="1:24" x14ac:dyDescent="0.25">
      <c r="A79" s="105" t="s">
        <v>663</v>
      </c>
      <c r="B79" s="106"/>
      <c r="C79" s="106"/>
      <c r="D79" s="106"/>
      <c r="E79" s="106"/>
      <c r="F79" s="106"/>
      <c r="G79" s="106"/>
      <c r="H79" s="35">
        <v>812.30769230769226</v>
      </c>
      <c r="I79" s="36">
        <f>G78*H79</f>
        <v>4873.8461538461534</v>
      </c>
      <c r="J79">
        <v>2</v>
      </c>
      <c r="V79" s="89"/>
    </row>
    <row r="80" spans="1:24" x14ac:dyDescent="0.25">
      <c r="A80" s="107"/>
      <c r="B80" s="107"/>
      <c r="C80" s="107"/>
      <c r="D80" s="107"/>
      <c r="E80" s="107"/>
      <c r="F80" s="107"/>
      <c r="G80" s="107"/>
      <c r="H80" s="70">
        <v>2504.6153846153848</v>
      </c>
      <c r="I80" s="71">
        <f>I78+I79</f>
        <v>15027.692307692305</v>
      </c>
      <c r="J80">
        <v>5</v>
      </c>
      <c r="V80" s="89"/>
      <c r="W80" s="89"/>
    </row>
    <row r="81" spans="1:28" x14ac:dyDescent="0.25">
      <c r="A81" s="73"/>
      <c r="B81" s="25">
        <v>24</v>
      </c>
      <c r="C81" s="26" t="s">
        <v>185</v>
      </c>
      <c r="D81" s="27" t="s">
        <v>25</v>
      </c>
      <c r="E81" s="28"/>
      <c r="F81" s="28"/>
      <c r="G81" s="29">
        <v>8</v>
      </c>
      <c r="H81" s="22">
        <v>1384.6153846153845</v>
      </c>
      <c r="I81" s="30">
        <f>G81*H81</f>
        <v>11076.923076923076</v>
      </c>
      <c r="J81">
        <v>1</v>
      </c>
      <c r="V81" s="89"/>
      <c r="W81" s="89"/>
    </row>
    <row r="82" spans="1:28" x14ac:dyDescent="0.25">
      <c r="A82" s="105" t="s">
        <v>664</v>
      </c>
      <c r="B82" s="106"/>
      <c r="C82" s="106"/>
      <c r="D82" s="106"/>
      <c r="E82" s="106"/>
      <c r="F82" s="106"/>
      <c r="G82" s="106"/>
      <c r="H82" s="35">
        <v>664.61538461538464</v>
      </c>
      <c r="I82" s="36">
        <f>G81*H82</f>
        <v>5316.9230769230771</v>
      </c>
      <c r="J82">
        <v>2</v>
      </c>
      <c r="V82" s="89"/>
    </row>
    <row r="83" spans="1:28" x14ac:dyDescent="0.25">
      <c r="A83" s="107"/>
      <c r="B83" s="107"/>
      <c r="C83" s="107"/>
      <c r="D83" s="107"/>
      <c r="E83" s="107"/>
      <c r="F83" s="107"/>
      <c r="G83" s="107"/>
      <c r="H83" s="70">
        <v>2049.2307692307691</v>
      </c>
      <c r="I83" s="71">
        <f>I81+I82</f>
        <v>16393.846153846152</v>
      </c>
      <c r="J83">
        <v>5</v>
      </c>
      <c r="V83" s="89"/>
      <c r="W83" s="89"/>
    </row>
    <row r="84" spans="1:28" x14ac:dyDescent="0.25">
      <c r="A84" s="73"/>
      <c r="B84" s="25">
        <v>25</v>
      </c>
      <c r="C84" s="26" t="s">
        <v>185</v>
      </c>
      <c r="D84" s="27" t="s">
        <v>25</v>
      </c>
      <c r="E84" s="28"/>
      <c r="F84" s="28"/>
      <c r="G84" s="29">
        <v>5</v>
      </c>
      <c r="H84" s="22">
        <v>1353.8461538461538</v>
      </c>
      <c r="I84" s="30">
        <f>G84*H84</f>
        <v>6769.2307692307695</v>
      </c>
      <c r="J84">
        <v>1</v>
      </c>
      <c r="V84" s="89"/>
      <c r="W84" s="89"/>
    </row>
    <row r="85" spans="1:28" x14ac:dyDescent="0.25">
      <c r="A85" s="105" t="s">
        <v>665</v>
      </c>
      <c r="B85" s="106"/>
      <c r="C85" s="106"/>
      <c r="D85" s="106"/>
      <c r="E85" s="106"/>
      <c r="F85" s="106"/>
      <c r="G85" s="106"/>
      <c r="H85" s="35">
        <v>649.84615384615392</v>
      </c>
      <c r="I85" s="36">
        <f>G84*H85</f>
        <v>3249.2307692307695</v>
      </c>
      <c r="J85">
        <v>2</v>
      </c>
      <c r="V85" s="89"/>
    </row>
    <row r="86" spans="1:28" x14ac:dyDescent="0.25">
      <c r="A86" s="107"/>
      <c r="B86" s="107"/>
      <c r="C86" s="107"/>
      <c r="D86" s="107"/>
      <c r="E86" s="107"/>
      <c r="F86" s="107"/>
      <c r="G86" s="107"/>
      <c r="H86" s="70">
        <v>2003.6923076923078</v>
      </c>
      <c r="I86" s="71">
        <f>I84+I85</f>
        <v>10018.461538461539</v>
      </c>
      <c r="J86">
        <v>5</v>
      </c>
      <c r="V86" s="89"/>
      <c r="W86" s="89"/>
    </row>
    <row r="87" spans="1:28" x14ac:dyDescent="0.25">
      <c r="A87" s="73"/>
      <c r="B87" s="25">
        <v>26</v>
      </c>
      <c r="C87" s="26" t="s">
        <v>185</v>
      </c>
      <c r="D87" s="27" t="s">
        <v>25</v>
      </c>
      <c r="E87" s="28"/>
      <c r="F87" s="28"/>
      <c r="G87" s="29">
        <v>3</v>
      </c>
      <c r="H87" s="22">
        <v>1230.7692307692307</v>
      </c>
      <c r="I87" s="30">
        <f>G87*H87</f>
        <v>3692.3076923076924</v>
      </c>
      <c r="J87">
        <v>1</v>
      </c>
      <c r="V87" s="89"/>
      <c r="W87" s="89"/>
    </row>
    <row r="88" spans="1:28" x14ac:dyDescent="0.25">
      <c r="A88" s="105" t="s">
        <v>666</v>
      </c>
      <c r="B88" s="106"/>
      <c r="C88" s="106"/>
      <c r="D88" s="106"/>
      <c r="E88" s="106"/>
      <c r="F88" s="106"/>
      <c r="G88" s="106"/>
      <c r="H88" s="35">
        <v>590.76923076923072</v>
      </c>
      <c r="I88" s="36">
        <f>G87*H88</f>
        <v>1772.3076923076922</v>
      </c>
      <c r="J88">
        <v>2</v>
      </c>
      <c r="V88" s="89"/>
    </row>
    <row r="89" spans="1:28" x14ac:dyDescent="0.25">
      <c r="A89" s="107"/>
      <c r="B89" s="107"/>
      <c r="C89" s="107"/>
      <c r="D89" s="107"/>
      <c r="E89" s="107"/>
      <c r="F89" s="107"/>
      <c r="G89" s="107"/>
      <c r="H89" s="70">
        <v>1821.5384615384614</v>
      </c>
      <c r="I89" s="71">
        <f>I87+I88</f>
        <v>5464.6153846153848</v>
      </c>
      <c r="J89">
        <v>5</v>
      </c>
      <c r="V89" s="89"/>
      <c r="W89" s="89"/>
    </row>
    <row r="90" spans="1:28" x14ac:dyDescent="0.25">
      <c r="A90" s="73"/>
      <c r="B90" s="25">
        <v>27</v>
      </c>
      <c r="C90" s="26" t="s">
        <v>186</v>
      </c>
      <c r="D90" s="27" t="s">
        <v>25</v>
      </c>
      <c r="E90" s="28"/>
      <c r="F90" s="28"/>
      <c r="G90" s="29">
        <v>23</v>
      </c>
      <c r="H90" s="22">
        <v>84</v>
      </c>
      <c r="I90" s="30">
        <f>G90*H90</f>
        <v>1932</v>
      </c>
      <c r="J90">
        <v>1</v>
      </c>
      <c r="U90" s="89"/>
      <c r="W90" s="89"/>
      <c r="X90" s="89"/>
    </row>
    <row r="91" spans="1:28" x14ac:dyDescent="0.25">
      <c r="A91" s="105" t="s">
        <v>187</v>
      </c>
      <c r="B91" s="106"/>
      <c r="C91" s="106"/>
      <c r="D91" s="106"/>
      <c r="E91" s="106"/>
      <c r="F91" s="106"/>
      <c r="G91" s="106"/>
      <c r="H91" s="35">
        <v>40.32</v>
      </c>
      <c r="I91" s="36">
        <f>G90*H91</f>
        <v>927.36</v>
      </c>
      <c r="J91">
        <v>2</v>
      </c>
      <c r="W91" s="89"/>
    </row>
    <row r="92" spans="1:28" ht="14.45" customHeight="1" x14ac:dyDescent="0.25">
      <c r="A92" s="107"/>
      <c r="B92" s="107"/>
      <c r="C92" s="107"/>
      <c r="D92" s="107"/>
      <c r="E92" s="107"/>
      <c r="F92" s="107"/>
      <c r="G92" s="107"/>
      <c r="H92" s="70">
        <v>124.32</v>
      </c>
      <c r="I92" s="71">
        <f>I90+I91</f>
        <v>2859.36</v>
      </c>
      <c r="J92">
        <v>5</v>
      </c>
      <c r="U92" s="89"/>
      <c r="V92" s="75"/>
      <c r="W92" s="89"/>
      <c r="X92" s="89"/>
      <c r="Y92" s="1"/>
      <c r="Z92" s="1"/>
      <c r="AA92" s="1"/>
      <c r="AB92" s="1"/>
    </row>
    <row r="93" spans="1:28" x14ac:dyDescent="0.25">
      <c r="A93" s="73"/>
      <c r="B93" s="25">
        <v>28</v>
      </c>
      <c r="C93" s="26" t="s">
        <v>188</v>
      </c>
      <c r="D93" s="27" t="s">
        <v>25</v>
      </c>
      <c r="E93" s="28"/>
      <c r="F93" s="28"/>
      <c r="G93" s="29">
        <v>47</v>
      </c>
      <c r="H93" s="22">
        <v>38</v>
      </c>
      <c r="I93" s="30">
        <f>G93*H93</f>
        <v>1786</v>
      </c>
      <c r="J93">
        <v>1</v>
      </c>
      <c r="U93" s="89"/>
      <c r="V93" s="1"/>
      <c r="W93" s="89"/>
      <c r="X93" s="89"/>
      <c r="Y93" s="1"/>
      <c r="Z93" s="1"/>
      <c r="AA93" s="1"/>
      <c r="AB93" s="1"/>
    </row>
    <row r="94" spans="1:28" x14ac:dyDescent="0.25">
      <c r="A94" s="105" t="s">
        <v>189</v>
      </c>
      <c r="B94" s="106"/>
      <c r="C94" s="106"/>
      <c r="D94" s="106"/>
      <c r="E94" s="106"/>
      <c r="F94" s="106"/>
      <c r="G94" s="106"/>
      <c r="H94" s="35">
        <v>18.240000000000002</v>
      </c>
      <c r="I94" s="36">
        <f>G93*H94</f>
        <v>857.28000000000009</v>
      </c>
      <c r="J94">
        <v>2</v>
      </c>
      <c r="W94" s="89"/>
    </row>
    <row r="95" spans="1:28" ht="14.45" customHeight="1" x14ac:dyDescent="0.25">
      <c r="A95" s="107"/>
      <c r="B95" s="107"/>
      <c r="C95" s="107"/>
      <c r="D95" s="107"/>
      <c r="E95" s="107"/>
      <c r="F95" s="107"/>
      <c r="G95" s="107"/>
      <c r="H95" s="70">
        <v>56.24</v>
      </c>
      <c r="I95" s="71">
        <f>I93+I94</f>
        <v>2643.28</v>
      </c>
      <c r="J95">
        <v>5</v>
      </c>
      <c r="U95" s="89"/>
      <c r="W95" s="89"/>
      <c r="X95" s="89"/>
    </row>
    <row r="96" spans="1:28" x14ac:dyDescent="0.25">
      <c r="A96" s="73"/>
      <c r="B96" s="25">
        <v>29</v>
      </c>
      <c r="C96" s="26" t="s">
        <v>190</v>
      </c>
      <c r="D96" s="27" t="s">
        <v>25</v>
      </c>
      <c r="E96" s="28"/>
      <c r="F96" s="28"/>
      <c r="G96" s="29">
        <v>23</v>
      </c>
      <c r="H96" s="22">
        <v>54</v>
      </c>
      <c r="I96" s="30">
        <f>G96*H96</f>
        <v>1242</v>
      </c>
      <c r="J96">
        <v>1</v>
      </c>
      <c r="U96" s="89"/>
      <c r="W96" s="89"/>
      <c r="X96" s="89"/>
    </row>
    <row r="97" spans="1:24" x14ac:dyDescent="0.25">
      <c r="A97" s="105" t="s">
        <v>191</v>
      </c>
      <c r="B97" s="106"/>
      <c r="C97" s="106"/>
      <c r="D97" s="106"/>
      <c r="E97" s="106"/>
      <c r="F97" s="106"/>
      <c r="G97" s="106"/>
      <c r="H97" s="35">
        <v>25.92</v>
      </c>
      <c r="I97" s="36">
        <f>G96*H97</f>
        <v>596.16000000000008</v>
      </c>
      <c r="J97">
        <v>2</v>
      </c>
      <c r="W97" s="89"/>
    </row>
    <row r="98" spans="1:24" ht="14.45" customHeight="1" x14ac:dyDescent="0.25">
      <c r="A98" s="107"/>
      <c r="B98" s="107"/>
      <c r="C98" s="107"/>
      <c r="D98" s="107"/>
      <c r="E98" s="107"/>
      <c r="F98" s="107"/>
      <c r="G98" s="107"/>
      <c r="H98" s="70">
        <v>79.92</v>
      </c>
      <c r="I98" s="71">
        <f>I96+I97</f>
        <v>1838.16</v>
      </c>
      <c r="J98">
        <v>5</v>
      </c>
      <c r="U98" s="89"/>
      <c r="W98" s="89"/>
      <c r="X98" s="89"/>
    </row>
    <row r="99" spans="1:24" x14ac:dyDescent="0.25">
      <c r="A99" s="73"/>
      <c r="B99" s="25">
        <v>30</v>
      </c>
      <c r="C99" s="26" t="s">
        <v>192</v>
      </c>
      <c r="D99" s="27" t="s">
        <v>25</v>
      </c>
      <c r="E99" s="28"/>
      <c r="F99" s="28"/>
      <c r="G99" s="29">
        <v>23</v>
      </c>
      <c r="H99" s="22">
        <v>45</v>
      </c>
      <c r="I99" s="30">
        <f>G99*H99</f>
        <v>1035</v>
      </c>
      <c r="J99">
        <v>1</v>
      </c>
      <c r="U99" s="89"/>
      <c r="W99" s="89"/>
      <c r="X99" s="89"/>
    </row>
    <row r="100" spans="1:24" x14ac:dyDescent="0.25">
      <c r="A100" s="105" t="s">
        <v>193</v>
      </c>
      <c r="B100" s="106"/>
      <c r="C100" s="106"/>
      <c r="D100" s="106"/>
      <c r="E100" s="106"/>
      <c r="F100" s="106"/>
      <c r="G100" s="106"/>
      <c r="H100" s="35">
        <v>21.6</v>
      </c>
      <c r="I100" s="36">
        <f>G99*H100</f>
        <v>496.8</v>
      </c>
      <c r="J100">
        <v>2</v>
      </c>
      <c r="W100" s="89"/>
    </row>
    <row r="101" spans="1:24" x14ac:dyDescent="0.25">
      <c r="A101" s="107"/>
      <c r="B101" s="107"/>
      <c r="C101" s="107"/>
      <c r="D101" s="107"/>
      <c r="E101" s="107"/>
      <c r="F101" s="107"/>
      <c r="G101" s="107"/>
      <c r="H101" s="70">
        <v>66.599999999999994</v>
      </c>
      <c r="I101" s="71">
        <f>I99+I100</f>
        <v>1531.8</v>
      </c>
      <c r="J101">
        <v>5</v>
      </c>
      <c r="U101" s="89"/>
      <c r="W101" s="89"/>
      <c r="X101" s="89"/>
    </row>
    <row r="102" spans="1:24" x14ac:dyDescent="0.25">
      <c r="A102" s="73"/>
      <c r="B102" s="25">
        <v>31</v>
      </c>
      <c r="C102" s="26" t="s">
        <v>192</v>
      </c>
      <c r="D102" s="27" t="s">
        <v>25</v>
      </c>
      <c r="E102" s="28"/>
      <c r="F102" s="28"/>
      <c r="G102" s="29">
        <v>232</v>
      </c>
      <c r="H102" s="22">
        <v>34</v>
      </c>
      <c r="I102" s="30">
        <f>G102*H102</f>
        <v>7888</v>
      </c>
      <c r="J102">
        <v>1</v>
      </c>
      <c r="U102" s="89"/>
      <c r="W102" s="89"/>
      <c r="X102" s="89"/>
    </row>
    <row r="103" spans="1:24" x14ac:dyDescent="0.25">
      <c r="A103" s="105" t="s">
        <v>194</v>
      </c>
      <c r="B103" s="106"/>
      <c r="C103" s="106"/>
      <c r="D103" s="106"/>
      <c r="E103" s="106"/>
      <c r="F103" s="106"/>
      <c r="G103" s="106"/>
      <c r="H103" s="35">
        <v>16.32</v>
      </c>
      <c r="I103" s="36">
        <f>G102*H103</f>
        <v>3786.2400000000002</v>
      </c>
      <c r="J103">
        <v>2</v>
      </c>
      <c r="W103" s="89"/>
    </row>
    <row r="104" spans="1:24" x14ac:dyDescent="0.25">
      <c r="A104" s="107"/>
      <c r="B104" s="107"/>
      <c r="C104" s="107"/>
      <c r="D104" s="107"/>
      <c r="E104" s="107"/>
      <c r="F104" s="107"/>
      <c r="G104" s="107"/>
      <c r="H104" s="70">
        <v>50.32</v>
      </c>
      <c r="I104" s="71">
        <f>I102+I103</f>
        <v>11674.24</v>
      </c>
      <c r="J104">
        <v>5</v>
      </c>
      <c r="U104" s="89"/>
      <c r="W104" s="89"/>
      <c r="X104" s="89"/>
    </row>
    <row r="105" spans="1:24" x14ac:dyDescent="0.25">
      <c r="A105" s="73"/>
      <c r="B105" s="25">
        <v>32</v>
      </c>
      <c r="C105" s="26" t="s">
        <v>195</v>
      </c>
      <c r="D105" s="27" t="s">
        <v>25</v>
      </c>
      <c r="E105" s="28"/>
      <c r="F105" s="28"/>
      <c r="G105" s="29">
        <v>232</v>
      </c>
      <c r="H105" s="22">
        <v>32</v>
      </c>
      <c r="I105" s="30">
        <f>G105*H105</f>
        <v>7424</v>
      </c>
      <c r="J105">
        <v>1</v>
      </c>
      <c r="U105" s="89"/>
      <c r="W105" s="89"/>
      <c r="X105" s="89"/>
    </row>
    <row r="106" spans="1:24" x14ac:dyDescent="0.25">
      <c r="A106" s="105" t="s">
        <v>196</v>
      </c>
      <c r="B106" s="106"/>
      <c r="C106" s="106"/>
      <c r="D106" s="106"/>
      <c r="E106" s="106"/>
      <c r="F106" s="106"/>
      <c r="G106" s="106"/>
      <c r="H106" s="35">
        <v>15.36</v>
      </c>
      <c r="I106" s="36">
        <f>G105*H106</f>
        <v>3563.52</v>
      </c>
      <c r="J106">
        <v>2</v>
      </c>
      <c r="W106" s="89"/>
    </row>
    <row r="107" spans="1:24" x14ac:dyDescent="0.25">
      <c r="A107" s="107"/>
      <c r="B107" s="107"/>
      <c r="C107" s="107"/>
      <c r="D107" s="107"/>
      <c r="E107" s="107"/>
      <c r="F107" s="107"/>
      <c r="G107" s="107"/>
      <c r="H107" s="70">
        <v>47.36</v>
      </c>
      <c r="I107" s="71">
        <f>I105+I106</f>
        <v>10987.52</v>
      </c>
      <c r="J107">
        <v>5</v>
      </c>
      <c r="U107" s="89"/>
      <c r="W107" s="89"/>
      <c r="X107" s="89"/>
    </row>
    <row r="108" spans="1:24" x14ac:dyDescent="0.25">
      <c r="A108" s="73"/>
      <c r="B108" s="25">
        <v>33</v>
      </c>
      <c r="C108" s="26" t="s">
        <v>195</v>
      </c>
      <c r="D108" s="27" t="s">
        <v>25</v>
      </c>
      <c r="E108" s="28"/>
      <c r="F108" s="28"/>
      <c r="G108" s="29">
        <v>232</v>
      </c>
      <c r="H108" s="22">
        <v>32</v>
      </c>
      <c r="I108" s="30">
        <f>G108*H108</f>
        <v>7424</v>
      </c>
      <c r="J108">
        <v>1</v>
      </c>
      <c r="U108" s="89"/>
      <c r="W108" s="89"/>
      <c r="X108" s="89"/>
    </row>
    <row r="109" spans="1:24" x14ac:dyDescent="0.25">
      <c r="A109" s="105" t="s">
        <v>197</v>
      </c>
      <c r="B109" s="106"/>
      <c r="C109" s="106"/>
      <c r="D109" s="106"/>
      <c r="E109" s="106"/>
      <c r="F109" s="106"/>
      <c r="G109" s="106"/>
      <c r="H109" s="35">
        <v>15.36</v>
      </c>
      <c r="I109" s="36">
        <f>G108*H109</f>
        <v>3563.52</v>
      </c>
      <c r="J109">
        <v>2</v>
      </c>
      <c r="W109" s="89"/>
    </row>
    <row r="110" spans="1:24" x14ac:dyDescent="0.25">
      <c r="A110" s="107"/>
      <c r="B110" s="107"/>
      <c r="C110" s="107"/>
      <c r="D110" s="107"/>
      <c r="E110" s="107"/>
      <c r="F110" s="107"/>
      <c r="G110" s="107"/>
      <c r="H110" s="70">
        <v>47.36</v>
      </c>
      <c r="I110" s="71">
        <f>I108+I109</f>
        <v>10987.52</v>
      </c>
      <c r="J110">
        <v>5</v>
      </c>
      <c r="U110" s="89"/>
      <c r="W110" s="89"/>
      <c r="X110" s="89"/>
    </row>
    <row r="111" spans="1:24" x14ac:dyDescent="0.25">
      <c r="A111" s="73"/>
      <c r="B111" s="25">
        <v>34</v>
      </c>
      <c r="C111" s="26" t="s">
        <v>198</v>
      </c>
      <c r="D111" s="27" t="s">
        <v>25</v>
      </c>
      <c r="E111" s="28"/>
      <c r="F111" s="28"/>
      <c r="G111" s="29">
        <v>232</v>
      </c>
      <c r="H111" s="22">
        <v>32</v>
      </c>
      <c r="I111" s="30">
        <f>G111*H111</f>
        <v>7424</v>
      </c>
      <c r="J111">
        <v>1</v>
      </c>
      <c r="U111" s="89"/>
      <c r="W111" s="89"/>
      <c r="X111" s="89"/>
    </row>
    <row r="112" spans="1:24" x14ac:dyDescent="0.25">
      <c r="A112" s="105" t="s">
        <v>667</v>
      </c>
      <c r="B112" s="106"/>
      <c r="C112" s="106"/>
      <c r="D112" s="106"/>
      <c r="E112" s="106"/>
      <c r="F112" s="106"/>
      <c r="G112" s="106"/>
      <c r="H112" s="35">
        <v>15.36</v>
      </c>
      <c r="I112" s="36">
        <f>G111*H112</f>
        <v>3563.52</v>
      </c>
      <c r="J112">
        <v>2</v>
      </c>
      <c r="W112" s="89"/>
    </row>
    <row r="113" spans="1:24" x14ac:dyDescent="0.25">
      <c r="A113" s="107"/>
      <c r="B113" s="107"/>
      <c r="C113" s="107"/>
      <c r="D113" s="107"/>
      <c r="E113" s="107"/>
      <c r="F113" s="107"/>
      <c r="G113" s="107"/>
      <c r="H113" s="70">
        <v>47.36</v>
      </c>
      <c r="I113" s="71">
        <f>I111+I112</f>
        <v>10987.52</v>
      </c>
      <c r="J113">
        <v>5</v>
      </c>
      <c r="U113" s="89"/>
      <c r="W113" s="89"/>
      <c r="X113" s="89"/>
    </row>
    <row r="114" spans="1:24" x14ac:dyDescent="0.25">
      <c r="A114" s="73"/>
      <c r="B114" s="25">
        <v>35</v>
      </c>
      <c r="C114" s="26" t="s">
        <v>199</v>
      </c>
      <c r="D114" s="27" t="s">
        <v>25</v>
      </c>
      <c r="E114" s="28"/>
      <c r="F114" s="28"/>
      <c r="G114" s="29">
        <v>7</v>
      </c>
      <c r="H114" s="22">
        <v>320</v>
      </c>
      <c r="I114" s="30">
        <f>G114*H114</f>
        <v>2240</v>
      </c>
      <c r="J114">
        <v>1</v>
      </c>
      <c r="U114" s="89"/>
      <c r="W114" s="89"/>
      <c r="X114" s="89"/>
    </row>
    <row r="115" spans="1:24" x14ac:dyDescent="0.25">
      <c r="A115" s="105" t="s">
        <v>668</v>
      </c>
      <c r="B115" s="106"/>
      <c r="C115" s="106"/>
      <c r="D115" s="106"/>
      <c r="E115" s="106"/>
      <c r="F115" s="106"/>
      <c r="G115" s="106"/>
      <c r="H115" s="35">
        <v>153.60000000000002</v>
      </c>
      <c r="I115" s="36">
        <f>G114*H115</f>
        <v>1075.2000000000003</v>
      </c>
      <c r="J115">
        <v>2</v>
      </c>
      <c r="W115" s="89"/>
    </row>
    <row r="116" spans="1:24" x14ac:dyDescent="0.25">
      <c r="A116" s="107"/>
      <c r="B116" s="107"/>
      <c r="C116" s="107"/>
      <c r="D116" s="107"/>
      <c r="E116" s="107"/>
      <c r="F116" s="107"/>
      <c r="G116" s="107"/>
      <c r="H116" s="70">
        <v>473.6</v>
      </c>
      <c r="I116" s="71">
        <f>I114+I115</f>
        <v>3315.2000000000003</v>
      </c>
      <c r="J116">
        <v>5</v>
      </c>
      <c r="U116" s="89"/>
      <c r="W116" s="89"/>
      <c r="X116" s="89"/>
    </row>
    <row r="117" spans="1:24" x14ac:dyDescent="0.25">
      <c r="A117" s="73"/>
      <c r="B117" s="25">
        <v>36</v>
      </c>
      <c r="C117" s="26" t="s">
        <v>200</v>
      </c>
      <c r="D117" s="27" t="s">
        <v>25</v>
      </c>
      <c r="E117" s="28"/>
      <c r="F117" s="28"/>
      <c r="G117" s="29">
        <v>4</v>
      </c>
      <c r="H117" s="22">
        <v>250</v>
      </c>
      <c r="I117" s="30">
        <f>G117*H117</f>
        <v>1000</v>
      </c>
      <c r="J117">
        <v>1</v>
      </c>
      <c r="U117" s="89"/>
      <c r="W117" s="89"/>
      <c r="X117" s="89"/>
    </row>
    <row r="118" spans="1:24" x14ac:dyDescent="0.25">
      <c r="A118" s="105" t="s">
        <v>201</v>
      </c>
      <c r="B118" s="106"/>
      <c r="C118" s="106"/>
      <c r="D118" s="106"/>
      <c r="E118" s="106"/>
      <c r="F118" s="106"/>
      <c r="G118" s="106"/>
      <c r="H118" s="35">
        <v>120</v>
      </c>
      <c r="I118" s="36">
        <f>G117*H118</f>
        <v>480</v>
      </c>
      <c r="J118">
        <v>2</v>
      </c>
      <c r="W118" s="89"/>
    </row>
    <row r="119" spans="1:24" x14ac:dyDescent="0.25">
      <c r="A119" s="107"/>
      <c r="B119" s="107"/>
      <c r="C119" s="107"/>
      <c r="D119" s="107"/>
      <c r="E119" s="107"/>
      <c r="F119" s="107"/>
      <c r="G119" s="107"/>
      <c r="H119" s="70">
        <v>370</v>
      </c>
      <c r="I119" s="71">
        <f>I117+I118</f>
        <v>1480</v>
      </c>
      <c r="J119">
        <v>5</v>
      </c>
      <c r="U119" s="89"/>
      <c r="W119" s="89"/>
      <c r="X119" s="89"/>
    </row>
    <row r="120" spans="1:24" x14ac:dyDescent="0.25">
      <c r="A120" s="73"/>
      <c r="B120" s="25">
        <v>37</v>
      </c>
      <c r="C120" s="26" t="s">
        <v>202</v>
      </c>
      <c r="D120" s="119" t="s">
        <v>22</v>
      </c>
      <c r="E120" s="28"/>
      <c r="F120" s="28"/>
      <c r="G120" s="29">
        <v>80</v>
      </c>
      <c r="H120" s="22">
        <v>32</v>
      </c>
      <c r="I120" s="30">
        <f>G120*H120</f>
        <v>2560</v>
      </c>
      <c r="J120">
        <v>1</v>
      </c>
      <c r="U120" s="89"/>
      <c r="W120" s="89"/>
      <c r="X120" s="89"/>
    </row>
    <row r="121" spans="1:24" x14ac:dyDescent="0.25">
      <c r="A121" s="105" t="s">
        <v>669</v>
      </c>
      <c r="B121" s="106"/>
      <c r="C121" s="106"/>
      <c r="D121" s="106"/>
      <c r="E121" s="106"/>
      <c r="F121" s="106"/>
      <c r="G121" s="106"/>
      <c r="H121" s="35">
        <v>19</v>
      </c>
      <c r="I121" s="36">
        <f>G120*H121</f>
        <v>1520</v>
      </c>
      <c r="J121">
        <v>2</v>
      </c>
      <c r="W121" s="89"/>
    </row>
    <row r="122" spans="1:24" ht="14.45" customHeight="1" x14ac:dyDescent="0.25">
      <c r="A122" s="107"/>
      <c r="B122" s="107"/>
      <c r="C122" s="107"/>
      <c r="D122" s="107"/>
      <c r="E122" s="107"/>
      <c r="F122" s="107"/>
      <c r="G122" s="107"/>
      <c r="H122" s="70">
        <f>H120+H121</f>
        <v>51</v>
      </c>
      <c r="I122" s="71">
        <f>I120+I121</f>
        <v>4080</v>
      </c>
      <c r="J122">
        <v>5</v>
      </c>
      <c r="U122" s="89"/>
      <c r="W122" s="89"/>
      <c r="X122" s="89"/>
    </row>
    <row r="123" spans="1:24" x14ac:dyDescent="0.25">
      <c r="A123" s="73"/>
      <c r="B123" s="25">
        <v>38</v>
      </c>
      <c r="C123" s="26" t="s">
        <v>202</v>
      </c>
      <c r="D123" s="119" t="s">
        <v>22</v>
      </c>
      <c r="E123" s="28"/>
      <c r="F123" s="28"/>
      <c r="G123" s="29">
        <v>42</v>
      </c>
      <c r="H123" s="22">
        <v>28</v>
      </c>
      <c r="I123" s="30">
        <f>G123*H123</f>
        <v>1176</v>
      </c>
      <c r="J123">
        <v>1</v>
      </c>
      <c r="U123" s="89"/>
      <c r="W123" s="89"/>
      <c r="X123" s="89"/>
    </row>
    <row r="124" spans="1:24" x14ac:dyDescent="0.25">
      <c r="A124" s="105" t="s">
        <v>670</v>
      </c>
      <c r="B124" s="106"/>
      <c r="C124" s="106"/>
      <c r="D124" s="106"/>
      <c r="E124" s="106"/>
      <c r="F124" s="106"/>
      <c r="G124" s="106"/>
      <c r="H124" s="35">
        <v>16</v>
      </c>
      <c r="I124" s="36">
        <f>G123*H124</f>
        <v>672</v>
      </c>
      <c r="J124">
        <v>2</v>
      </c>
      <c r="W124" s="89"/>
    </row>
    <row r="125" spans="1:24" x14ac:dyDescent="0.25">
      <c r="A125" s="107"/>
      <c r="B125" s="107"/>
      <c r="C125" s="107"/>
      <c r="D125" s="107"/>
      <c r="E125" s="107"/>
      <c r="F125" s="107"/>
      <c r="G125" s="107"/>
      <c r="H125" s="70">
        <f>H123+H124</f>
        <v>44</v>
      </c>
      <c r="I125" s="71">
        <f>I123+I124</f>
        <v>1848</v>
      </c>
      <c r="J125">
        <v>5</v>
      </c>
      <c r="U125" s="89"/>
      <c r="W125" s="89"/>
      <c r="X125" s="89"/>
    </row>
    <row r="126" spans="1:24" x14ac:dyDescent="0.25">
      <c r="A126" s="73"/>
      <c r="B126" s="25">
        <v>39</v>
      </c>
      <c r="C126" s="26" t="s">
        <v>202</v>
      </c>
      <c r="D126" s="119" t="s">
        <v>22</v>
      </c>
      <c r="E126" s="28"/>
      <c r="F126" s="28"/>
      <c r="G126" s="29">
        <v>34</v>
      </c>
      <c r="H126" s="22">
        <v>25</v>
      </c>
      <c r="I126" s="30">
        <f>G126*H126</f>
        <v>850</v>
      </c>
      <c r="J126">
        <v>1</v>
      </c>
      <c r="U126" s="89"/>
      <c r="W126" s="89"/>
      <c r="X126" s="89"/>
    </row>
    <row r="127" spans="1:24" x14ac:dyDescent="0.25">
      <c r="A127" s="105" t="s">
        <v>671</v>
      </c>
      <c r="B127" s="106"/>
      <c r="C127" s="106"/>
      <c r="D127" s="106"/>
      <c r="E127" s="106"/>
      <c r="F127" s="106"/>
      <c r="G127" s="106"/>
      <c r="H127" s="35">
        <v>13</v>
      </c>
      <c r="I127" s="36">
        <f>G126*H127</f>
        <v>442</v>
      </c>
      <c r="J127">
        <v>2</v>
      </c>
      <c r="W127" s="89"/>
    </row>
    <row r="128" spans="1:24" x14ac:dyDescent="0.25">
      <c r="A128" s="107"/>
      <c r="B128" s="107"/>
      <c r="C128" s="107"/>
      <c r="D128" s="107"/>
      <c r="E128" s="107"/>
      <c r="F128" s="107"/>
      <c r="G128" s="107"/>
      <c r="H128" s="70">
        <f>H126+H127</f>
        <v>38</v>
      </c>
      <c r="I128" s="71">
        <f>I126+I127</f>
        <v>1292</v>
      </c>
      <c r="J128">
        <v>5</v>
      </c>
      <c r="U128" s="89"/>
      <c r="W128" s="89"/>
      <c r="X128" s="89"/>
    </row>
    <row r="129" spans="1:24" x14ac:dyDescent="0.25">
      <c r="A129" s="73"/>
      <c r="B129" s="25">
        <v>40</v>
      </c>
      <c r="C129" s="26" t="s">
        <v>202</v>
      </c>
      <c r="D129" s="119" t="s">
        <v>22</v>
      </c>
      <c r="E129" s="28"/>
      <c r="F129" s="28"/>
      <c r="G129" s="29">
        <v>64</v>
      </c>
      <c r="H129" s="22">
        <v>23</v>
      </c>
      <c r="I129" s="30">
        <f>G129*H129</f>
        <v>1472</v>
      </c>
      <c r="J129">
        <v>1</v>
      </c>
      <c r="U129" s="89"/>
      <c r="W129" s="89"/>
      <c r="X129" s="89"/>
    </row>
    <row r="130" spans="1:24" x14ac:dyDescent="0.25">
      <c r="A130" s="105" t="s">
        <v>672</v>
      </c>
      <c r="B130" s="106"/>
      <c r="C130" s="106"/>
      <c r="D130" s="106"/>
      <c r="E130" s="106"/>
      <c r="F130" s="106"/>
      <c r="G130" s="106"/>
      <c r="H130" s="35">
        <v>12</v>
      </c>
      <c r="I130" s="36">
        <f>G129*H130</f>
        <v>768</v>
      </c>
      <c r="J130">
        <v>2</v>
      </c>
      <c r="W130" s="89"/>
    </row>
    <row r="131" spans="1:24" x14ac:dyDescent="0.25">
      <c r="A131" s="107"/>
      <c r="B131" s="107"/>
      <c r="C131" s="107"/>
      <c r="D131" s="107"/>
      <c r="E131" s="107"/>
      <c r="F131" s="107"/>
      <c r="G131" s="107"/>
      <c r="H131" s="70">
        <f>H129+H130</f>
        <v>35</v>
      </c>
      <c r="I131" s="71">
        <f>I129+I130</f>
        <v>2240</v>
      </c>
      <c r="J131">
        <v>5</v>
      </c>
      <c r="U131" s="89"/>
      <c r="W131" s="89"/>
      <c r="X131" s="89"/>
    </row>
    <row r="132" spans="1:24" x14ac:dyDescent="0.25">
      <c r="A132" s="73"/>
      <c r="B132" s="25">
        <v>41</v>
      </c>
      <c r="C132" s="26" t="s">
        <v>203</v>
      </c>
      <c r="D132" s="27" t="s">
        <v>25</v>
      </c>
      <c r="E132" s="28"/>
      <c r="F132" s="28"/>
      <c r="G132" s="29">
        <v>25</v>
      </c>
      <c r="H132" s="22">
        <v>18</v>
      </c>
      <c r="I132" s="30">
        <f>G132*H132</f>
        <v>450</v>
      </c>
      <c r="J132">
        <v>1</v>
      </c>
      <c r="U132" s="89"/>
      <c r="W132" s="89"/>
      <c r="X132" s="89"/>
    </row>
    <row r="133" spans="1:24" x14ac:dyDescent="0.25">
      <c r="A133" s="105" t="s">
        <v>673</v>
      </c>
      <c r="B133" s="106"/>
      <c r="C133" s="106"/>
      <c r="D133" s="106"/>
      <c r="E133" s="106"/>
      <c r="F133" s="106"/>
      <c r="G133" s="106"/>
      <c r="H133" s="35">
        <v>8.6399999999999988</v>
      </c>
      <c r="I133" s="36">
        <f>G132*H133</f>
        <v>215.99999999999997</v>
      </c>
      <c r="J133">
        <v>2</v>
      </c>
      <c r="W133" s="89"/>
    </row>
    <row r="134" spans="1:24" x14ac:dyDescent="0.25">
      <c r="A134" s="107"/>
      <c r="B134" s="107"/>
      <c r="C134" s="107"/>
      <c r="D134" s="107"/>
      <c r="E134" s="107"/>
      <c r="F134" s="107"/>
      <c r="G134" s="107"/>
      <c r="H134" s="70">
        <v>26.64</v>
      </c>
      <c r="I134" s="71">
        <f>I132+I133</f>
        <v>666</v>
      </c>
      <c r="J134">
        <v>5</v>
      </c>
      <c r="U134" s="89"/>
      <c r="W134" s="89"/>
      <c r="X134" s="89"/>
    </row>
    <row r="135" spans="1:24" x14ac:dyDescent="0.25">
      <c r="A135" s="73"/>
      <c r="B135" s="25">
        <v>42</v>
      </c>
      <c r="C135" s="26" t="s">
        <v>203</v>
      </c>
      <c r="D135" s="27" t="s">
        <v>25</v>
      </c>
      <c r="E135" s="28"/>
      <c r="F135" s="28"/>
      <c r="G135" s="29">
        <v>17</v>
      </c>
      <c r="H135" s="22">
        <v>16</v>
      </c>
      <c r="I135" s="30">
        <f>G135*H135</f>
        <v>272</v>
      </c>
      <c r="J135">
        <v>1</v>
      </c>
      <c r="U135" s="89"/>
      <c r="W135" s="89"/>
      <c r="X135" s="89"/>
    </row>
    <row r="136" spans="1:24" x14ac:dyDescent="0.25">
      <c r="A136" s="105" t="s">
        <v>674</v>
      </c>
      <c r="B136" s="106"/>
      <c r="C136" s="106"/>
      <c r="D136" s="106"/>
      <c r="E136" s="106"/>
      <c r="F136" s="106"/>
      <c r="G136" s="106"/>
      <c r="H136" s="35">
        <v>7.68</v>
      </c>
      <c r="I136" s="36">
        <f>G135*H136</f>
        <v>130.56</v>
      </c>
      <c r="J136">
        <v>2</v>
      </c>
      <c r="W136" s="89"/>
    </row>
    <row r="137" spans="1:24" x14ac:dyDescent="0.25">
      <c r="A137" s="107"/>
      <c r="B137" s="107"/>
      <c r="C137" s="107"/>
      <c r="D137" s="107"/>
      <c r="E137" s="107"/>
      <c r="F137" s="107"/>
      <c r="G137" s="107"/>
      <c r="H137" s="70">
        <v>23.68</v>
      </c>
      <c r="I137" s="71">
        <f>I135+I136</f>
        <v>402.56</v>
      </c>
      <c r="J137">
        <v>5</v>
      </c>
      <c r="U137" s="89"/>
      <c r="W137" s="89"/>
      <c r="X137" s="89"/>
    </row>
    <row r="138" spans="1:24" x14ac:dyDescent="0.25">
      <c r="A138" s="73"/>
      <c r="B138" s="25">
        <v>43</v>
      </c>
      <c r="C138" s="26" t="s">
        <v>203</v>
      </c>
      <c r="D138" s="27" t="s">
        <v>25</v>
      </c>
      <c r="E138" s="28"/>
      <c r="F138" s="28"/>
      <c r="G138" s="29">
        <v>17</v>
      </c>
      <c r="H138" s="22">
        <v>14</v>
      </c>
      <c r="I138" s="30">
        <f>G138*H138</f>
        <v>238</v>
      </c>
      <c r="J138">
        <v>1</v>
      </c>
      <c r="U138" s="89"/>
      <c r="W138" s="89"/>
      <c r="X138" s="89"/>
    </row>
    <row r="139" spans="1:24" x14ac:dyDescent="0.25">
      <c r="A139" s="105" t="s">
        <v>675</v>
      </c>
      <c r="B139" s="106"/>
      <c r="C139" s="106"/>
      <c r="D139" s="106"/>
      <c r="E139" s="106"/>
      <c r="F139" s="106"/>
      <c r="G139" s="106"/>
      <c r="H139" s="35">
        <v>6.7200000000000006</v>
      </c>
      <c r="I139" s="36">
        <f>G138*H139</f>
        <v>114.24000000000001</v>
      </c>
      <c r="J139">
        <v>2</v>
      </c>
      <c r="W139" s="89"/>
    </row>
    <row r="140" spans="1:24" x14ac:dyDescent="0.25">
      <c r="A140" s="107"/>
      <c r="B140" s="107"/>
      <c r="C140" s="107"/>
      <c r="D140" s="107"/>
      <c r="E140" s="107"/>
      <c r="F140" s="107"/>
      <c r="G140" s="107"/>
      <c r="H140" s="70">
        <v>20.72</v>
      </c>
      <c r="I140" s="71">
        <f>I138+I139</f>
        <v>352.24</v>
      </c>
      <c r="J140">
        <v>5</v>
      </c>
      <c r="U140" s="89"/>
      <c r="W140" s="89"/>
      <c r="X140" s="89"/>
    </row>
    <row r="141" spans="1:24" x14ac:dyDescent="0.25">
      <c r="A141" s="73"/>
      <c r="B141" s="25">
        <v>44</v>
      </c>
      <c r="C141" s="26" t="s">
        <v>204</v>
      </c>
      <c r="D141" s="27" t="s">
        <v>25</v>
      </c>
      <c r="E141" s="28"/>
      <c r="F141" s="28"/>
      <c r="G141" s="29">
        <v>30</v>
      </c>
      <c r="H141" s="22">
        <v>13</v>
      </c>
      <c r="I141" s="30">
        <f>G141*H141</f>
        <v>390</v>
      </c>
      <c r="J141">
        <v>1</v>
      </c>
      <c r="U141" s="89"/>
      <c r="W141" s="89"/>
      <c r="X141" s="89"/>
    </row>
    <row r="142" spans="1:24" x14ac:dyDescent="0.25">
      <c r="A142" s="105" t="s">
        <v>676</v>
      </c>
      <c r="B142" s="106"/>
      <c r="C142" s="106"/>
      <c r="D142" s="106"/>
      <c r="E142" s="106"/>
      <c r="F142" s="106"/>
      <c r="G142" s="106"/>
      <c r="H142" s="35">
        <v>6.24</v>
      </c>
      <c r="I142" s="36">
        <f>G141*H142</f>
        <v>187.20000000000002</v>
      </c>
      <c r="J142">
        <v>2</v>
      </c>
      <c r="W142" s="89"/>
    </row>
    <row r="143" spans="1:24" x14ac:dyDescent="0.25">
      <c r="A143" s="107"/>
      <c r="B143" s="107"/>
      <c r="C143" s="107"/>
      <c r="D143" s="107"/>
      <c r="E143" s="107"/>
      <c r="F143" s="107"/>
      <c r="G143" s="107"/>
      <c r="H143" s="70">
        <v>19.240000000000002</v>
      </c>
      <c r="I143" s="71">
        <f>I141+I142</f>
        <v>577.20000000000005</v>
      </c>
      <c r="J143">
        <v>5</v>
      </c>
      <c r="U143" s="89"/>
      <c r="W143" s="89"/>
      <c r="X143" s="89"/>
    </row>
    <row r="144" spans="1:24" x14ac:dyDescent="0.25">
      <c r="A144" s="73"/>
      <c r="B144" s="25">
        <v>45</v>
      </c>
      <c r="C144" s="26" t="s">
        <v>192</v>
      </c>
      <c r="D144" s="27" t="s">
        <v>25</v>
      </c>
      <c r="E144" s="28"/>
      <c r="F144" s="28"/>
      <c r="G144" s="29">
        <v>23</v>
      </c>
      <c r="H144" s="22">
        <v>85</v>
      </c>
      <c r="I144" s="30">
        <f>G144*H144</f>
        <v>1955</v>
      </c>
      <c r="J144">
        <v>1</v>
      </c>
      <c r="U144" s="89"/>
      <c r="W144" s="89"/>
      <c r="X144" s="89"/>
    </row>
    <row r="145" spans="1:24" x14ac:dyDescent="0.25">
      <c r="A145" s="105" t="s">
        <v>677</v>
      </c>
      <c r="B145" s="106"/>
      <c r="C145" s="106"/>
      <c r="D145" s="106"/>
      <c r="E145" s="106"/>
      <c r="F145" s="106"/>
      <c r="G145" s="106"/>
      <c r="H145" s="35">
        <v>40.800000000000004</v>
      </c>
      <c r="I145" s="36">
        <f>G144*H145</f>
        <v>938.40000000000009</v>
      </c>
      <c r="J145">
        <v>2</v>
      </c>
      <c r="W145" s="89"/>
    </row>
    <row r="146" spans="1:24" x14ac:dyDescent="0.25">
      <c r="A146" s="107"/>
      <c r="B146" s="107"/>
      <c r="C146" s="107"/>
      <c r="D146" s="107"/>
      <c r="E146" s="107"/>
      <c r="F146" s="107"/>
      <c r="G146" s="107"/>
      <c r="H146" s="70">
        <v>125.80000000000001</v>
      </c>
      <c r="I146" s="71">
        <f>I144+I145</f>
        <v>2893.4</v>
      </c>
      <c r="J146">
        <v>5</v>
      </c>
      <c r="U146" s="89"/>
      <c r="W146" s="89"/>
      <c r="X146" s="89"/>
    </row>
    <row r="147" spans="1:24" x14ac:dyDescent="0.25">
      <c r="A147" s="73"/>
      <c r="B147" s="25">
        <v>46</v>
      </c>
      <c r="C147" s="26" t="s">
        <v>206</v>
      </c>
      <c r="D147" s="27" t="s">
        <v>25</v>
      </c>
      <c r="E147" s="28"/>
      <c r="F147" s="28"/>
      <c r="G147" s="29">
        <v>23</v>
      </c>
      <c r="H147" s="22">
        <v>85</v>
      </c>
      <c r="I147" s="30">
        <f>G147*H147</f>
        <v>1955</v>
      </c>
      <c r="J147">
        <v>1</v>
      </c>
      <c r="U147" s="89"/>
      <c r="W147" s="89"/>
      <c r="X147" s="89"/>
    </row>
    <row r="148" spans="1:24" x14ac:dyDescent="0.25">
      <c r="A148" s="105" t="s">
        <v>678</v>
      </c>
      <c r="B148" s="106"/>
      <c r="C148" s="106"/>
      <c r="D148" s="106"/>
      <c r="E148" s="106"/>
      <c r="F148" s="106"/>
      <c r="G148" s="106"/>
      <c r="H148" s="35">
        <v>40.800000000000004</v>
      </c>
      <c r="I148" s="36">
        <f>G147*H148</f>
        <v>938.40000000000009</v>
      </c>
      <c r="J148">
        <v>2</v>
      </c>
      <c r="W148" s="89"/>
    </row>
    <row r="149" spans="1:24" x14ac:dyDescent="0.25">
      <c r="A149" s="107"/>
      <c r="B149" s="107"/>
      <c r="C149" s="107"/>
      <c r="D149" s="107"/>
      <c r="E149" s="107"/>
      <c r="F149" s="107"/>
      <c r="G149" s="107"/>
      <c r="H149" s="70">
        <v>125.80000000000001</v>
      </c>
      <c r="I149" s="71">
        <f>I147+I148</f>
        <v>2893.4</v>
      </c>
      <c r="J149">
        <v>5</v>
      </c>
      <c r="U149" s="89"/>
      <c r="W149" s="89"/>
      <c r="X149" s="89"/>
    </row>
    <row r="150" spans="1:24" x14ac:dyDescent="0.25">
      <c r="A150" s="73"/>
      <c r="B150" s="25">
        <v>47</v>
      </c>
      <c r="C150" s="26" t="s">
        <v>207</v>
      </c>
      <c r="D150" s="27" t="s">
        <v>25</v>
      </c>
      <c r="E150" s="28"/>
      <c r="F150" s="28"/>
      <c r="G150" s="29">
        <v>20</v>
      </c>
      <c r="H150" s="22">
        <v>22</v>
      </c>
      <c r="I150" s="30">
        <f>G150*H150</f>
        <v>440</v>
      </c>
      <c r="J150">
        <v>1</v>
      </c>
      <c r="U150" s="89"/>
      <c r="W150" s="89"/>
      <c r="X150" s="89"/>
    </row>
    <row r="151" spans="1:24" x14ac:dyDescent="0.25">
      <c r="A151" s="105" t="s">
        <v>681</v>
      </c>
      <c r="B151" s="106"/>
      <c r="C151" s="106"/>
      <c r="D151" s="106"/>
      <c r="E151" s="106"/>
      <c r="F151" s="106"/>
      <c r="G151" s="106"/>
      <c r="H151" s="35">
        <v>10.56</v>
      </c>
      <c r="I151" s="36">
        <f>G150*H151</f>
        <v>211.20000000000002</v>
      </c>
      <c r="J151">
        <v>2</v>
      </c>
      <c r="W151" s="89"/>
    </row>
    <row r="152" spans="1:24" ht="14.45" customHeight="1" x14ac:dyDescent="0.25">
      <c r="A152" s="107"/>
      <c r="B152" s="107"/>
      <c r="C152" s="107"/>
      <c r="D152" s="107"/>
      <c r="E152" s="107"/>
      <c r="F152" s="107"/>
      <c r="G152" s="107"/>
      <c r="H152" s="70">
        <v>32.56</v>
      </c>
      <c r="I152" s="71">
        <f>I150+I151</f>
        <v>651.20000000000005</v>
      </c>
      <c r="J152">
        <v>5</v>
      </c>
      <c r="U152" s="89"/>
      <c r="W152" s="89"/>
      <c r="X152" s="89"/>
    </row>
    <row r="153" spans="1:24" x14ac:dyDescent="0.25">
      <c r="A153" s="73"/>
      <c r="B153" s="25">
        <v>48</v>
      </c>
      <c r="C153" s="26" t="s">
        <v>206</v>
      </c>
      <c r="D153" s="27" t="s">
        <v>25</v>
      </c>
      <c r="E153" s="28"/>
      <c r="F153" s="28"/>
      <c r="G153" s="29">
        <v>100</v>
      </c>
      <c r="H153" s="22">
        <v>6</v>
      </c>
      <c r="I153" s="30">
        <f>G153*H153</f>
        <v>600</v>
      </c>
      <c r="J153">
        <v>1</v>
      </c>
      <c r="U153" s="89"/>
      <c r="W153" s="89"/>
      <c r="X153" s="89"/>
    </row>
    <row r="154" spans="1:24" x14ac:dyDescent="0.25">
      <c r="A154" s="105" t="s">
        <v>679</v>
      </c>
      <c r="B154" s="106"/>
      <c r="C154" s="106"/>
      <c r="D154" s="106"/>
      <c r="E154" s="106"/>
      <c r="F154" s="106"/>
      <c r="G154" s="106"/>
      <c r="H154" s="35">
        <v>2.88</v>
      </c>
      <c r="I154" s="36">
        <f>G153*H154</f>
        <v>288</v>
      </c>
      <c r="J154">
        <v>2</v>
      </c>
      <c r="W154" s="89"/>
    </row>
    <row r="155" spans="1:24" x14ac:dyDescent="0.25">
      <c r="A155" s="107"/>
      <c r="B155" s="107"/>
      <c r="C155" s="107"/>
      <c r="D155" s="107"/>
      <c r="E155" s="107"/>
      <c r="F155" s="107"/>
      <c r="G155" s="107"/>
      <c r="H155" s="70">
        <v>8.879999999999999</v>
      </c>
      <c r="I155" s="71">
        <f>I153+I154</f>
        <v>888</v>
      </c>
      <c r="J155">
        <v>5</v>
      </c>
      <c r="U155" s="89"/>
      <c r="W155" s="89"/>
      <c r="X155" s="89"/>
    </row>
    <row r="156" spans="1:24" x14ac:dyDescent="0.25">
      <c r="A156" s="73"/>
      <c r="B156" s="25">
        <v>49</v>
      </c>
      <c r="C156" s="26" t="s">
        <v>207</v>
      </c>
      <c r="D156" s="27" t="s">
        <v>25</v>
      </c>
      <c r="E156" s="28"/>
      <c r="F156" s="28"/>
      <c r="G156" s="29">
        <v>3</v>
      </c>
      <c r="H156" s="22">
        <v>7</v>
      </c>
      <c r="I156" s="30">
        <f>G156*H156</f>
        <v>21</v>
      </c>
      <c r="J156">
        <v>1</v>
      </c>
      <c r="U156" s="89"/>
      <c r="W156" s="89"/>
      <c r="X156" s="89"/>
    </row>
    <row r="157" spans="1:24" x14ac:dyDescent="0.25">
      <c r="A157" s="105" t="s">
        <v>680</v>
      </c>
      <c r="B157" s="106"/>
      <c r="C157" s="106"/>
      <c r="D157" s="106"/>
      <c r="E157" s="106"/>
      <c r="F157" s="106"/>
      <c r="G157" s="106"/>
      <c r="H157" s="35">
        <v>3.3600000000000003</v>
      </c>
      <c r="I157" s="36">
        <f>G156*H157</f>
        <v>10.080000000000002</v>
      </c>
      <c r="J157">
        <v>2</v>
      </c>
      <c r="W157" s="89"/>
    </row>
    <row r="158" spans="1:24" x14ac:dyDescent="0.25">
      <c r="A158" s="107"/>
      <c r="B158" s="107"/>
      <c r="C158" s="107"/>
      <c r="D158" s="107"/>
      <c r="E158" s="107"/>
      <c r="F158" s="107"/>
      <c r="G158" s="107"/>
      <c r="H158" s="70">
        <v>10.36</v>
      </c>
      <c r="I158" s="71">
        <f>I156+I157</f>
        <v>31.080000000000002</v>
      </c>
      <c r="J158">
        <v>5</v>
      </c>
      <c r="U158" s="89"/>
      <c r="W158" s="89"/>
      <c r="X158" s="89"/>
    </row>
    <row r="159" spans="1:24" x14ac:dyDescent="0.25">
      <c r="A159" s="73"/>
      <c r="B159" s="25">
        <v>50</v>
      </c>
      <c r="C159" s="26" t="s">
        <v>207</v>
      </c>
      <c r="D159" s="27" t="s">
        <v>25</v>
      </c>
      <c r="E159" s="28"/>
      <c r="F159" s="28"/>
      <c r="G159" s="29">
        <v>3</v>
      </c>
      <c r="H159" s="22">
        <v>7</v>
      </c>
      <c r="I159" s="30">
        <f>G159*H159</f>
        <v>21</v>
      </c>
      <c r="J159">
        <v>1</v>
      </c>
      <c r="U159" s="89"/>
      <c r="W159" s="89"/>
      <c r="X159" s="89"/>
    </row>
    <row r="160" spans="1:24" x14ac:dyDescent="0.25">
      <c r="A160" s="105" t="s">
        <v>682</v>
      </c>
      <c r="B160" s="106"/>
      <c r="C160" s="106"/>
      <c r="D160" s="106"/>
      <c r="E160" s="106"/>
      <c r="F160" s="106"/>
      <c r="G160" s="106"/>
      <c r="H160" s="35">
        <v>3.3600000000000003</v>
      </c>
      <c r="I160" s="36">
        <f>G159*H160</f>
        <v>10.080000000000002</v>
      </c>
      <c r="J160">
        <v>2</v>
      </c>
      <c r="W160" s="89"/>
    </row>
    <row r="161" spans="1:24" ht="14.45" customHeight="1" x14ac:dyDescent="0.25">
      <c r="A161" s="107"/>
      <c r="B161" s="107"/>
      <c r="C161" s="107"/>
      <c r="D161" s="107"/>
      <c r="E161" s="107"/>
      <c r="F161" s="107"/>
      <c r="G161" s="107"/>
      <c r="H161" s="70">
        <v>10.36</v>
      </c>
      <c r="I161" s="71">
        <f>I159+I160</f>
        <v>31.080000000000002</v>
      </c>
      <c r="J161">
        <v>5</v>
      </c>
      <c r="U161" s="89"/>
      <c r="W161" s="89"/>
      <c r="X161" s="89"/>
    </row>
    <row r="162" spans="1:24" x14ac:dyDescent="0.25">
      <c r="A162" s="73"/>
      <c r="B162" s="25">
        <v>51</v>
      </c>
      <c r="C162" s="26" t="s">
        <v>208</v>
      </c>
      <c r="D162" s="27" t="s">
        <v>25</v>
      </c>
      <c r="E162" s="28"/>
      <c r="F162" s="28"/>
      <c r="G162" s="29">
        <v>3</v>
      </c>
      <c r="H162" s="22">
        <v>7</v>
      </c>
      <c r="I162" s="30">
        <f>G162*H162</f>
        <v>21</v>
      </c>
      <c r="J162">
        <v>1</v>
      </c>
      <c r="U162" s="89"/>
      <c r="W162" s="89"/>
      <c r="X162" s="89"/>
    </row>
    <row r="163" spans="1:24" x14ac:dyDescent="0.25">
      <c r="A163" s="105" t="s">
        <v>683</v>
      </c>
      <c r="B163" s="106"/>
      <c r="C163" s="106"/>
      <c r="D163" s="106"/>
      <c r="E163" s="106"/>
      <c r="F163" s="106"/>
      <c r="G163" s="106"/>
      <c r="H163" s="35">
        <v>3.3600000000000003</v>
      </c>
      <c r="I163" s="36">
        <f>G162*H163</f>
        <v>10.080000000000002</v>
      </c>
      <c r="J163">
        <v>2</v>
      </c>
      <c r="W163" s="89"/>
    </row>
    <row r="164" spans="1:24" x14ac:dyDescent="0.25">
      <c r="A164" s="107"/>
      <c r="B164" s="107"/>
      <c r="C164" s="107"/>
      <c r="D164" s="107"/>
      <c r="E164" s="107"/>
      <c r="F164" s="107"/>
      <c r="G164" s="107"/>
      <c r="H164" s="70">
        <v>10.36</v>
      </c>
      <c r="I164" s="71">
        <f>I162+I163</f>
        <v>31.080000000000002</v>
      </c>
      <c r="J164">
        <v>5</v>
      </c>
      <c r="U164" s="89"/>
      <c r="W164" s="89"/>
      <c r="X164" s="89"/>
    </row>
    <row r="165" spans="1:24" x14ac:dyDescent="0.25">
      <c r="A165" s="73"/>
      <c r="B165" s="25">
        <v>52</v>
      </c>
      <c r="C165" s="26" t="s">
        <v>209</v>
      </c>
      <c r="D165" s="27" t="s">
        <v>25</v>
      </c>
      <c r="E165" s="28"/>
      <c r="F165" s="28"/>
      <c r="G165" s="29">
        <v>6</v>
      </c>
      <c r="H165" s="22">
        <v>7</v>
      </c>
      <c r="I165" s="30">
        <f>G165*H165</f>
        <v>42</v>
      </c>
      <c r="J165">
        <v>1</v>
      </c>
      <c r="U165" s="89"/>
      <c r="W165" s="89"/>
      <c r="X165" s="89"/>
    </row>
    <row r="166" spans="1:24" x14ac:dyDescent="0.25">
      <c r="A166" s="105" t="s">
        <v>684</v>
      </c>
      <c r="B166" s="106"/>
      <c r="C166" s="106"/>
      <c r="D166" s="106"/>
      <c r="E166" s="106"/>
      <c r="F166" s="106"/>
      <c r="G166" s="106"/>
      <c r="H166" s="35">
        <v>3.2</v>
      </c>
      <c r="I166" s="36">
        <f>G165*H166</f>
        <v>19.200000000000003</v>
      </c>
      <c r="J166">
        <v>2</v>
      </c>
      <c r="W166" s="89"/>
    </row>
    <row r="167" spans="1:24" x14ac:dyDescent="0.25">
      <c r="A167" s="107"/>
      <c r="B167" s="107"/>
      <c r="C167" s="107"/>
      <c r="D167" s="107"/>
      <c r="E167" s="107"/>
      <c r="F167" s="107"/>
      <c r="G167" s="107"/>
      <c r="H167" s="70">
        <v>10.199999999999999</v>
      </c>
      <c r="I167" s="71">
        <f>I165+I166</f>
        <v>61.2</v>
      </c>
      <c r="J167">
        <v>5</v>
      </c>
      <c r="U167" s="89"/>
      <c r="W167" s="89"/>
      <c r="X167" s="89"/>
    </row>
    <row r="168" spans="1:24" x14ac:dyDescent="0.25">
      <c r="A168" s="73"/>
      <c r="B168" s="25">
        <v>53</v>
      </c>
      <c r="C168" s="26" t="s">
        <v>210</v>
      </c>
      <c r="D168" s="27" t="s">
        <v>25</v>
      </c>
      <c r="E168" s="28"/>
      <c r="F168" s="28"/>
      <c r="G168" s="29">
        <v>6</v>
      </c>
      <c r="H168" s="22">
        <v>22</v>
      </c>
      <c r="I168" s="30">
        <f>G168*H168</f>
        <v>132</v>
      </c>
      <c r="J168">
        <v>1</v>
      </c>
      <c r="U168" s="89"/>
      <c r="W168" s="89"/>
      <c r="X168" s="89"/>
    </row>
    <row r="169" spans="1:24" x14ac:dyDescent="0.25">
      <c r="A169" s="105" t="s">
        <v>685</v>
      </c>
      <c r="B169" s="106"/>
      <c r="C169" s="106"/>
      <c r="D169" s="106"/>
      <c r="E169" s="106"/>
      <c r="F169" s="106"/>
      <c r="G169" s="106"/>
      <c r="H169" s="35">
        <v>10.56</v>
      </c>
      <c r="I169" s="36">
        <f>G168*H169</f>
        <v>63.36</v>
      </c>
      <c r="J169">
        <v>2</v>
      </c>
      <c r="W169" s="89"/>
    </row>
    <row r="170" spans="1:24" x14ac:dyDescent="0.25">
      <c r="A170" s="107"/>
      <c r="B170" s="107"/>
      <c r="C170" s="107"/>
      <c r="D170" s="107"/>
      <c r="E170" s="107"/>
      <c r="F170" s="107"/>
      <c r="G170" s="107"/>
      <c r="H170" s="70">
        <v>32.56</v>
      </c>
      <c r="I170" s="71">
        <f>I168+I169</f>
        <v>195.36</v>
      </c>
      <c r="J170">
        <v>5</v>
      </c>
      <c r="U170" s="89"/>
      <c r="W170" s="89"/>
      <c r="X170" s="89"/>
    </row>
    <row r="171" spans="1:24" x14ac:dyDescent="0.25">
      <c r="A171" s="73"/>
      <c r="B171" s="25">
        <v>54</v>
      </c>
      <c r="C171" s="26" t="s">
        <v>211</v>
      </c>
      <c r="D171" s="27" t="s">
        <v>25</v>
      </c>
      <c r="E171" s="28"/>
      <c r="F171" s="28"/>
      <c r="G171" s="29">
        <v>6</v>
      </c>
      <c r="H171" s="22">
        <v>16</v>
      </c>
      <c r="I171" s="30">
        <f>G171*H171</f>
        <v>96</v>
      </c>
      <c r="J171">
        <v>1</v>
      </c>
      <c r="U171" s="89"/>
      <c r="W171" s="89"/>
      <c r="X171" s="89"/>
    </row>
    <row r="172" spans="1:24" x14ac:dyDescent="0.25">
      <c r="A172" s="105" t="s">
        <v>686</v>
      </c>
      <c r="B172" s="106"/>
      <c r="C172" s="106"/>
      <c r="D172" s="106"/>
      <c r="E172" s="106"/>
      <c r="F172" s="106"/>
      <c r="G172" s="106"/>
      <c r="H172" s="35">
        <v>7.68</v>
      </c>
      <c r="I172" s="36">
        <f>G171*H172</f>
        <v>46.08</v>
      </c>
      <c r="J172">
        <v>2</v>
      </c>
      <c r="W172" s="89"/>
    </row>
    <row r="173" spans="1:24" x14ac:dyDescent="0.25">
      <c r="A173" s="107"/>
      <c r="B173" s="107"/>
      <c r="C173" s="107"/>
      <c r="D173" s="107"/>
      <c r="E173" s="107"/>
      <c r="F173" s="107"/>
      <c r="G173" s="107"/>
      <c r="H173" s="70">
        <v>23.68</v>
      </c>
      <c r="I173" s="71">
        <f>I171+I172</f>
        <v>142.07999999999998</v>
      </c>
      <c r="J173">
        <v>5</v>
      </c>
      <c r="U173" s="89"/>
      <c r="W173" s="89"/>
      <c r="X173" s="89"/>
    </row>
    <row r="174" spans="1:24" x14ac:dyDescent="0.25">
      <c r="A174" s="73"/>
      <c r="B174" s="25">
        <v>55</v>
      </c>
      <c r="C174" s="26" t="s">
        <v>212</v>
      </c>
      <c r="D174" s="27" t="s">
        <v>25</v>
      </c>
      <c r="E174" s="28"/>
      <c r="F174" s="28"/>
      <c r="G174" s="29">
        <v>3</v>
      </c>
      <c r="H174" s="22">
        <v>15</v>
      </c>
      <c r="I174" s="30">
        <f>G174*H174</f>
        <v>45</v>
      </c>
      <c r="J174">
        <v>1</v>
      </c>
      <c r="U174" s="89"/>
      <c r="W174" s="89"/>
      <c r="X174" s="89"/>
    </row>
    <row r="175" spans="1:24" x14ac:dyDescent="0.25">
      <c r="A175" s="105" t="s">
        <v>687</v>
      </c>
      <c r="B175" s="106"/>
      <c r="C175" s="106"/>
      <c r="D175" s="106"/>
      <c r="E175" s="106"/>
      <c r="F175" s="106"/>
      <c r="G175" s="106"/>
      <c r="H175" s="35">
        <v>7.2</v>
      </c>
      <c r="I175" s="36">
        <f>G174*H175</f>
        <v>21.6</v>
      </c>
      <c r="J175">
        <v>2</v>
      </c>
      <c r="W175" s="89"/>
    </row>
    <row r="176" spans="1:24" x14ac:dyDescent="0.25">
      <c r="A176" s="107"/>
      <c r="B176" s="107"/>
      <c r="C176" s="107"/>
      <c r="D176" s="107"/>
      <c r="E176" s="107"/>
      <c r="F176" s="107"/>
      <c r="G176" s="107"/>
      <c r="H176" s="70">
        <v>22.2</v>
      </c>
      <c r="I176" s="71">
        <f>I174+I175</f>
        <v>66.599999999999994</v>
      </c>
      <c r="J176">
        <v>5</v>
      </c>
      <c r="U176" s="89"/>
      <c r="W176" s="89"/>
      <c r="X176" s="89"/>
    </row>
    <row r="177" spans="1:24" x14ac:dyDescent="0.25">
      <c r="A177" s="73"/>
      <c r="B177" s="25">
        <v>56</v>
      </c>
      <c r="C177" s="26" t="s">
        <v>110</v>
      </c>
      <c r="D177" s="27" t="s">
        <v>25</v>
      </c>
      <c r="E177" s="28"/>
      <c r="F177" s="28"/>
      <c r="G177" s="29">
        <v>17</v>
      </c>
      <c r="H177" s="22">
        <v>36</v>
      </c>
      <c r="I177" s="30">
        <f>G177*H177</f>
        <v>612</v>
      </c>
      <c r="J177">
        <v>1</v>
      </c>
      <c r="U177" s="89"/>
      <c r="W177" s="89"/>
      <c r="X177" s="89"/>
    </row>
    <row r="178" spans="1:24" x14ac:dyDescent="0.25">
      <c r="A178" s="105" t="s">
        <v>688</v>
      </c>
      <c r="B178" s="106"/>
      <c r="C178" s="106"/>
      <c r="D178" s="106"/>
      <c r="E178" s="106"/>
      <c r="F178" s="106"/>
      <c r="G178" s="106"/>
      <c r="H178" s="35">
        <v>17.279999999999998</v>
      </c>
      <c r="I178" s="36">
        <f>G177*H178</f>
        <v>293.75999999999993</v>
      </c>
      <c r="J178">
        <v>2</v>
      </c>
      <c r="W178" s="89"/>
    </row>
    <row r="179" spans="1:24" x14ac:dyDescent="0.25">
      <c r="A179" s="107"/>
      <c r="B179" s="107"/>
      <c r="C179" s="107"/>
      <c r="D179" s="107"/>
      <c r="E179" s="107"/>
      <c r="F179" s="107"/>
      <c r="G179" s="107"/>
      <c r="H179" s="70">
        <v>53.28</v>
      </c>
      <c r="I179" s="71">
        <f>I177+I178</f>
        <v>905.76</v>
      </c>
      <c r="J179">
        <v>5</v>
      </c>
      <c r="U179" s="89"/>
      <c r="W179" s="89"/>
      <c r="X179" s="89"/>
    </row>
    <row r="180" spans="1:24" x14ac:dyDescent="0.25">
      <c r="A180" s="73"/>
      <c r="B180" s="25">
        <v>57</v>
      </c>
      <c r="C180" s="26" t="s">
        <v>213</v>
      </c>
      <c r="D180" s="27" t="s">
        <v>25</v>
      </c>
      <c r="E180" s="28"/>
      <c r="F180" s="28"/>
      <c r="G180" s="29">
        <v>10</v>
      </c>
      <c r="H180" s="22">
        <v>37</v>
      </c>
      <c r="I180" s="30">
        <f>G180*H180</f>
        <v>370</v>
      </c>
      <c r="J180">
        <v>1</v>
      </c>
      <c r="U180" s="89"/>
      <c r="W180" s="89"/>
      <c r="X180" s="89"/>
    </row>
    <row r="181" spans="1:24" x14ac:dyDescent="0.25">
      <c r="A181" s="105" t="s">
        <v>689</v>
      </c>
      <c r="B181" s="106"/>
      <c r="C181" s="106"/>
      <c r="D181" s="106"/>
      <c r="E181" s="106"/>
      <c r="F181" s="106"/>
      <c r="G181" s="106"/>
      <c r="H181" s="35">
        <v>17.760000000000002</v>
      </c>
      <c r="I181" s="36">
        <f>G180*H181</f>
        <v>177.60000000000002</v>
      </c>
      <c r="J181">
        <v>2</v>
      </c>
      <c r="W181" s="89"/>
    </row>
    <row r="182" spans="1:24" x14ac:dyDescent="0.25">
      <c r="A182" s="107"/>
      <c r="B182" s="107"/>
      <c r="C182" s="107"/>
      <c r="D182" s="107"/>
      <c r="E182" s="107"/>
      <c r="F182" s="107"/>
      <c r="G182" s="107"/>
      <c r="H182" s="70">
        <v>54.760000000000005</v>
      </c>
      <c r="I182" s="71">
        <f>I180+I181</f>
        <v>547.6</v>
      </c>
      <c r="J182">
        <v>5</v>
      </c>
      <c r="U182" s="89"/>
      <c r="W182" s="89"/>
      <c r="X182" s="89"/>
    </row>
    <row r="183" spans="1:24" x14ac:dyDescent="0.25">
      <c r="A183" s="73"/>
      <c r="B183" s="25">
        <v>58</v>
      </c>
      <c r="C183" s="26" t="s">
        <v>213</v>
      </c>
      <c r="D183" s="27" t="s">
        <v>25</v>
      </c>
      <c r="E183" s="28"/>
      <c r="F183" s="28"/>
      <c r="G183" s="29">
        <v>10</v>
      </c>
      <c r="H183" s="22">
        <v>14</v>
      </c>
      <c r="I183" s="30">
        <f>G183*H183</f>
        <v>140</v>
      </c>
      <c r="J183">
        <v>1</v>
      </c>
      <c r="U183" s="89"/>
      <c r="W183" s="89"/>
      <c r="X183" s="89"/>
    </row>
    <row r="184" spans="1:24" x14ac:dyDescent="0.25">
      <c r="A184" s="105" t="s">
        <v>214</v>
      </c>
      <c r="B184" s="106"/>
      <c r="C184" s="106"/>
      <c r="D184" s="106"/>
      <c r="E184" s="106"/>
      <c r="F184" s="106"/>
      <c r="G184" s="106"/>
      <c r="H184" s="35">
        <v>6.7200000000000006</v>
      </c>
      <c r="I184" s="36">
        <f>G183*H184</f>
        <v>67.2</v>
      </c>
      <c r="J184">
        <v>2</v>
      </c>
      <c r="W184" s="89"/>
    </row>
    <row r="185" spans="1:24" x14ac:dyDescent="0.25">
      <c r="A185" s="107"/>
      <c r="B185" s="107"/>
      <c r="C185" s="107"/>
      <c r="D185" s="107"/>
      <c r="E185" s="107"/>
      <c r="F185" s="107"/>
      <c r="G185" s="107"/>
      <c r="H185" s="70">
        <v>20.72</v>
      </c>
      <c r="I185" s="71">
        <f>I183+I184</f>
        <v>207.2</v>
      </c>
      <c r="J185">
        <v>5</v>
      </c>
      <c r="U185" s="89"/>
      <c r="W185" s="89"/>
      <c r="X185" s="89"/>
    </row>
    <row r="186" spans="1:24" x14ac:dyDescent="0.25">
      <c r="A186" s="73"/>
      <c r="B186" s="25">
        <v>59</v>
      </c>
      <c r="C186" s="26" t="s">
        <v>213</v>
      </c>
      <c r="D186" s="27" t="s">
        <v>25</v>
      </c>
      <c r="E186" s="28"/>
      <c r="F186" s="28"/>
      <c r="G186" s="29">
        <v>30</v>
      </c>
      <c r="H186" s="22">
        <v>15</v>
      </c>
      <c r="I186" s="30">
        <f>G186*H186</f>
        <v>450</v>
      </c>
      <c r="J186">
        <v>1</v>
      </c>
      <c r="U186" s="89"/>
      <c r="W186" s="89"/>
      <c r="X186" s="89"/>
    </row>
    <row r="187" spans="1:24" x14ac:dyDescent="0.25">
      <c r="A187" s="105" t="s">
        <v>690</v>
      </c>
      <c r="B187" s="106"/>
      <c r="C187" s="106"/>
      <c r="D187" s="106"/>
      <c r="E187" s="106"/>
      <c r="F187" s="106"/>
      <c r="G187" s="106"/>
      <c r="H187" s="35">
        <v>7.2</v>
      </c>
      <c r="I187" s="36">
        <f>G186*H187</f>
        <v>216</v>
      </c>
      <c r="J187">
        <v>2</v>
      </c>
      <c r="W187" s="89"/>
    </row>
    <row r="188" spans="1:24" x14ac:dyDescent="0.25">
      <c r="A188" s="107"/>
      <c r="B188" s="107"/>
      <c r="C188" s="107"/>
      <c r="D188" s="107"/>
      <c r="E188" s="107"/>
      <c r="F188" s="107"/>
      <c r="G188" s="107"/>
      <c r="H188" s="70">
        <v>22.2</v>
      </c>
      <c r="I188" s="71">
        <f>I186+I187</f>
        <v>666</v>
      </c>
      <c r="J188">
        <v>5</v>
      </c>
      <c r="U188" s="89"/>
      <c r="W188" s="89"/>
      <c r="X188" s="89"/>
    </row>
    <row r="189" spans="1:24" x14ac:dyDescent="0.25">
      <c r="A189" s="73"/>
      <c r="B189" s="25">
        <v>60</v>
      </c>
      <c r="C189" s="26" t="s">
        <v>190</v>
      </c>
      <c r="D189" s="27" t="s">
        <v>25</v>
      </c>
      <c r="E189" s="28"/>
      <c r="F189" s="28"/>
      <c r="G189" s="29">
        <v>10</v>
      </c>
      <c r="H189" s="22">
        <v>55</v>
      </c>
      <c r="I189" s="30">
        <f>G189*H189</f>
        <v>550</v>
      </c>
      <c r="J189">
        <v>1</v>
      </c>
      <c r="U189" s="89"/>
      <c r="W189" s="89"/>
      <c r="X189" s="89"/>
    </row>
    <row r="190" spans="1:24" x14ac:dyDescent="0.25">
      <c r="A190" s="105" t="s">
        <v>691</v>
      </c>
      <c r="B190" s="106"/>
      <c r="C190" s="106"/>
      <c r="D190" s="106"/>
      <c r="E190" s="106"/>
      <c r="F190" s="106"/>
      <c r="G190" s="106"/>
      <c r="H190" s="35">
        <v>26.400000000000002</v>
      </c>
      <c r="I190" s="36">
        <f>G189*H190</f>
        <v>264</v>
      </c>
      <c r="J190">
        <v>2</v>
      </c>
      <c r="W190" s="89"/>
    </row>
    <row r="191" spans="1:24" x14ac:dyDescent="0.25">
      <c r="A191" s="107"/>
      <c r="B191" s="107"/>
      <c r="C191" s="107"/>
      <c r="D191" s="107"/>
      <c r="E191" s="107"/>
      <c r="F191" s="107"/>
      <c r="G191" s="107"/>
      <c r="H191" s="70">
        <v>81.400000000000006</v>
      </c>
      <c r="I191" s="71">
        <f>I189+I190</f>
        <v>814</v>
      </c>
      <c r="J191">
        <v>5</v>
      </c>
      <c r="U191" s="89"/>
      <c r="W191" s="89"/>
      <c r="X191" s="89"/>
    </row>
    <row r="192" spans="1:24" x14ac:dyDescent="0.25">
      <c r="A192" s="73"/>
      <c r="B192" s="25">
        <v>61</v>
      </c>
      <c r="C192" s="26" t="s">
        <v>198</v>
      </c>
      <c r="D192" s="27" t="s">
        <v>25</v>
      </c>
      <c r="E192" s="28"/>
      <c r="F192" s="28"/>
      <c r="G192" s="29">
        <v>34</v>
      </c>
      <c r="H192" s="22">
        <v>32</v>
      </c>
      <c r="I192" s="30">
        <f>G192*H192</f>
        <v>1088</v>
      </c>
      <c r="J192">
        <v>1</v>
      </c>
      <c r="U192" s="89"/>
      <c r="W192" s="89"/>
      <c r="X192" s="89"/>
    </row>
    <row r="193" spans="1:24" x14ac:dyDescent="0.25">
      <c r="A193" s="105" t="s">
        <v>692</v>
      </c>
      <c r="B193" s="106"/>
      <c r="C193" s="106"/>
      <c r="D193" s="106"/>
      <c r="E193" s="106"/>
      <c r="F193" s="106"/>
      <c r="G193" s="106"/>
      <c r="H193" s="35">
        <v>15.36</v>
      </c>
      <c r="I193" s="36">
        <f>G192*H193</f>
        <v>522.24</v>
      </c>
      <c r="J193">
        <v>2</v>
      </c>
      <c r="W193" s="89"/>
    </row>
    <row r="194" spans="1:24" x14ac:dyDescent="0.25">
      <c r="A194" s="107"/>
      <c r="B194" s="107"/>
      <c r="C194" s="107"/>
      <c r="D194" s="107"/>
      <c r="E194" s="107"/>
      <c r="F194" s="107"/>
      <c r="G194" s="107"/>
      <c r="H194" s="70">
        <v>47.36</v>
      </c>
      <c r="I194" s="71">
        <f>I192+I193</f>
        <v>1610.24</v>
      </c>
      <c r="J194">
        <v>5</v>
      </c>
      <c r="U194" s="89"/>
      <c r="W194" s="89"/>
      <c r="X194" s="89"/>
    </row>
    <row r="195" spans="1:24" x14ac:dyDescent="0.25">
      <c r="A195" s="73"/>
      <c r="B195" s="25">
        <v>62</v>
      </c>
      <c r="C195" s="26" t="s">
        <v>215</v>
      </c>
      <c r="D195" s="27" t="s">
        <v>25</v>
      </c>
      <c r="E195" s="28"/>
      <c r="F195" s="28"/>
      <c r="G195" s="29">
        <v>3</v>
      </c>
      <c r="H195" s="85">
        <v>0</v>
      </c>
      <c r="I195" s="30">
        <f>G195*H195</f>
        <v>0</v>
      </c>
      <c r="J195">
        <v>1</v>
      </c>
      <c r="U195" s="89"/>
      <c r="W195" s="89"/>
      <c r="X195" s="89"/>
    </row>
    <row r="196" spans="1:24" x14ac:dyDescent="0.25">
      <c r="A196" s="105" t="s">
        <v>693</v>
      </c>
      <c r="B196" s="106"/>
      <c r="C196" s="106"/>
      <c r="D196" s="106"/>
      <c r="E196" s="106"/>
      <c r="F196" s="106"/>
      <c r="G196" s="106"/>
      <c r="H196" s="93">
        <v>8917.1200000000008</v>
      </c>
      <c r="I196" s="36">
        <f>G195*H196</f>
        <v>26751.360000000001</v>
      </c>
      <c r="J196">
        <v>2</v>
      </c>
      <c r="W196" s="89"/>
    </row>
    <row r="197" spans="1:24" x14ac:dyDescent="0.25">
      <c r="A197" s="107"/>
      <c r="B197" s="107"/>
      <c r="C197" s="107"/>
      <c r="D197" s="107"/>
      <c r="E197" s="107"/>
      <c r="F197" s="107"/>
      <c r="G197" s="107"/>
      <c r="H197" s="94">
        <f>H195+H196</f>
        <v>8917.1200000000008</v>
      </c>
      <c r="I197" s="71">
        <f>I195+I196</f>
        <v>26751.360000000001</v>
      </c>
      <c r="J197">
        <v>5</v>
      </c>
      <c r="U197" s="89"/>
      <c r="W197" s="89"/>
      <c r="X197" s="89"/>
    </row>
    <row r="198" spans="1:24" x14ac:dyDescent="0.25">
      <c r="A198" s="73"/>
      <c r="B198" s="25">
        <v>63</v>
      </c>
      <c r="C198" s="26" t="s">
        <v>216</v>
      </c>
      <c r="D198" s="27" t="s">
        <v>25</v>
      </c>
      <c r="E198" s="28"/>
      <c r="F198" s="28"/>
      <c r="G198" s="29">
        <v>3</v>
      </c>
      <c r="H198" s="85">
        <v>0</v>
      </c>
      <c r="I198" s="30">
        <f>G198*H198</f>
        <v>0</v>
      </c>
      <c r="J198">
        <v>1</v>
      </c>
      <c r="U198" s="89"/>
      <c r="W198" s="89"/>
      <c r="X198" s="89"/>
    </row>
    <row r="199" spans="1:24" x14ac:dyDescent="0.25">
      <c r="A199" s="105" t="s">
        <v>694</v>
      </c>
      <c r="B199" s="106"/>
      <c r="C199" s="106"/>
      <c r="D199" s="106"/>
      <c r="E199" s="106"/>
      <c r="F199" s="106"/>
      <c r="G199" s="106"/>
      <c r="H199" s="93">
        <v>1216</v>
      </c>
      <c r="I199" s="36">
        <f>G198*H199</f>
        <v>3648</v>
      </c>
      <c r="J199">
        <v>2</v>
      </c>
      <c r="W199" s="89"/>
    </row>
    <row r="200" spans="1:24" x14ac:dyDescent="0.25">
      <c r="A200" s="107"/>
      <c r="B200" s="107"/>
      <c r="C200" s="107"/>
      <c r="D200" s="107"/>
      <c r="E200" s="107"/>
      <c r="F200" s="107"/>
      <c r="G200" s="107"/>
      <c r="H200" s="94">
        <f>H198+H199</f>
        <v>1216</v>
      </c>
      <c r="I200" s="71">
        <f>I198+I199</f>
        <v>3648</v>
      </c>
      <c r="J200">
        <v>5</v>
      </c>
      <c r="U200" s="89"/>
      <c r="W200" s="89"/>
      <c r="X200" s="89"/>
    </row>
    <row r="201" spans="1:24" x14ac:dyDescent="0.25">
      <c r="A201" s="73"/>
      <c r="B201" s="25">
        <v>64</v>
      </c>
      <c r="C201" s="26" t="s">
        <v>217</v>
      </c>
      <c r="D201" s="27" t="s">
        <v>25</v>
      </c>
      <c r="E201" s="28"/>
      <c r="F201" s="28"/>
      <c r="G201" s="29">
        <v>1</v>
      </c>
      <c r="H201" s="7">
        <v>0</v>
      </c>
      <c r="I201" s="30">
        <f>G201*H201</f>
        <v>0</v>
      </c>
      <c r="J201">
        <v>1</v>
      </c>
      <c r="U201" s="89"/>
      <c r="W201" s="89"/>
      <c r="X201" s="89"/>
    </row>
    <row r="202" spans="1:24" x14ac:dyDescent="0.25">
      <c r="A202" s="105" t="s">
        <v>695</v>
      </c>
      <c r="B202" s="106"/>
      <c r="C202" s="106"/>
      <c r="D202" s="106"/>
      <c r="E202" s="106"/>
      <c r="F202" s="106"/>
      <c r="G202" s="106"/>
      <c r="H202" s="93">
        <v>2128</v>
      </c>
      <c r="I202" s="36">
        <f>G201*H202</f>
        <v>2128</v>
      </c>
      <c r="J202">
        <v>2</v>
      </c>
      <c r="W202" s="89"/>
    </row>
    <row r="203" spans="1:24" x14ac:dyDescent="0.25">
      <c r="A203" s="107"/>
      <c r="B203" s="107"/>
      <c r="C203" s="107"/>
      <c r="D203" s="107"/>
      <c r="E203" s="107"/>
      <c r="F203" s="107"/>
      <c r="G203" s="107"/>
      <c r="H203" s="94">
        <v>8778</v>
      </c>
      <c r="I203" s="71">
        <f>I201+I202</f>
        <v>2128</v>
      </c>
      <c r="J203">
        <v>5</v>
      </c>
      <c r="U203" s="89"/>
      <c r="W203" s="89"/>
      <c r="X203" s="89"/>
    </row>
    <row r="204" spans="1:24" x14ac:dyDescent="0.25">
      <c r="A204" s="73"/>
      <c r="B204" s="25">
        <v>65</v>
      </c>
      <c r="C204" s="26" t="s">
        <v>216</v>
      </c>
      <c r="D204" s="27" t="s">
        <v>25</v>
      </c>
      <c r="E204" s="28"/>
      <c r="F204" s="28"/>
      <c r="G204" s="29">
        <v>1</v>
      </c>
      <c r="H204" s="85">
        <v>0</v>
      </c>
      <c r="I204" s="30">
        <f>G204*H204</f>
        <v>0</v>
      </c>
      <c r="J204">
        <v>1</v>
      </c>
      <c r="U204" s="89"/>
      <c r="W204" s="89"/>
      <c r="X204" s="89"/>
    </row>
    <row r="205" spans="1:24" x14ac:dyDescent="0.25">
      <c r="A205" s="105" t="s">
        <v>696</v>
      </c>
      <c r="B205" s="106"/>
      <c r="C205" s="106"/>
      <c r="D205" s="106"/>
      <c r="E205" s="106"/>
      <c r="F205" s="106"/>
      <c r="G205" s="106"/>
      <c r="H205" s="93">
        <v>92.800000000000011</v>
      </c>
      <c r="I205" s="36">
        <f>G204*H205</f>
        <v>92.800000000000011</v>
      </c>
      <c r="J205">
        <v>2</v>
      </c>
      <c r="W205" s="89"/>
    </row>
    <row r="206" spans="1:24" ht="14.45" customHeight="1" x14ac:dyDescent="0.25">
      <c r="A206" s="107"/>
      <c r="B206" s="107"/>
      <c r="C206" s="107"/>
      <c r="D206" s="107"/>
      <c r="E206" s="107"/>
      <c r="F206" s="107"/>
      <c r="G206" s="107"/>
      <c r="H206" s="94">
        <f>H204+H205</f>
        <v>92.800000000000011</v>
      </c>
      <c r="I206" s="71">
        <f>I204+I205</f>
        <v>92.800000000000011</v>
      </c>
      <c r="J206">
        <v>5</v>
      </c>
      <c r="U206" s="89"/>
      <c r="W206" s="89"/>
      <c r="X206" s="89"/>
    </row>
    <row r="207" spans="1:24" x14ac:dyDescent="0.25">
      <c r="A207" s="73"/>
      <c r="B207" s="25">
        <v>66</v>
      </c>
      <c r="C207" s="26" t="s">
        <v>218</v>
      </c>
      <c r="D207" s="27" t="s">
        <v>25</v>
      </c>
      <c r="E207" s="28"/>
      <c r="F207" s="28"/>
      <c r="G207" s="29">
        <v>2</v>
      </c>
      <c r="H207" s="85">
        <v>0</v>
      </c>
      <c r="I207" s="30">
        <f>G207*H207</f>
        <v>0</v>
      </c>
      <c r="J207">
        <v>1</v>
      </c>
      <c r="U207" s="89"/>
      <c r="W207" s="89"/>
      <c r="X207" s="89"/>
    </row>
    <row r="208" spans="1:24" x14ac:dyDescent="0.25">
      <c r="A208" s="105" t="s">
        <v>697</v>
      </c>
      <c r="B208" s="106"/>
      <c r="C208" s="106"/>
      <c r="D208" s="106"/>
      <c r="E208" s="106"/>
      <c r="F208" s="106"/>
      <c r="G208" s="106"/>
      <c r="H208" s="93">
        <v>2000</v>
      </c>
      <c r="I208" s="36">
        <f>G207*H208</f>
        <v>4000</v>
      </c>
      <c r="J208">
        <v>2</v>
      </c>
      <c r="W208" s="89"/>
    </row>
    <row r="209" spans="1:24" x14ac:dyDescent="0.25">
      <c r="A209" s="107"/>
      <c r="B209" s="107"/>
      <c r="C209" s="107"/>
      <c r="D209" s="107"/>
      <c r="E209" s="107"/>
      <c r="F209" s="107"/>
      <c r="G209" s="107"/>
      <c r="H209" s="94">
        <f>H207+H208</f>
        <v>2000</v>
      </c>
      <c r="I209" s="71">
        <f>I207+I208</f>
        <v>4000</v>
      </c>
      <c r="J209">
        <v>5</v>
      </c>
      <c r="U209" s="89"/>
      <c r="W209" s="89"/>
      <c r="X209" s="89"/>
    </row>
    <row r="210" spans="1:24" x14ac:dyDescent="0.25">
      <c r="B210" s="31">
        <v>67</v>
      </c>
      <c r="C210" s="32" t="s">
        <v>219</v>
      </c>
      <c r="D210" s="33" t="s">
        <v>25</v>
      </c>
      <c r="G210" s="34">
        <v>4</v>
      </c>
      <c r="H210" s="93">
        <v>0</v>
      </c>
      <c r="I210" s="36">
        <f>G210*H210</f>
        <v>0</v>
      </c>
      <c r="J210">
        <v>1</v>
      </c>
      <c r="U210" s="89"/>
      <c r="W210" s="89"/>
      <c r="X210" s="89"/>
    </row>
    <row r="211" spans="1:24" x14ac:dyDescent="0.25">
      <c r="A211" s="105" t="s">
        <v>698</v>
      </c>
      <c r="B211" s="106"/>
      <c r="C211" s="106"/>
      <c r="D211" s="106"/>
      <c r="E211" s="106"/>
      <c r="F211" s="106"/>
      <c r="G211" s="106"/>
      <c r="H211" s="93">
        <v>1164</v>
      </c>
      <c r="I211" s="36">
        <f>G210*H211</f>
        <v>4656</v>
      </c>
      <c r="J211">
        <v>2</v>
      </c>
      <c r="W211" s="89"/>
    </row>
    <row r="212" spans="1:24" x14ac:dyDescent="0.25">
      <c r="A212" s="107"/>
      <c r="B212" s="107"/>
      <c r="C212" s="107"/>
      <c r="D212" s="107"/>
      <c r="E212" s="107"/>
      <c r="F212" s="107"/>
      <c r="G212" s="107"/>
      <c r="H212" s="94">
        <f>H210+H211</f>
        <v>1164</v>
      </c>
      <c r="I212" s="71">
        <f>I210+I211</f>
        <v>4656</v>
      </c>
      <c r="J212">
        <v>5</v>
      </c>
      <c r="U212" s="89"/>
      <c r="W212" s="89"/>
      <c r="X212" s="89"/>
    </row>
    <row r="213" spans="1:24" x14ac:dyDescent="0.25">
      <c r="A213" s="73"/>
      <c r="B213" s="25">
        <v>68</v>
      </c>
      <c r="C213" s="26" t="s">
        <v>220</v>
      </c>
      <c r="D213" s="27" t="s">
        <v>25</v>
      </c>
      <c r="E213" s="28"/>
      <c r="F213" s="28"/>
      <c r="G213" s="29">
        <v>1</v>
      </c>
      <c r="H213" s="88">
        <v>550</v>
      </c>
      <c r="I213" s="30">
        <f>G213*H213</f>
        <v>550</v>
      </c>
      <c r="J213">
        <v>1</v>
      </c>
      <c r="U213" s="89"/>
      <c r="W213" s="89"/>
      <c r="X213" s="89"/>
    </row>
    <row r="214" spans="1:24" x14ac:dyDescent="0.25">
      <c r="A214" s="105" t="s">
        <v>699</v>
      </c>
      <c r="B214" s="106"/>
      <c r="C214" s="106"/>
      <c r="D214" s="106"/>
      <c r="E214" s="106"/>
      <c r="F214" s="106"/>
      <c r="G214" s="106"/>
      <c r="H214" s="35">
        <v>264</v>
      </c>
      <c r="I214" s="36">
        <f>G213*H214</f>
        <v>264</v>
      </c>
      <c r="J214">
        <v>2</v>
      </c>
      <c r="W214" s="89"/>
    </row>
    <row r="215" spans="1:24" ht="14.45" customHeight="1" x14ac:dyDescent="0.25">
      <c r="A215" s="107"/>
      <c r="B215" s="107"/>
      <c r="C215" s="107"/>
      <c r="D215" s="107"/>
      <c r="E215" s="107"/>
      <c r="F215" s="107"/>
      <c r="G215" s="107"/>
      <c r="H215" s="70">
        <v>814</v>
      </c>
      <c r="I215" s="71">
        <f>I213+I214</f>
        <v>814</v>
      </c>
      <c r="J215">
        <v>5</v>
      </c>
      <c r="U215" s="89"/>
      <c r="W215" s="89"/>
      <c r="X215" s="89"/>
    </row>
    <row r="216" spans="1:24" x14ac:dyDescent="0.25">
      <c r="A216" s="73"/>
      <c r="B216" s="25">
        <v>69</v>
      </c>
      <c r="C216" s="26" t="s">
        <v>221</v>
      </c>
      <c r="D216" s="27" t="s">
        <v>25</v>
      </c>
      <c r="E216" s="28"/>
      <c r="F216" s="28"/>
      <c r="G216" s="29">
        <v>1</v>
      </c>
      <c r="H216" s="22">
        <v>750</v>
      </c>
      <c r="I216" s="30">
        <f>G216*H216</f>
        <v>750</v>
      </c>
      <c r="J216">
        <v>1</v>
      </c>
      <c r="U216" s="89"/>
      <c r="W216" s="89"/>
      <c r="X216" s="89"/>
    </row>
    <row r="217" spans="1:24" x14ac:dyDescent="0.25">
      <c r="A217" s="105" t="s">
        <v>700</v>
      </c>
      <c r="B217" s="106"/>
      <c r="C217" s="106"/>
      <c r="D217" s="106"/>
      <c r="E217" s="106"/>
      <c r="F217" s="106"/>
      <c r="G217" s="106"/>
      <c r="H217" s="35">
        <v>360</v>
      </c>
      <c r="I217" s="36">
        <f>G216*H217</f>
        <v>360</v>
      </c>
      <c r="J217">
        <v>2</v>
      </c>
      <c r="W217" s="89"/>
    </row>
    <row r="218" spans="1:24" x14ac:dyDescent="0.25">
      <c r="A218" s="107"/>
      <c r="B218" s="107"/>
      <c r="C218" s="107"/>
      <c r="D218" s="107"/>
      <c r="E218" s="107"/>
      <c r="F218" s="107"/>
      <c r="G218" s="107"/>
      <c r="H218" s="70">
        <v>1110</v>
      </c>
      <c r="I218" s="71">
        <f>I216+I217</f>
        <v>1110</v>
      </c>
      <c r="J218">
        <v>5</v>
      </c>
      <c r="U218" s="89"/>
      <c r="W218" s="89"/>
      <c r="X218" s="89"/>
    </row>
    <row r="219" spans="1:24" x14ac:dyDescent="0.25">
      <c r="A219" s="73"/>
      <c r="B219" s="25">
        <v>70</v>
      </c>
      <c r="C219" s="26" t="s">
        <v>139</v>
      </c>
      <c r="D219" s="27" t="s">
        <v>25</v>
      </c>
      <c r="E219" s="28"/>
      <c r="F219" s="28"/>
      <c r="G219" s="29">
        <v>1</v>
      </c>
      <c r="H219" s="22">
        <v>16</v>
      </c>
      <c r="I219" s="30">
        <f>G219*H219</f>
        <v>16</v>
      </c>
      <c r="J219">
        <v>1</v>
      </c>
      <c r="U219" s="89"/>
      <c r="W219" s="89"/>
      <c r="X219" s="89"/>
    </row>
    <row r="220" spans="1:24" x14ac:dyDescent="0.25">
      <c r="A220" s="105" t="s">
        <v>701</v>
      </c>
      <c r="B220" s="106"/>
      <c r="C220" s="106"/>
      <c r="D220" s="106"/>
      <c r="E220" s="106"/>
      <c r="F220" s="106"/>
      <c r="G220" s="106"/>
      <c r="H220" s="35">
        <v>7.68</v>
      </c>
      <c r="I220" s="36">
        <f>G219*H220</f>
        <v>7.68</v>
      </c>
      <c r="J220">
        <v>2</v>
      </c>
      <c r="W220" s="89"/>
    </row>
    <row r="221" spans="1:24" x14ac:dyDescent="0.25">
      <c r="A221" s="107"/>
      <c r="B221" s="107"/>
      <c r="C221" s="107"/>
      <c r="D221" s="107"/>
      <c r="E221" s="107"/>
      <c r="F221" s="107"/>
      <c r="G221" s="107"/>
      <c r="H221" s="70">
        <v>23.68</v>
      </c>
      <c r="I221" s="71">
        <f>I219+I220</f>
        <v>23.68</v>
      </c>
      <c r="J221">
        <v>5</v>
      </c>
      <c r="U221" s="89"/>
      <c r="W221" s="89"/>
      <c r="X221" s="89"/>
    </row>
    <row r="222" spans="1:24" x14ac:dyDescent="0.25">
      <c r="A222" s="73"/>
      <c r="B222" s="25">
        <v>71</v>
      </c>
      <c r="C222" s="26" t="s">
        <v>222</v>
      </c>
      <c r="D222" s="27" t="s">
        <v>24</v>
      </c>
      <c r="E222" s="28"/>
      <c r="F222" s="28"/>
      <c r="G222" s="29">
        <v>20</v>
      </c>
      <c r="H222" s="22">
        <v>230</v>
      </c>
      <c r="I222" s="30">
        <f>G222*H222</f>
        <v>4600</v>
      </c>
      <c r="J222">
        <v>1</v>
      </c>
      <c r="U222" s="89"/>
      <c r="W222" s="89"/>
      <c r="X222" s="89"/>
    </row>
    <row r="223" spans="1:24" x14ac:dyDescent="0.25">
      <c r="A223" s="105" t="s">
        <v>702</v>
      </c>
      <c r="B223" s="106"/>
      <c r="C223" s="106"/>
      <c r="D223" s="106"/>
      <c r="E223" s="106"/>
      <c r="F223" s="106"/>
      <c r="G223" s="106"/>
      <c r="H223" s="35">
        <v>110.4</v>
      </c>
      <c r="I223" s="36">
        <f>G222*H223</f>
        <v>2208</v>
      </c>
      <c r="J223">
        <v>2</v>
      </c>
      <c r="W223" s="89"/>
    </row>
    <row r="224" spans="1:24" x14ac:dyDescent="0.25">
      <c r="A224" s="107"/>
      <c r="B224" s="107"/>
      <c r="C224" s="107"/>
      <c r="D224" s="107"/>
      <c r="E224" s="107"/>
      <c r="F224" s="107"/>
      <c r="G224" s="107"/>
      <c r="H224" s="70">
        <v>340.4</v>
      </c>
      <c r="I224" s="71">
        <f>I222+I223</f>
        <v>6808</v>
      </c>
      <c r="J224">
        <v>5</v>
      </c>
      <c r="U224" s="89"/>
      <c r="W224" s="89"/>
      <c r="X224" s="89"/>
    </row>
    <row r="225" spans="1:24" x14ac:dyDescent="0.25">
      <c r="A225" s="73"/>
      <c r="B225" s="25">
        <v>72</v>
      </c>
      <c r="C225" s="26" t="s">
        <v>181</v>
      </c>
      <c r="D225" s="27" t="s">
        <v>24</v>
      </c>
      <c r="E225" s="28"/>
      <c r="F225" s="28"/>
      <c r="G225" s="29">
        <v>6</v>
      </c>
      <c r="H225" s="22">
        <v>86</v>
      </c>
      <c r="I225" s="30">
        <f>G225*H225</f>
        <v>516</v>
      </c>
      <c r="J225">
        <v>1</v>
      </c>
      <c r="U225" s="89"/>
      <c r="W225" s="89"/>
      <c r="X225" s="89"/>
    </row>
    <row r="226" spans="1:24" x14ac:dyDescent="0.25">
      <c r="A226" s="105" t="s">
        <v>703</v>
      </c>
      <c r="B226" s="106"/>
      <c r="C226" s="106"/>
      <c r="D226" s="106"/>
      <c r="E226" s="106"/>
      <c r="F226" s="106"/>
      <c r="G226" s="106"/>
      <c r="H226" s="35">
        <v>41.28</v>
      </c>
      <c r="I226" s="36">
        <f>G225*H226</f>
        <v>247.68</v>
      </c>
      <c r="J226">
        <v>2</v>
      </c>
      <c r="W226" s="89"/>
    </row>
    <row r="227" spans="1:24" ht="15" customHeight="1" x14ac:dyDescent="0.25">
      <c r="A227" s="107"/>
      <c r="B227" s="107"/>
      <c r="C227" s="107"/>
      <c r="D227" s="107"/>
      <c r="E227" s="107"/>
      <c r="F227" s="107"/>
      <c r="G227" s="107"/>
      <c r="H227" s="70">
        <v>127.28</v>
      </c>
      <c r="I227" s="71">
        <f>I225+I226</f>
        <v>763.68000000000006</v>
      </c>
      <c r="J227">
        <v>5</v>
      </c>
      <c r="U227" s="89"/>
      <c r="W227" s="89"/>
      <c r="X227" s="89"/>
    </row>
    <row r="228" spans="1:24" x14ac:dyDescent="0.25">
      <c r="A228" s="73"/>
      <c r="B228" s="25">
        <v>73</v>
      </c>
      <c r="C228" s="26" t="s">
        <v>182</v>
      </c>
      <c r="D228" s="27" t="s">
        <v>24</v>
      </c>
      <c r="E228" s="28"/>
      <c r="F228" s="28"/>
      <c r="G228" s="29">
        <v>12</v>
      </c>
      <c r="H228" s="22">
        <v>75</v>
      </c>
      <c r="I228" s="30">
        <f>G228*H228</f>
        <v>900</v>
      </c>
      <c r="J228">
        <v>1</v>
      </c>
      <c r="U228" s="89"/>
      <c r="W228" s="89"/>
      <c r="X228" s="89"/>
    </row>
    <row r="229" spans="1:24" x14ac:dyDescent="0.25">
      <c r="A229" s="105" t="s">
        <v>704</v>
      </c>
      <c r="B229" s="106"/>
      <c r="C229" s="106"/>
      <c r="D229" s="106"/>
      <c r="E229" s="106"/>
      <c r="F229" s="106"/>
      <c r="G229" s="106"/>
      <c r="H229" s="35">
        <v>36</v>
      </c>
      <c r="I229" s="36">
        <f>G228*H229</f>
        <v>432</v>
      </c>
      <c r="J229">
        <v>2</v>
      </c>
      <c r="W229" s="89"/>
    </row>
    <row r="230" spans="1:24" x14ac:dyDescent="0.25">
      <c r="A230" s="107"/>
      <c r="B230" s="107"/>
      <c r="C230" s="107"/>
      <c r="D230" s="107"/>
      <c r="E230" s="107"/>
      <c r="F230" s="107"/>
      <c r="G230" s="107"/>
      <c r="H230" s="70">
        <v>111</v>
      </c>
      <c r="I230" s="71">
        <f>I228+I229</f>
        <v>1332</v>
      </c>
      <c r="J230">
        <v>5</v>
      </c>
      <c r="U230" s="89"/>
      <c r="W230" s="89"/>
      <c r="X230" s="89"/>
    </row>
    <row r="231" spans="1:24" x14ac:dyDescent="0.25">
      <c r="A231" s="73"/>
      <c r="B231" s="25">
        <v>74</v>
      </c>
      <c r="C231" s="26" t="s">
        <v>183</v>
      </c>
      <c r="D231" s="27" t="s">
        <v>24</v>
      </c>
      <c r="E231" s="28"/>
      <c r="F231" s="28"/>
      <c r="G231" s="29">
        <v>6</v>
      </c>
      <c r="H231" s="22">
        <v>64</v>
      </c>
      <c r="I231" s="30">
        <f>G231*H231</f>
        <v>384</v>
      </c>
      <c r="J231">
        <v>1</v>
      </c>
      <c r="U231" s="89"/>
      <c r="W231" s="89"/>
      <c r="X231" s="89"/>
    </row>
    <row r="232" spans="1:24" x14ac:dyDescent="0.25">
      <c r="A232" s="105" t="s">
        <v>661</v>
      </c>
      <c r="B232" s="106"/>
      <c r="C232" s="106"/>
      <c r="D232" s="106"/>
      <c r="E232" s="106"/>
      <c r="F232" s="106"/>
      <c r="G232" s="106"/>
      <c r="H232" s="35">
        <v>30.72</v>
      </c>
      <c r="I232" s="36">
        <f>G231*H232</f>
        <v>184.32</v>
      </c>
      <c r="J232">
        <v>2</v>
      </c>
      <c r="W232" s="89"/>
    </row>
    <row r="233" spans="1:24" x14ac:dyDescent="0.25">
      <c r="A233" s="107"/>
      <c r="B233" s="107"/>
      <c r="C233" s="107"/>
      <c r="D233" s="107"/>
      <c r="E233" s="107"/>
      <c r="F233" s="107"/>
      <c r="G233" s="107"/>
      <c r="H233" s="70">
        <v>94.72</v>
      </c>
      <c r="I233" s="71">
        <f>I231+I232</f>
        <v>568.31999999999994</v>
      </c>
      <c r="J233">
        <v>5</v>
      </c>
      <c r="U233" s="89"/>
      <c r="W233" s="89"/>
      <c r="X233" s="89"/>
    </row>
    <row r="234" spans="1:24" x14ac:dyDescent="0.25">
      <c r="A234" s="73"/>
      <c r="B234" s="25">
        <v>75</v>
      </c>
      <c r="C234" s="26" t="s">
        <v>223</v>
      </c>
      <c r="D234" s="27" t="s">
        <v>25</v>
      </c>
      <c r="E234" s="28"/>
      <c r="F234" s="28"/>
      <c r="G234" s="29">
        <v>6</v>
      </c>
      <c r="H234" s="22">
        <v>1700</v>
      </c>
      <c r="I234" s="30">
        <f>G234*H234</f>
        <v>10200</v>
      </c>
      <c r="J234">
        <v>1</v>
      </c>
      <c r="U234" s="89"/>
      <c r="W234" s="89"/>
      <c r="X234" s="89"/>
    </row>
    <row r="235" spans="1:24" x14ac:dyDescent="0.25">
      <c r="A235" s="105" t="s">
        <v>705</v>
      </c>
      <c r="B235" s="106"/>
      <c r="C235" s="106"/>
      <c r="D235" s="106"/>
      <c r="E235" s="106"/>
      <c r="F235" s="106"/>
      <c r="G235" s="106"/>
      <c r="H235" s="35">
        <v>816</v>
      </c>
      <c r="I235" s="36">
        <f>G234*H235</f>
        <v>4896</v>
      </c>
      <c r="J235">
        <v>2</v>
      </c>
      <c r="W235" s="89"/>
    </row>
    <row r="236" spans="1:24" ht="14.45" customHeight="1" x14ac:dyDescent="0.25">
      <c r="A236" s="107"/>
      <c r="B236" s="107"/>
      <c r="C236" s="107"/>
      <c r="D236" s="107"/>
      <c r="E236" s="107"/>
      <c r="F236" s="107"/>
      <c r="G236" s="107"/>
      <c r="H236" s="70">
        <v>2516</v>
      </c>
      <c r="I236" s="71">
        <f>I234+I235</f>
        <v>15096</v>
      </c>
      <c r="J236">
        <v>5</v>
      </c>
      <c r="U236" s="89"/>
      <c r="W236" s="89"/>
      <c r="X236" s="89"/>
    </row>
    <row r="237" spans="1:24" x14ac:dyDescent="0.25">
      <c r="A237" s="73"/>
      <c r="B237" s="25">
        <v>76</v>
      </c>
      <c r="C237" s="26" t="s">
        <v>105</v>
      </c>
      <c r="D237" s="27" t="s">
        <v>25</v>
      </c>
      <c r="E237" s="28"/>
      <c r="F237" s="28"/>
      <c r="G237" s="29">
        <v>6</v>
      </c>
      <c r="H237" s="22">
        <v>240</v>
      </c>
      <c r="I237" s="30">
        <f>G237*H237</f>
        <v>1440</v>
      </c>
      <c r="J237">
        <v>1</v>
      </c>
      <c r="U237" s="89"/>
      <c r="W237" s="89"/>
      <c r="X237" s="89"/>
    </row>
    <row r="238" spans="1:24" x14ac:dyDescent="0.25">
      <c r="A238" s="105" t="s">
        <v>706</v>
      </c>
      <c r="B238" s="106"/>
      <c r="C238" s="106"/>
      <c r="D238" s="106"/>
      <c r="E238" s="106"/>
      <c r="F238" s="106"/>
      <c r="G238" s="106"/>
      <c r="H238" s="35">
        <v>115.2</v>
      </c>
      <c r="I238" s="36">
        <f>G237*H238</f>
        <v>691.2</v>
      </c>
      <c r="J238">
        <v>2</v>
      </c>
      <c r="W238" s="89"/>
    </row>
    <row r="239" spans="1:24" ht="14.45" customHeight="1" x14ac:dyDescent="0.25">
      <c r="A239" s="107"/>
      <c r="B239" s="107"/>
      <c r="C239" s="107"/>
      <c r="D239" s="107"/>
      <c r="E239" s="107"/>
      <c r="F239" s="107"/>
      <c r="G239" s="107"/>
      <c r="H239" s="70">
        <v>355.2</v>
      </c>
      <c r="I239" s="71">
        <f>I237+I238</f>
        <v>2131.1999999999998</v>
      </c>
      <c r="J239">
        <v>5</v>
      </c>
      <c r="U239" s="89"/>
      <c r="W239" s="89"/>
      <c r="X239" s="89"/>
    </row>
    <row r="240" spans="1:24" x14ac:dyDescent="0.25">
      <c r="A240" s="73"/>
      <c r="B240" s="25">
        <v>77</v>
      </c>
      <c r="C240" s="26" t="s">
        <v>224</v>
      </c>
      <c r="D240" s="27" t="s">
        <v>25</v>
      </c>
      <c r="E240" s="28"/>
      <c r="F240" s="28"/>
      <c r="G240" s="29">
        <v>9</v>
      </c>
      <c r="H240" s="22">
        <v>149</v>
      </c>
      <c r="I240" s="30">
        <f>G240*H240</f>
        <v>1341</v>
      </c>
      <c r="J240">
        <v>1</v>
      </c>
      <c r="U240" s="89"/>
      <c r="W240" s="89"/>
      <c r="X240" s="89"/>
    </row>
    <row r="241" spans="1:24" x14ac:dyDescent="0.25">
      <c r="A241" s="105" t="s">
        <v>707</v>
      </c>
      <c r="B241" s="106"/>
      <c r="C241" s="106"/>
      <c r="D241" s="106"/>
      <c r="E241" s="106"/>
      <c r="F241" s="106"/>
      <c r="G241" s="106"/>
      <c r="H241" s="35">
        <v>71.52</v>
      </c>
      <c r="I241" s="36">
        <f>G240*H241</f>
        <v>643.67999999999995</v>
      </c>
      <c r="J241">
        <v>2</v>
      </c>
      <c r="W241" s="89"/>
    </row>
    <row r="242" spans="1:24" ht="14.45" customHeight="1" x14ac:dyDescent="0.25">
      <c r="A242" s="107"/>
      <c r="B242" s="107"/>
      <c r="C242" s="107"/>
      <c r="D242" s="107"/>
      <c r="E242" s="107"/>
      <c r="F242" s="107"/>
      <c r="G242" s="107"/>
      <c r="H242" s="70">
        <v>220.51999999999998</v>
      </c>
      <c r="I242" s="71">
        <f>I240+I241</f>
        <v>1984.6799999999998</v>
      </c>
      <c r="J242">
        <v>5</v>
      </c>
      <c r="U242" s="89"/>
      <c r="W242" s="89"/>
      <c r="X242" s="89"/>
    </row>
    <row r="243" spans="1:24" x14ac:dyDescent="0.25">
      <c r="A243" s="73"/>
      <c r="B243" s="25">
        <v>78</v>
      </c>
      <c r="C243" s="26" t="s">
        <v>104</v>
      </c>
      <c r="D243" s="27" t="s">
        <v>25</v>
      </c>
      <c r="E243" s="28"/>
      <c r="F243" s="28"/>
      <c r="G243" s="29">
        <v>7</v>
      </c>
      <c r="H243" s="22">
        <v>120</v>
      </c>
      <c r="I243" s="30">
        <f>G243*H243</f>
        <v>840</v>
      </c>
      <c r="J243">
        <v>1</v>
      </c>
      <c r="U243" s="89"/>
      <c r="W243" s="89"/>
      <c r="X243" s="89"/>
    </row>
    <row r="244" spans="1:24" x14ac:dyDescent="0.25">
      <c r="A244" s="105" t="s">
        <v>708</v>
      </c>
      <c r="B244" s="106"/>
      <c r="C244" s="106"/>
      <c r="D244" s="106"/>
      <c r="E244" s="106"/>
      <c r="F244" s="106"/>
      <c r="G244" s="106"/>
      <c r="H244" s="35">
        <v>57.6</v>
      </c>
      <c r="I244" s="36">
        <f>G243*H244</f>
        <v>403.2</v>
      </c>
      <c r="J244">
        <v>2</v>
      </c>
      <c r="W244" s="89"/>
    </row>
    <row r="245" spans="1:24" x14ac:dyDescent="0.25">
      <c r="A245" s="107"/>
      <c r="B245" s="107"/>
      <c r="C245" s="107"/>
      <c r="D245" s="107"/>
      <c r="E245" s="107"/>
      <c r="F245" s="107"/>
      <c r="G245" s="107"/>
      <c r="H245" s="70">
        <v>177.6</v>
      </c>
      <c r="I245" s="71">
        <f>I243+I244</f>
        <v>1243.2</v>
      </c>
      <c r="J245">
        <v>5</v>
      </c>
      <c r="U245" s="89"/>
      <c r="W245" s="89"/>
      <c r="X245" s="89"/>
    </row>
    <row r="246" spans="1:24" x14ac:dyDescent="0.25">
      <c r="A246" s="73"/>
      <c r="B246" s="25">
        <v>79</v>
      </c>
      <c r="C246" s="26" t="s">
        <v>192</v>
      </c>
      <c r="D246" s="27" t="s">
        <v>25</v>
      </c>
      <c r="E246" s="28"/>
      <c r="F246" s="28"/>
      <c r="G246" s="29">
        <v>4</v>
      </c>
      <c r="H246" s="22">
        <v>120</v>
      </c>
      <c r="I246" s="30">
        <f>G246*H246</f>
        <v>480</v>
      </c>
      <c r="J246">
        <v>1</v>
      </c>
      <c r="U246" s="89"/>
      <c r="W246" s="89"/>
      <c r="X246" s="89"/>
    </row>
    <row r="247" spans="1:24" x14ac:dyDescent="0.25">
      <c r="A247" s="105" t="s">
        <v>709</v>
      </c>
      <c r="B247" s="106"/>
      <c r="C247" s="106"/>
      <c r="D247" s="106"/>
      <c r="E247" s="106"/>
      <c r="F247" s="106"/>
      <c r="G247" s="106"/>
      <c r="H247" s="35">
        <v>57.6</v>
      </c>
      <c r="I247" s="36">
        <f>G246*H247</f>
        <v>230.4</v>
      </c>
      <c r="J247">
        <v>2</v>
      </c>
      <c r="W247" s="89"/>
    </row>
    <row r="248" spans="1:24" ht="14.45" customHeight="1" x14ac:dyDescent="0.25">
      <c r="A248" s="107"/>
      <c r="B248" s="107"/>
      <c r="C248" s="107"/>
      <c r="D248" s="107"/>
      <c r="E248" s="107"/>
      <c r="F248" s="107"/>
      <c r="G248" s="107"/>
      <c r="H248" s="70">
        <v>177.6</v>
      </c>
      <c r="I248" s="71">
        <f>I246+I247</f>
        <v>710.4</v>
      </c>
      <c r="J248">
        <v>5</v>
      </c>
      <c r="U248" s="89"/>
      <c r="W248" s="89"/>
      <c r="X248" s="89"/>
    </row>
    <row r="249" spans="1:24" x14ac:dyDescent="0.25">
      <c r="A249" s="73"/>
      <c r="B249" s="25">
        <v>80</v>
      </c>
      <c r="C249" s="26" t="s">
        <v>142</v>
      </c>
      <c r="D249" s="27" t="s">
        <v>25</v>
      </c>
      <c r="E249" s="28"/>
      <c r="F249" s="28"/>
      <c r="G249" s="29">
        <v>2</v>
      </c>
      <c r="H249" s="22">
        <v>340</v>
      </c>
      <c r="I249" s="30">
        <f>G249*H249</f>
        <v>680</v>
      </c>
      <c r="J249">
        <v>1</v>
      </c>
      <c r="U249" s="89"/>
      <c r="W249" s="89"/>
      <c r="X249" s="89"/>
    </row>
    <row r="250" spans="1:24" x14ac:dyDescent="0.25">
      <c r="A250" s="105" t="s">
        <v>710</v>
      </c>
      <c r="B250" s="106"/>
      <c r="C250" s="106"/>
      <c r="D250" s="106"/>
      <c r="E250" s="106"/>
      <c r="F250" s="106"/>
      <c r="G250" s="106"/>
      <c r="H250" s="35">
        <v>163.20000000000002</v>
      </c>
      <c r="I250" s="36">
        <f>G249*H250</f>
        <v>326.40000000000003</v>
      </c>
      <c r="J250">
        <v>2</v>
      </c>
      <c r="W250" s="89"/>
    </row>
    <row r="251" spans="1:24" ht="14.45" customHeight="1" x14ac:dyDescent="0.25">
      <c r="A251" s="107"/>
      <c r="B251" s="107"/>
      <c r="C251" s="107"/>
      <c r="D251" s="107"/>
      <c r="E251" s="107"/>
      <c r="F251" s="107"/>
      <c r="G251" s="107"/>
      <c r="H251" s="70">
        <v>503.20000000000005</v>
      </c>
      <c r="I251" s="71">
        <f>I249+I250</f>
        <v>1006.4000000000001</v>
      </c>
      <c r="J251">
        <v>5</v>
      </c>
      <c r="U251" s="89"/>
      <c r="W251" s="89"/>
      <c r="X251" s="89"/>
    </row>
    <row r="252" spans="1:24" x14ac:dyDescent="0.25">
      <c r="A252" s="73"/>
      <c r="B252" s="25">
        <v>81</v>
      </c>
      <c r="C252" s="26" t="s">
        <v>225</v>
      </c>
      <c r="D252" s="27" t="s">
        <v>25</v>
      </c>
      <c r="E252" s="28"/>
      <c r="F252" s="28"/>
      <c r="G252" s="29">
        <v>3</v>
      </c>
      <c r="H252" s="22">
        <v>180</v>
      </c>
      <c r="I252" s="30">
        <f>G252*H252</f>
        <v>540</v>
      </c>
      <c r="J252">
        <v>1</v>
      </c>
      <c r="U252" s="89"/>
      <c r="W252" s="89"/>
      <c r="X252" s="89"/>
    </row>
    <row r="253" spans="1:24" x14ac:dyDescent="0.25">
      <c r="A253" s="105" t="s">
        <v>711</v>
      </c>
      <c r="B253" s="106"/>
      <c r="C253" s="106"/>
      <c r="D253" s="106"/>
      <c r="E253" s="106"/>
      <c r="F253" s="106"/>
      <c r="G253" s="106"/>
      <c r="H253" s="35">
        <v>86.4</v>
      </c>
      <c r="I253" s="36">
        <f>G252*H253</f>
        <v>259.20000000000005</v>
      </c>
      <c r="J253">
        <v>2</v>
      </c>
      <c r="W253" s="89"/>
    </row>
    <row r="254" spans="1:24" ht="14.45" customHeight="1" x14ac:dyDescent="0.25">
      <c r="A254" s="107"/>
      <c r="B254" s="107"/>
      <c r="C254" s="107"/>
      <c r="D254" s="107"/>
      <c r="E254" s="107"/>
      <c r="F254" s="107"/>
      <c r="G254" s="107"/>
      <c r="H254" s="70">
        <v>266.39999999999998</v>
      </c>
      <c r="I254" s="71">
        <f>I252+I253</f>
        <v>799.2</v>
      </c>
      <c r="J254">
        <v>5</v>
      </c>
      <c r="U254" s="89"/>
      <c r="W254" s="89"/>
      <c r="X254" s="89"/>
    </row>
    <row r="255" spans="1:24" x14ac:dyDescent="0.25">
      <c r="A255" s="73"/>
      <c r="B255" s="25">
        <v>82</v>
      </c>
      <c r="C255" s="26" t="s">
        <v>225</v>
      </c>
      <c r="D255" s="27" t="s">
        <v>25</v>
      </c>
      <c r="E255" s="28"/>
      <c r="F255" s="28"/>
      <c r="G255" s="29">
        <v>2</v>
      </c>
      <c r="H255" s="22">
        <v>120</v>
      </c>
      <c r="I255" s="30">
        <f>G255*H255</f>
        <v>240</v>
      </c>
      <c r="J255">
        <v>1</v>
      </c>
      <c r="U255" s="89"/>
      <c r="W255" s="89"/>
      <c r="X255" s="89"/>
    </row>
    <row r="256" spans="1:24" x14ac:dyDescent="0.25">
      <c r="A256" s="105" t="s">
        <v>712</v>
      </c>
      <c r="B256" s="106"/>
      <c r="C256" s="106"/>
      <c r="D256" s="106"/>
      <c r="E256" s="106"/>
      <c r="F256" s="106"/>
      <c r="G256" s="106"/>
      <c r="H256" s="35">
        <v>57.6</v>
      </c>
      <c r="I256" s="36">
        <f>G255*H256</f>
        <v>115.2</v>
      </c>
      <c r="J256">
        <v>2</v>
      </c>
      <c r="W256" s="89"/>
    </row>
    <row r="257" spans="1:24" ht="14.45" customHeight="1" x14ac:dyDescent="0.25">
      <c r="A257" s="107"/>
      <c r="B257" s="107"/>
      <c r="C257" s="107"/>
      <c r="D257" s="107"/>
      <c r="E257" s="107"/>
      <c r="F257" s="107"/>
      <c r="G257" s="107"/>
      <c r="H257" s="70">
        <v>177.6</v>
      </c>
      <c r="I257" s="71">
        <f>I255+I256</f>
        <v>355.2</v>
      </c>
      <c r="J257">
        <v>5</v>
      </c>
      <c r="U257" s="89"/>
      <c r="W257" s="89"/>
      <c r="X257" s="89"/>
    </row>
    <row r="258" spans="1:24" x14ac:dyDescent="0.25">
      <c r="A258" s="73"/>
      <c r="B258" s="25">
        <v>83</v>
      </c>
      <c r="C258" s="26" t="s">
        <v>144</v>
      </c>
      <c r="D258" s="27" t="s">
        <v>25</v>
      </c>
      <c r="E258" s="28"/>
      <c r="F258" s="28"/>
      <c r="G258" s="29">
        <v>1</v>
      </c>
      <c r="H258" s="22">
        <v>2300</v>
      </c>
      <c r="I258" s="30">
        <f>G258*H258</f>
        <v>2300</v>
      </c>
      <c r="J258">
        <v>1</v>
      </c>
      <c r="U258" s="89"/>
      <c r="W258" s="89"/>
      <c r="X258" s="89"/>
    </row>
    <row r="259" spans="1:24" x14ac:dyDescent="0.25">
      <c r="A259" s="105" t="s">
        <v>713</v>
      </c>
      <c r="B259" s="106"/>
      <c r="C259" s="106"/>
      <c r="D259" s="106"/>
      <c r="E259" s="106"/>
      <c r="F259" s="106"/>
      <c r="G259" s="106"/>
      <c r="H259" s="35">
        <v>1104</v>
      </c>
      <c r="I259" s="36">
        <f>G258*H259</f>
        <v>1104</v>
      </c>
      <c r="J259">
        <v>2</v>
      </c>
      <c r="W259" s="89"/>
    </row>
    <row r="260" spans="1:24" x14ac:dyDescent="0.25">
      <c r="A260" s="107"/>
      <c r="B260" s="107"/>
      <c r="C260" s="107"/>
      <c r="D260" s="107"/>
      <c r="E260" s="107"/>
      <c r="F260" s="107"/>
      <c r="G260" s="107"/>
      <c r="H260" s="70">
        <v>3404</v>
      </c>
      <c r="I260" s="71">
        <f>I258+I259</f>
        <v>3404</v>
      </c>
      <c r="J260">
        <v>5</v>
      </c>
      <c r="U260" s="89"/>
      <c r="W260" s="89"/>
      <c r="X260" s="89"/>
    </row>
    <row r="261" spans="1:24" x14ac:dyDescent="0.25">
      <c r="A261" s="73"/>
      <c r="B261" s="25">
        <v>84</v>
      </c>
      <c r="C261" s="26" t="s">
        <v>144</v>
      </c>
      <c r="D261" s="27" t="s">
        <v>25</v>
      </c>
      <c r="E261" s="28"/>
      <c r="F261" s="28"/>
      <c r="G261" s="29">
        <v>1</v>
      </c>
      <c r="H261" s="22">
        <v>320</v>
      </c>
      <c r="I261" s="30">
        <f>G261*H261</f>
        <v>320</v>
      </c>
      <c r="J261">
        <v>1</v>
      </c>
      <c r="U261" s="89"/>
      <c r="W261" s="89"/>
      <c r="X261" s="89"/>
    </row>
    <row r="262" spans="1:24" x14ac:dyDescent="0.25">
      <c r="A262" s="105" t="s">
        <v>714</v>
      </c>
      <c r="B262" s="106"/>
      <c r="C262" s="106"/>
      <c r="D262" s="106"/>
      <c r="E262" s="106"/>
      <c r="F262" s="106"/>
      <c r="G262" s="106"/>
      <c r="H262" s="35">
        <v>153.60000000000002</v>
      </c>
      <c r="I262" s="36">
        <f>G261*H262</f>
        <v>153.60000000000002</v>
      </c>
      <c r="J262">
        <v>2</v>
      </c>
      <c r="W262" s="89"/>
    </row>
    <row r="263" spans="1:24" ht="14.45" customHeight="1" x14ac:dyDescent="0.25">
      <c r="A263" s="107"/>
      <c r="B263" s="107"/>
      <c r="C263" s="107"/>
      <c r="D263" s="107"/>
      <c r="E263" s="107"/>
      <c r="F263" s="107"/>
      <c r="G263" s="107"/>
      <c r="H263" s="70">
        <v>473.6</v>
      </c>
      <c r="I263" s="71">
        <f>I261+I262</f>
        <v>473.6</v>
      </c>
      <c r="J263">
        <v>5</v>
      </c>
      <c r="U263" s="89"/>
      <c r="W263" s="89"/>
      <c r="X263" s="89"/>
    </row>
    <row r="264" spans="1:24" x14ac:dyDescent="0.25">
      <c r="A264" s="73"/>
      <c r="B264" s="25">
        <v>85</v>
      </c>
      <c r="C264" s="26" t="s">
        <v>226</v>
      </c>
      <c r="D264" s="27" t="s">
        <v>25</v>
      </c>
      <c r="E264" s="28"/>
      <c r="F264" s="28"/>
      <c r="G264" s="29">
        <v>6</v>
      </c>
      <c r="H264" s="22">
        <v>430</v>
      </c>
      <c r="I264" s="30">
        <f>G264*H264</f>
        <v>2580</v>
      </c>
      <c r="J264">
        <v>1</v>
      </c>
      <c r="U264" s="89"/>
      <c r="W264" s="89"/>
      <c r="X264" s="89"/>
    </row>
    <row r="265" spans="1:24" x14ac:dyDescent="0.25">
      <c r="A265" s="105" t="s">
        <v>715</v>
      </c>
      <c r="B265" s="106"/>
      <c r="C265" s="106"/>
      <c r="D265" s="106"/>
      <c r="E265" s="106"/>
      <c r="F265" s="106"/>
      <c r="G265" s="106"/>
      <c r="H265" s="35">
        <v>206.4</v>
      </c>
      <c r="I265" s="36">
        <f>G264*H265</f>
        <v>1238.4000000000001</v>
      </c>
      <c r="J265">
        <v>2</v>
      </c>
      <c r="W265" s="89"/>
    </row>
    <row r="266" spans="1:24" x14ac:dyDescent="0.25">
      <c r="A266" s="107"/>
      <c r="B266" s="107"/>
      <c r="C266" s="107"/>
      <c r="D266" s="107"/>
      <c r="E266" s="107"/>
      <c r="F266" s="107"/>
      <c r="G266" s="107"/>
      <c r="H266" s="70">
        <v>636.4</v>
      </c>
      <c r="I266" s="71">
        <f>I264+I265</f>
        <v>3818.4</v>
      </c>
      <c r="J266">
        <v>5</v>
      </c>
      <c r="U266" s="89"/>
      <c r="W266" s="89"/>
      <c r="X266" s="89"/>
    </row>
    <row r="267" spans="1:24" x14ac:dyDescent="0.25">
      <c r="A267" s="73"/>
      <c r="B267" s="25">
        <v>86</v>
      </c>
      <c r="C267" s="26" t="s">
        <v>226</v>
      </c>
      <c r="D267" s="27" t="s">
        <v>25</v>
      </c>
      <c r="E267" s="28"/>
      <c r="F267" s="28"/>
      <c r="G267" s="29">
        <v>9</v>
      </c>
      <c r="H267" s="22">
        <v>90</v>
      </c>
      <c r="I267" s="30">
        <f>G267*H267</f>
        <v>810</v>
      </c>
      <c r="J267">
        <v>1</v>
      </c>
      <c r="U267" s="89"/>
      <c r="W267" s="89"/>
      <c r="X267" s="89"/>
    </row>
    <row r="268" spans="1:24" x14ac:dyDescent="0.25">
      <c r="A268" s="105" t="s">
        <v>716</v>
      </c>
      <c r="B268" s="106"/>
      <c r="C268" s="106"/>
      <c r="D268" s="106"/>
      <c r="E268" s="106"/>
      <c r="F268" s="106"/>
      <c r="G268" s="106"/>
      <c r="H268" s="35">
        <v>43.2</v>
      </c>
      <c r="I268" s="36">
        <f>G267*H268</f>
        <v>388.8</v>
      </c>
      <c r="J268">
        <v>2</v>
      </c>
      <c r="W268" s="89"/>
    </row>
    <row r="269" spans="1:24" x14ac:dyDescent="0.25">
      <c r="A269" s="107"/>
      <c r="B269" s="107"/>
      <c r="C269" s="107"/>
      <c r="D269" s="107"/>
      <c r="E269" s="107"/>
      <c r="F269" s="107"/>
      <c r="G269" s="107"/>
      <c r="H269" s="70">
        <v>133.19999999999999</v>
      </c>
      <c r="I269" s="71">
        <f>I267+I268</f>
        <v>1198.8</v>
      </c>
      <c r="J269">
        <v>5</v>
      </c>
      <c r="U269" s="89"/>
      <c r="W269" s="89"/>
      <c r="X269" s="89"/>
    </row>
    <row r="270" spans="1:24" x14ac:dyDescent="0.25">
      <c r="A270" s="73"/>
      <c r="B270" s="25">
        <v>87</v>
      </c>
      <c r="C270" s="26" t="s">
        <v>226</v>
      </c>
      <c r="D270" s="27" t="s">
        <v>25</v>
      </c>
      <c r="E270" s="28"/>
      <c r="F270" s="28"/>
      <c r="G270" s="29">
        <v>7</v>
      </c>
      <c r="H270" s="22">
        <v>50</v>
      </c>
      <c r="I270" s="30">
        <f>G270*H270</f>
        <v>350</v>
      </c>
      <c r="J270">
        <v>1</v>
      </c>
      <c r="U270" s="89"/>
      <c r="W270" s="89"/>
      <c r="X270" s="89"/>
    </row>
    <row r="271" spans="1:24" x14ac:dyDescent="0.25">
      <c r="A271" s="105" t="s">
        <v>717</v>
      </c>
      <c r="B271" s="106"/>
      <c r="C271" s="106"/>
      <c r="D271" s="106"/>
      <c r="E271" s="106"/>
      <c r="F271" s="106"/>
      <c r="G271" s="106"/>
      <c r="H271" s="35">
        <v>24</v>
      </c>
      <c r="I271" s="36">
        <f>G270*H271</f>
        <v>168</v>
      </c>
      <c r="J271">
        <v>2</v>
      </c>
      <c r="W271" s="89"/>
    </row>
    <row r="272" spans="1:24" x14ac:dyDescent="0.25">
      <c r="A272" s="107"/>
      <c r="B272" s="107"/>
      <c r="C272" s="107"/>
      <c r="D272" s="107"/>
      <c r="E272" s="107"/>
      <c r="F272" s="107"/>
      <c r="G272" s="107"/>
      <c r="H272" s="70">
        <v>74</v>
      </c>
      <c r="I272" s="71">
        <f>I270+I271</f>
        <v>518</v>
      </c>
      <c r="J272">
        <v>5</v>
      </c>
      <c r="U272" s="89"/>
      <c r="W272" s="89"/>
      <c r="X272" s="89"/>
    </row>
    <row r="273" spans="1:24" x14ac:dyDescent="0.25">
      <c r="A273" s="73"/>
      <c r="B273" s="25">
        <v>88</v>
      </c>
      <c r="C273" s="26" t="s">
        <v>227</v>
      </c>
      <c r="D273" s="27" t="s">
        <v>25</v>
      </c>
      <c r="E273" s="28"/>
      <c r="F273" s="28"/>
      <c r="G273" s="29">
        <v>4</v>
      </c>
      <c r="H273" s="22">
        <v>140</v>
      </c>
      <c r="I273" s="30">
        <f>G273*H273</f>
        <v>560</v>
      </c>
      <c r="J273">
        <v>1</v>
      </c>
      <c r="U273" s="89"/>
      <c r="W273" s="89"/>
      <c r="X273" s="89"/>
    </row>
    <row r="274" spans="1:24" x14ac:dyDescent="0.25">
      <c r="A274" s="105" t="s">
        <v>718</v>
      </c>
      <c r="B274" s="106"/>
      <c r="C274" s="106"/>
      <c r="D274" s="106"/>
      <c r="E274" s="106"/>
      <c r="F274" s="106"/>
      <c r="G274" s="106"/>
      <c r="H274" s="35">
        <v>67.2</v>
      </c>
      <c r="I274" s="36">
        <f>G273*H274</f>
        <v>268.8</v>
      </c>
      <c r="J274">
        <v>2</v>
      </c>
      <c r="W274" s="89"/>
    </row>
    <row r="275" spans="1:24" x14ac:dyDescent="0.25">
      <c r="A275" s="107"/>
      <c r="B275" s="107"/>
      <c r="C275" s="107"/>
      <c r="D275" s="107"/>
      <c r="E275" s="107"/>
      <c r="F275" s="107"/>
      <c r="G275" s="107"/>
      <c r="H275" s="70">
        <v>207.2</v>
      </c>
      <c r="I275" s="71">
        <f>I273+I274</f>
        <v>828.8</v>
      </c>
      <c r="J275">
        <v>5</v>
      </c>
      <c r="U275" s="89"/>
      <c r="W275" s="89"/>
      <c r="X275" s="89"/>
    </row>
    <row r="276" spans="1:24" x14ac:dyDescent="0.25">
      <c r="A276" s="73"/>
      <c r="B276" s="25">
        <v>89</v>
      </c>
      <c r="C276" s="26" t="s">
        <v>124</v>
      </c>
      <c r="D276" s="27" t="s">
        <v>25</v>
      </c>
      <c r="E276" s="28"/>
      <c r="F276" s="28"/>
      <c r="G276" s="29">
        <v>3</v>
      </c>
      <c r="H276" s="22">
        <v>95</v>
      </c>
      <c r="I276" s="30">
        <f>G276*H276</f>
        <v>285</v>
      </c>
      <c r="J276">
        <v>1</v>
      </c>
      <c r="U276" s="89"/>
      <c r="W276" s="89"/>
      <c r="X276" s="89"/>
    </row>
    <row r="277" spans="1:24" x14ac:dyDescent="0.25">
      <c r="A277" s="105" t="s">
        <v>719</v>
      </c>
      <c r="B277" s="106"/>
      <c r="C277" s="106"/>
      <c r="D277" s="106"/>
      <c r="E277" s="106"/>
      <c r="F277" s="106"/>
      <c r="G277" s="106"/>
      <c r="H277" s="35">
        <v>45.6</v>
      </c>
      <c r="I277" s="36">
        <f>G276*H277</f>
        <v>136.80000000000001</v>
      </c>
      <c r="J277">
        <v>2</v>
      </c>
      <c r="W277" s="89"/>
    </row>
    <row r="278" spans="1:24" x14ac:dyDescent="0.25">
      <c r="A278" s="107"/>
      <c r="B278" s="107"/>
      <c r="C278" s="107"/>
      <c r="D278" s="107"/>
      <c r="E278" s="107"/>
      <c r="F278" s="107"/>
      <c r="G278" s="107"/>
      <c r="H278" s="70">
        <v>140.6</v>
      </c>
      <c r="I278" s="71">
        <f>I276+I277</f>
        <v>421.8</v>
      </c>
      <c r="J278">
        <v>5</v>
      </c>
      <c r="U278" s="89"/>
      <c r="W278" s="89"/>
      <c r="X278" s="89"/>
    </row>
    <row r="279" spans="1:24" x14ac:dyDescent="0.25">
      <c r="A279" s="73"/>
      <c r="B279" s="25">
        <v>90</v>
      </c>
      <c r="C279" s="26" t="s">
        <v>228</v>
      </c>
      <c r="D279" s="27" t="s">
        <v>25</v>
      </c>
      <c r="E279" s="28"/>
      <c r="F279" s="28"/>
      <c r="G279" s="29">
        <v>2</v>
      </c>
      <c r="H279" s="22">
        <v>149</v>
      </c>
      <c r="I279" s="30">
        <f>G279*H279</f>
        <v>298</v>
      </c>
      <c r="J279">
        <v>1</v>
      </c>
      <c r="U279" s="89"/>
      <c r="W279" s="89"/>
      <c r="X279" s="89"/>
    </row>
    <row r="280" spans="1:24" x14ac:dyDescent="0.25">
      <c r="A280" s="105" t="s">
        <v>720</v>
      </c>
      <c r="B280" s="106"/>
      <c r="C280" s="106"/>
      <c r="D280" s="106"/>
      <c r="E280" s="106"/>
      <c r="F280" s="106"/>
      <c r="G280" s="106"/>
      <c r="H280" s="35">
        <v>71.52</v>
      </c>
      <c r="I280" s="36">
        <f>G279*H280</f>
        <v>143.04</v>
      </c>
      <c r="J280">
        <v>2</v>
      </c>
      <c r="W280" s="89"/>
    </row>
    <row r="281" spans="1:24" x14ac:dyDescent="0.25">
      <c r="A281" s="107"/>
      <c r="B281" s="107"/>
      <c r="C281" s="107"/>
      <c r="D281" s="107"/>
      <c r="E281" s="107"/>
      <c r="F281" s="107"/>
      <c r="G281" s="107"/>
      <c r="H281" s="70">
        <v>220.51999999999998</v>
      </c>
      <c r="I281" s="71">
        <f>I279+I280</f>
        <v>441.03999999999996</v>
      </c>
      <c r="J281">
        <v>5</v>
      </c>
      <c r="U281" s="89"/>
      <c r="W281" s="89"/>
      <c r="X281" s="89"/>
    </row>
    <row r="282" spans="1:24" x14ac:dyDescent="0.25">
      <c r="A282" s="73"/>
      <c r="B282" s="25">
        <v>91</v>
      </c>
      <c r="C282" s="26" t="s">
        <v>229</v>
      </c>
      <c r="D282" s="27" t="s">
        <v>25</v>
      </c>
      <c r="E282" s="28"/>
      <c r="F282" s="28"/>
      <c r="G282" s="29">
        <v>3</v>
      </c>
      <c r="H282" s="22">
        <v>1300</v>
      </c>
      <c r="I282" s="30">
        <f>G282*H282</f>
        <v>3900</v>
      </c>
      <c r="J282">
        <v>1</v>
      </c>
      <c r="U282" s="89"/>
      <c r="W282" s="89"/>
      <c r="X282" s="89"/>
    </row>
    <row r="283" spans="1:24" x14ac:dyDescent="0.25">
      <c r="A283" s="105" t="s">
        <v>721</v>
      </c>
      <c r="B283" s="106"/>
      <c r="C283" s="106"/>
      <c r="D283" s="106"/>
      <c r="E283" s="106"/>
      <c r="F283" s="106"/>
      <c r="G283" s="106"/>
      <c r="H283" s="35">
        <v>624</v>
      </c>
      <c r="I283" s="36">
        <f>G282*H283</f>
        <v>1872</v>
      </c>
      <c r="J283">
        <v>2</v>
      </c>
      <c r="W283" s="89"/>
    </row>
    <row r="284" spans="1:24" x14ac:dyDescent="0.25">
      <c r="A284" s="107"/>
      <c r="B284" s="107"/>
      <c r="C284" s="107"/>
      <c r="D284" s="107"/>
      <c r="E284" s="107"/>
      <c r="F284" s="107"/>
      <c r="G284" s="107"/>
      <c r="H284" s="70">
        <v>1924</v>
      </c>
      <c r="I284" s="71">
        <f>I282+I283</f>
        <v>5772</v>
      </c>
      <c r="J284">
        <v>5</v>
      </c>
      <c r="U284" s="89"/>
      <c r="W284" s="89"/>
      <c r="X284" s="89"/>
    </row>
    <row r="285" spans="1:24" x14ac:dyDescent="0.25">
      <c r="A285" s="73"/>
      <c r="B285" s="25">
        <v>92</v>
      </c>
      <c r="C285" s="26" t="s">
        <v>230</v>
      </c>
      <c r="D285" s="27" t="s">
        <v>25</v>
      </c>
      <c r="E285" s="28"/>
      <c r="F285" s="28"/>
      <c r="G285" s="29">
        <v>1</v>
      </c>
      <c r="H285" s="22">
        <v>249</v>
      </c>
      <c r="I285" s="30">
        <f>G285*H285</f>
        <v>249</v>
      </c>
      <c r="J285">
        <v>1</v>
      </c>
      <c r="U285" s="89"/>
      <c r="W285" s="89"/>
      <c r="X285" s="89"/>
    </row>
    <row r="286" spans="1:24" x14ac:dyDescent="0.25">
      <c r="A286" s="105" t="s">
        <v>722</v>
      </c>
      <c r="B286" s="106"/>
      <c r="C286" s="106"/>
      <c r="D286" s="106"/>
      <c r="E286" s="106"/>
      <c r="F286" s="106"/>
      <c r="G286" s="106"/>
      <c r="H286" s="35">
        <v>119.52000000000001</v>
      </c>
      <c r="I286" s="36">
        <f>G285*H286</f>
        <v>119.52000000000001</v>
      </c>
      <c r="J286">
        <v>2</v>
      </c>
      <c r="W286" s="89"/>
    </row>
    <row r="287" spans="1:24" ht="14.45" customHeight="1" x14ac:dyDescent="0.25">
      <c r="A287" s="107"/>
      <c r="B287" s="107"/>
      <c r="C287" s="107"/>
      <c r="D287" s="107"/>
      <c r="E287" s="107"/>
      <c r="F287" s="107"/>
      <c r="G287" s="107"/>
      <c r="H287" s="70">
        <v>368.52</v>
      </c>
      <c r="I287" s="71">
        <f>I285+I286</f>
        <v>368.52</v>
      </c>
      <c r="J287">
        <v>5</v>
      </c>
      <c r="U287" s="89"/>
      <c r="W287" s="89"/>
      <c r="X287" s="89"/>
    </row>
    <row r="288" spans="1:24" x14ac:dyDescent="0.25">
      <c r="A288" s="73"/>
      <c r="B288" s="25">
        <v>93</v>
      </c>
      <c r="C288" s="26" t="s">
        <v>230</v>
      </c>
      <c r="D288" s="27" t="s">
        <v>25</v>
      </c>
      <c r="E288" s="28"/>
      <c r="F288" s="28"/>
      <c r="G288" s="29">
        <v>1</v>
      </c>
      <c r="H288" s="22">
        <v>320</v>
      </c>
      <c r="I288" s="30">
        <f>G288*H288</f>
        <v>320</v>
      </c>
      <c r="J288">
        <v>1</v>
      </c>
      <c r="U288" s="89"/>
      <c r="W288" s="89"/>
      <c r="X288" s="89"/>
    </row>
    <row r="289" spans="1:24" x14ac:dyDescent="0.25">
      <c r="A289" s="105" t="s">
        <v>723</v>
      </c>
      <c r="B289" s="106"/>
      <c r="C289" s="106"/>
      <c r="D289" s="106"/>
      <c r="E289" s="106"/>
      <c r="F289" s="106"/>
      <c r="G289" s="106"/>
      <c r="H289" s="35">
        <v>153.60000000000002</v>
      </c>
      <c r="I289" s="36">
        <f>G288*H289</f>
        <v>153.60000000000002</v>
      </c>
      <c r="J289">
        <v>2</v>
      </c>
      <c r="W289" s="89"/>
    </row>
    <row r="290" spans="1:24" ht="14.45" customHeight="1" x14ac:dyDescent="0.25">
      <c r="A290" s="107"/>
      <c r="B290" s="107"/>
      <c r="C290" s="107"/>
      <c r="D290" s="107"/>
      <c r="E290" s="107"/>
      <c r="F290" s="107"/>
      <c r="G290" s="107"/>
      <c r="H290" s="70">
        <v>473.6</v>
      </c>
      <c r="I290" s="71">
        <f>I288+I289</f>
        <v>473.6</v>
      </c>
      <c r="J290">
        <v>5</v>
      </c>
      <c r="U290" s="89"/>
      <c r="W290" s="89"/>
      <c r="X290" s="89"/>
    </row>
    <row r="291" spans="1:24" x14ac:dyDescent="0.25">
      <c r="A291" s="73"/>
      <c r="B291" s="25">
        <v>94</v>
      </c>
      <c r="C291" s="26" t="s">
        <v>190</v>
      </c>
      <c r="D291" s="27" t="s">
        <v>25</v>
      </c>
      <c r="E291" s="28"/>
      <c r="F291" s="28"/>
      <c r="G291" s="29">
        <v>8</v>
      </c>
      <c r="H291" s="22">
        <v>56</v>
      </c>
      <c r="I291" s="30">
        <f>G291*H291</f>
        <v>448</v>
      </c>
      <c r="J291">
        <v>1</v>
      </c>
      <c r="U291" s="89"/>
      <c r="W291" s="89"/>
      <c r="X291" s="89"/>
    </row>
    <row r="292" spans="1:24" x14ac:dyDescent="0.25">
      <c r="A292" s="105" t="s">
        <v>724</v>
      </c>
      <c r="B292" s="106"/>
      <c r="C292" s="106"/>
      <c r="D292" s="106"/>
      <c r="E292" s="106"/>
      <c r="F292" s="106"/>
      <c r="G292" s="106"/>
      <c r="H292" s="35">
        <v>26.880000000000003</v>
      </c>
      <c r="I292" s="36">
        <f>G291*H292</f>
        <v>215.04000000000002</v>
      </c>
      <c r="J292">
        <v>2</v>
      </c>
      <c r="W292" s="89"/>
    </row>
    <row r="293" spans="1:24" x14ac:dyDescent="0.25">
      <c r="A293" s="107"/>
      <c r="B293" s="107"/>
      <c r="C293" s="107"/>
      <c r="D293" s="107"/>
      <c r="E293" s="107"/>
      <c r="F293" s="107"/>
      <c r="G293" s="107"/>
      <c r="H293" s="70">
        <v>82.88</v>
      </c>
      <c r="I293" s="71">
        <f>I291+I292</f>
        <v>663.04</v>
      </c>
      <c r="J293">
        <v>5</v>
      </c>
      <c r="U293" s="89"/>
      <c r="W293" s="89"/>
      <c r="X293" s="89"/>
    </row>
    <row r="294" spans="1:24" x14ac:dyDescent="0.25">
      <c r="A294" s="73"/>
      <c r="B294" s="25">
        <v>95</v>
      </c>
      <c r="C294" s="26" t="s">
        <v>192</v>
      </c>
      <c r="D294" s="27" t="s">
        <v>25</v>
      </c>
      <c r="E294" s="28"/>
      <c r="F294" s="28"/>
      <c r="G294" s="29">
        <v>8</v>
      </c>
      <c r="H294" s="22">
        <v>32</v>
      </c>
      <c r="I294" s="30">
        <f>G294*H294</f>
        <v>256</v>
      </c>
      <c r="J294">
        <v>1</v>
      </c>
      <c r="U294" s="89"/>
      <c r="W294" s="89"/>
      <c r="X294" s="89"/>
    </row>
    <row r="295" spans="1:24" x14ac:dyDescent="0.25">
      <c r="A295" s="105" t="s">
        <v>205</v>
      </c>
      <c r="B295" s="106"/>
      <c r="C295" s="106"/>
      <c r="D295" s="106"/>
      <c r="E295" s="106"/>
      <c r="F295" s="106"/>
      <c r="G295" s="106"/>
      <c r="H295" s="35">
        <v>15.36</v>
      </c>
      <c r="I295" s="36">
        <f>G294*H295</f>
        <v>122.88</v>
      </c>
      <c r="J295">
        <v>2</v>
      </c>
      <c r="W295" s="89"/>
    </row>
    <row r="296" spans="1:24" x14ac:dyDescent="0.25">
      <c r="A296" s="107"/>
      <c r="B296" s="107"/>
      <c r="C296" s="107"/>
      <c r="D296" s="107"/>
      <c r="E296" s="107"/>
      <c r="F296" s="107"/>
      <c r="G296" s="107"/>
      <c r="H296" s="70">
        <v>47.36</v>
      </c>
      <c r="I296" s="71">
        <f>I294+I295</f>
        <v>378.88</v>
      </c>
      <c r="J296">
        <v>5</v>
      </c>
      <c r="U296" s="89"/>
      <c r="W296" s="89"/>
      <c r="X296" s="89"/>
    </row>
    <row r="297" spans="1:24" x14ac:dyDescent="0.25">
      <c r="A297" s="73"/>
      <c r="B297" s="25">
        <v>96</v>
      </c>
      <c r="C297" s="26" t="s">
        <v>144</v>
      </c>
      <c r="D297" s="27" t="s">
        <v>25</v>
      </c>
      <c r="E297" s="28"/>
      <c r="F297" s="28"/>
      <c r="G297" s="29">
        <v>3</v>
      </c>
      <c r="H297" s="22">
        <v>290</v>
      </c>
      <c r="I297" s="30">
        <f>G297*H297</f>
        <v>870</v>
      </c>
      <c r="J297">
        <v>1</v>
      </c>
      <c r="U297" s="89"/>
      <c r="W297" s="89"/>
      <c r="X297" s="89"/>
    </row>
    <row r="298" spans="1:24" x14ac:dyDescent="0.25">
      <c r="A298" s="105" t="s">
        <v>725</v>
      </c>
      <c r="B298" s="106"/>
      <c r="C298" s="106"/>
      <c r="D298" s="106"/>
      <c r="E298" s="106"/>
      <c r="F298" s="106"/>
      <c r="G298" s="106"/>
      <c r="H298" s="35">
        <v>139.20000000000002</v>
      </c>
      <c r="I298" s="36">
        <f>G297*H298</f>
        <v>417.6</v>
      </c>
      <c r="J298">
        <v>2</v>
      </c>
      <c r="W298" s="89"/>
    </row>
    <row r="299" spans="1:24" ht="14.45" customHeight="1" x14ac:dyDescent="0.25">
      <c r="A299" s="107"/>
      <c r="B299" s="107"/>
      <c r="C299" s="107"/>
      <c r="D299" s="107"/>
      <c r="E299" s="107"/>
      <c r="F299" s="107"/>
      <c r="G299" s="107"/>
      <c r="H299" s="70">
        <v>429.20000000000005</v>
      </c>
      <c r="I299" s="71">
        <f>I297+I298</f>
        <v>1287.5999999999999</v>
      </c>
      <c r="J299">
        <v>5</v>
      </c>
      <c r="U299" s="89"/>
      <c r="W299" s="89"/>
      <c r="X299" s="89"/>
    </row>
    <row r="300" spans="1:24" x14ac:dyDescent="0.25">
      <c r="A300" s="73"/>
      <c r="B300" s="25">
        <v>97</v>
      </c>
      <c r="C300" s="26" t="s">
        <v>231</v>
      </c>
      <c r="D300" s="27" t="s">
        <v>25</v>
      </c>
      <c r="E300" s="28"/>
      <c r="F300" s="28"/>
      <c r="G300" s="29">
        <v>10</v>
      </c>
      <c r="H300" s="22">
        <v>26</v>
      </c>
      <c r="I300" s="30">
        <f>G300*H300</f>
        <v>260</v>
      </c>
      <c r="J300">
        <v>1</v>
      </c>
      <c r="U300" s="89"/>
      <c r="W300" s="89"/>
      <c r="X300" s="89"/>
    </row>
    <row r="301" spans="1:24" x14ac:dyDescent="0.25">
      <c r="A301" s="105" t="s">
        <v>726</v>
      </c>
      <c r="B301" s="106"/>
      <c r="C301" s="106"/>
      <c r="D301" s="106"/>
      <c r="E301" s="106"/>
      <c r="F301" s="106"/>
      <c r="G301" s="106"/>
      <c r="H301" s="35">
        <v>12.48</v>
      </c>
      <c r="I301" s="36">
        <f>G300*H301</f>
        <v>124.80000000000001</v>
      </c>
      <c r="J301">
        <v>2</v>
      </c>
      <c r="W301" s="89"/>
    </row>
    <row r="302" spans="1:24" x14ac:dyDescent="0.25">
      <c r="A302" s="107"/>
      <c r="B302" s="107"/>
      <c r="C302" s="107"/>
      <c r="D302" s="107"/>
      <c r="E302" s="107"/>
      <c r="F302" s="107"/>
      <c r="G302" s="107"/>
      <c r="H302" s="70">
        <v>38.480000000000004</v>
      </c>
      <c r="I302" s="71">
        <f>I300+I301</f>
        <v>384.8</v>
      </c>
      <c r="J302">
        <v>5</v>
      </c>
      <c r="U302" s="89"/>
      <c r="W302" s="89"/>
      <c r="X302" s="89"/>
    </row>
    <row r="303" spans="1:24" x14ac:dyDescent="0.25">
      <c r="A303" s="73"/>
      <c r="B303" s="25">
        <v>98</v>
      </c>
      <c r="C303" s="26" t="s">
        <v>203</v>
      </c>
      <c r="D303" s="27" t="s">
        <v>25</v>
      </c>
      <c r="E303" s="28"/>
      <c r="F303" s="28"/>
      <c r="G303" s="29">
        <v>4</v>
      </c>
      <c r="H303" s="22">
        <v>16</v>
      </c>
      <c r="I303" s="30">
        <f>G303*H303</f>
        <v>64</v>
      </c>
      <c r="J303">
        <v>1</v>
      </c>
      <c r="U303" s="89"/>
      <c r="W303" s="89"/>
      <c r="X303" s="89"/>
    </row>
    <row r="304" spans="1:24" x14ac:dyDescent="0.25">
      <c r="A304" s="105" t="s">
        <v>727</v>
      </c>
      <c r="B304" s="106"/>
      <c r="C304" s="106"/>
      <c r="D304" s="106"/>
      <c r="E304" s="106"/>
      <c r="F304" s="106"/>
      <c r="G304" s="106"/>
      <c r="H304" s="35">
        <v>7.68</v>
      </c>
      <c r="I304" s="36">
        <f>G303*H304</f>
        <v>30.72</v>
      </c>
      <c r="J304">
        <v>2</v>
      </c>
      <c r="W304" s="89"/>
    </row>
    <row r="305" spans="1:24" x14ac:dyDescent="0.25">
      <c r="A305" s="107"/>
      <c r="B305" s="107"/>
      <c r="C305" s="107"/>
      <c r="D305" s="107"/>
      <c r="E305" s="107"/>
      <c r="F305" s="107"/>
      <c r="G305" s="107"/>
      <c r="H305" s="70">
        <v>23.68</v>
      </c>
      <c r="I305" s="71">
        <f>I303+I304</f>
        <v>94.72</v>
      </c>
      <c r="J305">
        <v>5</v>
      </c>
      <c r="U305" s="89"/>
      <c r="W305" s="89"/>
      <c r="X305" s="89"/>
    </row>
    <row r="306" spans="1:24" x14ac:dyDescent="0.25">
      <c r="A306" s="73"/>
      <c r="B306" s="25">
        <v>99</v>
      </c>
      <c r="C306" s="26" t="s">
        <v>204</v>
      </c>
      <c r="D306" s="27" t="s">
        <v>25</v>
      </c>
      <c r="E306" s="28"/>
      <c r="F306" s="28"/>
      <c r="G306" s="29">
        <v>4</v>
      </c>
      <c r="H306" s="22">
        <v>13</v>
      </c>
      <c r="I306" s="30">
        <f>G306*H306</f>
        <v>52</v>
      </c>
      <c r="J306">
        <v>1</v>
      </c>
      <c r="U306" s="89"/>
      <c r="W306" s="89"/>
      <c r="X306" s="89"/>
    </row>
    <row r="307" spans="1:24" x14ac:dyDescent="0.25">
      <c r="A307" s="105" t="s">
        <v>728</v>
      </c>
      <c r="B307" s="106"/>
      <c r="C307" s="106"/>
      <c r="D307" s="106"/>
      <c r="E307" s="106"/>
      <c r="F307" s="106"/>
      <c r="G307" s="106"/>
      <c r="H307" s="35">
        <v>6.24</v>
      </c>
      <c r="I307" s="36">
        <f>G306*H307</f>
        <v>24.96</v>
      </c>
      <c r="J307">
        <v>2</v>
      </c>
      <c r="W307" s="89"/>
    </row>
    <row r="308" spans="1:24" x14ac:dyDescent="0.25">
      <c r="A308" s="107"/>
      <c r="B308" s="107"/>
      <c r="C308" s="107"/>
      <c r="D308" s="107"/>
      <c r="E308" s="107"/>
      <c r="F308" s="107"/>
      <c r="G308" s="107"/>
      <c r="H308" s="70">
        <v>19.240000000000002</v>
      </c>
      <c r="I308" s="71">
        <f>I306+I307</f>
        <v>76.960000000000008</v>
      </c>
      <c r="J308">
        <v>5</v>
      </c>
      <c r="U308" s="89"/>
      <c r="W308" s="89"/>
      <c r="X308" s="89"/>
    </row>
    <row r="309" spans="1:24" x14ac:dyDescent="0.25">
      <c r="A309" s="73"/>
      <c r="B309" s="25">
        <v>100</v>
      </c>
      <c r="C309" s="26" t="s">
        <v>232</v>
      </c>
      <c r="D309" s="27" t="s">
        <v>23</v>
      </c>
      <c r="E309" s="28"/>
      <c r="F309" s="28"/>
      <c r="G309" s="29">
        <v>25</v>
      </c>
      <c r="H309" s="22">
        <v>43</v>
      </c>
      <c r="I309" s="30">
        <f>G309*H309</f>
        <v>1075</v>
      </c>
      <c r="J309">
        <v>1</v>
      </c>
      <c r="U309" s="89"/>
      <c r="W309" s="89"/>
      <c r="X309" s="89"/>
    </row>
    <row r="310" spans="1:24" x14ac:dyDescent="0.25">
      <c r="A310" s="105" t="s">
        <v>729</v>
      </c>
      <c r="B310" s="106"/>
      <c r="C310" s="106"/>
      <c r="D310" s="106"/>
      <c r="E310" s="106"/>
      <c r="F310" s="106"/>
      <c r="G310" s="106"/>
      <c r="H310" s="35">
        <v>20.64</v>
      </c>
      <c r="I310" s="36">
        <f>G309*H310</f>
        <v>516</v>
      </c>
      <c r="J310">
        <v>2</v>
      </c>
      <c r="W310" s="89"/>
    </row>
    <row r="311" spans="1:24" x14ac:dyDescent="0.25">
      <c r="A311" s="107"/>
      <c r="B311" s="107"/>
      <c r="C311" s="107"/>
      <c r="D311" s="107"/>
      <c r="E311" s="107"/>
      <c r="F311" s="107"/>
      <c r="G311" s="107"/>
      <c r="H311" s="70">
        <v>63.64</v>
      </c>
      <c r="I311" s="71">
        <f>I309+I310</f>
        <v>1591</v>
      </c>
      <c r="J311">
        <v>5</v>
      </c>
      <c r="U311" s="89"/>
      <c r="W311" s="89"/>
      <c r="X311" s="89"/>
    </row>
    <row r="312" spans="1:24" x14ac:dyDescent="0.25">
      <c r="A312" s="73"/>
      <c r="B312" s="25">
        <v>101</v>
      </c>
      <c r="C312" s="26" t="s">
        <v>207</v>
      </c>
      <c r="D312" s="27" t="s">
        <v>25</v>
      </c>
      <c r="E312" s="28"/>
      <c r="F312" s="28"/>
      <c r="G312" s="29">
        <v>10</v>
      </c>
      <c r="H312" s="22">
        <v>325</v>
      </c>
      <c r="I312" s="30">
        <f>G312*H312</f>
        <v>3250</v>
      </c>
      <c r="J312">
        <v>1</v>
      </c>
      <c r="U312" s="89"/>
      <c r="W312" s="89"/>
      <c r="X312" s="89"/>
    </row>
    <row r="313" spans="1:24" x14ac:dyDescent="0.25">
      <c r="A313" s="105" t="s">
        <v>730</v>
      </c>
      <c r="B313" s="106"/>
      <c r="C313" s="106"/>
      <c r="D313" s="106"/>
      <c r="E313" s="106"/>
      <c r="F313" s="106"/>
      <c r="G313" s="106"/>
      <c r="H313" s="35">
        <v>156</v>
      </c>
      <c r="I313" s="36">
        <f>G312*H313</f>
        <v>1560</v>
      </c>
      <c r="J313">
        <v>2</v>
      </c>
      <c r="W313" s="89"/>
    </row>
    <row r="314" spans="1:24" ht="14.45" customHeight="1" x14ac:dyDescent="0.25">
      <c r="A314" s="107"/>
      <c r="B314" s="107"/>
      <c r="C314" s="107"/>
      <c r="D314" s="107"/>
      <c r="E314" s="107"/>
      <c r="F314" s="107"/>
      <c r="G314" s="107"/>
      <c r="H314" s="70">
        <v>481</v>
      </c>
      <c r="I314" s="71">
        <f>I312+I313</f>
        <v>4810</v>
      </c>
      <c r="J314">
        <v>5</v>
      </c>
      <c r="U314" s="89"/>
      <c r="W314" s="89"/>
      <c r="X314" s="89"/>
    </row>
    <row r="315" spans="1:24" x14ac:dyDescent="0.25">
      <c r="A315" s="73"/>
      <c r="B315" s="25">
        <v>102</v>
      </c>
      <c r="C315" s="26" t="s">
        <v>207</v>
      </c>
      <c r="D315" s="27" t="s">
        <v>25</v>
      </c>
      <c r="E315" s="28"/>
      <c r="F315" s="28"/>
      <c r="G315" s="29">
        <v>14</v>
      </c>
      <c r="H315" s="22">
        <v>110</v>
      </c>
      <c r="I315" s="30">
        <f>G315*H315</f>
        <v>1540</v>
      </c>
      <c r="J315">
        <v>1</v>
      </c>
      <c r="U315" s="89"/>
      <c r="W315" s="89"/>
      <c r="X315" s="89"/>
    </row>
    <row r="316" spans="1:24" x14ac:dyDescent="0.25">
      <c r="A316" s="105" t="s">
        <v>731</v>
      </c>
      <c r="B316" s="106"/>
      <c r="C316" s="106"/>
      <c r="D316" s="106"/>
      <c r="E316" s="106"/>
      <c r="F316" s="106"/>
      <c r="G316" s="106"/>
      <c r="H316" s="35">
        <v>52.800000000000004</v>
      </c>
      <c r="I316" s="36">
        <f>G315*H316</f>
        <v>739.2</v>
      </c>
      <c r="J316">
        <v>2</v>
      </c>
      <c r="W316" s="89"/>
    </row>
    <row r="317" spans="1:24" x14ac:dyDescent="0.25">
      <c r="A317" s="107"/>
      <c r="B317" s="107"/>
      <c r="C317" s="107"/>
      <c r="D317" s="107"/>
      <c r="E317" s="107"/>
      <c r="F317" s="107"/>
      <c r="G317" s="107"/>
      <c r="H317" s="70">
        <v>162.80000000000001</v>
      </c>
      <c r="I317" s="71">
        <f>I315+I316</f>
        <v>2279.1999999999998</v>
      </c>
      <c r="J317">
        <v>5</v>
      </c>
      <c r="U317" s="89"/>
      <c r="W317" s="89"/>
      <c r="X317" s="89"/>
    </row>
    <row r="318" spans="1:24" x14ac:dyDescent="0.25">
      <c r="A318" s="73"/>
      <c r="B318" s="25">
        <v>103</v>
      </c>
      <c r="C318" s="26" t="s">
        <v>208</v>
      </c>
      <c r="D318" s="27" t="s">
        <v>25</v>
      </c>
      <c r="E318" s="28"/>
      <c r="F318" s="28"/>
      <c r="G318" s="29">
        <v>14</v>
      </c>
      <c r="H318" s="22">
        <v>74</v>
      </c>
      <c r="I318" s="30">
        <f>G318*H318</f>
        <v>1036</v>
      </c>
      <c r="J318">
        <v>1</v>
      </c>
      <c r="U318" s="89"/>
      <c r="W318" s="89"/>
      <c r="X318" s="89"/>
    </row>
    <row r="319" spans="1:24" x14ac:dyDescent="0.25">
      <c r="A319" s="105" t="s">
        <v>732</v>
      </c>
      <c r="B319" s="106"/>
      <c r="C319" s="106"/>
      <c r="D319" s="106"/>
      <c r="E319" s="106"/>
      <c r="F319" s="106"/>
      <c r="G319" s="106"/>
      <c r="H319" s="35">
        <v>35.520000000000003</v>
      </c>
      <c r="I319" s="36">
        <f>G318*H319</f>
        <v>497.28000000000003</v>
      </c>
      <c r="J319">
        <v>2</v>
      </c>
      <c r="W319" s="89"/>
    </row>
    <row r="320" spans="1:24" x14ac:dyDescent="0.25">
      <c r="A320" s="107"/>
      <c r="B320" s="107"/>
      <c r="C320" s="107"/>
      <c r="D320" s="107"/>
      <c r="E320" s="107"/>
      <c r="F320" s="107"/>
      <c r="G320" s="107"/>
      <c r="H320" s="70">
        <v>109.52000000000001</v>
      </c>
      <c r="I320" s="71">
        <f>I318+I319</f>
        <v>1533.28</v>
      </c>
      <c r="J320">
        <v>5</v>
      </c>
      <c r="U320" s="89"/>
      <c r="W320" s="89"/>
      <c r="X320" s="89"/>
    </row>
    <row r="321" spans="1:24" x14ac:dyDescent="0.25">
      <c r="A321" s="73"/>
      <c r="B321" s="25">
        <v>104</v>
      </c>
      <c r="C321" s="26" t="s">
        <v>209</v>
      </c>
      <c r="D321" s="27" t="s">
        <v>25</v>
      </c>
      <c r="E321" s="28"/>
      <c r="F321" s="28"/>
      <c r="G321" s="29">
        <v>10</v>
      </c>
      <c r="H321" s="22">
        <v>66</v>
      </c>
      <c r="I321" s="30">
        <f>G321*H321</f>
        <v>660</v>
      </c>
      <c r="J321">
        <v>1</v>
      </c>
      <c r="U321" s="89"/>
      <c r="W321" s="89"/>
      <c r="X321" s="89"/>
    </row>
    <row r="322" spans="1:24" x14ac:dyDescent="0.25">
      <c r="A322" s="105" t="s">
        <v>733</v>
      </c>
      <c r="B322" s="106"/>
      <c r="C322" s="106"/>
      <c r="D322" s="106"/>
      <c r="E322" s="106"/>
      <c r="F322" s="106"/>
      <c r="G322" s="106"/>
      <c r="H322" s="35">
        <v>31.680000000000003</v>
      </c>
      <c r="I322" s="36">
        <f>G321*H322</f>
        <v>316.8</v>
      </c>
      <c r="J322">
        <v>2</v>
      </c>
      <c r="W322" s="89"/>
    </row>
    <row r="323" spans="1:24" x14ac:dyDescent="0.25">
      <c r="A323" s="107"/>
      <c r="B323" s="107"/>
      <c r="C323" s="107"/>
      <c r="D323" s="107"/>
      <c r="E323" s="107"/>
      <c r="F323" s="107"/>
      <c r="G323" s="107"/>
      <c r="H323" s="70">
        <v>97.68</v>
      </c>
      <c r="I323" s="71">
        <f>I321+I322</f>
        <v>976.8</v>
      </c>
      <c r="J323">
        <v>5</v>
      </c>
      <c r="U323" s="89"/>
      <c r="W323" s="89"/>
      <c r="X323" s="89"/>
    </row>
    <row r="324" spans="1:24" x14ac:dyDescent="0.25">
      <c r="B324" s="31">
        <v>105</v>
      </c>
      <c r="C324" s="32" t="s">
        <v>206</v>
      </c>
      <c r="D324" s="33" t="s">
        <v>25</v>
      </c>
      <c r="G324" s="34">
        <v>3</v>
      </c>
      <c r="H324" s="35">
        <v>44</v>
      </c>
      <c r="I324" s="36">
        <f>G324*H324</f>
        <v>132</v>
      </c>
      <c r="J324">
        <v>1</v>
      </c>
      <c r="U324" s="89"/>
      <c r="W324" s="89"/>
      <c r="X324" s="89"/>
    </row>
    <row r="325" spans="1:24" x14ac:dyDescent="0.25">
      <c r="A325" s="105" t="s">
        <v>734</v>
      </c>
      <c r="B325" s="106"/>
      <c r="C325" s="106"/>
      <c r="D325" s="106"/>
      <c r="E325" s="106"/>
      <c r="F325" s="106"/>
      <c r="G325" s="106"/>
      <c r="H325" s="35">
        <v>21.12</v>
      </c>
      <c r="I325" s="36">
        <f>G324*H325</f>
        <v>63.36</v>
      </c>
      <c r="J325">
        <v>2</v>
      </c>
      <c r="W325" s="89"/>
    </row>
    <row r="326" spans="1:24" x14ac:dyDescent="0.25">
      <c r="A326" s="107"/>
      <c r="B326" s="107"/>
      <c r="C326" s="107"/>
      <c r="D326" s="107"/>
      <c r="E326" s="107"/>
      <c r="F326" s="107"/>
      <c r="G326" s="107"/>
      <c r="H326" s="70">
        <v>65.12</v>
      </c>
      <c r="I326" s="71">
        <f>I324+I325</f>
        <v>195.36</v>
      </c>
      <c r="J326">
        <v>5</v>
      </c>
      <c r="U326" s="89"/>
      <c r="W326" s="89"/>
      <c r="X326" s="89"/>
    </row>
    <row r="327" spans="1:24" x14ac:dyDescent="0.25">
      <c r="A327" s="73"/>
      <c r="B327" s="25">
        <v>106</v>
      </c>
      <c r="C327" s="26" t="s">
        <v>207</v>
      </c>
      <c r="D327" s="27" t="s">
        <v>25</v>
      </c>
      <c r="E327" s="28"/>
      <c r="F327" s="28"/>
      <c r="G327" s="29">
        <v>10</v>
      </c>
      <c r="H327" s="22">
        <v>87</v>
      </c>
      <c r="I327" s="30">
        <f>G327*H327</f>
        <v>870</v>
      </c>
      <c r="J327">
        <v>1</v>
      </c>
      <c r="U327" s="89"/>
      <c r="W327" s="89"/>
      <c r="X327" s="89"/>
    </row>
    <row r="328" spans="1:24" x14ac:dyDescent="0.25">
      <c r="A328" s="105" t="s">
        <v>735</v>
      </c>
      <c r="B328" s="106"/>
      <c r="C328" s="106"/>
      <c r="D328" s="106"/>
      <c r="E328" s="106"/>
      <c r="F328" s="106"/>
      <c r="G328" s="106"/>
      <c r="H328" s="35">
        <v>41.76</v>
      </c>
      <c r="I328" s="36">
        <f>G327*H328</f>
        <v>417.59999999999997</v>
      </c>
      <c r="J328">
        <v>2</v>
      </c>
      <c r="W328" s="89"/>
    </row>
    <row r="329" spans="1:24" x14ac:dyDescent="0.25">
      <c r="A329" s="107"/>
      <c r="B329" s="107"/>
      <c r="C329" s="107"/>
      <c r="D329" s="107"/>
      <c r="E329" s="107"/>
      <c r="F329" s="107"/>
      <c r="G329" s="107"/>
      <c r="H329" s="70">
        <v>128.76</v>
      </c>
      <c r="I329" s="71">
        <f>I327+I328</f>
        <v>1287.5999999999999</v>
      </c>
      <c r="J329">
        <v>5</v>
      </c>
      <c r="U329" s="89"/>
      <c r="W329" s="89"/>
      <c r="X329" s="89"/>
    </row>
    <row r="330" spans="1:24" x14ac:dyDescent="0.25">
      <c r="A330" s="73"/>
      <c r="B330" s="25">
        <v>107</v>
      </c>
      <c r="C330" s="26" t="s">
        <v>208</v>
      </c>
      <c r="D330" s="27" t="s">
        <v>25</v>
      </c>
      <c r="E330" s="28"/>
      <c r="F330" s="28"/>
      <c r="G330" s="29">
        <v>16</v>
      </c>
      <c r="H330" s="22">
        <v>8</v>
      </c>
      <c r="I330" s="30">
        <f>G330*H330</f>
        <v>128</v>
      </c>
      <c r="J330">
        <v>1</v>
      </c>
      <c r="U330" s="89"/>
      <c r="W330" s="89"/>
      <c r="X330" s="89"/>
    </row>
    <row r="331" spans="1:24" x14ac:dyDescent="0.25">
      <c r="A331" s="105" t="s">
        <v>736</v>
      </c>
      <c r="B331" s="106"/>
      <c r="C331" s="106"/>
      <c r="D331" s="106"/>
      <c r="E331" s="106"/>
      <c r="F331" s="106"/>
      <c r="G331" s="106"/>
      <c r="H331" s="35">
        <v>3.84</v>
      </c>
      <c r="I331" s="36">
        <f>G330*H331</f>
        <v>61.44</v>
      </c>
      <c r="J331">
        <v>2</v>
      </c>
      <c r="W331" s="89"/>
    </row>
    <row r="332" spans="1:24" x14ac:dyDescent="0.25">
      <c r="A332" s="107"/>
      <c r="B332" s="107"/>
      <c r="C332" s="107"/>
      <c r="D332" s="107"/>
      <c r="E332" s="107"/>
      <c r="F332" s="107"/>
      <c r="G332" s="107"/>
      <c r="H332" s="70">
        <v>11.84</v>
      </c>
      <c r="I332" s="71">
        <f>I330+I331</f>
        <v>189.44</v>
      </c>
      <c r="J332">
        <v>5</v>
      </c>
      <c r="U332" s="89"/>
      <c r="W332" s="89"/>
      <c r="X332" s="89"/>
    </row>
    <row r="333" spans="1:24" x14ac:dyDescent="0.25">
      <c r="A333" s="73"/>
      <c r="B333" s="25">
        <v>108</v>
      </c>
      <c r="C333" s="26" t="s">
        <v>209</v>
      </c>
      <c r="D333" s="27" t="s">
        <v>25</v>
      </c>
      <c r="E333" s="28"/>
      <c r="F333" s="28"/>
      <c r="G333" s="29">
        <v>12</v>
      </c>
      <c r="H333" s="22">
        <v>7</v>
      </c>
      <c r="I333" s="30">
        <f>G333*H333</f>
        <v>84</v>
      </c>
      <c r="J333">
        <v>1</v>
      </c>
      <c r="U333" s="89"/>
      <c r="W333" s="89"/>
      <c r="X333" s="89"/>
    </row>
    <row r="334" spans="1:24" x14ac:dyDescent="0.25">
      <c r="A334" s="105" t="s">
        <v>737</v>
      </c>
      <c r="B334" s="106"/>
      <c r="C334" s="106"/>
      <c r="D334" s="106"/>
      <c r="E334" s="106"/>
      <c r="F334" s="106"/>
      <c r="G334" s="106"/>
      <c r="H334" s="35">
        <v>3.3600000000000003</v>
      </c>
      <c r="I334" s="36">
        <f>G333*H334</f>
        <v>40.320000000000007</v>
      </c>
      <c r="J334">
        <v>2</v>
      </c>
      <c r="W334" s="89"/>
    </row>
    <row r="335" spans="1:24" ht="14.45" customHeight="1" x14ac:dyDescent="0.25">
      <c r="A335" s="107"/>
      <c r="B335" s="107"/>
      <c r="C335" s="107"/>
      <c r="D335" s="107"/>
      <c r="E335" s="107"/>
      <c r="F335" s="107"/>
      <c r="G335" s="107"/>
      <c r="H335" s="70">
        <v>10.36</v>
      </c>
      <c r="I335" s="71">
        <f>I333+I334</f>
        <v>124.32000000000001</v>
      </c>
      <c r="J335">
        <v>5</v>
      </c>
      <c r="U335" s="89"/>
      <c r="W335" s="89"/>
      <c r="X335" s="89"/>
    </row>
    <row r="336" spans="1:24" x14ac:dyDescent="0.25">
      <c r="A336" s="73"/>
      <c r="B336" s="25">
        <v>109</v>
      </c>
      <c r="C336" s="26" t="s">
        <v>206</v>
      </c>
      <c r="D336" s="27" t="s">
        <v>25</v>
      </c>
      <c r="E336" s="28"/>
      <c r="F336" s="28"/>
      <c r="G336" s="29">
        <v>6</v>
      </c>
      <c r="H336" s="22">
        <v>6</v>
      </c>
      <c r="I336" s="30">
        <f>G336*H336</f>
        <v>36</v>
      </c>
      <c r="J336">
        <v>1</v>
      </c>
      <c r="U336" s="89"/>
      <c r="W336" s="89"/>
      <c r="X336" s="89"/>
    </row>
    <row r="337" spans="1:24" x14ac:dyDescent="0.25">
      <c r="A337" s="105" t="s">
        <v>738</v>
      </c>
      <c r="B337" s="106"/>
      <c r="C337" s="106"/>
      <c r="D337" s="106"/>
      <c r="E337" s="106"/>
      <c r="F337" s="106"/>
      <c r="G337" s="106"/>
      <c r="H337" s="35">
        <v>2.88</v>
      </c>
      <c r="I337" s="36">
        <f>G336*H337</f>
        <v>17.28</v>
      </c>
      <c r="J337">
        <v>2</v>
      </c>
      <c r="W337" s="89"/>
    </row>
    <row r="338" spans="1:24" x14ac:dyDescent="0.25">
      <c r="A338" s="107"/>
      <c r="B338" s="107"/>
      <c r="C338" s="107"/>
      <c r="D338" s="107"/>
      <c r="E338" s="107"/>
      <c r="F338" s="107"/>
      <c r="G338" s="107"/>
      <c r="H338" s="70">
        <v>8.879999999999999</v>
      </c>
      <c r="I338" s="71">
        <f>I336+I337</f>
        <v>53.28</v>
      </c>
      <c r="J338">
        <v>5</v>
      </c>
      <c r="U338" s="89"/>
      <c r="W338" s="89"/>
      <c r="X338" s="89"/>
    </row>
    <row r="339" spans="1:24" x14ac:dyDescent="0.25">
      <c r="A339" s="73"/>
      <c r="B339" s="25">
        <v>110</v>
      </c>
      <c r="C339" s="26" t="s">
        <v>233</v>
      </c>
      <c r="D339" s="27" t="s">
        <v>22</v>
      </c>
      <c r="E339" s="28"/>
      <c r="F339" s="28"/>
      <c r="G339" s="29">
        <v>800</v>
      </c>
      <c r="H339" s="22">
        <v>0</v>
      </c>
      <c r="I339" s="30">
        <f>G339*H339</f>
        <v>0</v>
      </c>
      <c r="J339">
        <v>1</v>
      </c>
      <c r="U339" s="89"/>
      <c r="W339" s="89"/>
      <c r="X339" s="89"/>
    </row>
    <row r="340" spans="1:24" x14ac:dyDescent="0.25">
      <c r="A340" s="105" t="s">
        <v>234</v>
      </c>
      <c r="B340" s="106"/>
      <c r="C340" s="106"/>
      <c r="D340" s="106"/>
      <c r="E340" s="106"/>
      <c r="F340" s="106"/>
      <c r="G340" s="106"/>
      <c r="H340" s="35">
        <v>2.4000000000000004</v>
      </c>
      <c r="I340" s="36">
        <f>G339*H340</f>
        <v>1920.0000000000002</v>
      </c>
      <c r="J340">
        <v>2</v>
      </c>
      <c r="W340" s="89"/>
    </row>
    <row r="341" spans="1:24" x14ac:dyDescent="0.25">
      <c r="A341" s="107"/>
      <c r="B341" s="107"/>
      <c r="C341" s="107"/>
      <c r="D341" s="107"/>
      <c r="E341" s="107"/>
      <c r="F341" s="107"/>
      <c r="G341" s="107"/>
      <c r="H341" s="70">
        <v>2.4000000000000004</v>
      </c>
      <c r="I341" s="71">
        <f>I339+I340</f>
        <v>1920.0000000000002</v>
      </c>
      <c r="J341">
        <v>5</v>
      </c>
      <c r="U341" s="89"/>
      <c r="W341" s="89"/>
      <c r="X341" s="89"/>
    </row>
    <row r="342" spans="1:24" x14ac:dyDescent="0.25">
      <c r="A342" s="73"/>
      <c r="B342" s="25">
        <v>111</v>
      </c>
      <c r="C342" s="26" t="s">
        <v>235</v>
      </c>
      <c r="D342" s="27" t="s">
        <v>22</v>
      </c>
      <c r="E342" s="28"/>
      <c r="F342" s="28"/>
      <c r="G342" s="29">
        <v>800</v>
      </c>
      <c r="H342" s="22">
        <v>0</v>
      </c>
      <c r="I342" s="30">
        <f>G342*H342</f>
        <v>0</v>
      </c>
      <c r="J342">
        <v>1</v>
      </c>
      <c r="U342" s="89"/>
      <c r="W342" s="89"/>
      <c r="X342" s="89"/>
    </row>
    <row r="343" spans="1:24" x14ac:dyDescent="0.25">
      <c r="A343" s="105" t="s">
        <v>236</v>
      </c>
      <c r="B343" s="106"/>
      <c r="C343" s="106"/>
      <c r="D343" s="106"/>
      <c r="E343" s="106"/>
      <c r="F343" s="106"/>
      <c r="G343" s="106"/>
      <c r="H343" s="35">
        <v>2.4000000000000004</v>
      </c>
      <c r="I343" s="36">
        <f>G342*H343</f>
        <v>1920.0000000000002</v>
      </c>
      <c r="J343">
        <v>2</v>
      </c>
      <c r="W343" s="89"/>
    </row>
    <row r="344" spans="1:24" x14ac:dyDescent="0.25">
      <c r="A344" s="107"/>
      <c r="B344" s="107"/>
      <c r="C344" s="107"/>
      <c r="D344" s="107"/>
      <c r="E344" s="107"/>
      <c r="F344" s="107"/>
      <c r="G344" s="107"/>
      <c r="H344" s="70">
        <v>2.4000000000000004</v>
      </c>
      <c r="I344" s="71">
        <f>I342+I343</f>
        <v>1920.0000000000002</v>
      </c>
      <c r="J344">
        <v>5</v>
      </c>
      <c r="U344" s="89"/>
      <c r="W344" s="89"/>
      <c r="X344" s="89"/>
    </row>
    <row r="345" spans="1:24" x14ac:dyDescent="0.25">
      <c r="A345" s="73"/>
      <c r="B345" s="25">
        <v>112</v>
      </c>
      <c r="C345" s="26" t="s">
        <v>237</v>
      </c>
      <c r="D345" s="27" t="s">
        <v>22</v>
      </c>
      <c r="E345" s="28"/>
      <c r="F345" s="28"/>
      <c r="G345" s="29">
        <v>800</v>
      </c>
      <c r="H345" s="22">
        <v>0</v>
      </c>
      <c r="I345" s="30">
        <f>G345*H345</f>
        <v>0</v>
      </c>
      <c r="J345">
        <v>1</v>
      </c>
      <c r="U345" s="89"/>
      <c r="W345" s="89"/>
      <c r="X345" s="89"/>
    </row>
    <row r="346" spans="1:24" x14ac:dyDescent="0.25">
      <c r="A346" s="105" t="s">
        <v>238</v>
      </c>
      <c r="B346" s="106"/>
      <c r="C346" s="106"/>
      <c r="D346" s="106"/>
      <c r="E346" s="106"/>
      <c r="F346" s="106"/>
      <c r="G346" s="106"/>
      <c r="H346" s="35">
        <v>2.4000000000000004</v>
      </c>
      <c r="I346" s="36">
        <f>G345*H346</f>
        <v>1920.0000000000002</v>
      </c>
      <c r="J346">
        <v>2</v>
      </c>
      <c r="W346" s="89"/>
    </row>
    <row r="347" spans="1:24" x14ac:dyDescent="0.25">
      <c r="A347" s="107"/>
      <c r="B347" s="107"/>
      <c r="C347" s="107"/>
      <c r="D347" s="107"/>
      <c r="E347" s="107"/>
      <c r="F347" s="107"/>
      <c r="G347" s="107"/>
      <c r="H347" s="70">
        <v>2.4000000000000004</v>
      </c>
      <c r="I347" s="71">
        <f>I345+I346</f>
        <v>1920.0000000000002</v>
      </c>
      <c r="J347">
        <v>5</v>
      </c>
      <c r="U347" s="89"/>
      <c r="W347" s="89"/>
      <c r="X347" s="89"/>
    </row>
    <row r="348" spans="1:24" x14ac:dyDescent="0.25">
      <c r="A348" s="73"/>
      <c r="B348" s="25">
        <v>113</v>
      </c>
      <c r="C348" s="26" t="s">
        <v>239</v>
      </c>
      <c r="D348" s="27" t="s">
        <v>24</v>
      </c>
      <c r="E348" s="28"/>
      <c r="F348" s="28"/>
      <c r="G348" s="29">
        <v>120</v>
      </c>
      <c r="H348" s="22">
        <v>0</v>
      </c>
      <c r="I348" s="30">
        <f>G348*H348</f>
        <v>0</v>
      </c>
      <c r="J348">
        <v>1</v>
      </c>
      <c r="U348" s="89"/>
      <c r="W348" s="89"/>
      <c r="X348" s="89"/>
    </row>
    <row r="349" spans="1:24" x14ac:dyDescent="0.25">
      <c r="A349" s="105" t="s">
        <v>240</v>
      </c>
      <c r="B349" s="106"/>
      <c r="C349" s="106"/>
      <c r="D349" s="106"/>
      <c r="E349" s="106"/>
      <c r="F349" s="106"/>
      <c r="G349" s="106"/>
      <c r="H349" s="35">
        <v>0</v>
      </c>
      <c r="I349" s="36">
        <f>G348*H349</f>
        <v>0</v>
      </c>
      <c r="J349">
        <v>2</v>
      </c>
      <c r="W349" s="89"/>
    </row>
    <row r="350" spans="1:24" x14ac:dyDescent="0.25">
      <c r="A350" s="107"/>
      <c r="B350" s="107"/>
      <c r="C350" s="107"/>
      <c r="D350" s="107"/>
      <c r="E350" s="107"/>
      <c r="F350" s="107"/>
      <c r="G350" s="107"/>
      <c r="H350" s="70">
        <v>0</v>
      </c>
      <c r="I350" s="71">
        <f>I348+I349</f>
        <v>0</v>
      </c>
      <c r="J350">
        <v>5</v>
      </c>
      <c r="U350" s="89"/>
      <c r="W350" s="89"/>
      <c r="X350" s="89"/>
    </row>
    <row r="351" spans="1:24" x14ac:dyDescent="0.25">
      <c r="A351" s="73"/>
      <c r="B351" s="25">
        <v>114</v>
      </c>
      <c r="C351" s="26" t="s">
        <v>241</v>
      </c>
      <c r="D351" s="27" t="s">
        <v>22</v>
      </c>
      <c r="E351" s="28"/>
      <c r="F351" s="28"/>
      <c r="G351" s="29">
        <v>0.01</v>
      </c>
      <c r="H351" s="22">
        <v>0</v>
      </c>
      <c r="I351" s="30">
        <f>G351*H351</f>
        <v>0</v>
      </c>
      <c r="J351">
        <v>1</v>
      </c>
      <c r="U351" s="89"/>
      <c r="W351" s="89"/>
      <c r="X351" s="89"/>
    </row>
    <row r="352" spans="1:24" x14ac:dyDescent="0.25">
      <c r="A352" s="105" t="s">
        <v>242</v>
      </c>
      <c r="B352" s="106"/>
      <c r="C352" s="106"/>
      <c r="D352" s="106"/>
      <c r="E352" s="106"/>
      <c r="F352" s="106"/>
      <c r="G352" s="106"/>
      <c r="H352" s="91">
        <v>0</v>
      </c>
      <c r="I352" s="36">
        <f>G351*H352</f>
        <v>0</v>
      </c>
      <c r="J352">
        <v>2</v>
      </c>
      <c r="W352" s="89"/>
    </row>
    <row r="353" spans="1:24" x14ac:dyDescent="0.25">
      <c r="A353" s="107"/>
      <c r="B353" s="107"/>
      <c r="C353" s="107"/>
      <c r="D353" s="107"/>
      <c r="E353" s="107"/>
      <c r="F353" s="107"/>
      <c r="G353" s="107"/>
      <c r="H353" s="70">
        <v>0</v>
      </c>
      <c r="I353" s="71">
        <f>I351+I352</f>
        <v>0</v>
      </c>
      <c r="J353">
        <v>5</v>
      </c>
      <c r="U353" s="89"/>
      <c r="W353" s="89"/>
      <c r="X353" s="89"/>
    </row>
    <row r="354" spans="1:24" x14ac:dyDescent="0.25">
      <c r="A354" s="73"/>
      <c r="B354" s="25">
        <v>115</v>
      </c>
      <c r="C354" s="26" t="s">
        <v>243</v>
      </c>
      <c r="D354" s="27" t="s">
        <v>25</v>
      </c>
      <c r="E354" s="28"/>
      <c r="F354" s="28"/>
      <c r="G354" s="29">
        <v>2</v>
      </c>
      <c r="H354" s="22">
        <v>400</v>
      </c>
      <c r="I354" s="30">
        <f>G354*H354</f>
        <v>800</v>
      </c>
      <c r="J354">
        <v>1</v>
      </c>
      <c r="U354" s="89"/>
      <c r="W354" s="89"/>
      <c r="X354" s="89"/>
    </row>
    <row r="355" spans="1:24" x14ac:dyDescent="0.25">
      <c r="A355" s="105" t="s">
        <v>739</v>
      </c>
      <c r="B355" s="106"/>
      <c r="C355" s="106"/>
      <c r="D355" s="106"/>
      <c r="E355" s="106"/>
      <c r="F355" s="106"/>
      <c r="G355" s="106"/>
      <c r="H355" s="35">
        <v>192</v>
      </c>
      <c r="I355" s="36">
        <f>G354*H355</f>
        <v>384</v>
      </c>
      <c r="J355">
        <v>2</v>
      </c>
      <c r="W355" s="89"/>
    </row>
    <row r="356" spans="1:24" x14ac:dyDescent="0.25">
      <c r="A356" s="107"/>
      <c r="B356" s="107"/>
      <c r="C356" s="107"/>
      <c r="D356" s="107"/>
      <c r="E356" s="107"/>
      <c r="F356" s="107"/>
      <c r="G356" s="107"/>
      <c r="H356" s="70">
        <v>592</v>
      </c>
      <c r="I356" s="71">
        <f>I354+I355</f>
        <v>1184</v>
      </c>
      <c r="J356">
        <v>5</v>
      </c>
      <c r="U356" s="89"/>
      <c r="W356" s="89"/>
      <c r="X356" s="89"/>
    </row>
    <row r="357" spans="1:24" x14ac:dyDescent="0.25">
      <c r="B357" s="37" t="s">
        <v>26</v>
      </c>
      <c r="C357" s="32"/>
      <c r="D357" s="33"/>
      <c r="E357" s="36">
        <f>SUMIF(J12:J356,"1",I12:I356)</f>
        <v>303031.30769230769</v>
      </c>
      <c r="F357" s="36">
        <f>SUMIF(J12:J356,"2",I12:I356)</f>
        <v>185521.98769230768</v>
      </c>
      <c r="G357" s="36"/>
      <c r="H357" s="36"/>
      <c r="I357" s="36">
        <f>SUMIF(J12:J356,"5",I12:I356)</f>
        <v>488553.29538461543</v>
      </c>
      <c r="K357" s="4">
        <f>SUMIF(J12:J356,"3",K12:K356)</f>
        <v>0</v>
      </c>
      <c r="L357" s="4">
        <f>SUMIF(J12:J356,"3",L12:L356)</f>
        <v>0</v>
      </c>
      <c r="M357" s="4">
        <f>SUMIF(J12:J356,"3",M12:M356)</f>
        <v>0</v>
      </c>
      <c r="N357" s="4">
        <f>SUMIF(J12:J356,"4",N12:N356)</f>
        <v>0</v>
      </c>
      <c r="O357" s="4">
        <f>SUMIF(J12:J356,"4",O12:O356)</f>
        <v>0</v>
      </c>
      <c r="P357" s="4">
        <f>SUMIF(J12:J356,"4",P12:P356)</f>
        <v>0</v>
      </c>
      <c r="Q357" s="4">
        <f>SUMIF(J12:J356,"4",Q12:Q356)</f>
        <v>0</v>
      </c>
      <c r="R357" s="4">
        <f>SUMIF(J12:J356,"4",R12:R356)</f>
        <v>0</v>
      </c>
      <c r="S357" s="4">
        <f>SUMIF(J12:J356,"4",S12:S356)</f>
        <v>0</v>
      </c>
    </row>
  </sheetData>
  <mergeCells count="120">
    <mergeCell ref="A352:G353"/>
    <mergeCell ref="A346:G347"/>
    <mergeCell ref="A349:G350"/>
    <mergeCell ref="A343:G344"/>
    <mergeCell ref="A355:G356"/>
    <mergeCell ref="A316:G317"/>
    <mergeCell ref="A322:G323"/>
    <mergeCell ref="A319:G320"/>
    <mergeCell ref="A325:G326"/>
    <mergeCell ref="A331:G332"/>
    <mergeCell ref="A328:G329"/>
    <mergeCell ref="A334:G335"/>
    <mergeCell ref="A340:G341"/>
    <mergeCell ref="A337:G338"/>
    <mergeCell ref="A289:G290"/>
    <mergeCell ref="A295:G296"/>
    <mergeCell ref="A292:G293"/>
    <mergeCell ref="A298:G299"/>
    <mergeCell ref="A304:G305"/>
    <mergeCell ref="A301:G302"/>
    <mergeCell ref="A307:G308"/>
    <mergeCell ref="A313:G314"/>
    <mergeCell ref="A310:G311"/>
    <mergeCell ref="A262:G263"/>
    <mergeCell ref="A268:G269"/>
    <mergeCell ref="A265:G266"/>
    <mergeCell ref="A271:G272"/>
    <mergeCell ref="A277:G278"/>
    <mergeCell ref="A274:G275"/>
    <mergeCell ref="A280:G281"/>
    <mergeCell ref="A286:G287"/>
    <mergeCell ref="A283:G284"/>
    <mergeCell ref="A238:G239"/>
    <mergeCell ref="A235:G236"/>
    <mergeCell ref="A244:G245"/>
    <mergeCell ref="A241:G242"/>
    <mergeCell ref="A247:G248"/>
    <mergeCell ref="A253:G254"/>
    <mergeCell ref="A250:G251"/>
    <mergeCell ref="A259:G260"/>
    <mergeCell ref="A256:G257"/>
    <mergeCell ref="A208:G209"/>
    <mergeCell ref="A211:G212"/>
    <mergeCell ref="A214:G215"/>
    <mergeCell ref="A217:G218"/>
    <mergeCell ref="A220:G221"/>
    <mergeCell ref="A226:G227"/>
    <mergeCell ref="A223:G224"/>
    <mergeCell ref="A232:G233"/>
    <mergeCell ref="A229:G230"/>
    <mergeCell ref="A178:G179"/>
    <mergeCell ref="A181:G182"/>
    <mergeCell ref="A187:G188"/>
    <mergeCell ref="A184:G185"/>
    <mergeCell ref="A190:G191"/>
    <mergeCell ref="A196:G197"/>
    <mergeCell ref="A193:G194"/>
    <mergeCell ref="A199:G200"/>
    <mergeCell ref="A205:G206"/>
    <mergeCell ref="A202:G203"/>
    <mergeCell ref="A154:G155"/>
    <mergeCell ref="A151:G152"/>
    <mergeCell ref="A157:G158"/>
    <mergeCell ref="A163:G164"/>
    <mergeCell ref="A160:G161"/>
    <mergeCell ref="A166:G167"/>
    <mergeCell ref="A169:G170"/>
    <mergeCell ref="A175:G176"/>
    <mergeCell ref="A172:G173"/>
    <mergeCell ref="A124:G125"/>
    <mergeCell ref="A127:G128"/>
    <mergeCell ref="A133:G134"/>
    <mergeCell ref="A130:G131"/>
    <mergeCell ref="A136:G137"/>
    <mergeCell ref="A142:G143"/>
    <mergeCell ref="A139:G140"/>
    <mergeCell ref="A145:G146"/>
    <mergeCell ref="A148:G149"/>
    <mergeCell ref="A49:G50"/>
    <mergeCell ref="A106:G107"/>
    <mergeCell ref="A103:G104"/>
    <mergeCell ref="A100:G101"/>
    <mergeCell ref="A109:G110"/>
    <mergeCell ref="A112:G113"/>
    <mergeCell ref="A121:G122"/>
    <mergeCell ref="A118:G119"/>
    <mergeCell ref="A115:G116"/>
    <mergeCell ref="A19:G20"/>
    <mergeCell ref="A1:D1"/>
    <mergeCell ref="A2:I2"/>
    <mergeCell ref="A3:I3"/>
    <mergeCell ref="A4:I4"/>
    <mergeCell ref="A5:H5"/>
    <mergeCell ref="A13:G14"/>
    <mergeCell ref="A16:G17"/>
    <mergeCell ref="A97:G98"/>
    <mergeCell ref="A94:G95"/>
    <mergeCell ref="A91:G92"/>
    <mergeCell ref="A88:G89"/>
    <mergeCell ref="A85:G86"/>
    <mergeCell ref="A82:G83"/>
    <mergeCell ref="A79:G80"/>
    <mergeCell ref="A76:G77"/>
    <mergeCell ref="A73:G74"/>
    <mergeCell ref="A70:G71"/>
    <mergeCell ref="A67:G68"/>
    <mergeCell ref="A64:G65"/>
    <mergeCell ref="A61:G62"/>
    <mergeCell ref="A58:G59"/>
    <mergeCell ref="A55:G56"/>
    <mergeCell ref="A52:G53"/>
    <mergeCell ref="A46:G47"/>
    <mergeCell ref="A43:G44"/>
    <mergeCell ref="A40:G41"/>
    <mergeCell ref="A37:G38"/>
    <mergeCell ref="A34:G35"/>
    <mergeCell ref="A31:G32"/>
    <mergeCell ref="A28:G29"/>
    <mergeCell ref="A25:G26"/>
    <mergeCell ref="A22:G23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46" manualBreakCount="46">
    <brk id="17" max="16383" man="1"/>
    <brk id="23" max="16383" man="1"/>
    <brk id="29" max="16383" man="1"/>
    <brk id="35" max="16383" man="1"/>
    <brk id="41" max="16383" man="1"/>
    <brk id="47" max="16383" man="1"/>
    <brk id="53" max="16383" man="1"/>
    <brk id="62" max="16383" man="1"/>
    <brk id="71" max="16383" man="1"/>
    <brk id="80" max="16383" man="1"/>
    <brk id="86" max="16383" man="1"/>
    <brk id="92" max="16383" man="1"/>
    <brk id="101" max="16383" man="1"/>
    <brk id="107" max="16383" man="1"/>
    <brk id="116" max="16383" man="1"/>
    <brk id="125" max="16383" man="1"/>
    <brk id="131" max="16383" man="1"/>
    <brk id="137" max="16383" man="1"/>
    <brk id="143" max="16383" man="1"/>
    <brk id="149" max="16383" man="1"/>
    <brk id="155" max="16383" man="1"/>
    <brk id="161" max="16383" man="1"/>
    <brk id="167" max="16383" man="1"/>
    <brk id="173" max="16383" man="1"/>
    <brk id="179" max="16383" man="1"/>
    <brk id="188" max="16383" man="1"/>
    <brk id="197" max="16383" man="1"/>
    <brk id="203" max="16383" man="1"/>
    <brk id="209" max="16383" man="1"/>
    <brk id="215" max="16383" man="1"/>
    <brk id="221" max="16383" man="1"/>
    <brk id="230" max="16383" man="1"/>
    <brk id="239" max="16383" man="1"/>
    <brk id="248" max="16383" man="1"/>
    <brk id="257" max="16383" man="1"/>
    <brk id="266" max="16383" man="1"/>
    <brk id="272" max="16383" man="1"/>
    <brk id="281" max="16383" man="1"/>
    <brk id="287" max="16383" man="1"/>
    <brk id="296" max="16383" man="1"/>
    <brk id="305" max="16383" man="1"/>
    <brk id="314" max="16383" man="1"/>
    <brk id="323" max="16383" man="1"/>
    <brk id="332" max="16383" man="1"/>
    <brk id="341" max="16383" man="1"/>
    <brk id="35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D1D7-F834-4CF4-B389-5088C2CC3653}">
  <dimension ref="A1:U120"/>
  <sheetViews>
    <sheetView topLeftCell="A109" workbookViewId="0">
      <selection activeCell="H114" sqref="H114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21" ht="24.75" customHeight="1" x14ac:dyDescent="0.25">
      <c r="A1" s="101" t="s">
        <v>0</v>
      </c>
      <c r="B1" s="106"/>
      <c r="C1" s="106"/>
      <c r="D1" s="106"/>
      <c r="J1">
        <v>1</v>
      </c>
    </row>
    <row r="2" spans="1:21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21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21" x14ac:dyDescent="0.25">
      <c r="A4" s="103" t="s">
        <v>244</v>
      </c>
      <c r="B4" s="106"/>
      <c r="C4" s="106"/>
      <c r="D4" s="106"/>
      <c r="E4" s="106"/>
      <c r="F4" s="106"/>
      <c r="G4" s="106"/>
      <c r="H4" s="106"/>
      <c r="I4" s="106"/>
    </row>
    <row r="5" spans="1:21" ht="15.75" thickBot="1" x14ac:dyDescent="0.3">
      <c r="A5" s="103" t="s">
        <v>245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21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21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21" x14ac:dyDescent="0.25">
      <c r="C8" s="3" t="s">
        <v>13</v>
      </c>
      <c r="D8" s="8"/>
      <c r="E8" s="9"/>
      <c r="F8" s="9"/>
      <c r="H8" s="10" t="s">
        <v>14</v>
      </c>
    </row>
    <row r="9" spans="1:21" x14ac:dyDescent="0.25">
      <c r="C9" s="3" t="s">
        <v>15</v>
      </c>
      <c r="D9" s="8"/>
      <c r="E9" s="9"/>
      <c r="F9" s="9"/>
      <c r="H9" s="10" t="s">
        <v>16</v>
      </c>
    </row>
    <row r="10" spans="1:21" x14ac:dyDescent="0.25">
      <c r="C10" s="3" t="s">
        <v>17</v>
      </c>
      <c r="D10" s="8"/>
      <c r="E10" s="9"/>
      <c r="F10" s="9"/>
      <c r="H10" s="10" t="s">
        <v>18</v>
      </c>
    </row>
    <row r="11" spans="1:21" ht="15.75" thickBot="1" x14ac:dyDescent="0.3">
      <c r="C11" s="3" t="s">
        <v>19</v>
      </c>
      <c r="D11" s="8"/>
      <c r="E11" s="9"/>
      <c r="F11" s="9"/>
      <c r="H11" s="10" t="s">
        <v>20</v>
      </c>
    </row>
    <row r="12" spans="1:21" x14ac:dyDescent="0.25">
      <c r="A12" s="11"/>
      <c r="B12" s="12">
        <v>1</v>
      </c>
      <c r="C12" s="13" t="s">
        <v>246</v>
      </c>
      <c r="D12" s="19" t="s">
        <v>24</v>
      </c>
      <c r="E12" s="20"/>
      <c r="F12" s="20"/>
      <c r="G12" s="16">
        <v>93</v>
      </c>
      <c r="H12" s="21">
        <v>191.66666666666669</v>
      </c>
      <c r="I12" s="18">
        <f>G12*H12</f>
        <v>17825</v>
      </c>
      <c r="J12">
        <v>1</v>
      </c>
      <c r="U12" s="89"/>
    </row>
    <row r="13" spans="1:21" x14ac:dyDescent="0.25">
      <c r="A13" s="105" t="s">
        <v>598</v>
      </c>
      <c r="B13" s="106"/>
      <c r="C13" s="106"/>
      <c r="D13" s="106"/>
      <c r="E13" s="106"/>
      <c r="F13" s="106"/>
      <c r="G13" s="106"/>
      <c r="H13" s="35">
        <v>92.000000000000014</v>
      </c>
      <c r="I13" s="36">
        <f>G12*H13</f>
        <v>8556.0000000000018</v>
      </c>
      <c r="J13">
        <v>2</v>
      </c>
    </row>
    <row r="14" spans="1:21" ht="14.45" customHeight="1" x14ac:dyDescent="0.25">
      <c r="A14" s="107"/>
      <c r="B14" s="107"/>
      <c r="C14" s="107"/>
      <c r="D14" s="107"/>
      <c r="E14" s="107"/>
      <c r="F14" s="107"/>
      <c r="G14" s="107"/>
      <c r="H14" s="70">
        <v>283.66666666666669</v>
      </c>
      <c r="I14" s="71">
        <f>I12+I13</f>
        <v>26381</v>
      </c>
      <c r="J14">
        <v>5</v>
      </c>
      <c r="U14" s="89"/>
    </row>
    <row r="15" spans="1:21" x14ac:dyDescent="0.25">
      <c r="A15" s="73"/>
      <c r="B15" s="25">
        <v>2</v>
      </c>
      <c r="C15" s="26" t="s">
        <v>247</v>
      </c>
      <c r="D15" s="27" t="s">
        <v>24</v>
      </c>
      <c r="E15" s="28"/>
      <c r="F15" s="28"/>
      <c r="G15" s="29">
        <v>46</v>
      </c>
      <c r="H15" s="22">
        <v>141.66666666666669</v>
      </c>
      <c r="I15" s="30">
        <f>G15*H15</f>
        <v>6516.6666666666679</v>
      </c>
      <c r="J15">
        <v>1</v>
      </c>
    </row>
    <row r="16" spans="1:21" x14ac:dyDescent="0.25">
      <c r="A16" s="105" t="s">
        <v>599</v>
      </c>
      <c r="B16" s="106"/>
      <c r="C16" s="106"/>
      <c r="D16" s="106"/>
      <c r="E16" s="106"/>
      <c r="F16" s="106"/>
      <c r="G16" s="106"/>
      <c r="H16" s="35">
        <v>68.000000000000014</v>
      </c>
      <c r="I16" s="36">
        <f>G15*H16</f>
        <v>3128.0000000000005</v>
      </c>
      <c r="J16">
        <v>2</v>
      </c>
    </row>
    <row r="17" spans="1:10" x14ac:dyDescent="0.25">
      <c r="A17" s="107"/>
      <c r="B17" s="107"/>
      <c r="C17" s="107"/>
      <c r="D17" s="107"/>
      <c r="E17" s="107"/>
      <c r="F17" s="107"/>
      <c r="G17" s="107"/>
      <c r="H17" s="70">
        <v>209.66666666666669</v>
      </c>
      <c r="I17" s="71">
        <f>I15+I16</f>
        <v>9644.6666666666679</v>
      </c>
      <c r="J17">
        <v>5</v>
      </c>
    </row>
    <row r="18" spans="1:10" x14ac:dyDescent="0.25">
      <c r="A18" s="73"/>
      <c r="B18" s="25">
        <v>3</v>
      </c>
      <c r="C18" s="26" t="s">
        <v>248</v>
      </c>
      <c r="D18" s="27" t="s">
        <v>24</v>
      </c>
      <c r="E18" s="28"/>
      <c r="F18" s="28"/>
      <c r="G18" s="29">
        <v>42</v>
      </c>
      <c r="H18" s="22">
        <v>108.33333333333334</v>
      </c>
      <c r="I18" s="30">
        <f>G18*H18</f>
        <v>4550</v>
      </c>
      <c r="J18">
        <v>1</v>
      </c>
    </row>
    <row r="19" spans="1:10" x14ac:dyDescent="0.25">
      <c r="A19" s="105" t="s">
        <v>600</v>
      </c>
      <c r="B19" s="106"/>
      <c r="C19" s="106"/>
      <c r="D19" s="106"/>
      <c r="E19" s="106"/>
      <c r="F19" s="106"/>
      <c r="G19" s="106"/>
      <c r="H19" s="35">
        <v>52.000000000000007</v>
      </c>
      <c r="I19" s="36">
        <f>G18*H19</f>
        <v>2184.0000000000005</v>
      </c>
      <c r="J19">
        <v>2</v>
      </c>
    </row>
    <row r="20" spans="1:10" ht="14.45" customHeight="1" x14ac:dyDescent="0.25">
      <c r="A20" s="107"/>
      <c r="B20" s="107"/>
      <c r="C20" s="107"/>
      <c r="D20" s="107"/>
      <c r="E20" s="107"/>
      <c r="F20" s="107"/>
      <c r="G20" s="107"/>
      <c r="H20" s="70">
        <v>160.33333333333334</v>
      </c>
      <c r="I20" s="71">
        <f>I18+I19</f>
        <v>6734</v>
      </c>
      <c r="J20">
        <v>5</v>
      </c>
    </row>
    <row r="21" spans="1:10" x14ac:dyDescent="0.25">
      <c r="A21" s="73"/>
      <c r="B21" s="25">
        <v>4</v>
      </c>
      <c r="C21" s="26" t="s">
        <v>249</v>
      </c>
      <c r="D21" s="27" t="s">
        <v>24</v>
      </c>
      <c r="E21" s="28"/>
      <c r="F21" s="28"/>
      <c r="G21" s="29">
        <v>80</v>
      </c>
      <c r="H21" s="22">
        <v>66.666666666666671</v>
      </c>
      <c r="I21" s="30">
        <f>G21*H21</f>
        <v>5333.3333333333339</v>
      </c>
      <c r="J21">
        <v>1</v>
      </c>
    </row>
    <row r="22" spans="1:10" x14ac:dyDescent="0.25">
      <c r="A22" s="105" t="s">
        <v>601</v>
      </c>
      <c r="B22" s="106"/>
      <c r="C22" s="106"/>
      <c r="D22" s="106"/>
      <c r="E22" s="106"/>
      <c r="F22" s="106"/>
      <c r="G22" s="106"/>
      <c r="H22" s="35">
        <v>32.000000000000007</v>
      </c>
      <c r="I22" s="36">
        <f>G21*H22</f>
        <v>2560.0000000000005</v>
      </c>
      <c r="J22">
        <v>2</v>
      </c>
    </row>
    <row r="23" spans="1:10" x14ac:dyDescent="0.25">
      <c r="A23" s="107"/>
      <c r="B23" s="107"/>
      <c r="C23" s="107"/>
      <c r="D23" s="107"/>
      <c r="E23" s="107"/>
      <c r="F23" s="107"/>
      <c r="G23" s="107"/>
      <c r="H23" s="70">
        <v>98.666666666666671</v>
      </c>
      <c r="I23" s="71">
        <f>I21+I22</f>
        <v>7893.3333333333339</v>
      </c>
      <c r="J23">
        <v>5</v>
      </c>
    </row>
    <row r="24" spans="1:10" x14ac:dyDescent="0.25">
      <c r="B24" s="31">
        <v>5</v>
      </c>
      <c r="C24" s="32" t="s">
        <v>250</v>
      </c>
      <c r="D24" s="33" t="s">
        <v>24</v>
      </c>
      <c r="G24" s="34">
        <v>229</v>
      </c>
      <c r="H24" s="35">
        <v>50</v>
      </c>
      <c r="I24" s="36">
        <f>G24*H24</f>
        <v>11450</v>
      </c>
      <c r="J24">
        <v>1</v>
      </c>
    </row>
    <row r="25" spans="1:10" x14ac:dyDescent="0.25">
      <c r="A25" s="108" t="s">
        <v>602</v>
      </c>
      <c r="B25" s="106"/>
      <c r="C25" s="106"/>
      <c r="D25" s="106"/>
      <c r="E25" s="106"/>
      <c r="F25" s="106"/>
      <c r="G25" s="106"/>
      <c r="H25" s="7">
        <v>24</v>
      </c>
      <c r="I25" s="4">
        <f>G24*H25</f>
        <v>5496</v>
      </c>
      <c r="J25">
        <v>2</v>
      </c>
    </row>
    <row r="26" spans="1:10" x14ac:dyDescent="0.25">
      <c r="A26" s="106"/>
      <c r="B26" s="106"/>
      <c r="C26" s="106"/>
      <c r="D26" s="106"/>
      <c r="E26" s="106"/>
      <c r="F26" s="106"/>
      <c r="G26" s="106"/>
      <c r="H26" s="23">
        <v>74</v>
      </c>
      <c r="I26" s="24">
        <f>I24+I25</f>
        <v>16946</v>
      </c>
      <c r="J26">
        <v>5</v>
      </c>
    </row>
    <row r="27" spans="1:10" x14ac:dyDescent="0.25">
      <c r="B27" s="31">
        <v>6</v>
      </c>
      <c r="C27" s="32" t="s">
        <v>250</v>
      </c>
      <c r="D27" s="33" t="s">
        <v>24</v>
      </c>
      <c r="G27" s="34">
        <v>255</v>
      </c>
      <c r="H27" s="35">
        <v>38.333333333333336</v>
      </c>
      <c r="I27" s="36">
        <f>G27*H27</f>
        <v>9775</v>
      </c>
      <c r="J27">
        <v>1</v>
      </c>
    </row>
    <row r="28" spans="1:10" x14ac:dyDescent="0.25">
      <c r="A28" s="105" t="s">
        <v>603</v>
      </c>
      <c r="B28" s="106"/>
      <c r="C28" s="106"/>
      <c r="D28" s="106"/>
      <c r="E28" s="106"/>
      <c r="F28" s="106"/>
      <c r="G28" s="106"/>
      <c r="H28" s="35">
        <v>18.399999999999999</v>
      </c>
      <c r="I28" s="36">
        <f>G27*H28</f>
        <v>4692</v>
      </c>
      <c r="J28">
        <v>2</v>
      </c>
    </row>
    <row r="29" spans="1:10" x14ac:dyDescent="0.25">
      <c r="A29" s="107"/>
      <c r="B29" s="107"/>
      <c r="C29" s="107"/>
      <c r="D29" s="107"/>
      <c r="E29" s="107"/>
      <c r="F29" s="107"/>
      <c r="G29" s="107"/>
      <c r="H29" s="70">
        <v>56.733333333333334</v>
      </c>
      <c r="I29" s="71">
        <f>I27+I28</f>
        <v>14467</v>
      </c>
      <c r="J29">
        <v>5</v>
      </c>
    </row>
    <row r="30" spans="1:10" x14ac:dyDescent="0.25">
      <c r="A30" s="73"/>
      <c r="B30" s="25">
        <v>7</v>
      </c>
      <c r="C30" s="26" t="s">
        <v>250</v>
      </c>
      <c r="D30" s="27" t="s">
        <v>24</v>
      </c>
      <c r="E30" s="28"/>
      <c r="F30" s="28"/>
      <c r="G30" s="29">
        <v>170</v>
      </c>
      <c r="H30" s="22">
        <v>26.666666666666668</v>
      </c>
      <c r="I30" s="30">
        <f>G30*H30</f>
        <v>4533.3333333333339</v>
      </c>
      <c r="J30">
        <v>1</v>
      </c>
    </row>
    <row r="31" spans="1:10" x14ac:dyDescent="0.25">
      <c r="A31" s="105" t="s">
        <v>604</v>
      </c>
      <c r="B31" s="106"/>
      <c r="C31" s="106"/>
      <c r="D31" s="106"/>
      <c r="E31" s="106"/>
      <c r="F31" s="106"/>
      <c r="G31" s="106"/>
      <c r="H31" s="35">
        <v>12.8</v>
      </c>
      <c r="I31" s="36">
        <f>G30*H31</f>
        <v>2176</v>
      </c>
      <c r="J31">
        <v>2</v>
      </c>
    </row>
    <row r="32" spans="1:10" ht="18" customHeight="1" x14ac:dyDescent="0.25">
      <c r="A32" s="107"/>
      <c r="B32" s="107"/>
      <c r="C32" s="107"/>
      <c r="D32" s="107"/>
      <c r="E32" s="107"/>
      <c r="F32" s="107"/>
      <c r="G32" s="107"/>
      <c r="H32" s="70">
        <v>39.466666666666669</v>
      </c>
      <c r="I32" s="71">
        <f>I30+I31</f>
        <v>6709.3333333333339</v>
      </c>
      <c r="J32">
        <v>5</v>
      </c>
    </row>
    <row r="33" spans="1:10" x14ac:dyDescent="0.25">
      <c r="A33" s="73"/>
      <c r="B33" s="25">
        <v>8</v>
      </c>
      <c r="C33" s="26" t="s">
        <v>250</v>
      </c>
      <c r="D33" s="27" t="s">
        <v>24</v>
      </c>
      <c r="E33" s="28"/>
      <c r="F33" s="28"/>
      <c r="G33" s="29">
        <v>272</v>
      </c>
      <c r="H33" s="22">
        <v>15</v>
      </c>
      <c r="I33" s="30">
        <f>G33*H33</f>
        <v>4080</v>
      </c>
      <c r="J33">
        <v>1</v>
      </c>
    </row>
    <row r="34" spans="1:10" x14ac:dyDescent="0.25">
      <c r="A34" s="105" t="s">
        <v>605</v>
      </c>
      <c r="B34" s="106"/>
      <c r="C34" s="106"/>
      <c r="D34" s="106"/>
      <c r="E34" s="106"/>
      <c r="F34" s="106"/>
      <c r="G34" s="106"/>
      <c r="H34" s="35">
        <v>7.1999999999999993</v>
      </c>
      <c r="I34" s="36">
        <f>G33*H34</f>
        <v>1958.3999999999999</v>
      </c>
      <c r="J34">
        <v>2</v>
      </c>
    </row>
    <row r="35" spans="1:10" ht="14.45" customHeight="1" x14ac:dyDescent="0.25">
      <c r="A35" s="107"/>
      <c r="B35" s="107"/>
      <c r="C35" s="107"/>
      <c r="D35" s="107"/>
      <c r="E35" s="107"/>
      <c r="F35" s="107"/>
      <c r="G35" s="107"/>
      <c r="H35" s="70">
        <v>22.200000000000003</v>
      </c>
      <c r="I35" s="71">
        <f>I33+I34</f>
        <v>6038.4</v>
      </c>
      <c r="J35">
        <v>5</v>
      </c>
    </row>
    <row r="36" spans="1:10" x14ac:dyDescent="0.25">
      <c r="A36" s="73"/>
      <c r="B36" s="25">
        <v>9</v>
      </c>
      <c r="C36" s="26" t="s">
        <v>251</v>
      </c>
      <c r="D36" s="27" t="s">
        <v>25</v>
      </c>
      <c r="E36" s="28"/>
      <c r="F36" s="28"/>
      <c r="G36" s="29">
        <v>98</v>
      </c>
      <c r="H36" s="22">
        <v>41.666666666666671</v>
      </c>
      <c r="I36" s="30">
        <f>G36*H36</f>
        <v>4083.3333333333339</v>
      </c>
      <c r="J36">
        <v>1</v>
      </c>
    </row>
    <row r="37" spans="1:10" x14ac:dyDescent="0.25">
      <c r="A37" s="105" t="s">
        <v>252</v>
      </c>
      <c r="B37" s="106"/>
      <c r="C37" s="106"/>
      <c r="D37" s="106"/>
      <c r="E37" s="106"/>
      <c r="F37" s="106"/>
      <c r="G37" s="106"/>
      <c r="H37" s="35">
        <v>20</v>
      </c>
      <c r="I37" s="36">
        <f>G36*H37</f>
        <v>1960</v>
      </c>
      <c r="J37">
        <v>2</v>
      </c>
    </row>
    <row r="38" spans="1:10" ht="14.45" customHeight="1" x14ac:dyDescent="0.25">
      <c r="A38" s="107"/>
      <c r="B38" s="107"/>
      <c r="C38" s="107"/>
      <c r="D38" s="107"/>
      <c r="E38" s="107"/>
      <c r="F38" s="107"/>
      <c r="G38" s="107"/>
      <c r="H38" s="70">
        <v>61.666666666666671</v>
      </c>
      <c r="I38" s="71">
        <f>I36+I37</f>
        <v>6043.3333333333339</v>
      </c>
      <c r="J38">
        <v>5</v>
      </c>
    </row>
    <row r="39" spans="1:10" x14ac:dyDescent="0.25">
      <c r="A39" s="73"/>
      <c r="B39" s="25">
        <v>10</v>
      </c>
      <c r="C39" s="26" t="s">
        <v>64</v>
      </c>
      <c r="D39" s="27" t="s">
        <v>24</v>
      </c>
      <c r="E39" s="28"/>
      <c r="F39" s="28"/>
      <c r="G39" s="29">
        <v>1190</v>
      </c>
      <c r="H39" s="22">
        <v>3.3333333333333335</v>
      </c>
      <c r="I39" s="30">
        <f>G39*H39</f>
        <v>3966.666666666667</v>
      </c>
      <c r="J39">
        <v>1</v>
      </c>
    </row>
    <row r="40" spans="1:10" x14ac:dyDescent="0.25">
      <c r="A40" s="105" t="s">
        <v>606</v>
      </c>
      <c r="B40" s="106"/>
      <c r="C40" s="106"/>
      <c r="D40" s="106"/>
      <c r="E40" s="106"/>
      <c r="F40" s="106"/>
      <c r="G40" s="106"/>
      <c r="H40" s="35">
        <v>1.6</v>
      </c>
      <c r="I40" s="36">
        <f>G39*H40</f>
        <v>1904</v>
      </c>
      <c r="J40">
        <v>2</v>
      </c>
    </row>
    <row r="41" spans="1:10" ht="14.45" customHeight="1" x14ac:dyDescent="0.25">
      <c r="A41" s="107"/>
      <c r="B41" s="107"/>
      <c r="C41" s="107"/>
      <c r="D41" s="107"/>
      <c r="E41" s="107"/>
      <c r="F41" s="107"/>
      <c r="G41" s="107"/>
      <c r="H41" s="70">
        <v>4.9333333333333336</v>
      </c>
      <c r="I41" s="71">
        <f>I39+I40</f>
        <v>5870.666666666667</v>
      </c>
      <c r="J41">
        <v>5</v>
      </c>
    </row>
    <row r="42" spans="1:10" x14ac:dyDescent="0.25">
      <c r="A42" s="73"/>
      <c r="B42" s="25">
        <v>10</v>
      </c>
      <c r="C42" s="26" t="s">
        <v>253</v>
      </c>
      <c r="D42" s="27" t="s">
        <v>24</v>
      </c>
      <c r="E42" s="28"/>
      <c r="F42" s="28"/>
      <c r="G42" s="29">
        <v>93</v>
      </c>
      <c r="H42" s="22">
        <v>6.666666666666667</v>
      </c>
      <c r="I42" s="30">
        <f>G42*H42</f>
        <v>620</v>
      </c>
      <c r="J42">
        <v>1</v>
      </c>
    </row>
    <row r="43" spans="1:10" x14ac:dyDescent="0.25">
      <c r="A43" s="105" t="s">
        <v>254</v>
      </c>
      <c r="B43" s="106"/>
      <c r="C43" s="106"/>
      <c r="D43" s="106"/>
      <c r="E43" s="106"/>
      <c r="F43" s="106"/>
      <c r="G43" s="106"/>
      <c r="H43" s="35">
        <v>3.2</v>
      </c>
      <c r="I43" s="36">
        <f>G42*H43</f>
        <v>297.60000000000002</v>
      </c>
      <c r="J43">
        <v>2</v>
      </c>
    </row>
    <row r="44" spans="1:10" x14ac:dyDescent="0.25">
      <c r="A44" s="107"/>
      <c r="B44" s="107"/>
      <c r="C44" s="107"/>
      <c r="D44" s="107"/>
      <c r="E44" s="107"/>
      <c r="F44" s="107"/>
      <c r="G44" s="107"/>
      <c r="H44" s="70">
        <v>9.8666666666666671</v>
      </c>
      <c r="I44" s="71">
        <f>I42+I43</f>
        <v>917.6</v>
      </c>
      <c r="J44">
        <v>5</v>
      </c>
    </row>
    <row r="45" spans="1:10" x14ac:dyDescent="0.25">
      <c r="A45" s="73"/>
      <c r="B45" s="25">
        <v>10</v>
      </c>
      <c r="C45" s="26" t="s">
        <v>255</v>
      </c>
      <c r="D45" s="27" t="s">
        <v>24</v>
      </c>
      <c r="E45" s="28"/>
      <c r="F45" s="28"/>
      <c r="G45" s="29">
        <v>46</v>
      </c>
      <c r="H45" s="22">
        <v>5</v>
      </c>
      <c r="I45" s="30">
        <f>G45*H45</f>
        <v>230</v>
      </c>
      <c r="J45">
        <v>1</v>
      </c>
    </row>
    <row r="46" spans="1:10" x14ac:dyDescent="0.25">
      <c r="A46" s="105" t="s">
        <v>256</v>
      </c>
      <c r="B46" s="106"/>
      <c r="C46" s="106"/>
      <c r="D46" s="106"/>
      <c r="E46" s="106"/>
      <c r="F46" s="106"/>
      <c r="G46" s="106"/>
      <c r="H46" s="35">
        <v>2.4</v>
      </c>
      <c r="I46" s="36">
        <f>G45*H46</f>
        <v>110.39999999999999</v>
      </c>
      <c r="J46">
        <v>2</v>
      </c>
    </row>
    <row r="47" spans="1:10" x14ac:dyDescent="0.25">
      <c r="A47" s="107"/>
      <c r="B47" s="107"/>
      <c r="C47" s="107"/>
      <c r="D47" s="107"/>
      <c r="E47" s="107"/>
      <c r="F47" s="107"/>
      <c r="G47" s="107"/>
      <c r="H47" s="70">
        <v>7.3999999999999995</v>
      </c>
      <c r="I47" s="71">
        <f>I45+I46</f>
        <v>340.4</v>
      </c>
      <c r="J47">
        <v>5</v>
      </c>
    </row>
    <row r="48" spans="1:10" x14ac:dyDescent="0.25">
      <c r="A48" s="73"/>
      <c r="B48" s="25">
        <v>10</v>
      </c>
      <c r="C48" s="26" t="s">
        <v>257</v>
      </c>
      <c r="D48" s="27" t="s">
        <v>24</v>
      </c>
      <c r="E48" s="28"/>
      <c r="F48" s="28"/>
      <c r="G48" s="29">
        <v>42</v>
      </c>
      <c r="H48" s="22">
        <v>4.166666666666667</v>
      </c>
      <c r="I48" s="30">
        <f>G48*H48</f>
        <v>175</v>
      </c>
      <c r="J48">
        <v>1</v>
      </c>
    </row>
    <row r="49" spans="1:10" x14ac:dyDescent="0.25">
      <c r="A49" s="105" t="s">
        <v>258</v>
      </c>
      <c r="B49" s="106"/>
      <c r="C49" s="106"/>
      <c r="D49" s="106"/>
      <c r="E49" s="106"/>
      <c r="F49" s="106"/>
      <c r="G49" s="106"/>
      <c r="H49" s="35">
        <v>2.0000000000000004</v>
      </c>
      <c r="I49" s="36">
        <f>G48*H49</f>
        <v>84.000000000000014</v>
      </c>
      <c r="J49">
        <v>2</v>
      </c>
    </row>
    <row r="50" spans="1:10" x14ac:dyDescent="0.25">
      <c r="A50" s="107"/>
      <c r="B50" s="107"/>
      <c r="C50" s="107"/>
      <c r="D50" s="107"/>
      <c r="E50" s="107"/>
      <c r="F50" s="107"/>
      <c r="G50" s="107"/>
      <c r="H50" s="70">
        <v>6.166666666666667</v>
      </c>
      <c r="I50" s="71">
        <f>I48+I49</f>
        <v>259</v>
      </c>
      <c r="J50">
        <v>5</v>
      </c>
    </row>
    <row r="51" spans="1:10" x14ac:dyDescent="0.25">
      <c r="A51" s="73"/>
      <c r="B51" s="25">
        <v>10</v>
      </c>
      <c r="C51" s="26" t="s">
        <v>259</v>
      </c>
      <c r="D51" s="27" t="s">
        <v>24</v>
      </c>
      <c r="E51" s="28"/>
      <c r="F51" s="28"/>
      <c r="G51" s="29">
        <v>80</v>
      </c>
      <c r="H51" s="22">
        <v>3.3333333333333335</v>
      </c>
      <c r="I51" s="30">
        <f>G51*H51</f>
        <v>266.66666666666669</v>
      </c>
      <c r="J51">
        <v>1</v>
      </c>
    </row>
    <row r="52" spans="1:10" x14ac:dyDescent="0.25">
      <c r="A52" s="105" t="s">
        <v>260</v>
      </c>
      <c r="B52" s="106"/>
      <c r="C52" s="106"/>
      <c r="D52" s="106"/>
      <c r="E52" s="106"/>
      <c r="F52" s="106"/>
      <c r="G52" s="106"/>
      <c r="H52" s="35">
        <v>1.6</v>
      </c>
      <c r="I52" s="36">
        <f>G51*H52</f>
        <v>128</v>
      </c>
      <c r="J52">
        <v>2</v>
      </c>
    </row>
    <row r="53" spans="1:10" x14ac:dyDescent="0.25">
      <c r="A53" s="107"/>
      <c r="B53" s="107"/>
      <c r="C53" s="107"/>
      <c r="D53" s="107"/>
      <c r="E53" s="107"/>
      <c r="F53" s="107"/>
      <c r="G53" s="107"/>
      <c r="H53" s="70">
        <v>4.9333333333333336</v>
      </c>
      <c r="I53" s="71">
        <f>I51+I52</f>
        <v>394.66666666666669</v>
      </c>
      <c r="J53">
        <v>5</v>
      </c>
    </row>
    <row r="54" spans="1:10" x14ac:dyDescent="0.25">
      <c r="A54" s="73"/>
      <c r="B54" s="25">
        <v>10</v>
      </c>
      <c r="C54" s="26" t="s">
        <v>261</v>
      </c>
      <c r="D54" s="27" t="s">
        <v>24</v>
      </c>
      <c r="E54" s="28"/>
      <c r="F54" s="28"/>
      <c r="G54" s="29">
        <v>229</v>
      </c>
      <c r="H54" s="22">
        <v>2.5</v>
      </c>
      <c r="I54" s="30">
        <f>G54*H54</f>
        <v>572.5</v>
      </c>
      <c r="J54">
        <v>1</v>
      </c>
    </row>
    <row r="55" spans="1:10" x14ac:dyDescent="0.25">
      <c r="A55" s="105" t="s">
        <v>262</v>
      </c>
      <c r="B55" s="106"/>
      <c r="C55" s="106"/>
      <c r="D55" s="106"/>
      <c r="E55" s="106"/>
      <c r="F55" s="106"/>
      <c r="G55" s="106"/>
      <c r="H55" s="35">
        <v>1.2</v>
      </c>
      <c r="I55" s="36">
        <f>G54*H55</f>
        <v>274.8</v>
      </c>
      <c r="J55">
        <v>2</v>
      </c>
    </row>
    <row r="56" spans="1:10" x14ac:dyDescent="0.25">
      <c r="A56" s="107"/>
      <c r="B56" s="107"/>
      <c r="C56" s="107"/>
      <c r="D56" s="107"/>
      <c r="E56" s="107"/>
      <c r="F56" s="107"/>
      <c r="G56" s="107"/>
      <c r="H56" s="70">
        <v>3.6999999999999997</v>
      </c>
      <c r="I56" s="71">
        <f>I54+I55</f>
        <v>847.3</v>
      </c>
      <c r="J56">
        <v>5</v>
      </c>
    </row>
    <row r="57" spans="1:10" x14ac:dyDescent="0.25">
      <c r="A57" s="73"/>
      <c r="B57" s="25">
        <v>10</v>
      </c>
      <c r="C57" s="26" t="s">
        <v>263</v>
      </c>
      <c r="D57" s="27" t="s">
        <v>24</v>
      </c>
      <c r="E57" s="28"/>
      <c r="F57" s="28"/>
      <c r="G57" s="29">
        <v>255</v>
      </c>
      <c r="H57" s="22">
        <v>1.6666666666666667</v>
      </c>
      <c r="I57" s="30">
        <f>G57*H57</f>
        <v>425</v>
      </c>
      <c r="J57">
        <v>1</v>
      </c>
    </row>
    <row r="58" spans="1:10" x14ac:dyDescent="0.25">
      <c r="A58" s="105" t="s">
        <v>264</v>
      </c>
      <c r="B58" s="106"/>
      <c r="C58" s="106"/>
      <c r="D58" s="106"/>
      <c r="E58" s="106"/>
      <c r="F58" s="106"/>
      <c r="G58" s="106"/>
      <c r="H58" s="35">
        <v>0.8</v>
      </c>
      <c r="I58" s="36">
        <f>G57*H58</f>
        <v>204</v>
      </c>
      <c r="J58">
        <v>2</v>
      </c>
    </row>
    <row r="59" spans="1:10" x14ac:dyDescent="0.25">
      <c r="A59" s="107"/>
      <c r="B59" s="107"/>
      <c r="C59" s="107"/>
      <c r="D59" s="107"/>
      <c r="E59" s="107"/>
      <c r="F59" s="107"/>
      <c r="G59" s="107"/>
      <c r="H59" s="70">
        <v>2.4666666666666668</v>
      </c>
      <c r="I59" s="71">
        <f>I57+I58</f>
        <v>629</v>
      </c>
      <c r="J59">
        <v>5</v>
      </c>
    </row>
    <row r="60" spans="1:10" x14ac:dyDescent="0.25">
      <c r="A60" s="73"/>
      <c r="B60" s="25">
        <v>10</v>
      </c>
      <c r="C60" s="26" t="s">
        <v>265</v>
      </c>
      <c r="D60" s="27" t="s">
        <v>24</v>
      </c>
      <c r="E60" s="28"/>
      <c r="F60" s="28"/>
      <c r="G60" s="29">
        <v>170</v>
      </c>
      <c r="H60" s="22">
        <v>0.83333333333333337</v>
      </c>
      <c r="I60" s="30">
        <f>G60*H60</f>
        <v>141.66666666666669</v>
      </c>
      <c r="J60">
        <v>1</v>
      </c>
    </row>
    <row r="61" spans="1:10" x14ac:dyDescent="0.25">
      <c r="A61" s="105" t="s">
        <v>266</v>
      </c>
      <c r="B61" s="106"/>
      <c r="C61" s="106"/>
      <c r="D61" s="106"/>
      <c r="E61" s="106"/>
      <c r="F61" s="106"/>
      <c r="G61" s="106"/>
      <c r="H61" s="35">
        <v>0.4</v>
      </c>
      <c r="I61" s="36">
        <f>G60*H61</f>
        <v>68</v>
      </c>
      <c r="J61">
        <v>2</v>
      </c>
    </row>
    <row r="62" spans="1:10" x14ac:dyDescent="0.25">
      <c r="A62" s="107"/>
      <c r="B62" s="107"/>
      <c r="C62" s="107"/>
      <c r="D62" s="107"/>
      <c r="E62" s="107"/>
      <c r="F62" s="107"/>
      <c r="G62" s="107"/>
      <c r="H62" s="70">
        <v>1.2333333333333334</v>
      </c>
      <c r="I62" s="71">
        <f>I60+I61</f>
        <v>209.66666666666669</v>
      </c>
      <c r="J62">
        <v>5</v>
      </c>
    </row>
    <row r="63" spans="1:10" x14ac:dyDescent="0.25">
      <c r="A63" s="73"/>
      <c r="B63" s="25">
        <v>10</v>
      </c>
      <c r="C63" s="26" t="s">
        <v>267</v>
      </c>
      <c r="D63" s="27" t="s">
        <v>24</v>
      </c>
      <c r="E63" s="28"/>
      <c r="F63" s="28"/>
      <c r="G63" s="29">
        <v>272</v>
      </c>
      <c r="H63" s="22">
        <v>0.83333333333333337</v>
      </c>
      <c r="I63" s="30">
        <f>G63*H63</f>
        <v>226.66666666666669</v>
      </c>
      <c r="J63">
        <v>1</v>
      </c>
    </row>
    <row r="64" spans="1:10" x14ac:dyDescent="0.25">
      <c r="A64" s="105" t="s">
        <v>268</v>
      </c>
      <c r="B64" s="106"/>
      <c r="C64" s="106"/>
      <c r="D64" s="106"/>
      <c r="E64" s="106"/>
      <c r="F64" s="106"/>
      <c r="G64" s="106"/>
      <c r="H64" s="35">
        <v>0.4</v>
      </c>
      <c r="I64" s="36">
        <f>G63*H64</f>
        <v>108.80000000000001</v>
      </c>
      <c r="J64">
        <v>2</v>
      </c>
    </row>
    <row r="65" spans="1:10" x14ac:dyDescent="0.25">
      <c r="A65" s="107"/>
      <c r="B65" s="107"/>
      <c r="C65" s="107"/>
      <c r="D65" s="107"/>
      <c r="E65" s="107"/>
      <c r="F65" s="107"/>
      <c r="G65" s="107"/>
      <c r="H65" s="70">
        <v>1.2333333333333334</v>
      </c>
      <c r="I65" s="71">
        <f>I63+I64</f>
        <v>335.4666666666667</v>
      </c>
      <c r="J65">
        <v>5</v>
      </c>
    </row>
    <row r="66" spans="1:10" x14ac:dyDescent="0.25">
      <c r="A66" s="73"/>
      <c r="B66" s="25">
        <v>11</v>
      </c>
      <c r="C66" s="26" t="s">
        <v>269</v>
      </c>
      <c r="D66" s="27" t="s">
        <v>24</v>
      </c>
      <c r="E66" s="28"/>
      <c r="F66" s="28"/>
      <c r="G66" s="29">
        <v>34</v>
      </c>
      <c r="H66" s="22">
        <v>7.5</v>
      </c>
      <c r="I66" s="30">
        <f>G66*H66</f>
        <v>255</v>
      </c>
      <c r="J66">
        <v>1</v>
      </c>
    </row>
    <row r="67" spans="1:10" x14ac:dyDescent="0.25">
      <c r="A67" s="105" t="s">
        <v>270</v>
      </c>
      <c r="B67" s="106"/>
      <c r="C67" s="106"/>
      <c r="D67" s="106"/>
      <c r="E67" s="106"/>
      <c r="F67" s="106"/>
      <c r="G67" s="106"/>
      <c r="H67" s="35">
        <v>3.5999999999999996</v>
      </c>
      <c r="I67" s="36">
        <f>G66*H67</f>
        <v>122.39999999999999</v>
      </c>
      <c r="J67">
        <v>2</v>
      </c>
    </row>
    <row r="68" spans="1:10" x14ac:dyDescent="0.25">
      <c r="A68" s="107"/>
      <c r="B68" s="107"/>
      <c r="C68" s="107"/>
      <c r="D68" s="107"/>
      <c r="E68" s="107"/>
      <c r="F68" s="107"/>
      <c r="G68" s="107"/>
      <c r="H68" s="70">
        <v>11.100000000000001</v>
      </c>
      <c r="I68" s="71">
        <f>I66+I67</f>
        <v>377.4</v>
      </c>
      <c r="J68">
        <v>5</v>
      </c>
    </row>
    <row r="69" spans="1:10" x14ac:dyDescent="0.25">
      <c r="A69" s="73"/>
      <c r="B69" s="25">
        <v>12</v>
      </c>
      <c r="C69" s="26" t="s">
        <v>271</v>
      </c>
      <c r="D69" s="27" t="s">
        <v>24</v>
      </c>
      <c r="E69" s="28"/>
      <c r="F69" s="28"/>
      <c r="G69" s="29">
        <v>178</v>
      </c>
      <c r="H69" s="22">
        <v>5.8333333333333339</v>
      </c>
      <c r="I69" s="30">
        <f>G69*H69</f>
        <v>1038.3333333333335</v>
      </c>
      <c r="J69">
        <v>1</v>
      </c>
    </row>
    <row r="70" spans="1:10" x14ac:dyDescent="0.25">
      <c r="A70" s="105" t="s">
        <v>607</v>
      </c>
      <c r="B70" s="106"/>
      <c r="C70" s="106"/>
      <c r="D70" s="106"/>
      <c r="E70" s="106"/>
      <c r="F70" s="106"/>
      <c r="G70" s="106"/>
      <c r="H70" s="35">
        <v>2.8000000000000003</v>
      </c>
      <c r="I70" s="36">
        <f>G69*H70</f>
        <v>498.40000000000003</v>
      </c>
      <c r="J70">
        <v>2</v>
      </c>
    </row>
    <row r="71" spans="1:10" x14ac:dyDescent="0.25">
      <c r="A71" s="107"/>
      <c r="B71" s="107"/>
      <c r="C71" s="107"/>
      <c r="D71" s="107"/>
      <c r="E71" s="107"/>
      <c r="F71" s="107"/>
      <c r="G71" s="107"/>
      <c r="H71" s="70">
        <v>8.6333333333333329</v>
      </c>
      <c r="I71" s="71">
        <f>I69+I70</f>
        <v>1536.7333333333336</v>
      </c>
      <c r="J71">
        <v>5</v>
      </c>
    </row>
    <row r="72" spans="1:10" x14ac:dyDescent="0.25">
      <c r="A72" s="73"/>
      <c r="B72" s="25">
        <v>13</v>
      </c>
      <c r="C72" s="26" t="s">
        <v>272</v>
      </c>
      <c r="D72" s="27" t="s">
        <v>24</v>
      </c>
      <c r="E72" s="28"/>
      <c r="F72" s="28"/>
      <c r="G72" s="29">
        <v>157</v>
      </c>
      <c r="H72" s="22">
        <v>5</v>
      </c>
      <c r="I72" s="30">
        <f>G72*H72</f>
        <v>785</v>
      </c>
      <c r="J72">
        <v>1</v>
      </c>
    </row>
    <row r="73" spans="1:10" x14ac:dyDescent="0.25">
      <c r="A73" s="105" t="s">
        <v>608</v>
      </c>
      <c r="B73" s="106"/>
      <c r="C73" s="106"/>
      <c r="D73" s="106"/>
      <c r="E73" s="106"/>
      <c r="F73" s="106"/>
      <c r="G73" s="106"/>
      <c r="H73" s="35">
        <v>2.4</v>
      </c>
      <c r="I73" s="36">
        <f>G72*H73</f>
        <v>376.8</v>
      </c>
      <c r="J73">
        <v>2</v>
      </c>
    </row>
    <row r="74" spans="1:10" x14ac:dyDescent="0.25">
      <c r="A74" s="107"/>
      <c r="B74" s="107"/>
      <c r="C74" s="107"/>
      <c r="D74" s="107"/>
      <c r="E74" s="107"/>
      <c r="F74" s="107"/>
      <c r="G74" s="107"/>
      <c r="H74" s="70">
        <v>7.3999999999999995</v>
      </c>
      <c r="I74" s="71">
        <f>I72+I73</f>
        <v>1161.8</v>
      </c>
      <c r="J74">
        <v>5</v>
      </c>
    </row>
    <row r="75" spans="1:10" x14ac:dyDescent="0.25">
      <c r="A75" s="73"/>
      <c r="B75" s="25">
        <v>14</v>
      </c>
      <c r="C75" s="26" t="s">
        <v>273</v>
      </c>
      <c r="D75" s="27" t="s">
        <v>24</v>
      </c>
      <c r="E75" s="28"/>
      <c r="F75" s="28"/>
      <c r="G75" s="29">
        <v>178</v>
      </c>
      <c r="H75" s="22">
        <v>3.3333333333333335</v>
      </c>
      <c r="I75" s="30">
        <f>G75*H75</f>
        <v>593.33333333333337</v>
      </c>
      <c r="J75">
        <v>1</v>
      </c>
    </row>
    <row r="76" spans="1:10" x14ac:dyDescent="0.25">
      <c r="A76" s="105" t="s">
        <v>609</v>
      </c>
      <c r="B76" s="106"/>
      <c r="C76" s="106"/>
      <c r="D76" s="106"/>
      <c r="E76" s="106"/>
      <c r="F76" s="106"/>
      <c r="G76" s="106"/>
      <c r="H76" s="35">
        <v>1.6</v>
      </c>
      <c r="I76" s="36">
        <f>G75*H76</f>
        <v>284.8</v>
      </c>
      <c r="J76">
        <v>2</v>
      </c>
    </row>
    <row r="77" spans="1:10" x14ac:dyDescent="0.25">
      <c r="A77" s="107"/>
      <c r="B77" s="107"/>
      <c r="C77" s="107"/>
      <c r="D77" s="107"/>
      <c r="E77" s="107"/>
      <c r="F77" s="107"/>
      <c r="G77" s="107"/>
      <c r="H77" s="70">
        <v>4.9333333333333336</v>
      </c>
      <c r="I77" s="71">
        <f>I75+I76</f>
        <v>878.13333333333344</v>
      </c>
      <c r="J77">
        <v>5</v>
      </c>
    </row>
    <row r="78" spans="1:10" x14ac:dyDescent="0.25">
      <c r="A78" s="73"/>
      <c r="B78" s="25">
        <v>15</v>
      </c>
      <c r="C78" s="26" t="s">
        <v>68</v>
      </c>
      <c r="D78" s="27" t="s">
        <v>24</v>
      </c>
      <c r="E78" s="28"/>
      <c r="F78" s="28"/>
      <c r="G78" s="29">
        <v>29</v>
      </c>
      <c r="H78" s="22">
        <v>5</v>
      </c>
      <c r="I78" s="30">
        <f>G78*H78</f>
        <v>145</v>
      </c>
      <c r="J78">
        <v>1</v>
      </c>
    </row>
    <row r="79" spans="1:10" x14ac:dyDescent="0.25">
      <c r="A79" s="105" t="s">
        <v>610</v>
      </c>
      <c r="B79" s="106"/>
      <c r="C79" s="106"/>
      <c r="D79" s="106"/>
      <c r="E79" s="106"/>
      <c r="F79" s="106"/>
      <c r="G79" s="106"/>
      <c r="H79" s="35">
        <v>2.4</v>
      </c>
      <c r="I79" s="36">
        <f>G78*H79</f>
        <v>69.599999999999994</v>
      </c>
      <c r="J79">
        <v>2</v>
      </c>
    </row>
    <row r="80" spans="1:10" x14ac:dyDescent="0.25">
      <c r="A80" s="107"/>
      <c r="B80" s="107"/>
      <c r="C80" s="107"/>
      <c r="D80" s="107"/>
      <c r="E80" s="107"/>
      <c r="F80" s="107"/>
      <c r="G80" s="107"/>
      <c r="H80" s="70">
        <v>7.3999999999999995</v>
      </c>
      <c r="I80" s="71">
        <f>I78+I79</f>
        <v>214.6</v>
      </c>
      <c r="J80">
        <v>5</v>
      </c>
    </row>
    <row r="81" spans="1:10" x14ac:dyDescent="0.25">
      <c r="A81" s="73"/>
      <c r="B81" s="25">
        <v>16</v>
      </c>
      <c r="C81" s="26" t="s">
        <v>71</v>
      </c>
      <c r="D81" s="27" t="s">
        <v>25</v>
      </c>
      <c r="E81" s="28"/>
      <c r="F81" s="28"/>
      <c r="G81" s="29">
        <v>10</v>
      </c>
      <c r="H81" s="22">
        <v>3.3333333333333335</v>
      </c>
      <c r="I81" s="30">
        <f>G81*H81</f>
        <v>33.333333333333336</v>
      </c>
      <c r="J81">
        <v>1</v>
      </c>
    </row>
    <row r="82" spans="1:10" x14ac:dyDescent="0.25">
      <c r="A82" s="105" t="s">
        <v>611</v>
      </c>
      <c r="B82" s="106"/>
      <c r="C82" s="106"/>
      <c r="D82" s="106"/>
      <c r="E82" s="106"/>
      <c r="F82" s="106"/>
      <c r="G82" s="106"/>
      <c r="H82" s="35">
        <v>1.6</v>
      </c>
      <c r="I82" s="36">
        <f>G81*H82</f>
        <v>16</v>
      </c>
      <c r="J82">
        <v>2</v>
      </c>
    </row>
    <row r="83" spans="1:10" x14ac:dyDescent="0.25">
      <c r="A83" s="107"/>
      <c r="B83" s="107"/>
      <c r="C83" s="107"/>
      <c r="D83" s="107"/>
      <c r="E83" s="107"/>
      <c r="F83" s="107"/>
      <c r="G83" s="107"/>
      <c r="H83" s="70">
        <v>4.9333333333333336</v>
      </c>
      <c r="I83" s="71">
        <f>I81+I82</f>
        <v>49.333333333333336</v>
      </c>
      <c r="J83">
        <v>5</v>
      </c>
    </row>
    <row r="84" spans="1:10" x14ac:dyDescent="0.25">
      <c r="A84" s="73"/>
      <c r="B84" s="25">
        <v>17</v>
      </c>
      <c r="C84" s="26" t="s">
        <v>135</v>
      </c>
      <c r="D84" s="27" t="s">
        <v>25</v>
      </c>
      <c r="E84" s="28"/>
      <c r="F84" s="28"/>
      <c r="G84" s="29">
        <v>17</v>
      </c>
      <c r="H84" s="22">
        <v>10</v>
      </c>
      <c r="I84" s="30">
        <f>G84*H84</f>
        <v>170</v>
      </c>
      <c r="J84">
        <v>1</v>
      </c>
    </row>
    <row r="85" spans="1:10" x14ac:dyDescent="0.25">
      <c r="A85" s="105" t="s">
        <v>136</v>
      </c>
      <c r="B85" s="106"/>
      <c r="C85" s="106"/>
      <c r="D85" s="106"/>
      <c r="E85" s="106"/>
      <c r="F85" s="106"/>
      <c r="G85" s="106"/>
      <c r="H85" s="35">
        <v>4.8</v>
      </c>
      <c r="I85" s="36">
        <f>G84*H85</f>
        <v>81.599999999999994</v>
      </c>
      <c r="J85">
        <v>2</v>
      </c>
    </row>
    <row r="86" spans="1:10" x14ac:dyDescent="0.25">
      <c r="A86" s="107"/>
      <c r="B86" s="107"/>
      <c r="C86" s="107"/>
      <c r="D86" s="107"/>
      <c r="E86" s="107"/>
      <c r="F86" s="107"/>
      <c r="G86" s="107"/>
      <c r="H86" s="70">
        <v>14.799999999999999</v>
      </c>
      <c r="I86" s="71">
        <f>I84+I85</f>
        <v>251.6</v>
      </c>
      <c r="J86">
        <v>5</v>
      </c>
    </row>
    <row r="87" spans="1:10" x14ac:dyDescent="0.25">
      <c r="A87" s="73"/>
      <c r="B87" s="25">
        <v>18</v>
      </c>
      <c r="C87" s="26" t="s">
        <v>274</v>
      </c>
      <c r="D87" s="27" t="s">
        <v>25</v>
      </c>
      <c r="E87" s="28"/>
      <c r="F87" s="28"/>
      <c r="G87" s="29">
        <v>25</v>
      </c>
      <c r="H87" s="22">
        <v>10</v>
      </c>
      <c r="I87" s="30">
        <f>G87*H87</f>
        <v>250</v>
      </c>
      <c r="J87">
        <v>1</v>
      </c>
    </row>
    <row r="88" spans="1:10" x14ac:dyDescent="0.25">
      <c r="A88" s="105" t="s">
        <v>275</v>
      </c>
      <c r="B88" s="106"/>
      <c r="C88" s="106"/>
      <c r="D88" s="106"/>
      <c r="E88" s="106"/>
      <c r="F88" s="106"/>
      <c r="G88" s="106"/>
      <c r="H88" s="35">
        <v>4.8</v>
      </c>
      <c r="I88" s="36">
        <f>G87*H88</f>
        <v>120</v>
      </c>
      <c r="J88">
        <v>2</v>
      </c>
    </row>
    <row r="89" spans="1:10" x14ac:dyDescent="0.25">
      <c r="A89" s="107"/>
      <c r="B89" s="107"/>
      <c r="C89" s="107"/>
      <c r="D89" s="107"/>
      <c r="E89" s="107"/>
      <c r="F89" s="107"/>
      <c r="G89" s="107"/>
      <c r="H89" s="70">
        <v>14.799999999999999</v>
      </c>
      <c r="I89" s="71">
        <f>I87+I88</f>
        <v>370</v>
      </c>
      <c r="J89">
        <v>5</v>
      </c>
    </row>
    <row r="90" spans="1:10" x14ac:dyDescent="0.25">
      <c r="A90" s="73"/>
      <c r="B90" s="25">
        <v>19</v>
      </c>
      <c r="C90" s="26" t="s">
        <v>133</v>
      </c>
      <c r="D90" s="27" t="s">
        <v>25</v>
      </c>
      <c r="E90" s="28"/>
      <c r="F90" s="28"/>
      <c r="G90" s="29">
        <v>102</v>
      </c>
      <c r="H90" s="22">
        <v>6.666666666666667</v>
      </c>
      <c r="I90" s="30">
        <f>G90*H90</f>
        <v>680</v>
      </c>
      <c r="J90">
        <v>1</v>
      </c>
    </row>
    <row r="91" spans="1:10" x14ac:dyDescent="0.25">
      <c r="A91" s="105" t="s">
        <v>134</v>
      </c>
      <c r="B91" s="106"/>
      <c r="C91" s="106"/>
      <c r="D91" s="106"/>
      <c r="E91" s="106"/>
      <c r="F91" s="106"/>
      <c r="G91" s="106"/>
      <c r="H91" s="35">
        <v>3.2</v>
      </c>
      <c r="I91" s="36">
        <f>G90*H91</f>
        <v>326.40000000000003</v>
      </c>
      <c r="J91">
        <v>2</v>
      </c>
    </row>
    <row r="92" spans="1:10" x14ac:dyDescent="0.25">
      <c r="A92" s="107"/>
      <c r="B92" s="107"/>
      <c r="C92" s="107"/>
      <c r="D92" s="107"/>
      <c r="E92" s="107"/>
      <c r="F92" s="107"/>
      <c r="G92" s="107"/>
      <c r="H92" s="70">
        <v>9.8666666666666671</v>
      </c>
      <c r="I92" s="71">
        <f>I90+I91</f>
        <v>1006.4000000000001</v>
      </c>
      <c r="J92">
        <v>5</v>
      </c>
    </row>
    <row r="93" spans="1:10" x14ac:dyDescent="0.25">
      <c r="A93" s="73"/>
      <c r="B93" s="25">
        <v>20</v>
      </c>
      <c r="C93" s="26" t="s">
        <v>276</v>
      </c>
      <c r="D93" s="27" t="s">
        <v>25</v>
      </c>
      <c r="E93" s="28"/>
      <c r="F93" s="28"/>
      <c r="G93" s="29">
        <v>42</v>
      </c>
      <c r="H93" s="22">
        <v>5</v>
      </c>
      <c r="I93" s="30">
        <f>G93*H93</f>
        <v>210</v>
      </c>
      <c r="J93">
        <v>1</v>
      </c>
    </row>
    <row r="94" spans="1:10" x14ac:dyDescent="0.25">
      <c r="A94" s="105" t="s">
        <v>277</v>
      </c>
      <c r="B94" s="106"/>
      <c r="C94" s="106"/>
      <c r="D94" s="106"/>
      <c r="E94" s="106"/>
      <c r="F94" s="106"/>
      <c r="G94" s="106"/>
      <c r="H94" s="35">
        <v>2.4</v>
      </c>
      <c r="I94" s="36">
        <f>G93*H94</f>
        <v>100.8</v>
      </c>
      <c r="J94">
        <v>2</v>
      </c>
    </row>
    <row r="95" spans="1:10" x14ac:dyDescent="0.25">
      <c r="A95" s="107"/>
      <c r="B95" s="107"/>
      <c r="C95" s="107"/>
      <c r="D95" s="107"/>
      <c r="E95" s="107"/>
      <c r="F95" s="107"/>
      <c r="G95" s="107"/>
      <c r="H95" s="70">
        <v>7.3999999999999995</v>
      </c>
      <c r="I95" s="71">
        <f>I93+I94</f>
        <v>310.8</v>
      </c>
      <c r="J95">
        <v>5</v>
      </c>
    </row>
    <row r="96" spans="1:10" x14ac:dyDescent="0.25">
      <c r="A96" s="73"/>
      <c r="B96" s="25">
        <v>21</v>
      </c>
      <c r="C96" s="26" t="s">
        <v>122</v>
      </c>
      <c r="D96" s="27" t="s">
        <v>25</v>
      </c>
      <c r="E96" s="28"/>
      <c r="F96" s="28"/>
      <c r="G96" s="29">
        <v>34</v>
      </c>
      <c r="H96" s="22">
        <v>4.166666666666667</v>
      </c>
      <c r="I96" s="30">
        <f>G96*H96</f>
        <v>141.66666666666669</v>
      </c>
      <c r="J96">
        <v>1</v>
      </c>
    </row>
    <row r="97" spans="1:10" x14ac:dyDescent="0.25">
      <c r="A97" s="105" t="s">
        <v>123</v>
      </c>
      <c r="B97" s="106"/>
      <c r="C97" s="106"/>
      <c r="D97" s="106"/>
      <c r="E97" s="106"/>
      <c r="F97" s="106"/>
      <c r="G97" s="106"/>
      <c r="H97" s="35">
        <v>2.0000000000000004</v>
      </c>
      <c r="I97" s="36">
        <f>G96*H97</f>
        <v>68.000000000000014</v>
      </c>
      <c r="J97">
        <v>2</v>
      </c>
    </row>
    <row r="98" spans="1:10" x14ac:dyDescent="0.25">
      <c r="A98" s="107"/>
      <c r="B98" s="107"/>
      <c r="C98" s="107"/>
      <c r="D98" s="107"/>
      <c r="E98" s="107"/>
      <c r="F98" s="107"/>
      <c r="G98" s="107"/>
      <c r="H98" s="70">
        <v>6.166666666666667</v>
      </c>
      <c r="I98" s="71">
        <f>I96+I97</f>
        <v>209.66666666666669</v>
      </c>
      <c r="J98">
        <v>5</v>
      </c>
    </row>
    <row r="99" spans="1:10" x14ac:dyDescent="0.25">
      <c r="A99" s="73"/>
      <c r="B99" s="25">
        <v>22</v>
      </c>
      <c r="C99" s="26" t="s">
        <v>278</v>
      </c>
      <c r="D99" s="27" t="s">
        <v>24</v>
      </c>
      <c r="E99" s="28"/>
      <c r="F99" s="28"/>
      <c r="G99" s="29">
        <v>1</v>
      </c>
      <c r="H99" s="22">
        <v>28.333333333333336</v>
      </c>
      <c r="I99" s="30">
        <f>G99*H99</f>
        <v>28.333333333333336</v>
      </c>
      <c r="J99">
        <v>1</v>
      </c>
    </row>
    <row r="100" spans="1:10" x14ac:dyDescent="0.25">
      <c r="A100" s="105" t="s">
        <v>612</v>
      </c>
      <c r="B100" s="106"/>
      <c r="C100" s="106"/>
      <c r="D100" s="106"/>
      <c r="E100" s="106"/>
      <c r="F100" s="106"/>
      <c r="G100" s="106"/>
      <c r="H100" s="35">
        <v>13.600000000000001</v>
      </c>
      <c r="I100" s="36">
        <f>G99*H100</f>
        <v>13.600000000000001</v>
      </c>
      <c r="J100">
        <v>2</v>
      </c>
    </row>
    <row r="101" spans="1:10" ht="14.45" customHeight="1" x14ac:dyDescent="0.25">
      <c r="A101" s="107"/>
      <c r="B101" s="107"/>
      <c r="C101" s="107"/>
      <c r="D101" s="107"/>
      <c r="E101" s="107"/>
      <c r="F101" s="107"/>
      <c r="G101" s="107"/>
      <c r="H101" s="70">
        <v>41.933333333333337</v>
      </c>
      <c r="I101" s="71">
        <f>I99+I100</f>
        <v>41.933333333333337</v>
      </c>
      <c r="J101">
        <v>5</v>
      </c>
    </row>
    <row r="102" spans="1:10" x14ac:dyDescent="0.25">
      <c r="A102" s="73"/>
      <c r="B102" s="25">
        <v>23</v>
      </c>
      <c r="C102" s="26" t="s">
        <v>278</v>
      </c>
      <c r="D102" s="27" t="s">
        <v>24</v>
      </c>
      <c r="E102" s="28"/>
      <c r="F102" s="28"/>
      <c r="G102" s="29">
        <v>51</v>
      </c>
      <c r="H102" s="22">
        <v>16.666666666666668</v>
      </c>
      <c r="I102" s="30">
        <f>G102*H102</f>
        <v>850.00000000000011</v>
      </c>
      <c r="J102">
        <v>1</v>
      </c>
    </row>
    <row r="103" spans="1:10" x14ac:dyDescent="0.25">
      <c r="A103" s="105" t="s">
        <v>613</v>
      </c>
      <c r="B103" s="106"/>
      <c r="C103" s="106"/>
      <c r="D103" s="106"/>
      <c r="E103" s="106"/>
      <c r="F103" s="106"/>
      <c r="G103" s="106"/>
      <c r="H103" s="35">
        <v>8.0000000000000018</v>
      </c>
      <c r="I103" s="36">
        <f>G102*H103</f>
        <v>408.00000000000011</v>
      </c>
      <c r="J103">
        <v>2</v>
      </c>
    </row>
    <row r="104" spans="1:10" ht="14.45" customHeight="1" x14ac:dyDescent="0.25">
      <c r="A104" s="107"/>
      <c r="B104" s="107"/>
      <c r="C104" s="107"/>
      <c r="D104" s="107"/>
      <c r="E104" s="107"/>
      <c r="F104" s="107"/>
      <c r="G104" s="107"/>
      <c r="H104" s="70">
        <v>24.666666666666668</v>
      </c>
      <c r="I104" s="71">
        <f>I102+I103</f>
        <v>1258.0000000000002</v>
      </c>
      <c r="J104">
        <v>5</v>
      </c>
    </row>
    <row r="105" spans="1:10" x14ac:dyDescent="0.25">
      <c r="A105" s="73"/>
      <c r="B105" s="25">
        <v>24</v>
      </c>
      <c r="C105" s="26" t="s">
        <v>279</v>
      </c>
      <c r="D105" s="27" t="s">
        <v>23</v>
      </c>
      <c r="E105" s="28"/>
      <c r="F105" s="28"/>
      <c r="G105" s="29">
        <v>59</v>
      </c>
      <c r="H105" s="22">
        <v>15</v>
      </c>
      <c r="I105" s="30">
        <f>G105*H105</f>
        <v>885</v>
      </c>
      <c r="J105">
        <v>1</v>
      </c>
    </row>
    <row r="106" spans="1:10" x14ac:dyDescent="0.25">
      <c r="A106" s="105" t="s">
        <v>280</v>
      </c>
      <c r="B106" s="106"/>
      <c r="C106" s="106"/>
      <c r="D106" s="106"/>
      <c r="E106" s="106"/>
      <c r="F106" s="106"/>
      <c r="G106" s="106"/>
      <c r="H106" s="35">
        <v>7.1999999999999993</v>
      </c>
      <c r="I106" s="36">
        <f>G105*H106</f>
        <v>424.79999999999995</v>
      </c>
      <c r="J106">
        <v>2</v>
      </c>
    </row>
    <row r="107" spans="1:10" x14ac:dyDescent="0.25">
      <c r="A107" s="107"/>
      <c r="B107" s="107"/>
      <c r="C107" s="107"/>
      <c r="D107" s="107"/>
      <c r="E107" s="107"/>
      <c r="F107" s="107"/>
      <c r="G107" s="107"/>
      <c r="H107" s="70">
        <v>22.200000000000003</v>
      </c>
      <c r="I107" s="71">
        <f>I105+I106</f>
        <v>1309.8</v>
      </c>
      <c r="J107">
        <v>5</v>
      </c>
    </row>
    <row r="108" spans="1:10" x14ac:dyDescent="0.25">
      <c r="A108" s="73"/>
      <c r="B108" s="25">
        <v>25</v>
      </c>
      <c r="C108" s="26" t="s">
        <v>281</v>
      </c>
      <c r="D108" s="27" t="s">
        <v>23</v>
      </c>
      <c r="E108" s="28"/>
      <c r="F108" s="28"/>
      <c r="G108" s="29">
        <v>892</v>
      </c>
      <c r="H108" s="22">
        <v>20</v>
      </c>
      <c r="I108" s="30">
        <f>G108*H108</f>
        <v>17840</v>
      </c>
      <c r="J108">
        <v>1</v>
      </c>
    </row>
    <row r="109" spans="1:10" x14ac:dyDescent="0.25">
      <c r="A109" s="105" t="s">
        <v>282</v>
      </c>
      <c r="B109" s="106"/>
      <c r="C109" s="106"/>
      <c r="D109" s="106"/>
      <c r="E109" s="106"/>
      <c r="F109" s="106"/>
      <c r="G109" s="106"/>
      <c r="H109" s="35">
        <v>9.6</v>
      </c>
      <c r="I109" s="36">
        <f>G108*H109</f>
        <v>8563.1999999999989</v>
      </c>
      <c r="J109">
        <v>2</v>
      </c>
    </row>
    <row r="110" spans="1:10" x14ac:dyDescent="0.25">
      <c r="A110" s="107"/>
      <c r="B110" s="107"/>
      <c r="C110" s="107"/>
      <c r="D110" s="107"/>
      <c r="E110" s="107"/>
      <c r="F110" s="107"/>
      <c r="G110" s="107"/>
      <c r="H110" s="70">
        <v>29.599999999999998</v>
      </c>
      <c r="I110" s="71">
        <f>I108+I109</f>
        <v>26403.199999999997</v>
      </c>
      <c r="J110">
        <v>5</v>
      </c>
    </row>
    <row r="111" spans="1:10" x14ac:dyDescent="0.25">
      <c r="A111" s="73"/>
      <c r="B111" s="25">
        <v>26</v>
      </c>
      <c r="C111" s="26" t="s">
        <v>283</v>
      </c>
      <c r="D111" s="27" t="s">
        <v>24</v>
      </c>
      <c r="E111" s="28"/>
      <c r="F111" s="28"/>
      <c r="G111" s="29">
        <v>200</v>
      </c>
      <c r="H111" s="22">
        <v>26.666666666666668</v>
      </c>
      <c r="I111" s="30">
        <f>G111*H111</f>
        <v>5333.3333333333339</v>
      </c>
      <c r="J111">
        <v>1</v>
      </c>
    </row>
    <row r="112" spans="1:10" x14ac:dyDescent="0.25">
      <c r="A112" s="105" t="s">
        <v>284</v>
      </c>
      <c r="B112" s="106"/>
      <c r="C112" s="106"/>
      <c r="D112" s="106"/>
      <c r="E112" s="106"/>
      <c r="F112" s="106"/>
      <c r="G112" s="106"/>
      <c r="H112" s="35">
        <v>12.8</v>
      </c>
      <c r="I112" s="36">
        <f>G111*H112</f>
        <v>2560</v>
      </c>
      <c r="J112">
        <v>2</v>
      </c>
    </row>
    <row r="113" spans="1:19" x14ac:dyDescent="0.25">
      <c r="A113" s="107"/>
      <c r="B113" s="107"/>
      <c r="C113" s="107"/>
      <c r="D113" s="107"/>
      <c r="E113" s="107"/>
      <c r="F113" s="107"/>
      <c r="G113" s="107"/>
      <c r="H113" s="70">
        <v>39.466666666666669</v>
      </c>
      <c r="I113" s="71">
        <f>I111+I112</f>
        <v>7893.3333333333339</v>
      </c>
      <c r="J113">
        <v>5</v>
      </c>
    </row>
    <row r="114" spans="1:19" x14ac:dyDescent="0.25">
      <c r="B114" s="31">
        <v>27</v>
      </c>
      <c r="C114" s="32" t="s">
        <v>285</v>
      </c>
      <c r="D114" s="33" t="s">
        <v>25</v>
      </c>
      <c r="G114" s="34">
        <v>88</v>
      </c>
      <c r="H114" s="83"/>
      <c r="I114" s="36">
        <f>G114*H114</f>
        <v>0</v>
      </c>
      <c r="J114">
        <v>1</v>
      </c>
    </row>
    <row r="115" spans="1:19" x14ac:dyDescent="0.25">
      <c r="A115" s="105" t="s">
        <v>286</v>
      </c>
      <c r="B115" s="106"/>
      <c r="C115" s="106"/>
      <c r="D115" s="106"/>
      <c r="E115" s="106"/>
      <c r="F115" s="106"/>
      <c r="G115" s="106"/>
      <c r="H115" s="35">
        <v>600</v>
      </c>
      <c r="I115" s="36">
        <f>G114*H115</f>
        <v>52800</v>
      </c>
      <c r="J115">
        <v>2</v>
      </c>
    </row>
    <row r="116" spans="1:19" ht="14.45" customHeight="1" x14ac:dyDescent="0.25">
      <c r="A116" s="107"/>
      <c r="B116" s="107"/>
      <c r="C116" s="107"/>
      <c r="D116" s="107"/>
      <c r="E116" s="107"/>
      <c r="F116" s="107"/>
      <c r="G116" s="107"/>
      <c r="H116" s="70">
        <f>H115+H114</f>
        <v>600</v>
      </c>
      <c r="I116" s="71">
        <f>I114+I115</f>
        <v>52800</v>
      </c>
      <c r="J116">
        <v>5</v>
      </c>
    </row>
    <row r="117" spans="1:19" x14ac:dyDescent="0.25">
      <c r="B117" s="31">
        <v>28</v>
      </c>
      <c r="C117" s="32" t="s">
        <v>287</v>
      </c>
      <c r="D117" s="33" t="s">
        <v>25</v>
      </c>
      <c r="G117" s="34">
        <v>44</v>
      </c>
      <c r="H117" s="35">
        <v>270</v>
      </c>
      <c r="I117" s="36">
        <f>G117*H117</f>
        <v>11880</v>
      </c>
      <c r="J117">
        <v>1</v>
      </c>
    </row>
    <row r="118" spans="1:19" x14ac:dyDescent="0.25">
      <c r="A118" s="105" t="s">
        <v>288</v>
      </c>
      <c r="B118" s="106"/>
      <c r="C118" s="106"/>
      <c r="D118" s="106"/>
      <c r="E118" s="106"/>
      <c r="F118" s="106"/>
      <c r="G118" s="106"/>
      <c r="H118" s="35">
        <v>96</v>
      </c>
      <c r="I118" s="36">
        <f>G117*H118</f>
        <v>4224</v>
      </c>
      <c r="J118">
        <v>2</v>
      </c>
    </row>
    <row r="119" spans="1:19" x14ac:dyDescent="0.25">
      <c r="A119" s="107"/>
      <c r="B119" s="107"/>
      <c r="C119" s="107"/>
      <c r="D119" s="107"/>
      <c r="E119" s="107"/>
      <c r="F119" s="107"/>
      <c r="G119" s="107"/>
      <c r="H119" s="70">
        <v>296</v>
      </c>
      <c r="I119" s="71">
        <f>I117+I118</f>
        <v>16104</v>
      </c>
      <c r="J119">
        <v>5</v>
      </c>
    </row>
    <row r="120" spans="1:19" x14ac:dyDescent="0.25">
      <c r="B120" s="37" t="s">
        <v>26</v>
      </c>
      <c r="C120" s="32"/>
      <c r="D120" s="33"/>
      <c r="E120" s="36">
        <f>SUMIF(J12:J119,"1",I12:I119)</f>
        <v>115889.16666666667</v>
      </c>
      <c r="F120" s="36">
        <f>SUMIF(J12:J119,"2",I12:I119)</f>
        <v>106948.40000000002</v>
      </c>
      <c r="G120" s="36"/>
      <c r="H120" s="36"/>
      <c r="I120" s="36">
        <f>SUMIF(J12:J119,"5",I12:I119)</f>
        <v>222837.56666666668</v>
      </c>
      <c r="K120" s="4">
        <f>SUMIF(J12:J119,"3",K12:K119)</f>
        <v>0</v>
      </c>
      <c r="L120" s="4">
        <f>SUMIF(J12:J119,"3",L12:L119)</f>
        <v>0</v>
      </c>
      <c r="M120" s="4">
        <f>SUMIF(J12:J119,"3",M12:M119)</f>
        <v>0</v>
      </c>
      <c r="N120" s="4">
        <f>SUMIF(J12:J119,"4",N12:N119)</f>
        <v>0</v>
      </c>
      <c r="O120" s="4">
        <f>SUMIF(J12:J119,"4",O12:O119)</f>
        <v>0</v>
      </c>
      <c r="P120" s="4">
        <f>SUMIF(J12:J119,"4",P12:P119)</f>
        <v>0</v>
      </c>
      <c r="Q120" s="4">
        <f>SUMIF(J12:J119,"4",Q12:Q119)</f>
        <v>0</v>
      </c>
      <c r="R120" s="4">
        <f>SUMIF(J12:J119,"4",R12:R119)</f>
        <v>0</v>
      </c>
      <c r="S120" s="4">
        <f>SUMIF(J12:J119,"4",S12:S119)</f>
        <v>0</v>
      </c>
    </row>
  </sheetData>
  <mergeCells count="41">
    <mergeCell ref="A118:G119"/>
    <mergeCell ref="A115:G116"/>
    <mergeCell ref="A112:G113"/>
    <mergeCell ref="A109:G110"/>
    <mergeCell ref="A106:G107"/>
    <mergeCell ref="A103:G104"/>
    <mergeCell ref="A100:G101"/>
    <mergeCell ref="A97:G98"/>
    <mergeCell ref="A94:G95"/>
    <mergeCell ref="A91:G92"/>
    <mergeCell ref="A88:G89"/>
    <mergeCell ref="A85:G86"/>
    <mergeCell ref="A82:G83"/>
    <mergeCell ref="A79:G80"/>
    <mergeCell ref="A76:G77"/>
    <mergeCell ref="A73:G74"/>
    <mergeCell ref="A70:G71"/>
    <mergeCell ref="A67:G68"/>
    <mergeCell ref="A61:G62"/>
    <mergeCell ref="A64:G65"/>
    <mergeCell ref="A58:G59"/>
    <mergeCell ref="A55:G56"/>
    <mergeCell ref="A52:G53"/>
    <mergeCell ref="A49:G50"/>
    <mergeCell ref="A43:G44"/>
    <mergeCell ref="A46:G47"/>
    <mergeCell ref="A40:G41"/>
    <mergeCell ref="A37:G38"/>
    <mergeCell ref="A34:G35"/>
    <mergeCell ref="A31:G32"/>
    <mergeCell ref="A28:G29"/>
    <mergeCell ref="A25:G26"/>
    <mergeCell ref="A22:G23"/>
    <mergeCell ref="A19:G20"/>
    <mergeCell ref="A16:G17"/>
    <mergeCell ref="A1:D1"/>
    <mergeCell ref="A2:I2"/>
    <mergeCell ref="A3:I3"/>
    <mergeCell ref="A4:I4"/>
    <mergeCell ref="A5:H5"/>
    <mergeCell ref="A13:G14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19" manualBreakCount="19">
    <brk id="14" max="16383" man="1"/>
    <brk id="20" max="16383" man="1"/>
    <brk id="26" max="16383" man="1"/>
    <brk id="32" max="16383" man="1"/>
    <brk id="38" max="16383" man="1"/>
    <brk id="50" max="16383" man="1"/>
    <brk id="65" max="16383" man="1"/>
    <brk id="68" max="16383" man="1"/>
    <brk id="71" max="16383" man="1"/>
    <brk id="74" max="16383" man="1"/>
    <brk id="77" max="16383" man="1"/>
    <brk id="83" max="16383" man="1"/>
    <brk id="89" max="16383" man="1"/>
    <brk id="95" max="16383" man="1"/>
    <brk id="98" max="16383" man="1"/>
    <brk id="101" max="16383" man="1"/>
    <brk id="104" max="16383" man="1"/>
    <brk id="107" max="16383" man="1"/>
    <brk id="11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53FE-C2B9-489F-A0FB-ED8CA30D877F}">
  <dimension ref="A1:T105"/>
  <sheetViews>
    <sheetView topLeftCell="A89" workbookViewId="0">
      <selection activeCell="H94" sqref="H94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10" ht="24.75" customHeight="1" x14ac:dyDescent="0.25">
      <c r="A1" s="101" t="s">
        <v>0</v>
      </c>
      <c r="B1" s="106"/>
      <c r="C1" s="106"/>
      <c r="D1" s="106"/>
      <c r="J1">
        <v>1</v>
      </c>
    </row>
    <row r="2" spans="1:10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0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0" x14ac:dyDescent="0.25">
      <c r="A4" s="103" t="s">
        <v>244</v>
      </c>
      <c r="B4" s="106"/>
      <c r="C4" s="106"/>
      <c r="D4" s="106"/>
      <c r="E4" s="106"/>
      <c r="F4" s="106"/>
      <c r="G4" s="106"/>
      <c r="H4" s="106"/>
      <c r="I4" s="106"/>
    </row>
    <row r="5" spans="1:10" ht="15.75" thickBot="1" x14ac:dyDescent="0.3">
      <c r="A5" s="103" t="s">
        <v>289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10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10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10" x14ac:dyDescent="0.25">
      <c r="C8" s="3" t="s">
        <v>13</v>
      </c>
      <c r="D8" s="8"/>
      <c r="E8" s="9"/>
      <c r="F8" s="9"/>
      <c r="H8" s="10" t="s">
        <v>14</v>
      </c>
    </row>
    <row r="9" spans="1:10" x14ac:dyDescent="0.25">
      <c r="C9" s="3" t="s">
        <v>15</v>
      </c>
      <c r="D9" s="8"/>
      <c r="E9" s="9"/>
      <c r="F9" s="9"/>
      <c r="H9" s="10" t="s">
        <v>16</v>
      </c>
    </row>
    <row r="10" spans="1:10" x14ac:dyDescent="0.25">
      <c r="C10" s="3" t="s">
        <v>17</v>
      </c>
      <c r="D10" s="8"/>
      <c r="E10" s="9"/>
      <c r="F10" s="9"/>
      <c r="H10" s="10" t="s">
        <v>18</v>
      </c>
    </row>
    <row r="11" spans="1:10" ht="15.75" thickBot="1" x14ac:dyDescent="0.3">
      <c r="C11" s="3" t="s">
        <v>19</v>
      </c>
      <c r="D11" s="8"/>
      <c r="E11" s="9"/>
      <c r="F11" s="9"/>
      <c r="H11" s="10" t="s">
        <v>20</v>
      </c>
    </row>
    <row r="12" spans="1:10" x14ac:dyDescent="0.25">
      <c r="A12" s="11"/>
      <c r="B12" s="12">
        <v>1</v>
      </c>
      <c r="C12" s="13" t="s">
        <v>69</v>
      </c>
      <c r="D12" s="19" t="s">
        <v>24</v>
      </c>
      <c r="E12" s="20"/>
      <c r="F12" s="20"/>
      <c r="G12" s="16">
        <v>29</v>
      </c>
      <c r="H12" s="21">
        <v>63</v>
      </c>
      <c r="I12" s="18">
        <f>G12*H12</f>
        <v>1827</v>
      </c>
      <c r="J12">
        <v>1</v>
      </c>
    </row>
    <row r="13" spans="1:10" x14ac:dyDescent="0.25">
      <c r="A13" s="108" t="s">
        <v>614</v>
      </c>
      <c r="B13" s="106"/>
      <c r="C13" s="106"/>
      <c r="D13" s="106"/>
      <c r="E13" s="106"/>
      <c r="F13" s="106"/>
      <c r="G13" s="106"/>
      <c r="H13" s="7">
        <v>42</v>
      </c>
      <c r="I13" s="4">
        <f>G12*H13</f>
        <v>1218</v>
      </c>
      <c r="J13">
        <v>2</v>
      </c>
    </row>
    <row r="14" spans="1:10" ht="14.45" customHeight="1" x14ac:dyDescent="0.25">
      <c r="A14" s="106"/>
      <c r="B14" s="106"/>
      <c r="C14" s="106"/>
      <c r="D14" s="106"/>
      <c r="E14" s="106"/>
      <c r="F14" s="106"/>
      <c r="G14" s="106"/>
      <c r="H14" s="23">
        <f>H12+H13</f>
        <v>105</v>
      </c>
      <c r="I14" s="24">
        <f>I12+I13</f>
        <v>3045</v>
      </c>
      <c r="J14">
        <v>5</v>
      </c>
    </row>
    <row r="15" spans="1:10" x14ac:dyDescent="0.25">
      <c r="B15" s="31">
        <v>2</v>
      </c>
      <c r="C15" s="32" t="s">
        <v>290</v>
      </c>
      <c r="D15" s="33" t="s">
        <v>24</v>
      </c>
      <c r="G15" s="34">
        <v>29</v>
      </c>
      <c r="H15" s="35">
        <v>67</v>
      </c>
      <c r="I15" s="36">
        <f>G15*H15</f>
        <v>1943</v>
      </c>
      <c r="J15">
        <v>1</v>
      </c>
    </row>
    <row r="16" spans="1:10" x14ac:dyDescent="0.25">
      <c r="A16" s="105" t="s">
        <v>615</v>
      </c>
      <c r="B16" s="106"/>
      <c r="C16" s="106"/>
      <c r="D16" s="106"/>
      <c r="E16" s="106"/>
      <c r="F16" s="106"/>
      <c r="G16" s="106"/>
      <c r="H16" s="35">
        <v>55</v>
      </c>
      <c r="I16" s="36">
        <f>G15*H16</f>
        <v>1595</v>
      </c>
      <c r="J16">
        <v>2</v>
      </c>
    </row>
    <row r="17" spans="1:10" ht="14.45" customHeight="1" x14ac:dyDescent="0.25">
      <c r="A17" s="107"/>
      <c r="B17" s="107"/>
      <c r="C17" s="107"/>
      <c r="D17" s="107"/>
      <c r="E17" s="107"/>
      <c r="F17" s="107"/>
      <c r="G17" s="107"/>
      <c r="H17" s="70">
        <f>H15+H16</f>
        <v>122</v>
      </c>
      <c r="I17" s="71">
        <f>I15+I16</f>
        <v>3538</v>
      </c>
      <c r="J17">
        <v>5</v>
      </c>
    </row>
    <row r="18" spans="1:10" x14ac:dyDescent="0.25">
      <c r="A18" s="73"/>
      <c r="B18" s="25">
        <v>3</v>
      </c>
      <c r="C18" s="26" t="s">
        <v>291</v>
      </c>
      <c r="D18" s="27" t="s">
        <v>24</v>
      </c>
      <c r="E18" s="28"/>
      <c r="F18" s="28"/>
      <c r="G18" s="29">
        <v>18</v>
      </c>
      <c r="H18" s="22">
        <v>70</v>
      </c>
      <c r="I18" s="30">
        <f>G18*H18</f>
        <v>1260</v>
      </c>
      <c r="J18">
        <v>1</v>
      </c>
    </row>
    <row r="19" spans="1:10" x14ac:dyDescent="0.25">
      <c r="A19" s="105" t="s">
        <v>616</v>
      </c>
      <c r="B19" s="106"/>
      <c r="C19" s="106"/>
      <c r="D19" s="106"/>
      <c r="E19" s="106"/>
      <c r="F19" s="106"/>
      <c r="G19" s="106"/>
      <c r="H19" s="35">
        <v>46</v>
      </c>
      <c r="I19" s="36">
        <f>G18*H19</f>
        <v>828</v>
      </c>
      <c r="J19">
        <v>2</v>
      </c>
    </row>
    <row r="20" spans="1:10" ht="14.45" customHeight="1" x14ac:dyDescent="0.25">
      <c r="A20" s="107"/>
      <c r="B20" s="107"/>
      <c r="C20" s="107"/>
      <c r="D20" s="107"/>
      <c r="E20" s="107"/>
      <c r="F20" s="107"/>
      <c r="G20" s="107"/>
      <c r="H20" s="70">
        <f>H18+H19</f>
        <v>116</v>
      </c>
      <c r="I20" s="71">
        <f>I18+I19</f>
        <v>2088</v>
      </c>
      <c r="J20">
        <v>5</v>
      </c>
    </row>
    <row r="21" spans="1:10" x14ac:dyDescent="0.25">
      <c r="A21" s="73"/>
      <c r="B21" s="25">
        <v>4</v>
      </c>
      <c r="C21" s="26" t="s">
        <v>291</v>
      </c>
      <c r="D21" s="27" t="s">
        <v>24</v>
      </c>
      <c r="E21" s="28"/>
      <c r="F21" s="28"/>
      <c r="G21" s="29">
        <v>12</v>
      </c>
      <c r="H21" s="22">
        <v>76</v>
      </c>
      <c r="I21" s="30">
        <f>G21*H21</f>
        <v>912</v>
      </c>
      <c r="J21">
        <v>1</v>
      </c>
    </row>
    <row r="22" spans="1:10" x14ac:dyDescent="0.25">
      <c r="A22" s="105" t="s">
        <v>617</v>
      </c>
      <c r="B22" s="106"/>
      <c r="C22" s="106"/>
      <c r="D22" s="106"/>
      <c r="E22" s="106"/>
      <c r="F22" s="106"/>
      <c r="G22" s="106"/>
      <c r="H22" s="35">
        <v>63</v>
      </c>
      <c r="I22" s="36">
        <f>G21*H22</f>
        <v>756</v>
      </c>
      <c r="J22">
        <v>2</v>
      </c>
    </row>
    <row r="23" spans="1:10" ht="14.45" customHeight="1" x14ac:dyDescent="0.25">
      <c r="A23" s="107"/>
      <c r="B23" s="107"/>
      <c r="C23" s="107"/>
      <c r="D23" s="107"/>
      <c r="E23" s="107"/>
      <c r="F23" s="107"/>
      <c r="G23" s="107"/>
      <c r="H23" s="70">
        <f>H21+H22</f>
        <v>139</v>
      </c>
      <c r="I23" s="71">
        <f>I21+I22</f>
        <v>1668</v>
      </c>
      <c r="J23">
        <v>5</v>
      </c>
    </row>
    <row r="24" spans="1:10" x14ac:dyDescent="0.25">
      <c r="A24" s="73"/>
      <c r="B24" s="25">
        <v>5</v>
      </c>
      <c r="C24" s="26" t="s">
        <v>292</v>
      </c>
      <c r="D24" s="27" t="s">
        <v>25</v>
      </c>
      <c r="E24" s="28"/>
      <c r="F24" s="28"/>
      <c r="G24" s="29">
        <v>28</v>
      </c>
      <c r="H24" s="22">
        <v>23</v>
      </c>
      <c r="I24" s="30">
        <f>G24*H24</f>
        <v>644</v>
      </c>
      <c r="J24">
        <v>1</v>
      </c>
    </row>
    <row r="25" spans="1:10" x14ac:dyDescent="0.25">
      <c r="A25" s="105" t="s">
        <v>618</v>
      </c>
      <c r="B25" s="106"/>
      <c r="C25" s="106"/>
      <c r="D25" s="106"/>
      <c r="E25" s="106"/>
      <c r="F25" s="106"/>
      <c r="G25" s="106"/>
      <c r="H25" s="35">
        <v>15</v>
      </c>
      <c r="I25" s="36">
        <f>G24*H25</f>
        <v>420</v>
      </c>
      <c r="J25">
        <v>2</v>
      </c>
    </row>
    <row r="26" spans="1:10" x14ac:dyDescent="0.25">
      <c r="A26" s="107"/>
      <c r="B26" s="107"/>
      <c r="C26" s="107"/>
      <c r="D26" s="107"/>
      <c r="E26" s="107"/>
      <c r="F26" s="107"/>
      <c r="G26" s="107"/>
      <c r="H26" s="70">
        <f>H24+H25</f>
        <v>38</v>
      </c>
      <c r="I26" s="71">
        <f>I24+I25</f>
        <v>1064</v>
      </c>
      <c r="J26">
        <v>5</v>
      </c>
    </row>
    <row r="27" spans="1:10" x14ac:dyDescent="0.25">
      <c r="A27" s="73"/>
      <c r="B27" s="25">
        <v>6</v>
      </c>
      <c r="C27" s="26" t="s">
        <v>292</v>
      </c>
      <c r="D27" s="27" t="s">
        <v>25</v>
      </c>
      <c r="E27" s="28"/>
      <c r="F27" s="28"/>
      <c r="G27" s="29">
        <v>26</v>
      </c>
      <c r="H27" s="22">
        <v>28</v>
      </c>
      <c r="I27" s="30">
        <f>G27*H27</f>
        <v>728</v>
      </c>
      <c r="J27">
        <v>1</v>
      </c>
    </row>
    <row r="28" spans="1:10" x14ac:dyDescent="0.25">
      <c r="A28" s="105" t="s">
        <v>619</v>
      </c>
      <c r="B28" s="106"/>
      <c r="C28" s="106"/>
      <c r="D28" s="106"/>
      <c r="E28" s="106"/>
      <c r="F28" s="106"/>
      <c r="G28" s="106"/>
      <c r="H28" s="35">
        <v>23</v>
      </c>
      <c r="I28" s="36">
        <f>G27*H28</f>
        <v>598</v>
      </c>
      <c r="J28">
        <v>2</v>
      </c>
    </row>
    <row r="29" spans="1:10" ht="14.45" customHeight="1" x14ac:dyDescent="0.25">
      <c r="A29" s="107"/>
      <c r="B29" s="107"/>
      <c r="C29" s="107"/>
      <c r="D29" s="107"/>
      <c r="E29" s="107"/>
      <c r="F29" s="107"/>
      <c r="G29" s="107"/>
      <c r="H29" s="70">
        <f>H27+H28</f>
        <v>51</v>
      </c>
      <c r="I29" s="71">
        <f>I27+I28</f>
        <v>1326</v>
      </c>
      <c r="J29">
        <v>5</v>
      </c>
    </row>
    <row r="30" spans="1:10" x14ac:dyDescent="0.25">
      <c r="A30" s="73"/>
      <c r="B30" s="25">
        <v>7</v>
      </c>
      <c r="C30" s="26" t="s">
        <v>292</v>
      </c>
      <c r="D30" s="27" t="s">
        <v>25</v>
      </c>
      <c r="E30" s="28"/>
      <c r="F30" s="28"/>
      <c r="G30" s="29">
        <v>10</v>
      </c>
      <c r="H30" s="22">
        <v>32</v>
      </c>
      <c r="I30" s="30">
        <f>G30*H30</f>
        <v>320</v>
      </c>
      <c r="J30">
        <v>1</v>
      </c>
    </row>
    <row r="31" spans="1:10" x14ac:dyDescent="0.25">
      <c r="A31" s="105" t="s">
        <v>620</v>
      </c>
      <c r="B31" s="106"/>
      <c r="C31" s="106"/>
      <c r="D31" s="106"/>
      <c r="E31" s="106"/>
      <c r="F31" s="106"/>
      <c r="G31" s="106"/>
      <c r="H31" s="35">
        <v>21</v>
      </c>
      <c r="I31" s="36">
        <f>G30*H31</f>
        <v>210</v>
      </c>
      <c r="J31">
        <v>2</v>
      </c>
    </row>
    <row r="32" spans="1:10" ht="14.45" customHeight="1" x14ac:dyDescent="0.25">
      <c r="A32" s="107"/>
      <c r="B32" s="107"/>
      <c r="C32" s="107"/>
      <c r="D32" s="107"/>
      <c r="E32" s="107"/>
      <c r="F32" s="107"/>
      <c r="G32" s="107"/>
      <c r="H32" s="70">
        <f>H30+H31</f>
        <v>53</v>
      </c>
      <c r="I32" s="71">
        <f>I30+I31</f>
        <v>530</v>
      </c>
      <c r="J32">
        <v>5</v>
      </c>
    </row>
    <row r="33" spans="1:10" x14ac:dyDescent="0.25">
      <c r="A33" s="73"/>
      <c r="B33" s="25">
        <v>8</v>
      </c>
      <c r="C33" s="26" t="s">
        <v>292</v>
      </c>
      <c r="D33" s="27" t="s">
        <v>25</v>
      </c>
      <c r="E33" s="28"/>
      <c r="F33" s="28"/>
      <c r="G33" s="29">
        <v>4</v>
      </c>
      <c r="H33" s="22">
        <v>34</v>
      </c>
      <c r="I33" s="30">
        <f>G33*H33</f>
        <v>136</v>
      </c>
      <c r="J33">
        <v>1</v>
      </c>
    </row>
    <row r="34" spans="1:10" x14ac:dyDescent="0.25">
      <c r="A34" s="105" t="s">
        <v>621</v>
      </c>
      <c r="B34" s="106"/>
      <c r="C34" s="106"/>
      <c r="D34" s="106"/>
      <c r="E34" s="106"/>
      <c r="F34" s="106"/>
      <c r="G34" s="106"/>
      <c r="H34" s="35">
        <v>28</v>
      </c>
      <c r="I34" s="36">
        <f>G33*H34</f>
        <v>112</v>
      </c>
      <c r="J34">
        <v>2</v>
      </c>
    </row>
    <row r="35" spans="1:10" ht="14.45" customHeight="1" x14ac:dyDescent="0.25">
      <c r="A35" s="107"/>
      <c r="B35" s="107"/>
      <c r="C35" s="107"/>
      <c r="D35" s="107"/>
      <c r="E35" s="107"/>
      <c r="F35" s="107"/>
      <c r="G35" s="107"/>
      <c r="H35" s="70">
        <f>H33+H34</f>
        <v>62</v>
      </c>
      <c r="I35" s="71">
        <f>I33+I34</f>
        <v>248</v>
      </c>
      <c r="J35">
        <v>5</v>
      </c>
    </row>
    <row r="36" spans="1:10" x14ac:dyDescent="0.25">
      <c r="A36" s="73"/>
      <c r="B36" s="25">
        <v>9</v>
      </c>
      <c r="C36" s="26" t="s">
        <v>72</v>
      </c>
      <c r="D36" s="27" t="s">
        <v>25</v>
      </c>
      <c r="E36" s="28"/>
      <c r="F36" s="28"/>
      <c r="G36" s="29">
        <v>32</v>
      </c>
      <c r="H36" s="22">
        <v>46</v>
      </c>
      <c r="I36" s="30">
        <f>G36*H36</f>
        <v>1472</v>
      </c>
      <c r="J36">
        <v>1</v>
      </c>
    </row>
    <row r="37" spans="1:10" x14ac:dyDescent="0.25">
      <c r="A37" s="105" t="s">
        <v>622</v>
      </c>
      <c r="B37" s="106"/>
      <c r="C37" s="106"/>
      <c r="D37" s="106"/>
      <c r="E37" s="106"/>
      <c r="F37" s="106"/>
      <c r="G37" s="106"/>
      <c r="H37" s="35">
        <v>30</v>
      </c>
      <c r="I37" s="36">
        <f>G36*H37</f>
        <v>960</v>
      </c>
      <c r="J37">
        <v>2</v>
      </c>
    </row>
    <row r="38" spans="1:10" ht="14.45" customHeight="1" x14ac:dyDescent="0.25">
      <c r="A38" s="107"/>
      <c r="B38" s="107"/>
      <c r="C38" s="107"/>
      <c r="D38" s="107"/>
      <c r="E38" s="107"/>
      <c r="F38" s="107"/>
      <c r="G38" s="107"/>
      <c r="H38" s="70">
        <f>H36+H37</f>
        <v>76</v>
      </c>
      <c r="I38" s="71">
        <f>I36+I37</f>
        <v>2432</v>
      </c>
      <c r="J38">
        <v>5</v>
      </c>
    </row>
    <row r="39" spans="1:10" x14ac:dyDescent="0.25">
      <c r="A39" s="73"/>
      <c r="B39" s="25">
        <v>10</v>
      </c>
      <c r="C39" s="26" t="s">
        <v>293</v>
      </c>
      <c r="D39" s="27" t="s">
        <v>25</v>
      </c>
      <c r="E39" s="28"/>
      <c r="F39" s="28"/>
      <c r="G39" s="29">
        <v>18</v>
      </c>
      <c r="H39" s="22">
        <v>48</v>
      </c>
      <c r="I39" s="30">
        <f>G39*H39</f>
        <v>864</v>
      </c>
      <c r="J39">
        <v>1</v>
      </c>
    </row>
    <row r="40" spans="1:10" x14ac:dyDescent="0.25">
      <c r="A40" s="105" t="s">
        <v>623</v>
      </c>
      <c r="B40" s="106"/>
      <c r="C40" s="106"/>
      <c r="D40" s="106"/>
      <c r="E40" s="106"/>
      <c r="F40" s="106"/>
      <c r="G40" s="106"/>
      <c r="H40" s="35">
        <v>40</v>
      </c>
      <c r="I40" s="36">
        <f>G39*H40</f>
        <v>720</v>
      </c>
      <c r="J40">
        <v>2</v>
      </c>
    </row>
    <row r="41" spans="1:10" x14ac:dyDescent="0.25">
      <c r="A41" s="107"/>
      <c r="B41" s="107"/>
      <c r="C41" s="107"/>
      <c r="D41" s="107"/>
      <c r="E41" s="107"/>
      <c r="F41" s="107"/>
      <c r="G41" s="107"/>
      <c r="H41" s="70">
        <f>H39+H40</f>
        <v>88</v>
      </c>
      <c r="I41" s="71">
        <f>I39+I40</f>
        <v>1584</v>
      </c>
      <c r="J41">
        <v>5</v>
      </c>
    </row>
    <row r="42" spans="1:10" x14ac:dyDescent="0.25">
      <c r="A42" s="73"/>
      <c r="B42" s="25">
        <v>11</v>
      </c>
      <c r="C42" s="26" t="s">
        <v>294</v>
      </c>
      <c r="D42" s="27" t="s">
        <v>25</v>
      </c>
      <c r="E42" s="28"/>
      <c r="F42" s="28"/>
      <c r="G42" s="29">
        <v>10</v>
      </c>
      <c r="H42" s="22">
        <v>54</v>
      </c>
      <c r="I42" s="30">
        <f>G42*H42</f>
        <v>540</v>
      </c>
      <c r="J42">
        <v>1</v>
      </c>
    </row>
    <row r="43" spans="1:10" x14ac:dyDescent="0.25">
      <c r="A43" s="105" t="s">
        <v>624</v>
      </c>
      <c r="B43" s="106"/>
      <c r="C43" s="106"/>
      <c r="D43" s="106"/>
      <c r="E43" s="106"/>
      <c r="F43" s="106"/>
      <c r="G43" s="106"/>
      <c r="H43" s="35">
        <v>36</v>
      </c>
      <c r="I43" s="36">
        <f>G42*H43</f>
        <v>360</v>
      </c>
      <c r="J43">
        <v>2</v>
      </c>
    </row>
    <row r="44" spans="1:10" x14ac:dyDescent="0.25">
      <c r="A44" s="107"/>
      <c r="B44" s="107"/>
      <c r="C44" s="107"/>
      <c r="D44" s="107"/>
      <c r="E44" s="107"/>
      <c r="F44" s="107"/>
      <c r="G44" s="107"/>
      <c r="H44" s="70">
        <f>H42+H43</f>
        <v>90</v>
      </c>
      <c r="I44" s="71">
        <f>I42+I43</f>
        <v>900</v>
      </c>
      <c r="J44">
        <v>5</v>
      </c>
    </row>
    <row r="45" spans="1:10" x14ac:dyDescent="0.25">
      <c r="A45" s="73"/>
      <c r="B45" s="25">
        <v>12</v>
      </c>
      <c r="C45" s="26" t="s">
        <v>294</v>
      </c>
      <c r="D45" s="27" t="s">
        <v>25</v>
      </c>
      <c r="E45" s="28"/>
      <c r="F45" s="28"/>
      <c r="G45" s="29">
        <v>4</v>
      </c>
      <c r="H45" s="22">
        <v>58</v>
      </c>
      <c r="I45" s="30">
        <f>G45*H45</f>
        <v>232</v>
      </c>
      <c r="J45">
        <v>1</v>
      </c>
    </row>
    <row r="46" spans="1:10" x14ac:dyDescent="0.25">
      <c r="A46" s="105" t="s">
        <v>625</v>
      </c>
      <c r="B46" s="106"/>
      <c r="C46" s="106"/>
      <c r="D46" s="106"/>
      <c r="E46" s="106"/>
      <c r="F46" s="106"/>
      <c r="G46" s="106"/>
      <c r="H46" s="35">
        <v>48</v>
      </c>
      <c r="I46" s="36">
        <f>G45*H46</f>
        <v>192</v>
      </c>
      <c r="J46">
        <v>2</v>
      </c>
    </row>
    <row r="47" spans="1:10" x14ac:dyDescent="0.25">
      <c r="A47" s="107"/>
      <c r="B47" s="107"/>
      <c r="C47" s="107"/>
      <c r="D47" s="107"/>
      <c r="E47" s="107"/>
      <c r="F47" s="107"/>
      <c r="G47" s="107"/>
      <c r="H47" s="70">
        <f>H45+H46</f>
        <v>106</v>
      </c>
      <c r="I47" s="71">
        <f>I45+I46</f>
        <v>424</v>
      </c>
      <c r="J47">
        <v>5</v>
      </c>
    </row>
    <row r="48" spans="1:10" x14ac:dyDescent="0.25">
      <c r="A48" s="73"/>
      <c r="B48" s="25">
        <v>13</v>
      </c>
      <c r="C48" s="26" t="s">
        <v>293</v>
      </c>
      <c r="D48" s="27" t="s">
        <v>25</v>
      </c>
      <c r="E48" s="28"/>
      <c r="F48" s="28"/>
      <c r="G48" s="29">
        <v>17</v>
      </c>
      <c r="H48" s="22">
        <v>20</v>
      </c>
      <c r="I48" s="30">
        <f>G48*H48</f>
        <v>340</v>
      </c>
      <c r="J48">
        <v>1</v>
      </c>
    </row>
    <row r="49" spans="1:10" x14ac:dyDescent="0.25">
      <c r="A49" s="105" t="s">
        <v>626</v>
      </c>
      <c r="B49" s="106"/>
      <c r="C49" s="106"/>
      <c r="D49" s="106"/>
      <c r="E49" s="106"/>
      <c r="F49" s="106"/>
      <c r="G49" s="106"/>
      <c r="H49" s="35">
        <v>13</v>
      </c>
      <c r="I49" s="36">
        <f>G48*H49</f>
        <v>221</v>
      </c>
      <c r="J49">
        <v>2</v>
      </c>
    </row>
    <row r="50" spans="1:10" x14ac:dyDescent="0.25">
      <c r="A50" s="107"/>
      <c r="B50" s="107"/>
      <c r="C50" s="107"/>
      <c r="D50" s="107"/>
      <c r="E50" s="107"/>
      <c r="F50" s="107"/>
      <c r="G50" s="107"/>
      <c r="H50" s="70">
        <f>H48+H49</f>
        <v>33</v>
      </c>
      <c r="I50" s="71">
        <f>I48+I49</f>
        <v>561</v>
      </c>
      <c r="J50">
        <v>5</v>
      </c>
    </row>
    <row r="51" spans="1:10" x14ac:dyDescent="0.25">
      <c r="A51" s="73"/>
      <c r="B51" s="25">
        <v>14</v>
      </c>
      <c r="C51" s="26" t="s">
        <v>294</v>
      </c>
      <c r="D51" s="27" t="s">
        <v>25</v>
      </c>
      <c r="E51" s="28"/>
      <c r="F51" s="28"/>
      <c r="G51" s="29">
        <v>1</v>
      </c>
      <c r="H51" s="22">
        <v>23</v>
      </c>
      <c r="I51" s="30">
        <f>G51*H51</f>
        <v>23</v>
      </c>
      <c r="J51">
        <v>1</v>
      </c>
    </row>
    <row r="52" spans="1:10" x14ac:dyDescent="0.25">
      <c r="A52" s="105" t="s">
        <v>627</v>
      </c>
      <c r="B52" s="106"/>
      <c r="C52" s="106"/>
      <c r="D52" s="106"/>
      <c r="E52" s="106"/>
      <c r="F52" s="106"/>
      <c r="G52" s="106"/>
      <c r="H52" s="35">
        <v>18</v>
      </c>
      <c r="I52" s="36">
        <f>G51*H52</f>
        <v>18</v>
      </c>
      <c r="J52">
        <v>2</v>
      </c>
    </row>
    <row r="53" spans="1:10" ht="14.45" customHeight="1" x14ac:dyDescent="0.25">
      <c r="A53" s="107"/>
      <c r="B53" s="107"/>
      <c r="C53" s="107"/>
      <c r="D53" s="107"/>
      <c r="E53" s="107"/>
      <c r="F53" s="107"/>
      <c r="G53" s="107"/>
      <c r="H53" s="70">
        <f>H51+H52</f>
        <v>41</v>
      </c>
      <c r="I53" s="71">
        <f>I51+I52</f>
        <v>41</v>
      </c>
      <c r="J53">
        <v>5</v>
      </c>
    </row>
    <row r="54" spans="1:10" x14ac:dyDescent="0.25">
      <c r="A54" s="73"/>
      <c r="B54" s="25">
        <v>15</v>
      </c>
      <c r="C54" s="26" t="s">
        <v>294</v>
      </c>
      <c r="D54" s="27" t="s">
        <v>25</v>
      </c>
      <c r="E54" s="28"/>
      <c r="F54" s="28"/>
      <c r="G54" s="29">
        <v>1</v>
      </c>
      <c r="H54" s="22">
        <v>27</v>
      </c>
      <c r="I54" s="30">
        <f>G54*H54</f>
        <v>27</v>
      </c>
      <c r="J54">
        <v>1</v>
      </c>
    </row>
    <row r="55" spans="1:10" x14ac:dyDescent="0.25">
      <c r="A55" s="105" t="s">
        <v>628</v>
      </c>
      <c r="B55" s="106"/>
      <c r="C55" s="106"/>
      <c r="D55" s="106"/>
      <c r="E55" s="106"/>
      <c r="F55" s="106"/>
      <c r="G55" s="106"/>
      <c r="H55" s="35">
        <v>18</v>
      </c>
      <c r="I55" s="36">
        <f>G54*H55</f>
        <v>18</v>
      </c>
      <c r="J55">
        <v>2</v>
      </c>
    </row>
    <row r="56" spans="1:10" x14ac:dyDescent="0.25">
      <c r="A56" s="107"/>
      <c r="B56" s="107"/>
      <c r="C56" s="107"/>
      <c r="D56" s="107"/>
      <c r="E56" s="107"/>
      <c r="F56" s="107"/>
      <c r="G56" s="107"/>
      <c r="H56" s="70">
        <f>H54+H55</f>
        <v>45</v>
      </c>
      <c r="I56" s="71">
        <f>I54+I55</f>
        <v>45</v>
      </c>
      <c r="J56">
        <v>5</v>
      </c>
    </row>
    <row r="57" spans="1:10" x14ac:dyDescent="0.25">
      <c r="A57" s="73"/>
      <c r="B57" s="25">
        <v>16</v>
      </c>
      <c r="C57" s="26" t="s">
        <v>72</v>
      </c>
      <c r="D57" s="27" t="s">
        <v>25</v>
      </c>
      <c r="E57" s="28"/>
      <c r="F57" s="28"/>
      <c r="G57" s="29">
        <v>6</v>
      </c>
      <c r="H57" s="22">
        <v>44</v>
      </c>
      <c r="I57" s="30">
        <f>G57*H57</f>
        <v>264</v>
      </c>
      <c r="J57">
        <v>1</v>
      </c>
    </row>
    <row r="58" spans="1:10" x14ac:dyDescent="0.25">
      <c r="A58" s="105" t="s">
        <v>629</v>
      </c>
      <c r="B58" s="106"/>
      <c r="C58" s="106"/>
      <c r="D58" s="106"/>
      <c r="E58" s="106"/>
      <c r="F58" s="106"/>
      <c r="G58" s="106"/>
      <c r="H58" s="35">
        <v>35</v>
      </c>
      <c r="I58" s="36">
        <f>G57*H58</f>
        <v>210</v>
      </c>
      <c r="J58">
        <v>2</v>
      </c>
    </row>
    <row r="59" spans="1:10" x14ac:dyDescent="0.25">
      <c r="A59" s="107"/>
      <c r="B59" s="107"/>
      <c r="C59" s="107"/>
      <c r="D59" s="107"/>
      <c r="E59" s="107"/>
      <c r="F59" s="107"/>
      <c r="G59" s="107"/>
      <c r="H59" s="70">
        <f>H57+H58</f>
        <v>79</v>
      </c>
      <c r="I59" s="71">
        <f>I57+I58</f>
        <v>474</v>
      </c>
      <c r="J59">
        <v>5</v>
      </c>
    </row>
    <row r="60" spans="1:10" x14ac:dyDescent="0.25">
      <c r="B60" s="31">
        <v>17</v>
      </c>
      <c r="C60" s="32" t="s">
        <v>293</v>
      </c>
      <c r="D60" s="33" t="s">
        <v>25</v>
      </c>
      <c r="G60" s="34">
        <v>12</v>
      </c>
      <c r="H60" s="35">
        <v>48</v>
      </c>
      <c r="I60" s="36">
        <f>G60*H60</f>
        <v>576</v>
      </c>
      <c r="J60">
        <v>1</v>
      </c>
    </row>
    <row r="61" spans="1:10" x14ac:dyDescent="0.25">
      <c r="A61" s="105" t="s">
        <v>630</v>
      </c>
      <c r="B61" s="106"/>
      <c r="C61" s="106"/>
      <c r="D61" s="106"/>
      <c r="E61" s="106"/>
      <c r="F61" s="106"/>
      <c r="G61" s="106"/>
      <c r="H61" s="35">
        <v>30</v>
      </c>
      <c r="I61" s="36">
        <f>G60*H61</f>
        <v>360</v>
      </c>
      <c r="J61">
        <v>2</v>
      </c>
    </row>
    <row r="62" spans="1:10" x14ac:dyDescent="0.25">
      <c r="A62" s="107"/>
      <c r="B62" s="107"/>
      <c r="C62" s="107"/>
      <c r="D62" s="107"/>
      <c r="E62" s="107"/>
      <c r="F62" s="107"/>
      <c r="G62" s="107"/>
      <c r="H62" s="70">
        <f>H60+H61</f>
        <v>78</v>
      </c>
      <c r="I62" s="71">
        <f>I60+I61</f>
        <v>936</v>
      </c>
      <c r="J62">
        <v>5</v>
      </c>
    </row>
    <row r="63" spans="1:10" x14ac:dyDescent="0.25">
      <c r="A63" s="73"/>
      <c r="B63" s="25">
        <v>18</v>
      </c>
      <c r="C63" s="26" t="s">
        <v>294</v>
      </c>
      <c r="D63" s="27" t="s">
        <v>25</v>
      </c>
      <c r="E63" s="28"/>
      <c r="F63" s="28"/>
      <c r="G63" s="29">
        <v>12</v>
      </c>
      <c r="H63" s="22">
        <v>51</v>
      </c>
      <c r="I63" s="30">
        <f>G63*H63</f>
        <v>612</v>
      </c>
      <c r="J63">
        <v>1</v>
      </c>
    </row>
    <row r="64" spans="1:10" x14ac:dyDescent="0.25">
      <c r="A64" s="105" t="s">
        <v>295</v>
      </c>
      <c r="B64" s="106"/>
      <c r="C64" s="106"/>
      <c r="D64" s="106"/>
      <c r="E64" s="106"/>
      <c r="F64" s="106"/>
      <c r="G64" s="106"/>
      <c r="H64" s="35">
        <v>42</v>
      </c>
      <c r="I64" s="36">
        <f>G63*H64</f>
        <v>504</v>
      </c>
      <c r="J64">
        <v>2</v>
      </c>
    </row>
    <row r="65" spans="1:10" x14ac:dyDescent="0.25">
      <c r="A65" s="107"/>
      <c r="B65" s="107"/>
      <c r="C65" s="107"/>
      <c r="D65" s="107"/>
      <c r="E65" s="107"/>
      <c r="F65" s="107"/>
      <c r="G65" s="107"/>
      <c r="H65" s="70">
        <f>H63+H64</f>
        <v>93</v>
      </c>
      <c r="I65" s="71">
        <f>I63+I64</f>
        <v>1116</v>
      </c>
      <c r="J65">
        <v>5</v>
      </c>
    </row>
    <row r="66" spans="1:10" x14ac:dyDescent="0.25">
      <c r="A66" s="73"/>
      <c r="B66" s="25">
        <v>19</v>
      </c>
      <c r="C66" s="26" t="s">
        <v>294</v>
      </c>
      <c r="D66" s="27" t="s">
        <v>25</v>
      </c>
      <c r="E66" s="28"/>
      <c r="F66" s="28"/>
      <c r="G66" s="29">
        <v>4</v>
      </c>
      <c r="H66" s="22">
        <v>52</v>
      </c>
      <c r="I66" s="30">
        <f>G66*H66</f>
        <v>208</v>
      </c>
      <c r="J66">
        <v>1</v>
      </c>
    </row>
    <row r="67" spans="1:10" x14ac:dyDescent="0.25">
      <c r="A67" s="105" t="s">
        <v>296</v>
      </c>
      <c r="B67" s="106"/>
      <c r="C67" s="106"/>
      <c r="D67" s="106"/>
      <c r="E67" s="106"/>
      <c r="F67" s="106"/>
      <c r="G67" s="106"/>
      <c r="H67" s="35">
        <v>34</v>
      </c>
      <c r="I67" s="36">
        <f>G66*H67</f>
        <v>136</v>
      </c>
      <c r="J67">
        <v>2</v>
      </c>
    </row>
    <row r="68" spans="1:10" ht="14.45" customHeight="1" x14ac:dyDescent="0.25">
      <c r="A68" s="107"/>
      <c r="B68" s="107"/>
      <c r="C68" s="107"/>
      <c r="D68" s="107"/>
      <c r="E68" s="107"/>
      <c r="F68" s="107"/>
      <c r="G68" s="107"/>
      <c r="H68" s="70">
        <f>H66+H67</f>
        <v>86</v>
      </c>
      <c r="I68" s="71">
        <f>I66+I67</f>
        <v>344</v>
      </c>
      <c r="J68">
        <v>5</v>
      </c>
    </row>
    <row r="69" spans="1:10" x14ac:dyDescent="0.25">
      <c r="A69" s="73"/>
      <c r="B69" s="25">
        <v>20</v>
      </c>
      <c r="C69" s="26" t="s">
        <v>297</v>
      </c>
      <c r="D69" s="27" t="s">
        <v>25</v>
      </c>
      <c r="E69" s="28"/>
      <c r="F69" s="28"/>
      <c r="G69" s="29">
        <v>4</v>
      </c>
      <c r="H69" s="22">
        <v>35</v>
      </c>
      <c r="I69" s="30">
        <f>G69*H69</f>
        <v>140</v>
      </c>
      <c r="J69">
        <v>1</v>
      </c>
    </row>
    <row r="70" spans="1:10" x14ac:dyDescent="0.25">
      <c r="A70" s="105" t="s">
        <v>631</v>
      </c>
      <c r="B70" s="106"/>
      <c r="C70" s="106"/>
      <c r="D70" s="106"/>
      <c r="E70" s="106"/>
      <c r="F70" s="106"/>
      <c r="G70" s="106"/>
      <c r="H70" s="35">
        <v>29</v>
      </c>
      <c r="I70" s="36">
        <f>G69*H70</f>
        <v>116</v>
      </c>
      <c r="J70">
        <v>2</v>
      </c>
    </row>
    <row r="71" spans="1:10" ht="14.45" customHeight="1" x14ac:dyDescent="0.25">
      <c r="A71" s="107"/>
      <c r="B71" s="107"/>
      <c r="C71" s="107"/>
      <c r="D71" s="107"/>
      <c r="E71" s="107"/>
      <c r="F71" s="107"/>
      <c r="G71" s="107"/>
      <c r="H71" s="70">
        <f>H69+H70</f>
        <v>64</v>
      </c>
      <c r="I71" s="71">
        <f>I69+I70</f>
        <v>256</v>
      </c>
      <c r="J71">
        <v>5</v>
      </c>
    </row>
    <row r="72" spans="1:10" x14ac:dyDescent="0.25">
      <c r="A72" s="73"/>
      <c r="B72" s="25">
        <v>21</v>
      </c>
      <c r="C72" s="26" t="s">
        <v>298</v>
      </c>
      <c r="D72" s="27" t="s">
        <v>25</v>
      </c>
      <c r="E72" s="28"/>
      <c r="F72" s="28"/>
      <c r="G72" s="29">
        <v>2</v>
      </c>
      <c r="H72" s="22">
        <v>36</v>
      </c>
      <c r="I72" s="30">
        <f>G72*H72</f>
        <v>72</v>
      </c>
      <c r="J72">
        <v>1</v>
      </c>
    </row>
    <row r="73" spans="1:10" x14ac:dyDescent="0.25">
      <c r="A73" s="105" t="s">
        <v>632</v>
      </c>
      <c r="B73" s="106"/>
      <c r="C73" s="106"/>
      <c r="D73" s="106"/>
      <c r="E73" s="106"/>
      <c r="F73" s="106"/>
      <c r="G73" s="106"/>
      <c r="H73" s="35">
        <v>20</v>
      </c>
      <c r="I73" s="36">
        <f>G72*H73</f>
        <v>40</v>
      </c>
      <c r="J73">
        <v>2</v>
      </c>
    </row>
    <row r="74" spans="1:10" ht="14.45" customHeight="1" x14ac:dyDescent="0.25">
      <c r="A74" s="107"/>
      <c r="B74" s="107"/>
      <c r="C74" s="107"/>
      <c r="D74" s="107"/>
      <c r="E74" s="107"/>
      <c r="F74" s="107"/>
      <c r="G74" s="107"/>
      <c r="H74" s="70">
        <f>H72+H73</f>
        <v>56</v>
      </c>
      <c r="I74" s="71">
        <f>I72+I73</f>
        <v>112</v>
      </c>
      <c r="J74">
        <v>5</v>
      </c>
    </row>
    <row r="75" spans="1:10" x14ac:dyDescent="0.25">
      <c r="A75" s="73"/>
      <c r="B75" s="25">
        <v>22</v>
      </c>
      <c r="C75" s="26" t="s">
        <v>298</v>
      </c>
      <c r="D75" s="27" t="s">
        <v>25</v>
      </c>
      <c r="E75" s="28"/>
      <c r="F75" s="28"/>
      <c r="G75" s="29">
        <v>17</v>
      </c>
      <c r="H75" s="22">
        <v>38</v>
      </c>
      <c r="I75" s="30">
        <f>G75*H75</f>
        <v>646</v>
      </c>
      <c r="J75">
        <v>1</v>
      </c>
    </row>
    <row r="76" spans="1:10" x14ac:dyDescent="0.25">
      <c r="A76" s="105" t="s">
        <v>633</v>
      </c>
      <c r="B76" s="106"/>
      <c r="C76" s="106"/>
      <c r="D76" s="106"/>
      <c r="E76" s="106"/>
      <c r="F76" s="106"/>
      <c r="G76" s="106"/>
      <c r="H76" s="35">
        <v>31</v>
      </c>
      <c r="I76" s="36">
        <f>G75*H76</f>
        <v>527</v>
      </c>
      <c r="J76">
        <v>2</v>
      </c>
    </row>
    <row r="77" spans="1:10" ht="14.45" customHeight="1" x14ac:dyDescent="0.25">
      <c r="A77" s="107"/>
      <c r="B77" s="107"/>
      <c r="C77" s="107"/>
      <c r="D77" s="107"/>
      <c r="E77" s="107"/>
      <c r="F77" s="107"/>
      <c r="G77" s="107"/>
      <c r="H77" s="70">
        <f>H75+H76</f>
        <v>69</v>
      </c>
      <c r="I77" s="71">
        <f>I75+I76</f>
        <v>1173</v>
      </c>
      <c r="J77">
        <v>5</v>
      </c>
    </row>
    <row r="78" spans="1:10" x14ac:dyDescent="0.25">
      <c r="A78" s="73"/>
      <c r="B78" s="25">
        <v>23</v>
      </c>
      <c r="C78" s="26" t="s">
        <v>299</v>
      </c>
      <c r="D78" s="27" t="s">
        <v>25</v>
      </c>
      <c r="E78" s="28"/>
      <c r="F78" s="28"/>
      <c r="G78" s="29">
        <v>4</v>
      </c>
      <c r="H78" s="22">
        <v>44</v>
      </c>
      <c r="I78" s="30">
        <f>G78*H78</f>
        <v>176</v>
      </c>
      <c r="J78">
        <v>1</v>
      </c>
    </row>
    <row r="79" spans="1:10" x14ac:dyDescent="0.25">
      <c r="A79" s="105" t="s">
        <v>634</v>
      </c>
      <c r="B79" s="106"/>
      <c r="C79" s="106"/>
      <c r="D79" s="106"/>
      <c r="E79" s="106"/>
      <c r="F79" s="106"/>
      <c r="G79" s="106"/>
      <c r="H79" s="35">
        <v>29</v>
      </c>
      <c r="I79" s="36">
        <f>G78*H79</f>
        <v>116</v>
      </c>
      <c r="J79">
        <v>2</v>
      </c>
    </row>
    <row r="80" spans="1:10" ht="14.45" customHeight="1" x14ac:dyDescent="0.25">
      <c r="A80" s="107"/>
      <c r="B80" s="107"/>
      <c r="C80" s="107"/>
      <c r="D80" s="107"/>
      <c r="E80" s="107"/>
      <c r="F80" s="107"/>
      <c r="G80" s="107"/>
      <c r="H80" s="70">
        <f>H78+H79</f>
        <v>73</v>
      </c>
      <c r="I80" s="71">
        <f>I78+I79</f>
        <v>292</v>
      </c>
      <c r="J80">
        <v>5</v>
      </c>
    </row>
    <row r="81" spans="1:10" x14ac:dyDescent="0.25">
      <c r="A81" s="73"/>
      <c r="B81" s="25">
        <v>24</v>
      </c>
      <c r="C81" s="26" t="s">
        <v>299</v>
      </c>
      <c r="D81" s="27" t="s">
        <v>25</v>
      </c>
      <c r="E81" s="28"/>
      <c r="F81" s="28"/>
      <c r="G81" s="29">
        <v>4</v>
      </c>
      <c r="H81" s="22">
        <v>48</v>
      </c>
      <c r="I81" s="30">
        <f>G81*H81</f>
        <v>192</v>
      </c>
      <c r="J81">
        <v>1</v>
      </c>
    </row>
    <row r="82" spans="1:10" x14ac:dyDescent="0.25">
      <c r="A82" s="105" t="s">
        <v>635</v>
      </c>
      <c r="B82" s="106"/>
      <c r="C82" s="106"/>
      <c r="D82" s="106"/>
      <c r="E82" s="106"/>
      <c r="F82" s="106"/>
      <c r="G82" s="106"/>
      <c r="H82" s="82">
        <v>40</v>
      </c>
      <c r="I82" s="36">
        <f>G81*H82</f>
        <v>160</v>
      </c>
      <c r="J82">
        <v>2</v>
      </c>
    </row>
    <row r="83" spans="1:10" ht="14.45" customHeight="1" x14ac:dyDescent="0.25">
      <c r="A83" s="107"/>
      <c r="B83" s="107"/>
      <c r="C83" s="107"/>
      <c r="D83" s="107"/>
      <c r="E83" s="107"/>
      <c r="F83" s="107"/>
      <c r="G83" s="107"/>
      <c r="H83" s="82">
        <f>H81+H82</f>
        <v>88</v>
      </c>
      <c r="I83" s="71">
        <f>I81+I82</f>
        <v>352</v>
      </c>
      <c r="J83">
        <v>5</v>
      </c>
    </row>
    <row r="84" spans="1:10" x14ac:dyDescent="0.25">
      <c r="A84" s="73"/>
      <c r="B84" s="25">
        <v>25</v>
      </c>
      <c r="C84" s="26" t="s">
        <v>75</v>
      </c>
      <c r="D84" s="27" t="s">
        <v>25</v>
      </c>
      <c r="E84" s="28"/>
      <c r="F84" s="28"/>
      <c r="G84" s="29">
        <v>1</v>
      </c>
      <c r="H84" s="22">
        <v>14</v>
      </c>
      <c r="I84" s="30">
        <f>G84*H84</f>
        <v>14</v>
      </c>
      <c r="J84">
        <v>1</v>
      </c>
    </row>
    <row r="85" spans="1:10" x14ac:dyDescent="0.25">
      <c r="A85" s="105" t="s">
        <v>636</v>
      </c>
      <c r="B85" s="106"/>
      <c r="C85" s="106"/>
      <c r="D85" s="106"/>
      <c r="E85" s="106"/>
      <c r="F85" s="106"/>
      <c r="G85" s="106"/>
      <c r="H85" s="35">
        <v>9</v>
      </c>
      <c r="I85" s="36">
        <f>G84*H85</f>
        <v>9</v>
      </c>
      <c r="J85">
        <v>2</v>
      </c>
    </row>
    <row r="86" spans="1:10" x14ac:dyDescent="0.25">
      <c r="A86" s="107"/>
      <c r="B86" s="107"/>
      <c r="C86" s="107"/>
      <c r="D86" s="107"/>
      <c r="E86" s="107"/>
      <c r="F86" s="107"/>
      <c r="G86" s="107"/>
      <c r="H86" s="70">
        <f>H84+H85</f>
        <v>23</v>
      </c>
      <c r="I86" s="71">
        <f>I84+I85</f>
        <v>23</v>
      </c>
      <c r="J86">
        <v>5</v>
      </c>
    </row>
    <row r="87" spans="1:10" x14ac:dyDescent="0.25">
      <c r="A87" s="73"/>
      <c r="B87" s="25">
        <v>26</v>
      </c>
      <c r="C87" s="26" t="s">
        <v>75</v>
      </c>
      <c r="D87" s="27" t="s">
        <v>25</v>
      </c>
      <c r="E87" s="28"/>
      <c r="F87" s="28"/>
      <c r="G87" s="29">
        <v>1</v>
      </c>
      <c r="H87" s="22">
        <v>16</v>
      </c>
      <c r="I87" s="30">
        <f>G87*H87</f>
        <v>16</v>
      </c>
      <c r="J87">
        <v>1</v>
      </c>
    </row>
    <row r="88" spans="1:10" x14ac:dyDescent="0.25">
      <c r="A88" s="105" t="s">
        <v>637</v>
      </c>
      <c r="B88" s="106"/>
      <c r="C88" s="106"/>
      <c r="D88" s="106"/>
      <c r="E88" s="106"/>
      <c r="F88" s="106"/>
      <c r="G88" s="106"/>
      <c r="H88" s="35">
        <v>13</v>
      </c>
      <c r="I88" s="36">
        <f>G87*H88</f>
        <v>13</v>
      </c>
      <c r="J88">
        <v>2</v>
      </c>
    </row>
    <row r="89" spans="1:10" x14ac:dyDescent="0.25">
      <c r="A89" s="107"/>
      <c r="B89" s="107"/>
      <c r="C89" s="107"/>
      <c r="D89" s="107"/>
      <c r="E89" s="107"/>
      <c r="F89" s="107"/>
      <c r="G89" s="107"/>
      <c r="H89" s="70">
        <f>H87+H88</f>
        <v>29</v>
      </c>
      <c r="I89" s="71">
        <f>I87+I88</f>
        <v>29</v>
      </c>
      <c r="J89">
        <v>5</v>
      </c>
    </row>
    <row r="90" spans="1:10" x14ac:dyDescent="0.25">
      <c r="A90" s="73"/>
      <c r="B90" s="25">
        <v>27</v>
      </c>
      <c r="C90" s="26" t="s">
        <v>300</v>
      </c>
      <c r="D90" s="27" t="s">
        <v>25</v>
      </c>
      <c r="E90" s="28"/>
      <c r="F90" s="28"/>
      <c r="G90" s="29">
        <v>34</v>
      </c>
      <c r="H90" s="22">
        <v>65</v>
      </c>
      <c r="I90" s="30">
        <f>G90*H90</f>
        <v>2210</v>
      </c>
      <c r="J90">
        <v>1</v>
      </c>
    </row>
    <row r="91" spans="1:10" x14ac:dyDescent="0.25">
      <c r="A91" s="105" t="s">
        <v>638</v>
      </c>
      <c r="B91" s="106"/>
      <c r="C91" s="106"/>
      <c r="D91" s="106"/>
      <c r="E91" s="106"/>
      <c r="F91" s="106"/>
      <c r="G91" s="106"/>
      <c r="H91" s="35">
        <v>43</v>
      </c>
      <c r="I91" s="36">
        <f>G90*H91</f>
        <v>1462</v>
      </c>
      <c r="J91">
        <v>2</v>
      </c>
    </row>
    <row r="92" spans="1:10" ht="14.45" customHeight="1" x14ac:dyDescent="0.25">
      <c r="A92" s="107"/>
      <c r="B92" s="107"/>
      <c r="C92" s="107"/>
      <c r="D92" s="107"/>
      <c r="E92" s="107"/>
      <c r="F92" s="107"/>
      <c r="G92" s="107"/>
      <c r="H92" s="70">
        <f>H90+H91</f>
        <v>108</v>
      </c>
      <c r="I92" s="71">
        <f>I90+I91</f>
        <v>3672</v>
      </c>
      <c r="J92">
        <v>5</v>
      </c>
    </row>
    <row r="93" spans="1:10" x14ac:dyDescent="0.25">
      <c r="A93" s="73"/>
      <c r="B93" s="25">
        <v>28</v>
      </c>
      <c r="C93" s="26" t="s">
        <v>301</v>
      </c>
      <c r="D93" s="27" t="s">
        <v>25</v>
      </c>
      <c r="E93" s="28"/>
      <c r="F93" s="28"/>
      <c r="G93" s="29">
        <v>2</v>
      </c>
      <c r="H93" s="22">
        <v>0</v>
      </c>
      <c r="I93" s="30">
        <f>G93*H93</f>
        <v>0</v>
      </c>
      <c r="J93">
        <v>1</v>
      </c>
    </row>
    <row r="94" spans="1:10" x14ac:dyDescent="0.25">
      <c r="A94" s="105" t="s">
        <v>302</v>
      </c>
      <c r="B94" s="106"/>
      <c r="C94" s="106"/>
      <c r="D94" s="106"/>
      <c r="E94" s="106"/>
      <c r="F94" s="106"/>
      <c r="G94" s="106"/>
      <c r="H94" s="35">
        <v>180</v>
      </c>
      <c r="I94" s="36">
        <f>G93*H94</f>
        <v>360</v>
      </c>
      <c r="J94">
        <v>2</v>
      </c>
    </row>
    <row r="95" spans="1:10" x14ac:dyDescent="0.25">
      <c r="A95" s="107"/>
      <c r="B95" s="107"/>
      <c r="C95" s="107"/>
      <c r="D95" s="107"/>
      <c r="E95" s="107"/>
      <c r="F95" s="107"/>
      <c r="G95" s="107"/>
      <c r="H95" s="70">
        <f>H93+H94</f>
        <v>180</v>
      </c>
      <c r="I95" s="71">
        <f>I93+I94</f>
        <v>360</v>
      </c>
      <c r="J95">
        <v>5</v>
      </c>
    </row>
    <row r="96" spans="1:10" x14ac:dyDescent="0.25">
      <c r="A96" s="73"/>
      <c r="B96" s="25">
        <v>29</v>
      </c>
      <c r="C96" s="26" t="s">
        <v>303</v>
      </c>
      <c r="D96" s="27" t="s">
        <v>23</v>
      </c>
      <c r="E96" s="28"/>
      <c r="F96" s="28"/>
      <c r="G96" s="29">
        <v>2</v>
      </c>
      <c r="H96" s="22">
        <v>580</v>
      </c>
      <c r="I96" s="30">
        <f>G96*H96</f>
        <v>1160</v>
      </c>
      <c r="J96">
        <v>1</v>
      </c>
    </row>
    <row r="97" spans="1:19" x14ac:dyDescent="0.25">
      <c r="A97" s="105" t="s">
        <v>304</v>
      </c>
      <c r="B97" s="106"/>
      <c r="C97" s="106"/>
      <c r="D97" s="106"/>
      <c r="E97" s="106"/>
      <c r="F97" s="106"/>
      <c r="G97" s="106"/>
      <c r="H97" s="35">
        <v>400</v>
      </c>
      <c r="I97" s="36">
        <f>G96*H97</f>
        <v>800</v>
      </c>
      <c r="J97">
        <v>2</v>
      </c>
    </row>
    <row r="98" spans="1:19" x14ac:dyDescent="0.25">
      <c r="A98" s="107"/>
      <c r="B98" s="107"/>
      <c r="C98" s="107"/>
      <c r="D98" s="107"/>
      <c r="E98" s="107"/>
      <c r="F98" s="107"/>
      <c r="G98" s="107"/>
      <c r="H98" s="70">
        <f>H96+H97</f>
        <v>980</v>
      </c>
      <c r="I98" s="71">
        <f>I96+I97</f>
        <v>1960</v>
      </c>
      <c r="J98">
        <v>5</v>
      </c>
    </row>
    <row r="99" spans="1:19" x14ac:dyDescent="0.25">
      <c r="A99" s="73"/>
      <c r="B99" s="25">
        <v>30</v>
      </c>
      <c r="C99" s="26" t="s">
        <v>305</v>
      </c>
      <c r="D99" s="27" t="s">
        <v>22</v>
      </c>
      <c r="E99" s="28"/>
      <c r="F99" s="28"/>
      <c r="G99" s="29">
        <v>0.75</v>
      </c>
      <c r="H99" s="22">
        <v>700</v>
      </c>
      <c r="I99" s="30">
        <f>G99*H99</f>
        <v>525</v>
      </c>
      <c r="J99">
        <v>1</v>
      </c>
    </row>
    <row r="100" spans="1:19" x14ac:dyDescent="0.25">
      <c r="A100" s="105" t="s">
        <v>306</v>
      </c>
      <c r="B100" s="106"/>
      <c r="C100" s="106"/>
      <c r="D100" s="106"/>
      <c r="E100" s="106"/>
      <c r="F100" s="106"/>
      <c r="G100" s="106"/>
      <c r="H100" s="35">
        <v>400</v>
      </c>
      <c r="I100" s="36">
        <f>G99*H100</f>
        <v>300</v>
      </c>
      <c r="J100">
        <v>2</v>
      </c>
    </row>
    <row r="101" spans="1:19" ht="14.45" customHeight="1" x14ac:dyDescent="0.25">
      <c r="A101" s="107"/>
      <c r="B101" s="107"/>
      <c r="C101" s="107"/>
      <c r="D101" s="107"/>
      <c r="E101" s="107"/>
      <c r="F101" s="107"/>
      <c r="G101" s="107"/>
      <c r="H101" s="70">
        <f>H99+H100</f>
        <v>1100</v>
      </c>
      <c r="I101" s="71">
        <f>I99+I100</f>
        <v>825</v>
      </c>
      <c r="J101">
        <v>5</v>
      </c>
    </row>
    <row r="102" spans="1:19" x14ac:dyDescent="0.25">
      <c r="A102" s="73"/>
      <c r="B102" s="25">
        <v>31</v>
      </c>
      <c r="C102" s="26" t="s">
        <v>307</v>
      </c>
      <c r="D102" s="27" t="s">
        <v>25</v>
      </c>
      <c r="E102" s="28"/>
      <c r="F102" s="28"/>
      <c r="G102" s="29">
        <v>1</v>
      </c>
      <c r="H102" s="22">
        <v>0</v>
      </c>
      <c r="I102" s="30">
        <f>G102*H102</f>
        <v>0</v>
      </c>
      <c r="J102">
        <v>1</v>
      </c>
    </row>
    <row r="103" spans="1:19" x14ac:dyDescent="0.25">
      <c r="A103" s="105" t="s">
        <v>639</v>
      </c>
      <c r="B103" s="106"/>
      <c r="C103" s="106"/>
      <c r="D103" s="106"/>
      <c r="E103" s="106"/>
      <c r="F103" s="106"/>
      <c r="G103" s="106"/>
      <c r="H103" s="35">
        <v>890</v>
      </c>
      <c r="I103" s="36">
        <f>G102*H103</f>
        <v>890</v>
      </c>
      <c r="J103">
        <v>2</v>
      </c>
    </row>
    <row r="104" spans="1:19" x14ac:dyDescent="0.25">
      <c r="A104" s="107"/>
      <c r="B104" s="107"/>
      <c r="C104" s="107"/>
      <c r="D104" s="107"/>
      <c r="E104" s="107"/>
      <c r="F104" s="107"/>
      <c r="G104" s="107"/>
      <c r="H104" s="70">
        <f>H102+H103</f>
        <v>890</v>
      </c>
      <c r="I104" s="71">
        <f>I102+I103</f>
        <v>890</v>
      </c>
      <c r="J104">
        <v>5</v>
      </c>
    </row>
    <row r="105" spans="1:19" x14ac:dyDescent="0.25">
      <c r="B105" s="37" t="s">
        <v>26</v>
      </c>
      <c r="C105" s="32"/>
      <c r="D105" s="33"/>
      <c r="E105" s="36">
        <f>SUMIF(J12:J104,"1",I12:I104)</f>
        <v>18079</v>
      </c>
      <c r="F105" s="36">
        <f>SUMIF(J12:J104,"2",I12:I104)</f>
        <v>14229</v>
      </c>
      <c r="G105" s="36"/>
      <c r="H105" s="36"/>
      <c r="I105" s="36">
        <f>SUMIF(J12:J104,"5",I12:I104)</f>
        <v>32308</v>
      </c>
      <c r="K105" s="4">
        <f>SUMIF(J12:J104,"3",K12:K104)</f>
        <v>0</v>
      </c>
      <c r="L105" s="4">
        <f>SUMIF(J12:J104,"3",L12:L104)</f>
        <v>0</v>
      </c>
      <c r="M105" s="4">
        <f>SUMIF(J12:J104,"3",M12:M104)</f>
        <v>0</v>
      </c>
      <c r="N105" s="4">
        <f>SUMIF(J12:J104,"4",N12:N104)</f>
        <v>0</v>
      </c>
      <c r="O105" s="4">
        <f>SUMIF(J12:J104,"4",O12:O104)</f>
        <v>0</v>
      </c>
      <c r="P105" s="4">
        <f>SUMIF(J12:J104,"4",P12:P104)</f>
        <v>0</v>
      </c>
      <c r="Q105" s="4">
        <f>SUMIF(J12:J104,"4",Q12:Q104)</f>
        <v>0</v>
      </c>
      <c r="R105" s="4">
        <f>SUMIF(J12:J104,"4",R12:R104)</f>
        <v>0</v>
      </c>
      <c r="S105" s="4">
        <f>SUMIF(J12:J104,"4",S12:S104)</f>
        <v>0</v>
      </c>
    </row>
  </sheetData>
  <mergeCells count="36">
    <mergeCell ref="A103:G104"/>
    <mergeCell ref="A100:G101"/>
    <mergeCell ref="A97:G98"/>
    <mergeCell ref="A94:G95"/>
    <mergeCell ref="A91:G92"/>
    <mergeCell ref="A88:G89"/>
    <mergeCell ref="A85:G86"/>
    <mergeCell ref="A82:G83"/>
    <mergeCell ref="A79:G80"/>
    <mergeCell ref="A76:G77"/>
    <mergeCell ref="A73:G74"/>
    <mergeCell ref="A70:G71"/>
    <mergeCell ref="A67:G68"/>
    <mergeCell ref="A64:G65"/>
    <mergeCell ref="A61:G62"/>
    <mergeCell ref="A58:G59"/>
    <mergeCell ref="A55:G56"/>
    <mergeCell ref="A52:G53"/>
    <mergeCell ref="A49:G50"/>
    <mergeCell ref="A46:G47"/>
    <mergeCell ref="A43:G44"/>
    <mergeCell ref="A40:G41"/>
    <mergeCell ref="A37:G38"/>
    <mergeCell ref="A34:G35"/>
    <mergeCell ref="A31:G32"/>
    <mergeCell ref="A28:G29"/>
    <mergeCell ref="A25:G26"/>
    <mergeCell ref="A22:G23"/>
    <mergeCell ref="A19:G20"/>
    <mergeCell ref="A16:G17"/>
    <mergeCell ref="A13:G14"/>
    <mergeCell ref="A1:D1"/>
    <mergeCell ref="A2:I2"/>
    <mergeCell ref="A3:I3"/>
    <mergeCell ref="A4:I4"/>
    <mergeCell ref="A5:H5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14" manualBreakCount="14">
    <brk id="17" max="16383" man="1"/>
    <brk id="23" max="16383" man="1"/>
    <brk id="29" max="16383" man="1"/>
    <brk id="35" max="16383" man="1"/>
    <brk id="44" max="16383" man="1"/>
    <brk id="53" max="16383" man="1"/>
    <brk id="62" max="16383" man="1"/>
    <brk id="71" max="16383" man="1"/>
    <brk id="80" max="16383" man="1"/>
    <brk id="86" max="16383" man="1"/>
    <brk id="89" max="16383" man="1"/>
    <brk id="92" max="16383" man="1"/>
    <brk id="95" max="16383" man="1"/>
    <brk id="9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6F32-DF02-4595-9BA4-D5905E532D09}">
  <dimension ref="A1:W435"/>
  <sheetViews>
    <sheetView topLeftCell="A229" zoomScale="98" zoomScaleNormal="98" workbookViewId="0">
      <selection activeCell="H434" sqref="H434"/>
    </sheetView>
  </sheetViews>
  <sheetFormatPr defaultRowHeight="15" outlineLevelCol="1" x14ac:dyDescent="0.25"/>
  <cols>
    <col min="1" max="1" width="0.28515625" style="1" customWidth="1"/>
    <col min="2" max="2" width="5.7109375" style="2" customWidth="1"/>
    <col min="3" max="3" width="25.28515625" style="3" customWidth="1"/>
    <col min="4" max="4" width="14.5703125" style="5" customWidth="1"/>
    <col min="5" max="5" width="14.5703125" customWidth="1"/>
    <col min="7" max="7" width="15.7109375" style="6" customWidth="1"/>
    <col min="8" max="8" width="14.5703125" style="7" customWidth="1"/>
    <col min="9" max="9" width="14.5703125" style="4" customWidth="1"/>
    <col min="10" max="10" width="0" hidden="1" customWidth="1" outlineLevel="1"/>
    <col min="11" max="19" width="0" style="4" hidden="1" customWidth="1" outlineLevel="1"/>
    <col min="20" max="20" width="9.140625" collapsed="1"/>
  </cols>
  <sheetData>
    <row r="1" spans="1:10" ht="24.75" customHeight="1" x14ac:dyDescent="0.25">
      <c r="A1" s="101" t="s">
        <v>0</v>
      </c>
      <c r="B1" s="106"/>
      <c r="C1" s="106"/>
      <c r="D1" s="106"/>
      <c r="J1">
        <v>1</v>
      </c>
    </row>
    <row r="2" spans="1:10" x14ac:dyDescent="0.25">
      <c r="A2" s="103" t="s">
        <v>1</v>
      </c>
      <c r="B2" s="106"/>
      <c r="C2" s="106"/>
      <c r="D2" s="106"/>
      <c r="E2" s="106"/>
      <c r="F2" s="106"/>
      <c r="G2" s="106"/>
      <c r="H2" s="106"/>
      <c r="I2" s="106"/>
    </row>
    <row r="3" spans="1:10" ht="43.5" customHeight="1" x14ac:dyDescent="0.25">
      <c r="A3" s="104" t="s">
        <v>2</v>
      </c>
      <c r="B3" s="106"/>
      <c r="C3" s="106"/>
      <c r="D3" s="106"/>
      <c r="E3" s="106"/>
      <c r="F3" s="106"/>
      <c r="G3" s="106"/>
      <c r="H3" s="106"/>
      <c r="I3" s="106"/>
    </row>
    <row r="4" spans="1:10" x14ac:dyDescent="0.25">
      <c r="A4" s="103" t="s">
        <v>308</v>
      </c>
      <c r="B4" s="106"/>
      <c r="C4" s="106"/>
      <c r="D4" s="106"/>
      <c r="E4" s="106"/>
      <c r="F4" s="106"/>
      <c r="G4" s="106"/>
      <c r="H4" s="106"/>
      <c r="I4" s="106"/>
    </row>
    <row r="5" spans="1:10" ht="15.75" thickBot="1" x14ac:dyDescent="0.3">
      <c r="A5" s="103" t="s">
        <v>309</v>
      </c>
      <c r="B5" s="106"/>
      <c r="C5" s="106"/>
      <c r="D5" s="106"/>
      <c r="E5" s="106"/>
      <c r="F5" s="106"/>
      <c r="G5" s="106"/>
      <c r="H5" s="106"/>
      <c r="I5" s="4" t="s">
        <v>3</v>
      </c>
    </row>
    <row r="6" spans="1:10" x14ac:dyDescent="0.25">
      <c r="A6" s="11"/>
      <c r="B6" s="12" t="s">
        <v>4</v>
      </c>
      <c r="C6" s="13" t="s">
        <v>5</v>
      </c>
      <c r="D6" s="14" t="s">
        <v>6</v>
      </c>
      <c r="E6" s="15"/>
      <c r="F6" s="15"/>
      <c r="G6" s="16" t="s">
        <v>7</v>
      </c>
      <c r="H6" s="17" t="s">
        <v>8</v>
      </c>
      <c r="I6" s="18" t="s">
        <v>9</v>
      </c>
    </row>
    <row r="7" spans="1:10" x14ac:dyDescent="0.25">
      <c r="B7" s="2" t="s">
        <v>10</v>
      </c>
      <c r="C7" s="3" t="s">
        <v>11</v>
      </c>
      <c r="D7" s="8"/>
      <c r="E7" s="9"/>
      <c r="F7" s="9"/>
      <c r="H7" s="10" t="s">
        <v>12</v>
      </c>
    </row>
    <row r="8" spans="1:10" x14ac:dyDescent="0.25">
      <c r="C8" s="3" t="s">
        <v>13</v>
      </c>
      <c r="D8" s="8"/>
      <c r="E8" s="9"/>
      <c r="F8" s="9"/>
      <c r="H8" s="10" t="s">
        <v>14</v>
      </c>
    </row>
    <row r="9" spans="1:10" x14ac:dyDescent="0.25">
      <c r="C9" s="3" t="s">
        <v>15</v>
      </c>
      <c r="D9" s="8"/>
      <c r="E9" s="9"/>
      <c r="F9" s="9"/>
      <c r="H9" s="10" t="s">
        <v>16</v>
      </c>
    </row>
    <row r="10" spans="1:10" x14ac:dyDescent="0.25">
      <c r="C10" s="3" t="s">
        <v>17</v>
      </c>
      <c r="D10" s="8"/>
      <c r="E10" s="9"/>
      <c r="F10" s="9"/>
      <c r="H10" s="10" t="s">
        <v>18</v>
      </c>
    </row>
    <row r="11" spans="1:10" ht="15.75" thickBot="1" x14ac:dyDescent="0.3">
      <c r="C11" s="3" t="s">
        <v>19</v>
      </c>
      <c r="D11" s="8"/>
      <c r="E11" s="9"/>
      <c r="F11" s="9"/>
      <c r="H11" s="10" t="s">
        <v>20</v>
      </c>
    </row>
    <row r="12" spans="1:10" x14ac:dyDescent="0.25">
      <c r="A12" s="11"/>
      <c r="B12" s="12">
        <v>1</v>
      </c>
      <c r="C12" s="13" t="s">
        <v>278</v>
      </c>
      <c r="D12" s="19" t="s">
        <v>24</v>
      </c>
      <c r="E12" s="20"/>
      <c r="F12" s="20"/>
      <c r="G12" s="16">
        <v>244</v>
      </c>
      <c r="H12" s="21">
        <v>0</v>
      </c>
      <c r="I12" s="18">
        <f>G12*H12</f>
        <v>0</v>
      </c>
      <c r="J12">
        <v>1</v>
      </c>
    </row>
    <row r="13" spans="1:10" x14ac:dyDescent="0.25">
      <c r="A13" s="105" t="s">
        <v>740</v>
      </c>
      <c r="B13" s="106"/>
      <c r="C13" s="106"/>
      <c r="D13" s="106"/>
      <c r="E13" s="106"/>
      <c r="F13" s="106"/>
      <c r="G13" s="106"/>
      <c r="H13" s="35">
        <v>0</v>
      </c>
      <c r="I13" s="36">
        <f>G12*H13</f>
        <v>0</v>
      </c>
      <c r="J13">
        <v>2</v>
      </c>
    </row>
    <row r="14" spans="1:10" x14ac:dyDescent="0.25">
      <c r="A14" s="107"/>
      <c r="B14" s="107"/>
      <c r="C14" s="107"/>
      <c r="D14" s="107"/>
      <c r="E14" s="107"/>
      <c r="F14" s="107"/>
      <c r="G14" s="107"/>
      <c r="H14" s="70">
        <f>H12+H13</f>
        <v>0</v>
      </c>
      <c r="I14" s="71">
        <f>I12+I13</f>
        <v>0</v>
      </c>
      <c r="J14">
        <v>5</v>
      </c>
    </row>
    <row r="15" spans="1:10" x14ac:dyDescent="0.25">
      <c r="B15" s="31">
        <v>2</v>
      </c>
      <c r="C15" s="32" t="s">
        <v>278</v>
      </c>
      <c r="D15" s="33" t="s">
        <v>24</v>
      </c>
      <c r="G15" s="34">
        <v>102</v>
      </c>
      <c r="H15" s="35">
        <v>0</v>
      </c>
      <c r="I15" s="36">
        <f>G15*H15</f>
        <v>0</v>
      </c>
      <c r="J15">
        <v>1</v>
      </c>
    </row>
    <row r="16" spans="1:10" x14ac:dyDescent="0.25">
      <c r="A16" s="105" t="s">
        <v>741</v>
      </c>
      <c r="B16" s="106"/>
      <c r="C16" s="106"/>
      <c r="D16" s="106"/>
      <c r="E16" s="106"/>
      <c r="F16" s="106"/>
      <c r="G16" s="106"/>
      <c r="H16" s="35">
        <v>0</v>
      </c>
      <c r="I16" s="36">
        <f>G15*H16</f>
        <v>0</v>
      </c>
      <c r="J16">
        <v>2</v>
      </c>
    </row>
    <row r="17" spans="1:10" x14ac:dyDescent="0.25">
      <c r="A17" s="107"/>
      <c r="B17" s="107"/>
      <c r="C17" s="107"/>
      <c r="D17" s="107"/>
      <c r="E17" s="107"/>
      <c r="F17" s="107"/>
      <c r="G17" s="107"/>
      <c r="H17" s="70">
        <f>H15+H16</f>
        <v>0</v>
      </c>
      <c r="I17" s="71">
        <f>I15+I16</f>
        <v>0</v>
      </c>
      <c r="J17">
        <v>5</v>
      </c>
    </row>
    <row r="18" spans="1:10" ht="13.9" customHeight="1" x14ac:dyDescent="0.25">
      <c r="A18" s="73"/>
      <c r="B18" s="25">
        <v>3</v>
      </c>
      <c r="C18" s="26" t="s">
        <v>310</v>
      </c>
      <c r="D18" s="27" t="s">
        <v>24</v>
      </c>
      <c r="E18" s="28"/>
      <c r="F18" s="28"/>
      <c r="G18" s="29">
        <v>7601</v>
      </c>
      <c r="H18" s="22">
        <v>0</v>
      </c>
      <c r="I18" s="30">
        <f>G18*H18</f>
        <v>0</v>
      </c>
      <c r="J18">
        <v>1</v>
      </c>
    </row>
    <row r="19" spans="1:10" x14ac:dyDescent="0.25">
      <c r="A19" s="105" t="s">
        <v>742</v>
      </c>
      <c r="B19" s="106"/>
      <c r="C19" s="106"/>
      <c r="D19" s="106"/>
      <c r="E19" s="106"/>
      <c r="F19" s="106"/>
      <c r="G19" s="106"/>
      <c r="H19" s="35">
        <v>0</v>
      </c>
      <c r="I19" s="36">
        <f>G18*H19</f>
        <v>0</v>
      </c>
      <c r="J19">
        <v>2</v>
      </c>
    </row>
    <row r="20" spans="1:10" x14ac:dyDescent="0.25">
      <c r="A20" s="107"/>
      <c r="B20" s="107"/>
      <c r="C20" s="107"/>
      <c r="D20" s="107"/>
      <c r="E20" s="107"/>
      <c r="F20" s="107"/>
      <c r="G20" s="107"/>
      <c r="H20" s="70">
        <f>H18+H19</f>
        <v>0</v>
      </c>
      <c r="I20" s="71">
        <f>I18+I19</f>
        <v>0</v>
      </c>
      <c r="J20">
        <v>5</v>
      </c>
    </row>
    <row r="21" spans="1:10" x14ac:dyDescent="0.25">
      <c r="A21" s="73"/>
      <c r="B21" s="25">
        <v>4</v>
      </c>
      <c r="C21" s="26" t="s">
        <v>310</v>
      </c>
      <c r="D21" s="27" t="s">
        <v>24</v>
      </c>
      <c r="E21" s="28"/>
      <c r="F21" s="28"/>
      <c r="G21" s="29">
        <v>2040</v>
      </c>
      <c r="H21" s="22">
        <v>0</v>
      </c>
      <c r="I21" s="30">
        <f>G21*H21</f>
        <v>0</v>
      </c>
      <c r="J21">
        <v>1</v>
      </c>
    </row>
    <row r="22" spans="1:10" x14ac:dyDescent="0.25">
      <c r="A22" s="105" t="s">
        <v>743</v>
      </c>
      <c r="B22" s="106"/>
      <c r="C22" s="106"/>
      <c r="D22" s="106"/>
      <c r="E22" s="106"/>
      <c r="F22" s="106"/>
      <c r="G22" s="106"/>
      <c r="H22" s="35">
        <v>0</v>
      </c>
      <c r="I22" s="36">
        <f>G21*H22</f>
        <v>0</v>
      </c>
      <c r="J22">
        <v>2</v>
      </c>
    </row>
    <row r="23" spans="1:10" x14ac:dyDescent="0.25">
      <c r="A23" s="107"/>
      <c r="B23" s="107"/>
      <c r="C23" s="107"/>
      <c r="D23" s="107"/>
      <c r="E23" s="107"/>
      <c r="F23" s="107"/>
      <c r="G23" s="107"/>
      <c r="H23" s="70">
        <f>H21+H22</f>
        <v>0</v>
      </c>
      <c r="I23" s="71">
        <f>I21+I22</f>
        <v>0</v>
      </c>
      <c r="J23">
        <v>5</v>
      </c>
    </row>
    <row r="24" spans="1:10" x14ac:dyDescent="0.25">
      <c r="A24" s="73"/>
      <c r="B24" s="25">
        <v>5</v>
      </c>
      <c r="C24" s="26" t="s">
        <v>310</v>
      </c>
      <c r="D24" s="27" t="s">
        <v>24</v>
      </c>
      <c r="E24" s="28"/>
      <c r="F24" s="28"/>
      <c r="G24" s="29">
        <v>2720</v>
      </c>
      <c r="H24" s="22">
        <v>0</v>
      </c>
      <c r="I24" s="30">
        <f>G24*H24</f>
        <v>0</v>
      </c>
      <c r="J24">
        <v>1</v>
      </c>
    </row>
    <row r="25" spans="1:10" x14ac:dyDescent="0.25">
      <c r="A25" s="105" t="s">
        <v>744</v>
      </c>
      <c r="B25" s="106"/>
      <c r="C25" s="106"/>
      <c r="D25" s="106"/>
      <c r="E25" s="106"/>
      <c r="F25" s="106"/>
      <c r="G25" s="106"/>
      <c r="H25" s="35">
        <v>0</v>
      </c>
      <c r="I25" s="36">
        <f>G24*H25</f>
        <v>0</v>
      </c>
      <c r="J25">
        <v>2</v>
      </c>
    </row>
    <row r="26" spans="1:10" x14ac:dyDescent="0.25">
      <c r="A26" s="107"/>
      <c r="B26" s="107"/>
      <c r="C26" s="107"/>
      <c r="D26" s="107"/>
      <c r="E26" s="107"/>
      <c r="F26" s="107"/>
      <c r="G26" s="107"/>
      <c r="H26" s="70">
        <f>H24+H25</f>
        <v>0</v>
      </c>
      <c r="I26" s="71">
        <f>I24+I25</f>
        <v>0</v>
      </c>
      <c r="J26">
        <v>5</v>
      </c>
    </row>
    <row r="27" spans="1:10" x14ac:dyDescent="0.25">
      <c r="A27" s="73"/>
      <c r="B27" s="25">
        <v>6</v>
      </c>
      <c r="C27" s="26" t="s">
        <v>310</v>
      </c>
      <c r="D27" s="27" t="s">
        <v>24</v>
      </c>
      <c r="E27" s="28"/>
      <c r="F27" s="28"/>
      <c r="G27" s="29">
        <v>120</v>
      </c>
      <c r="H27" s="22">
        <v>0</v>
      </c>
      <c r="I27" s="30">
        <f>G27*H27</f>
        <v>0</v>
      </c>
      <c r="J27">
        <v>1</v>
      </c>
    </row>
    <row r="28" spans="1:10" x14ac:dyDescent="0.25">
      <c r="A28" s="105" t="s">
        <v>745</v>
      </c>
      <c r="B28" s="106"/>
      <c r="C28" s="106"/>
      <c r="D28" s="106"/>
      <c r="E28" s="106"/>
      <c r="F28" s="106"/>
      <c r="G28" s="106"/>
      <c r="H28" s="35">
        <v>0</v>
      </c>
      <c r="I28" s="36">
        <f>G27*H28</f>
        <v>0</v>
      </c>
      <c r="J28">
        <v>2</v>
      </c>
    </row>
    <row r="29" spans="1:10" x14ac:dyDescent="0.25">
      <c r="A29" s="107"/>
      <c r="B29" s="107"/>
      <c r="C29" s="107"/>
      <c r="D29" s="107"/>
      <c r="E29" s="107"/>
      <c r="F29" s="107"/>
      <c r="G29" s="107"/>
      <c r="H29" s="70">
        <f>H27+H28</f>
        <v>0</v>
      </c>
      <c r="I29" s="71">
        <f>I27+I28</f>
        <v>0</v>
      </c>
      <c r="J29">
        <v>5</v>
      </c>
    </row>
    <row r="30" spans="1:10" x14ac:dyDescent="0.25">
      <c r="A30" s="73"/>
      <c r="B30" s="25">
        <v>7</v>
      </c>
      <c r="C30" s="26" t="s">
        <v>311</v>
      </c>
      <c r="D30" s="27" t="s">
        <v>24</v>
      </c>
      <c r="E30" s="28"/>
      <c r="F30" s="28"/>
      <c r="G30" s="29">
        <v>120</v>
      </c>
      <c r="H30" s="22">
        <v>0</v>
      </c>
      <c r="I30" s="30">
        <f>G30*H30</f>
        <v>0</v>
      </c>
      <c r="J30">
        <v>1</v>
      </c>
    </row>
    <row r="31" spans="1:10" x14ac:dyDescent="0.25">
      <c r="A31" s="105" t="s">
        <v>746</v>
      </c>
      <c r="B31" s="106"/>
      <c r="C31" s="106"/>
      <c r="D31" s="106"/>
      <c r="E31" s="106"/>
      <c r="F31" s="106"/>
      <c r="G31" s="106"/>
      <c r="H31" s="35">
        <v>0</v>
      </c>
      <c r="I31" s="36">
        <f>G30*H31</f>
        <v>0</v>
      </c>
      <c r="J31">
        <v>2</v>
      </c>
    </row>
    <row r="32" spans="1:10" x14ac:dyDescent="0.25">
      <c r="A32" s="107"/>
      <c r="B32" s="107"/>
      <c r="C32" s="107"/>
      <c r="D32" s="107"/>
      <c r="E32" s="107"/>
      <c r="F32" s="107"/>
      <c r="G32" s="107"/>
      <c r="H32" s="70">
        <f>H30+H31</f>
        <v>0</v>
      </c>
      <c r="I32" s="71">
        <f>I30+I31</f>
        <v>0</v>
      </c>
      <c r="J32">
        <v>5</v>
      </c>
    </row>
    <row r="33" spans="1:22" x14ac:dyDescent="0.25">
      <c r="A33" s="73"/>
      <c r="B33" s="25">
        <v>8</v>
      </c>
      <c r="C33" s="26" t="s">
        <v>312</v>
      </c>
      <c r="D33" s="27" t="s">
        <v>24</v>
      </c>
      <c r="E33" s="28"/>
      <c r="F33" s="28"/>
      <c r="G33" s="29">
        <v>2584</v>
      </c>
      <c r="H33" s="22">
        <v>0</v>
      </c>
      <c r="I33" s="30">
        <f>G33*H33</f>
        <v>0</v>
      </c>
      <c r="J33">
        <v>1</v>
      </c>
    </row>
    <row r="34" spans="1:22" x14ac:dyDescent="0.25">
      <c r="A34" s="105" t="s">
        <v>747</v>
      </c>
      <c r="B34" s="106"/>
      <c r="C34" s="106"/>
      <c r="D34" s="106"/>
      <c r="E34" s="106"/>
      <c r="F34" s="106"/>
      <c r="G34" s="106"/>
      <c r="H34" s="35">
        <v>0</v>
      </c>
      <c r="I34" s="36">
        <f>G33*H34</f>
        <v>0</v>
      </c>
      <c r="J34">
        <v>2</v>
      </c>
    </row>
    <row r="35" spans="1:22" x14ac:dyDescent="0.25">
      <c r="A35" s="107"/>
      <c r="B35" s="107"/>
      <c r="C35" s="107"/>
      <c r="D35" s="107"/>
      <c r="E35" s="107"/>
      <c r="F35" s="107"/>
      <c r="G35" s="107"/>
      <c r="H35" s="70">
        <f>H33+H34</f>
        <v>0</v>
      </c>
      <c r="I35" s="71">
        <f>I33+I34</f>
        <v>0</v>
      </c>
      <c r="J35">
        <v>5</v>
      </c>
    </row>
    <row r="36" spans="1:22" x14ac:dyDescent="0.25">
      <c r="A36" s="73"/>
      <c r="B36" s="25">
        <v>9</v>
      </c>
      <c r="C36" s="26" t="s">
        <v>312</v>
      </c>
      <c r="D36" s="27" t="s">
        <v>24</v>
      </c>
      <c r="E36" s="28"/>
      <c r="F36" s="28"/>
      <c r="G36" s="29">
        <v>510</v>
      </c>
      <c r="H36" s="22">
        <v>0</v>
      </c>
      <c r="I36" s="30">
        <f>G36*H36</f>
        <v>0</v>
      </c>
      <c r="J36">
        <v>1</v>
      </c>
    </row>
    <row r="37" spans="1:22" x14ac:dyDescent="0.25">
      <c r="A37" s="105" t="s">
        <v>748</v>
      </c>
      <c r="B37" s="106"/>
      <c r="C37" s="106"/>
      <c r="D37" s="106"/>
      <c r="E37" s="106"/>
      <c r="F37" s="106"/>
      <c r="G37" s="106"/>
      <c r="H37" s="35">
        <v>0</v>
      </c>
      <c r="I37" s="36">
        <f>G36*H37</f>
        <v>0</v>
      </c>
      <c r="J37">
        <v>2</v>
      </c>
    </row>
    <row r="38" spans="1:22" x14ac:dyDescent="0.25">
      <c r="A38" s="107"/>
      <c r="B38" s="107"/>
      <c r="C38" s="107"/>
      <c r="D38" s="107"/>
      <c r="E38" s="107"/>
      <c r="F38" s="107"/>
      <c r="G38" s="107"/>
      <c r="H38" s="70">
        <f>H36+H37</f>
        <v>0</v>
      </c>
      <c r="I38" s="71">
        <f>I36+I37</f>
        <v>0</v>
      </c>
      <c r="J38">
        <v>5</v>
      </c>
    </row>
    <row r="39" spans="1:22" x14ac:dyDescent="0.25">
      <c r="A39" s="73"/>
      <c r="B39" s="25">
        <v>10</v>
      </c>
      <c r="C39" s="26" t="s">
        <v>312</v>
      </c>
      <c r="D39" s="27" t="s">
        <v>24</v>
      </c>
      <c r="E39" s="28"/>
      <c r="F39" s="28"/>
      <c r="G39" s="29">
        <v>3876</v>
      </c>
      <c r="H39" s="22">
        <v>0</v>
      </c>
      <c r="I39" s="30">
        <f>G39*H39</f>
        <v>0</v>
      </c>
      <c r="J39">
        <v>1</v>
      </c>
    </row>
    <row r="40" spans="1:22" x14ac:dyDescent="0.25">
      <c r="A40" s="105" t="s">
        <v>749</v>
      </c>
      <c r="B40" s="106"/>
      <c r="C40" s="106"/>
      <c r="D40" s="106"/>
      <c r="E40" s="106"/>
      <c r="F40" s="106"/>
      <c r="G40" s="106"/>
      <c r="H40" s="35">
        <v>0</v>
      </c>
      <c r="I40" s="36">
        <f>G39*H40</f>
        <v>0</v>
      </c>
      <c r="J40">
        <v>2</v>
      </c>
    </row>
    <row r="41" spans="1:22" x14ac:dyDescent="0.25">
      <c r="A41" s="107"/>
      <c r="B41" s="107"/>
      <c r="C41" s="107"/>
      <c r="D41" s="107"/>
      <c r="E41" s="107"/>
      <c r="F41" s="107"/>
      <c r="G41" s="107"/>
      <c r="H41" s="70">
        <f>H39+H40</f>
        <v>0</v>
      </c>
      <c r="I41" s="71">
        <f>I39+I40</f>
        <v>0</v>
      </c>
      <c r="J41">
        <v>5</v>
      </c>
    </row>
    <row r="42" spans="1:22" x14ac:dyDescent="0.25">
      <c r="A42" s="73"/>
      <c r="B42" s="25">
        <v>11</v>
      </c>
      <c r="C42" s="26" t="s">
        <v>313</v>
      </c>
      <c r="D42" s="27" t="s">
        <v>24</v>
      </c>
      <c r="E42" s="28"/>
      <c r="F42" s="28"/>
      <c r="G42" s="29">
        <v>35</v>
      </c>
      <c r="H42" s="22">
        <v>0</v>
      </c>
      <c r="I42" s="30">
        <f>G42*H42</f>
        <v>0</v>
      </c>
      <c r="J42">
        <v>1</v>
      </c>
      <c r="V42" s="9"/>
    </row>
    <row r="43" spans="1:22" x14ac:dyDescent="0.25">
      <c r="A43" s="105" t="s">
        <v>750</v>
      </c>
      <c r="B43" s="106"/>
      <c r="C43" s="106"/>
      <c r="D43" s="106"/>
      <c r="E43" s="106"/>
      <c r="F43" s="106"/>
      <c r="G43" s="106"/>
      <c r="H43" s="35">
        <v>0</v>
      </c>
      <c r="I43" s="36">
        <f>G42*H43</f>
        <v>0</v>
      </c>
      <c r="J43">
        <v>2</v>
      </c>
    </row>
    <row r="44" spans="1:22" x14ac:dyDescent="0.25">
      <c r="A44" s="107"/>
      <c r="B44" s="107"/>
      <c r="C44" s="107"/>
      <c r="D44" s="107"/>
      <c r="E44" s="107"/>
      <c r="F44" s="107"/>
      <c r="G44" s="107"/>
      <c r="H44" s="70">
        <f>H42+H43</f>
        <v>0</v>
      </c>
      <c r="I44" s="71">
        <f>I42+I43</f>
        <v>0</v>
      </c>
      <c r="J44">
        <v>5</v>
      </c>
    </row>
    <row r="45" spans="1:22" x14ac:dyDescent="0.25">
      <c r="A45" s="73"/>
      <c r="B45" s="25">
        <v>12</v>
      </c>
      <c r="C45" s="26" t="s">
        <v>313</v>
      </c>
      <c r="D45" s="27" t="s">
        <v>24</v>
      </c>
      <c r="E45" s="28"/>
      <c r="F45" s="28"/>
      <c r="G45" s="29">
        <v>120</v>
      </c>
      <c r="H45" s="22">
        <v>0</v>
      </c>
      <c r="I45" s="30">
        <f>G45*H45</f>
        <v>0</v>
      </c>
      <c r="J45">
        <v>1</v>
      </c>
    </row>
    <row r="46" spans="1:22" x14ac:dyDescent="0.25">
      <c r="A46" s="105" t="s">
        <v>314</v>
      </c>
      <c r="B46" s="106"/>
      <c r="C46" s="106"/>
      <c r="D46" s="106"/>
      <c r="E46" s="106"/>
      <c r="F46" s="106"/>
      <c r="G46" s="106"/>
      <c r="H46" s="35">
        <v>0</v>
      </c>
      <c r="I46" s="36">
        <f>G45*H46</f>
        <v>0</v>
      </c>
      <c r="J46">
        <v>2</v>
      </c>
    </row>
    <row r="47" spans="1:22" x14ac:dyDescent="0.25">
      <c r="A47" s="107"/>
      <c r="B47" s="107"/>
      <c r="C47" s="107"/>
      <c r="D47" s="107"/>
      <c r="E47" s="107"/>
      <c r="F47" s="107"/>
      <c r="G47" s="107"/>
      <c r="H47" s="70">
        <f>H45+H46</f>
        <v>0</v>
      </c>
      <c r="I47" s="71">
        <f>I45+I46</f>
        <v>0</v>
      </c>
      <c r="J47">
        <v>5</v>
      </c>
    </row>
    <row r="48" spans="1:22" x14ac:dyDescent="0.25">
      <c r="A48" s="73"/>
      <c r="B48" s="25">
        <v>13</v>
      </c>
      <c r="C48" s="26" t="s">
        <v>313</v>
      </c>
      <c r="D48" s="27" t="s">
        <v>24</v>
      </c>
      <c r="E48" s="28"/>
      <c r="F48" s="28"/>
      <c r="G48" s="29">
        <v>382</v>
      </c>
      <c r="H48" s="22">
        <v>0</v>
      </c>
      <c r="I48" s="30">
        <f>G48*H48</f>
        <v>0</v>
      </c>
      <c r="J48">
        <v>1</v>
      </c>
    </row>
    <row r="49" spans="1:10" x14ac:dyDescent="0.25">
      <c r="A49" s="105" t="s">
        <v>314</v>
      </c>
      <c r="B49" s="106"/>
      <c r="C49" s="106"/>
      <c r="D49" s="106"/>
      <c r="E49" s="106"/>
      <c r="F49" s="106"/>
      <c r="G49" s="106"/>
      <c r="H49" s="35">
        <v>0</v>
      </c>
      <c r="I49" s="36">
        <f>G48*H49</f>
        <v>0</v>
      </c>
      <c r="J49">
        <v>2</v>
      </c>
    </row>
    <row r="50" spans="1:10" x14ac:dyDescent="0.25">
      <c r="A50" s="107"/>
      <c r="B50" s="107"/>
      <c r="C50" s="107"/>
      <c r="D50" s="107"/>
      <c r="E50" s="107"/>
      <c r="F50" s="107"/>
      <c r="G50" s="107"/>
      <c r="H50" s="70">
        <f>H48+H49</f>
        <v>0</v>
      </c>
      <c r="I50" s="71">
        <f>I48+I49</f>
        <v>0</v>
      </c>
      <c r="J50">
        <v>5</v>
      </c>
    </row>
    <row r="51" spans="1:10" x14ac:dyDescent="0.25">
      <c r="B51" s="31">
        <v>14</v>
      </c>
      <c r="C51" s="32" t="s">
        <v>313</v>
      </c>
      <c r="D51" s="33" t="s">
        <v>24</v>
      </c>
      <c r="G51" s="34">
        <v>8</v>
      </c>
      <c r="H51" s="35">
        <v>0</v>
      </c>
      <c r="I51" s="36">
        <f>G51*H51</f>
        <v>0</v>
      </c>
      <c r="J51">
        <v>1</v>
      </c>
    </row>
    <row r="52" spans="1:10" x14ac:dyDescent="0.25">
      <c r="A52" s="105" t="s">
        <v>751</v>
      </c>
      <c r="B52" s="106"/>
      <c r="C52" s="106"/>
      <c r="D52" s="106"/>
      <c r="E52" s="106"/>
      <c r="F52" s="106"/>
      <c r="G52" s="106"/>
      <c r="H52" s="35">
        <v>0</v>
      </c>
      <c r="I52" s="36">
        <f>G51*H52</f>
        <v>0</v>
      </c>
      <c r="J52">
        <v>2</v>
      </c>
    </row>
    <row r="53" spans="1:10" x14ac:dyDescent="0.25">
      <c r="A53" s="107"/>
      <c r="B53" s="107"/>
      <c r="C53" s="107"/>
      <c r="D53" s="107"/>
      <c r="E53" s="107"/>
      <c r="F53" s="107"/>
      <c r="G53" s="107"/>
      <c r="H53" s="70">
        <f>H51+H52</f>
        <v>0</v>
      </c>
      <c r="I53" s="71">
        <f>I51+I52</f>
        <v>0</v>
      </c>
      <c r="J53">
        <v>5</v>
      </c>
    </row>
    <row r="54" spans="1:10" x14ac:dyDescent="0.25">
      <c r="B54" s="31">
        <v>15</v>
      </c>
      <c r="C54" s="32" t="s">
        <v>313</v>
      </c>
      <c r="D54" s="33" t="s">
        <v>24</v>
      </c>
      <c r="G54" s="34">
        <v>50</v>
      </c>
      <c r="H54" s="35">
        <v>0</v>
      </c>
      <c r="I54" s="36">
        <f>G54*H54</f>
        <v>0</v>
      </c>
      <c r="J54">
        <v>1</v>
      </c>
    </row>
    <row r="55" spans="1:10" x14ac:dyDescent="0.25">
      <c r="A55" s="105" t="s">
        <v>752</v>
      </c>
      <c r="B55" s="106"/>
      <c r="C55" s="106"/>
      <c r="D55" s="106"/>
      <c r="E55" s="106"/>
      <c r="F55" s="106"/>
      <c r="G55" s="106"/>
      <c r="H55" s="35">
        <v>0</v>
      </c>
      <c r="I55" s="36">
        <f>G54*H55</f>
        <v>0</v>
      </c>
      <c r="J55">
        <v>2</v>
      </c>
    </row>
    <row r="56" spans="1:10" x14ac:dyDescent="0.25">
      <c r="A56" s="107"/>
      <c r="B56" s="107"/>
      <c r="C56" s="107"/>
      <c r="D56" s="107"/>
      <c r="E56" s="107"/>
      <c r="F56" s="107"/>
      <c r="G56" s="107"/>
      <c r="H56" s="70">
        <f>H54+H55</f>
        <v>0</v>
      </c>
      <c r="I56" s="71">
        <f>I54+I55</f>
        <v>0</v>
      </c>
      <c r="J56">
        <v>5</v>
      </c>
    </row>
    <row r="57" spans="1:10" x14ac:dyDescent="0.25">
      <c r="A57" s="73"/>
      <c r="B57" s="25">
        <v>16</v>
      </c>
      <c r="C57" s="26" t="s">
        <v>313</v>
      </c>
      <c r="D57" s="27" t="s">
        <v>24</v>
      </c>
      <c r="E57" s="28"/>
      <c r="F57" s="28"/>
      <c r="G57" s="29">
        <v>15</v>
      </c>
      <c r="H57" s="22">
        <v>0</v>
      </c>
      <c r="I57" s="30">
        <f>G57*H57</f>
        <v>0</v>
      </c>
      <c r="J57">
        <v>1</v>
      </c>
    </row>
    <row r="58" spans="1:10" x14ac:dyDescent="0.25">
      <c r="A58" s="105" t="s">
        <v>753</v>
      </c>
      <c r="B58" s="106"/>
      <c r="C58" s="106"/>
      <c r="D58" s="106"/>
      <c r="E58" s="106"/>
      <c r="F58" s="106"/>
      <c r="G58" s="106"/>
      <c r="H58" s="35">
        <v>0</v>
      </c>
      <c r="I58" s="36">
        <f>G57*H58</f>
        <v>0</v>
      </c>
      <c r="J58">
        <v>2</v>
      </c>
    </row>
    <row r="59" spans="1:10" x14ac:dyDescent="0.25">
      <c r="A59" s="107"/>
      <c r="B59" s="107"/>
      <c r="C59" s="107"/>
      <c r="D59" s="107"/>
      <c r="E59" s="107"/>
      <c r="F59" s="107"/>
      <c r="G59" s="107"/>
      <c r="H59" s="70">
        <f>H57+H58</f>
        <v>0</v>
      </c>
      <c r="I59" s="71">
        <f>I57+I58</f>
        <v>0</v>
      </c>
      <c r="J59">
        <v>5</v>
      </c>
    </row>
    <row r="60" spans="1:10" x14ac:dyDescent="0.25">
      <c r="B60" s="31">
        <v>17</v>
      </c>
      <c r="C60" s="32" t="s">
        <v>313</v>
      </c>
      <c r="D60" s="33" t="s">
        <v>24</v>
      </c>
      <c r="G60" s="34">
        <v>40</v>
      </c>
      <c r="H60" s="35">
        <v>0</v>
      </c>
      <c r="I60" s="36">
        <f>G60*H60</f>
        <v>0</v>
      </c>
      <c r="J60">
        <v>1</v>
      </c>
    </row>
    <row r="61" spans="1:10" x14ac:dyDescent="0.25">
      <c r="A61" s="105" t="s">
        <v>754</v>
      </c>
      <c r="B61" s="106"/>
      <c r="C61" s="106"/>
      <c r="D61" s="106"/>
      <c r="E61" s="106"/>
      <c r="F61" s="106"/>
      <c r="G61" s="106"/>
      <c r="H61" s="35">
        <v>0</v>
      </c>
      <c r="I61" s="36">
        <f>G60*H61</f>
        <v>0</v>
      </c>
      <c r="J61">
        <v>2</v>
      </c>
    </row>
    <row r="62" spans="1:10" x14ac:dyDescent="0.25">
      <c r="A62" s="107"/>
      <c r="B62" s="107"/>
      <c r="C62" s="107"/>
      <c r="D62" s="107"/>
      <c r="E62" s="107"/>
      <c r="F62" s="107"/>
      <c r="G62" s="107"/>
      <c r="H62" s="70">
        <f>H60+H61</f>
        <v>0</v>
      </c>
      <c r="I62" s="71">
        <f>I60+I61</f>
        <v>0</v>
      </c>
      <c r="J62">
        <v>5</v>
      </c>
    </row>
    <row r="63" spans="1:10" x14ac:dyDescent="0.25">
      <c r="A63" s="73"/>
      <c r="B63" s="25">
        <v>18</v>
      </c>
      <c r="C63" s="26" t="s">
        <v>315</v>
      </c>
      <c r="D63" s="27" t="s">
        <v>24</v>
      </c>
      <c r="E63" s="28"/>
      <c r="F63" s="28"/>
      <c r="G63" s="29">
        <v>25</v>
      </c>
      <c r="H63" s="22">
        <v>0</v>
      </c>
      <c r="I63" s="30">
        <f>G63*H63</f>
        <v>0</v>
      </c>
      <c r="J63">
        <v>1</v>
      </c>
    </row>
    <row r="64" spans="1:10" x14ac:dyDescent="0.25">
      <c r="A64" s="105" t="s">
        <v>755</v>
      </c>
      <c r="B64" s="106"/>
      <c r="C64" s="106"/>
      <c r="D64" s="106"/>
      <c r="E64" s="106"/>
      <c r="F64" s="106"/>
      <c r="G64" s="106"/>
      <c r="H64" s="35">
        <v>0</v>
      </c>
      <c r="I64" s="36">
        <f>G63*H64</f>
        <v>0</v>
      </c>
      <c r="J64">
        <v>2</v>
      </c>
    </row>
    <row r="65" spans="1:10" x14ac:dyDescent="0.25">
      <c r="A65" s="107"/>
      <c r="B65" s="107"/>
      <c r="C65" s="107"/>
      <c r="D65" s="107"/>
      <c r="E65" s="107"/>
      <c r="F65" s="107"/>
      <c r="G65" s="107"/>
      <c r="H65" s="70">
        <f>H63+H64</f>
        <v>0</v>
      </c>
      <c r="I65" s="71">
        <f>I63+I64</f>
        <v>0</v>
      </c>
      <c r="J65">
        <v>5</v>
      </c>
    </row>
    <row r="66" spans="1:10" x14ac:dyDescent="0.25">
      <c r="A66" s="73"/>
      <c r="B66" s="25">
        <v>19</v>
      </c>
      <c r="C66" s="26" t="s">
        <v>316</v>
      </c>
      <c r="D66" s="27" t="s">
        <v>24</v>
      </c>
      <c r="E66" s="28"/>
      <c r="F66" s="28"/>
      <c r="G66" s="29">
        <v>25</v>
      </c>
      <c r="H66" s="22">
        <v>0</v>
      </c>
      <c r="I66" s="30">
        <f>G66*H66</f>
        <v>0</v>
      </c>
      <c r="J66">
        <v>1</v>
      </c>
    </row>
    <row r="67" spans="1:10" x14ac:dyDescent="0.25">
      <c r="A67" s="105" t="s">
        <v>317</v>
      </c>
      <c r="B67" s="106"/>
      <c r="C67" s="106"/>
      <c r="D67" s="106"/>
      <c r="E67" s="106"/>
      <c r="F67" s="106"/>
      <c r="G67" s="106"/>
      <c r="H67" s="35">
        <v>0</v>
      </c>
      <c r="I67" s="36">
        <f>G66*H67</f>
        <v>0</v>
      </c>
      <c r="J67">
        <v>2</v>
      </c>
    </row>
    <row r="68" spans="1:10" x14ac:dyDescent="0.25">
      <c r="A68" s="107"/>
      <c r="B68" s="107"/>
      <c r="C68" s="107"/>
      <c r="D68" s="107"/>
      <c r="E68" s="107"/>
      <c r="F68" s="107"/>
      <c r="G68" s="107"/>
      <c r="H68" s="70">
        <f>H66+H67</f>
        <v>0</v>
      </c>
      <c r="I68" s="71">
        <f>I66+I67</f>
        <v>0</v>
      </c>
      <c r="J68">
        <v>5</v>
      </c>
    </row>
    <row r="69" spans="1:10" x14ac:dyDescent="0.25">
      <c r="A69" s="73"/>
      <c r="B69" s="25">
        <v>20</v>
      </c>
      <c r="C69" s="26" t="s">
        <v>316</v>
      </c>
      <c r="D69" s="27" t="s">
        <v>24</v>
      </c>
      <c r="E69" s="28"/>
      <c r="F69" s="28"/>
      <c r="G69" s="29">
        <v>40</v>
      </c>
      <c r="H69" s="22">
        <v>0</v>
      </c>
      <c r="I69" s="30">
        <f>G69*H69</f>
        <v>0</v>
      </c>
      <c r="J69">
        <v>1</v>
      </c>
    </row>
    <row r="70" spans="1:10" x14ac:dyDescent="0.25">
      <c r="A70" s="105" t="s">
        <v>756</v>
      </c>
      <c r="B70" s="106"/>
      <c r="C70" s="106"/>
      <c r="D70" s="106"/>
      <c r="E70" s="106"/>
      <c r="F70" s="106"/>
      <c r="G70" s="106"/>
      <c r="H70" s="35">
        <v>0</v>
      </c>
      <c r="I70" s="36">
        <f>G69*H70</f>
        <v>0</v>
      </c>
      <c r="J70">
        <v>2</v>
      </c>
    </row>
    <row r="71" spans="1:10" x14ac:dyDescent="0.25">
      <c r="A71" s="107"/>
      <c r="B71" s="107"/>
      <c r="C71" s="107"/>
      <c r="D71" s="107"/>
      <c r="E71" s="107"/>
      <c r="F71" s="107"/>
      <c r="G71" s="107"/>
      <c r="H71" s="70">
        <f>H69+H70</f>
        <v>0</v>
      </c>
      <c r="I71" s="71">
        <f>I69+I70</f>
        <v>0</v>
      </c>
      <c r="J71">
        <v>5</v>
      </c>
    </row>
    <row r="72" spans="1:10" x14ac:dyDescent="0.25">
      <c r="A72" s="73"/>
      <c r="B72" s="25">
        <v>21</v>
      </c>
      <c r="C72" s="26" t="s">
        <v>316</v>
      </c>
      <c r="D72" s="27" t="s">
        <v>24</v>
      </c>
      <c r="E72" s="28"/>
      <c r="F72" s="28"/>
      <c r="G72" s="29">
        <v>35</v>
      </c>
      <c r="H72" s="22">
        <v>0</v>
      </c>
      <c r="I72" s="30">
        <f>G72*H72</f>
        <v>0</v>
      </c>
      <c r="J72">
        <v>1</v>
      </c>
    </row>
    <row r="73" spans="1:10" x14ac:dyDescent="0.25">
      <c r="A73" s="105" t="s">
        <v>757</v>
      </c>
      <c r="B73" s="106"/>
      <c r="C73" s="106"/>
      <c r="D73" s="106"/>
      <c r="E73" s="106"/>
      <c r="F73" s="106"/>
      <c r="G73" s="106"/>
      <c r="H73" s="35">
        <v>0</v>
      </c>
      <c r="I73" s="36">
        <f>G72*H73</f>
        <v>0</v>
      </c>
      <c r="J73">
        <v>2</v>
      </c>
    </row>
    <row r="74" spans="1:10" x14ac:dyDescent="0.25">
      <c r="A74" s="107"/>
      <c r="B74" s="107"/>
      <c r="C74" s="107"/>
      <c r="D74" s="107"/>
      <c r="E74" s="107"/>
      <c r="F74" s="107"/>
      <c r="G74" s="107"/>
      <c r="H74" s="70">
        <f>H72+H73</f>
        <v>0</v>
      </c>
      <c r="I74" s="71">
        <f>I72+I73</f>
        <v>0</v>
      </c>
      <c r="J74">
        <v>5</v>
      </c>
    </row>
    <row r="75" spans="1:10" x14ac:dyDescent="0.25">
      <c r="A75" s="73"/>
      <c r="B75" s="25">
        <v>22</v>
      </c>
      <c r="C75" s="26" t="s">
        <v>316</v>
      </c>
      <c r="D75" s="27" t="s">
        <v>24</v>
      </c>
      <c r="E75" s="28"/>
      <c r="F75" s="28"/>
      <c r="G75" s="29">
        <v>5</v>
      </c>
      <c r="H75" s="22">
        <v>0</v>
      </c>
      <c r="I75" s="30">
        <f>G75*H75</f>
        <v>0</v>
      </c>
      <c r="J75">
        <v>1</v>
      </c>
    </row>
    <row r="76" spans="1:10" x14ac:dyDescent="0.25">
      <c r="A76" s="105" t="s">
        <v>758</v>
      </c>
      <c r="B76" s="106"/>
      <c r="C76" s="106"/>
      <c r="D76" s="106"/>
      <c r="E76" s="106"/>
      <c r="F76" s="106"/>
      <c r="G76" s="106"/>
      <c r="H76" s="35">
        <v>0</v>
      </c>
      <c r="I76" s="36">
        <f>G75*H76</f>
        <v>0</v>
      </c>
      <c r="J76">
        <v>2</v>
      </c>
    </row>
    <row r="77" spans="1:10" x14ac:dyDescent="0.25">
      <c r="A77" s="107"/>
      <c r="B77" s="107"/>
      <c r="C77" s="107"/>
      <c r="D77" s="107"/>
      <c r="E77" s="107"/>
      <c r="F77" s="107"/>
      <c r="G77" s="107"/>
      <c r="H77" s="70">
        <f>H75+H76</f>
        <v>0</v>
      </c>
      <c r="I77" s="71">
        <f>I75+I76</f>
        <v>0</v>
      </c>
      <c r="J77">
        <v>5</v>
      </c>
    </row>
    <row r="78" spans="1:10" x14ac:dyDescent="0.25">
      <c r="A78" s="73"/>
      <c r="B78" s="25">
        <v>23</v>
      </c>
      <c r="C78" s="26" t="s">
        <v>318</v>
      </c>
      <c r="D78" s="27" t="s">
        <v>24</v>
      </c>
      <c r="E78" s="28"/>
      <c r="F78" s="28"/>
      <c r="G78" s="29">
        <v>85</v>
      </c>
      <c r="H78" s="22">
        <v>0</v>
      </c>
      <c r="I78" s="30">
        <f>G78*H78</f>
        <v>0</v>
      </c>
      <c r="J78">
        <v>1</v>
      </c>
    </row>
    <row r="79" spans="1:10" x14ac:dyDescent="0.25">
      <c r="A79" s="105" t="s">
        <v>759</v>
      </c>
      <c r="B79" s="106"/>
      <c r="C79" s="106"/>
      <c r="D79" s="106"/>
      <c r="E79" s="106"/>
      <c r="F79" s="106"/>
      <c r="G79" s="106"/>
      <c r="H79" s="35">
        <v>0</v>
      </c>
      <c r="I79" s="36">
        <f>G78*H79</f>
        <v>0</v>
      </c>
      <c r="J79">
        <v>2</v>
      </c>
    </row>
    <row r="80" spans="1:10" x14ac:dyDescent="0.25">
      <c r="A80" s="107"/>
      <c r="B80" s="107"/>
      <c r="C80" s="107"/>
      <c r="D80" s="107"/>
      <c r="E80" s="107"/>
      <c r="F80" s="107"/>
      <c r="G80" s="107"/>
      <c r="H80" s="70">
        <f>H78+H79</f>
        <v>0</v>
      </c>
      <c r="I80" s="71">
        <f>I78+I79</f>
        <v>0</v>
      </c>
      <c r="J80">
        <v>5</v>
      </c>
    </row>
    <row r="81" spans="1:10" x14ac:dyDescent="0.25">
      <c r="A81" s="73"/>
      <c r="B81" s="25">
        <v>24</v>
      </c>
      <c r="C81" s="26" t="s">
        <v>316</v>
      </c>
      <c r="D81" s="27" t="s">
        <v>24</v>
      </c>
      <c r="E81" s="28"/>
      <c r="F81" s="28"/>
      <c r="G81" s="29">
        <v>85</v>
      </c>
      <c r="H81" s="22">
        <v>0</v>
      </c>
      <c r="I81" s="30">
        <f>G81*H81</f>
        <v>0</v>
      </c>
      <c r="J81">
        <v>1</v>
      </c>
    </row>
    <row r="82" spans="1:10" x14ac:dyDescent="0.25">
      <c r="A82" s="105" t="s">
        <v>760</v>
      </c>
      <c r="B82" s="106"/>
      <c r="C82" s="106"/>
      <c r="D82" s="106"/>
      <c r="E82" s="106"/>
      <c r="F82" s="106"/>
      <c r="G82" s="106"/>
      <c r="H82" s="35">
        <v>0</v>
      </c>
      <c r="I82" s="36">
        <f>G81*H82</f>
        <v>0</v>
      </c>
      <c r="J82">
        <v>2</v>
      </c>
    </row>
    <row r="83" spans="1:10" x14ac:dyDescent="0.25">
      <c r="A83" s="107"/>
      <c r="B83" s="107"/>
      <c r="C83" s="107"/>
      <c r="D83" s="107"/>
      <c r="E83" s="107"/>
      <c r="F83" s="107"/>
      <c r="G83" s="107"/>
      <c r="H83" s="70">
        <f>H81+H82</f>
        <v>0</v>
      </c>
      <c r="I83" s="71">
        <f>I81+I82</f>
        <v>0</v>
      </c>
      <c r="J83">
        <v>5</v>
      </c>
    </row>
    <row r="84" spans="1:10" x14ac:dyDescent="0.25">
      <c r="A84" s="73"/>
      <c r="B84" s="25">
        <v>25</v>
      </c>
      <c r="C84" s="26" t="s">
        <v>318</v>
      </c>
      <c r="D84" s="27" t="s">
        <v>24</v>
      </c>
      <c r="E84" s="28"/>
      <c r="F84" s="28"/>
      <c r="G84" s="29">
        <v>35</v>
      </c>
      <c r="H84" s="22">
        <v>0</v>
      </c>
      <c r="I84" s="30">
        <f>G84*H84</f>
        <v>0</v>
      </c>
      <c r="J84">
        <v>1</v>
      </c>
    </row>
    <row r="85" spans="1:10" x14ac:dyDescent="0.25">
      <c r="A85" s="105" t="s">
        <v>761</v>
      </c>
      <c r="B85" s="106"/>
      <c r="C85" s="106"/>
      <c r="D85" s="106"/>
      <c r="E85" s="106"/>
      <c r="F85" s="106"/>
      <c r="G85" s="106"/>
      <c r="H85" s="35">
        <v>0</v>
      </c>
      <c r="I85" s="36">
        <f>G84*H85</f>
        <v>0</v>
      </c>
      <c r="J85">
        <v>2</v>
      </c>
    </row>
    <row r="86" spans="1:10" x14ac:dyDescent="0.25">
      <c r="A86" s="107"/>
      <c r="B86" s="107"/>
      <c r="C86" s="107"/>
      <c r="D86" s="107"/>
      <c r="E86" s="107"/>
      <c r="F86" s="107"/>
      <c r="G86" s="107"/>
      <c r="H86" s="70">
        <f>H84+H85</f>
        <v>0</v>
      </c>
      <c r="I86" s="71">
        <f>I84+I85</f>
        <v>0</v>
      </c>
      <c r="J86">
        <v>5</v>
      </c>
    </row>
    <row r="87" spans="1:10" x14ac:dyDescent="0.25">
      <c r="A87" s="73"/>
      <c r="B87" s="25">
        <v>26</v>
      </c>
      <c r="C87" s="26" t="s">
        <v>316</v>
      </c>
      <c r="D87" s="27" t="s">
        <v>24</v>
      </c>
      <c r="E87" s="28"/>
      <c r="F87" s="28"/>
      <c r="G87" s="29">
        <v>35</v>
      </c>
      <c r="H87" s="22">
        <v>0</v>
      </c>
      <c r="I87" s="30">
        <f>G87*H87</f>
        <v>0</v>
      </c>
      <c r="J87">
        <v>1</v>
      </c>
    </row>
    <row r="88" spans="1:10" x14ac:dyDescent="0.25">
      <c r="A88" s="105" t="s">
        <v>762</v>
      </c>
      <c r="B88" s="106"/>
      <c r="C88" s="106"/>
      <c r="D88" s="106"/>
      <c r="E88" s="106"/>
      <c r="F88" s="106"/>
      <c r="G88" s="106"/>
      <c r="H88" s="35">
        <v>0</v>
      </c>
      <c r="I88" s="36">
        <f>G87*H88</f>
        <v>0</v>
      </c>
      <c r="J88">
        <v>2</v>
      </c>
    </row>
    <row r="89" spans="1:10" x14ac:dyDescent="0.25">
      <c r="A89" s="107"/>
      <c r="B89" s="107"/>
      <c r="C89" s="107"/>
      <c r="D89" s="107"/>
      <c r="E89" s="107"/>
      <c r="F89" s="107"/>
      <c r="G89" s="107"/>
      <c r="H89" s="70">
        <f>H87+H88</f>
        <v>0</v>
      </c>
      <c r="I89" s="71">
        <f>I87+I88</f>
        <v>0</v>
      </c>
      <c r="J89">
        <v>5</v>
      </c>
    </row>
    <row r="90" spans="1:10" x14ac:dyDescent="0.25">
      <c r="A90" s="73"/>
      <c r="B90" s="25">
        <v>27</v>
      </c>
      <c r="C90" s="26" t="s">
        <v>319</v>
      </c>
      <c r="D90" s="27" t="s">
        <v>24</v>
      </c>
      <c r="E90" s="28"/>
      <c r="F90" s="28"/>
      <c r="G90" s="29">
        <v>3</v>
      </c>
      <c r="H90" s="22">
        <v>0</v>
      </c>
      <c r="I90" s="30">
        <f>G90*H90</f>
        <v>0</v>
      </c>
      <c r="J90">
        <v>1</v>
      </c>
    </row>
    <row r="91" spans="1:10" x14ac:dyDescent="0.25">
      <c r="A91" s="105" t="s">
        <v>763</v>
      </c>
      <c r="B91" s="106"/>
      <c r="C91" s="106"/>
      <c r="D91" s="106"/>
      <c r="E91" s="106"/>
      <c r="F91" s="106"/>
      <c r="G91" s="106"/>
      <c r="H91" s="35">
        <v>0</v>
      </c>
      <c r="I91" s="36">
        <f>G90*H91</f>
        <v>0</v>
      </c>
      <c r="J91">
        <v>2</v>
      </c>
    </row>
    <row r="92" spans="1:10" x14ac:dyDescent="0.25">
      <c r="A92" s="107"/>
      <c r="B92" s="107"/>
      <c r="C92" s="107"/>
      <c r="D92" s="107"/>
      <c r="E92" s="107"/>
      <c r="F92" s="107"/>
      <c r="G92" s="107"/>
      <c r="H92" s="70">
        <f>H90+H91</f>
        <v>0</v>
      </c>
      <c r="I92" s="71">
        <f>I90+I91</f>
        <v>0</v>
      </c>
      <c r="J92">
        <v>5</v>
      </c>
    </row>
    <row r="93" spans="1:10" x14ac:dyDescent="0.25">
      <c r="A93" s="73"/>
      <c r="B93" s="25">
        <v>28</v>
      </c>
      <c r="C93" s="26" t="s">
        <v>318</v>
      </c>
      <c r="D93" s="27" t="s">
        <v>24</v>
      </c>
      <c r="E93" s="28"/>
      <c r="F93" s="28"/>
      <c r="G93" s="29">
        <v>3</v>
      </c>
      <c r="H93" s="22">
        <v>0</v>
      </c>
      <c r="I93" s="30">
        <f>G93*H93</f>
        <v>0</v>
      </c>
      <c r="J93">
        <v>1</v>
      </c>
    </row>
    <row r="94" spans="1:10" x14ac:dyDescent="0.25">
      <c r="A94" s="105" t="s">
        <v>764</v>
      </c>
      <c r="B94" s="106"/>
      <c r="C94" s="106"/>
      <c r="D94" s="106"/>
      <c r="E94" s="106"/>
      <c r="F94" s="106"/>
      <c r="G94" s="106"/>
      <c r="H94" s="35">
        <v>0</v>
      </c>
      <c r="I94" s="36">
        <f>G93*H94</f>
        <v>0</v>
      </c>
      <c r="J94">
        <v>2</v>
      </c>
    </row>
    <row r="95" spans="1:10" x14ac:dyDescent="0.25">
      <c r="A95" s="107"/>
      <c r="B95" s="107"/>
      <c r="C95" s="107"/>
      <c r="D95" s="107"/>
      <c r="E95" s="107"/>
      <c r="F95" s="107"/>
      <c r="G95" s="107"/>
      <c r="H95" s="70">
        <f>H93+H94</f>
        <v>0</v>
      </c>
      <c r="I95" s="71">
        <f>I93+I94</f>
        <v>0</v>
      </c>
      <c r="J95">
        <v>5</v>
      </c>
    </row>
    <row r="96" spans="1:10" x14ac:dyDescent="0.25">
      <c r="A96" s="73"/>
      <c r="B96" s="25">
        <v>29</v>
      </c>
      <c r="C96" s="26" t="s">
        <v>319</v>
      </c>
      <c r="D96" s="27" t="s">
        <v>24</v>
      </c>
      <c r="E96" s="28"/>
      <c r="F96" s="28"/>
      <c r="G96" s="29">
        <v>20</v>
      </c>
      <c r="H96" s="22">
        <v>0</v>
      </c>
      <c r="I96" s="30">
        <f>G96*H96</f>
        <v>0</v>
      </c>
      <c r="J96">
        <v>1</v>
      </c>
    </row>
    <row r="97" spans="1:10" x14ac:dyDescent="0.25">
      <c r="A97" s="105" t="s">
        <v>765</v>
      </c>
      <c r="B97" s="106"/>
      <c r="C97" s="106"/>
      <c r="D97" s="106"/>
      <c r="E97" s="106"/>
      <c r="F97" s="106"/>
      <c r="G97" s="106"/>
      <c r="H97" s="35">
        <v>0</v>
      </c>
      <c r="I97" s="36">
        <f>G96*H97</f>
        <v>0</v>
      </c>
      <c r="J97">
        <v>2</v>
      </c>
    </row>
    <row r="98" spans="1:10" x14ac:dyDescent="0.25">
      <c r="A98" s="107"/>
      <c r="B98" s="107"/>
      <c r="C98" s="107"/>
      <c r="D98" s="107"/>
      <c r="E98" s="107"/>
      <c r="F98" s="107"/>
      <c r="G98" s="107"/>
      <c r="H98" s="70">
        <f>H96+H97</f>
        <v>0</v>
      </c>
      <c r="I98" s="71">
        <f>I96+I97</f>
        <v>0</v>
      </c>
      <c r="J98">
        <v>5</v>
      </c>
    </row>
    <row r="99" spans="1:10" x14ac:dyDescent="0.25">
      <c r="A99" s="73"/>
      <c r="B99" s="25">
        <v>30</v>
      </c>
      <c r="C99" s="26" t="s">
        <v>318</v>
      </c>
      <c r="D99" s="27" t="s">
        <v>24</v>
      </c>
      <c r="E99" s="28"/>
      <c r="F99" s="28"/>
      <c r="G99" s="29">
        <v>20</v>
      </c>
      <c r="H99" s="22">
        <v>0</v>
      </c>
      <c r="I99" s="30">
        <f>G99*H99</f>
        <v>0</v>
      </c>
      <c r="J99">
        <v>1</v>
      </c>
    </row>
    <row r="100" spans="1:10" x14ac:dyDescent="0.25">
      <c r="A100" s="105" t="s">
        <v>766</v>
      </c>
      <c r="B100" s="106"/>
      <c r="C100" s="106"/>
      <c r="D100" s="106"/>
      <c r="E100" s="106"/>
      <c r="F100" s="106"/>
      <c r="G100" s="106"/>
      <c r="H100" s="35">
        <v>0</v>
      </c>
      <c r="I100" s="36">
        <f>G99*H100</f>
        <v>0</v>
      </c>
      <c r="J100">
        <v>2</v>
      </c>
    </row>
    <row r="101" spans="1:10" x14ac:dyDescent="0.25">
      <c r="A101" s="107"/>
      <c r="B101" s="107"/>
      <c r="C101" s="107"/>
      <c r="D101" s="107"/>
      <c r="E101" s="107"/>
      <c r="F101" s="107"/>
      <c r="G101" s="107"/>
      <c r="H101" s="70">
        <f>H99+H100</f>
        <v>0</v>
      </c>
      <c r="I101" s="71">
        <f>I99+I100</f>
        <v>0</v>
      </c>
      <c r="J101">
        <v>5</v>
      </c>
    </row>
    <row r="102" spans="1:10" x14ac:dyDescent="0.25">
      <c r="A102" s="73"/>
      <c r="B102" s="25">
        <v>31</v>
      </c>
      <c r="C102" s="26" t="s">
        <v>320</v>
      </c>
      <c r="D102" s="27" t="s">
        <v>24</v>
      </c>
      <c r="E102" s="28"/>
      <c r="F102" s="28"/>
      <c r="G102" s="29">
        <v>12800</v>
      </c>
      <c r="H102" s="22">
        <v>0</v>
      </c>
      <c r="I102" s="30">
        <f>G102*H102</f>
        <v>0</v>
      </c>
      <c r="J102">
        <v>1</v>
      </c>
    </row>
    <row r="103" spans="1:10" x14ac:dyDescent="0.25">
      <c r="A103" s="105" t="s">
        <v>767</v>
      </c>
      <c r="B103" s="106"/>
      <c r="C103" s="106"/>
      <c r="D103" s="106"/>
      <c r="E103" s="106"/>
      <c r="F103" s="106"/>
      <c r="G103" s="106"/>
      <c r="H103" s="35">
        <v>0</v>
      </c>
      <c r="I103" s="36">
        <f>G102*H103</f>
        <v>0</v>
      </c>
      <c r="J103">
        <v>2</v>
      </c>
    </row>
    <row r="104" spans="1:10" x14ac:dyDescent="0.25">
      <c r="A104" s="107"/>
      <c r="B104" s="107"/>
      <c r="C104" s="107"/>
      <c r="D104" s="107"/>
      <c r="E104" s="107"/>
      <c r="F104" s="107"/>
      <c r="G104" s="107"/>
      <c r="H104" s="70">
        <f>H102+H103</f>
        <v>0</v>
      </c>
      <c r="I104" s="71">
        <f>I102+I103</f>
        <v>0</v>
      </c>
      <c r="J104">
        <v>5</v>
      </c>
    </row>
    <row r="105" spans="1:10" x14ac:dyDescent="0.25">
      <c r="A105" s="73"/>
      <c r="B105" s="25">
        <v>32</v>
      </c>
      <c r="C105" s="26" t="s">
        <v>320</v>
      </c>
      <c r="D105" s="27" t="s">
        <v>24</v>
      </c>
      <c r="E105" s="28"/>
      <c r="F105" s="28"/>
      <c r="G105" s="29">
        <v>520</v>
      </c>
      <c r="H105" s="22">
        <v>0</v>
      </c>
      <c r="I105" s="30">
        <f>G105*H105</f>
        <v>0</v>
      </c>
      <c r="J105">
        <v>1</v>
      </c>
    </row>
    <row r="106" spans="1:10" x14ac:dyDescent="0.25">
      <c r="A106" s="105" t="s">
        <v>768</v>
      </c>
      <c r="B106" s="106"/>
      <c r="C106" s="106"/>
      <c r="D106" s="106"/>
      <c r="E106" s="106"/>
      <c r="F106" s="106"/>
      <c r="G106" s="106"/>
      <c r="H106" s="35">
        <v>0</v>
      </c>
      <c r="I106" s="36">
        <f>G105*H106</f>
        <v>0</v>
      </c>
      <c r="J106">
        <v>2</v>
      </c>
    </row>
    <row r="107" spans="1:10" x14ac:dyDescent="0.25">
      <c r="A107" s="107"/>
      <c r="B107" s="107"/>
      <c r="C107" s="107"/>
      <c r="D107" s="107"/>
      <c r="E107" s="107"/>
      <c r="F107" s="107"/>
      <c r="G107" s="107"/>
      <c r="H107" s="70">
        <f>H105+H106</f>
        <v>0</v>
      </c>
      <c r="I107" s="71">
        <f>I105+I106</f>
        <v>0</v>
      </c>
      <c r="J107">
        <v>5</v>
      </c>
    </row>
    <row r="108" spans="1:10" x14ac:dyDescent="0.25">
      <c r="A108" s="73"/>
      <c r="B108" s="25">
        <v>33</v>
      </c>
      <c r="C108" s="26" t="s">
        <v>321</v>
      </c>
      <c r="D108" s="27" t="s">
        <v>24</v>
      </c>
      <c r="E108" s="28"/>
      <c r="F108" s="28"/>
      <c r="G108" s="29">
        <v>374</v>
      </c>
      <c r="H108" s="22">
        <v>0</v>
      </c>
      <c r="I108" s="30">
        <f>G108*H108</f>
        <v>0</v>
      </c>
      <c r="J108">
        <v>1</v>
      </c>
    </row>
    <row r="109" spans="1:10" x14ac:dyDescent="0.25">
      <c r="A109" s="105" t="s">
        <v>769</v>
      </c>
      <c r="B109" s="106"/>
      <c r="C109" s="106"/>
      <c r="D109" s="106"/>
      <c r="E109" s="106"/>
      <c r="F109" s="106"/>
      <c r="G109" s="106"/>
      <c r="H109" s="35">
        <v>0</v>
      </c>
      <c r="I109" s="36">
        <f>G108*H109</f>
        <v>0</v>
      </c>
      <c r="J109">
        <v>2</v>
      </c>
    </row>
    <row r="110" spans="1:10" x14ac:dyDescent="0.25">
      <c r="A110" s="107"/>
      <c r="B110" s="107"/>
      <c r="C110" s="107"/>
      <c r="D110" s="107"/>
      <c r="E110" s="107"/>
      <c r="F110" s="107"/>
      <c r="G110" s="107"/>
      <c r="H110" s="70">
        <f>H108+H109</f>
        <v>0</v>
      </c>
      <c r="I110" s="71">
        <f>I108+I109</f>
        <v>0</v>
      </c>
      <c r="J110">
        <v>5</v>
      </c>
    </row>
    <row r="111" spans="1:10" x14ac:dyDescent="0.25">
      <c r="A111" s="73"/>
      <c r="B111" s="25">
        <v>34</v>
      </c>
      <c r="C111" s="26" t="s">
        <v>321</v>
      </c>
      <c r="D111" s="27" t="s">
        <v>24</v>
      </c>
      <c r="E111" s="28"/>
      <c r="F111" s="28"/>
      <c r="G111" s="29">
        <v>195</v>
      </c>
      <c r="H111" s="22">
        <v>0</v>
      </c>
      <c r="I111" s="30">
        <f>G111*H111</f>
        <v>0</v>
      </c>
      <c r="J111">
        <v>1</v>
      </c>
    </row>
    <row r="112" spans="1:10" x14ac:dyDescent="0.25">
      <c r="A112" s="105" t="s">
        <v>770</v>
      </c>
      <c r="B112" s="106"/>
      <c r="C112" s="106"/>
      <c r="D112" s="106"/>
      <c r="E112" s="106"/>
      <c r="F112" s="106"/>
      <c r="G112" s="106"/>
      <c r="H112" s="35">
        <v>0</v>
      </c>
      <c r="I112" s="36">
        <f>G111*H112</f>
        <v>0</v>
      </c>
      <c r="J112">
        <v>2</v>
      </c>
    </row>
    <row r="113" spans="1:23" x14ac:dyDescent="0.25">
      <c r="A113" s="107"/>
      <c r="B113" s="107"/>
      <c r="C113" s="107"/>
      <c r="D113" s="107"/>
      <c r="E113" s="107"/>
      <c r="F113" s="107"/>
      <c r="G113" s="107"/>
      <c r="H113" s="70">
        <f>H111+H112</f>
        <v>0</v>
      </c>
      <c r="I113" s="71">
        <f>I111+I112</f>
        <v>0</v>
      </c>
      <c r="J113">
        <v>5</v>
      </c>
    </row>
    <row r="114" spans="1:23" x14ac:dyDescent="0.25">
      <c r="A114" s="73"/>
      <c r="B114" s="25">
        <v>35</v>
      </c>
      <c r="C114" s="26" t="s">
        <v>321</v>
      </c>
      <c r="D114" s="27" t="s">
        <v>24</v>
      </c>
      <c r="E114" s="28"/>
      <c r="F114" s="28"/>
      <c r="G114" s="29">
        <v>640</v>
      </c>
      <c r="H114" s="22">
        <v>0</v>
      </c>
      <c r="I114" s="30">
        <f>G114*H114</f>
        <v>0</v>
      </c>
      <c r="J114">
        <v>1</v>
      </c>
    </row>
    <row r="115" spans="1:23" x14ac:dyDescent="0.25">
      <c r="A115" s="105" t="s">
        <v>771</v>
      </c>
      <c r="B115" s="106"/>
      <c r="C115" s="106"/>
      <c r="D115" s="106"/>
      <c r="E115" s="106"/>
      <c r="F115" s="106"/>
      <c r="G115" s="106"/>
      <c r="H115" s="35">
        <v>0</v>
      </c>
      <c r="I115" s="36">
        <f>G114*H115</f>
        <v>0</v>
      </c>
      <c r="J115">
        <v>2</v>
      </c>
    </row>
    <row r="116" spans="1:23" x14ac:dyDescent="0.25">
      <c r="A116" s="107"/>
      <c r="B116" s="107"/>
      <c r="C116" s="107"/>
      <c r="D116" s="107"/>
      <c r="E116" s="107"/>
      <c r="F116" s="107"/>
      <c r="G116" s="107"/>
      <c r="H116" s="70">
        <f>H114+H115</f>
        <v>0</v>
      </c>
      <c r="I116" s="71">
        <f>I114+I115</f>
        <v>0</v>
      </c>
      <c r="J116">
        <v>5</v>
      </c>
    </row>
    <row r="117" spans="1:23" x14ac:dyDescent="0.25">
      <c r="A117" s="73"/>
      <c r="B117" s="25">
        <v>36</v>
      </c>
      <c r="C117" s="26" t="s">
        <v>322</v>
      </c>
      <c r="D117" s="27" t="s">
        <v>25</v>
      </c>
      <c r="E117" s="28"/>
      <c r="F117" s="28"/>
      <c r="G117" s="29">
        <v>161</v>
      </c>
      <c r="H117" s="22">
        <v>0</v>
      </c>
      <c r="I117" s="30">
        <f>G117*H117</f>
        <v>0</v>
      </c>
      <c r="J117">
        <v>1</v>
      </c>
    </row>
    <row r="118" spans="1:23" x14ac:dyDescent="0.25">
      <c r="A118" s="105" t="s">
        <v>772</v>
      </c>
      <c r="B118" s="106"/>
      <c r="C118" s="106"/>
      <c r="D118" s="106"/>
      <c r="E118" s="106"/>
      <c r="F118" s="106"/>
      <c r="G118" s="106"/>
      <c r="H118" s="35">
        <v>0</v>
      </c>
      <c r="I118" s="36">
        <f>G117*H118</f>
        <v>0</v>
      </c>
      <c r="J118">
        <v>2</v>
      </c>
    </row>
    <row r="119" spans="1:23" x14ac:dyDescent="0.25">
      <c r="A119" s="107"/>
      <c r="B119" s="107"/>
      <c r="C119" s="107"/>
      <c r="D119" s="107"/>
      <c r="E119" s="107"/>
      <c r="F119" s="107"/>
      <c r="G119" s="107"/>
      <c r="H119" s="70">
        <f>H117+H118</f>
        <v>0</v>
      </c>
      <c r="I119" s="71">
        <f>I117+I118</f>
        <v>0</v>
      </c>
      <c r="J119">
        <v>5</v>
      </c>
      <c r="W119" s="9"/>
    </row>
    <row r="120" spans="1:23" x14ac:dyDescent="0.25">
      <c r="A120" s="73"/>
      <c r="B120" s="25">
        <v>37</v>
      </c>
      <c r="C120" s="26" t="s">
        <v>322</v>
      </c>
      <c r="D120" s="27" t="s">
        <v>25</v>
      </c>
      <c r="E120" s="28"/>
      <c r="F120" s="28"/>
      <c r="G120" s="29">
        <v>22</v>
      </c>
      <c r="H120" s="22">
        <v>0</v>
      </c>
      <c r="I120" s="30">
        <f>G120*H120</f>
        <v>0</v>
      </c>
      <c r="J120">
        <v>1</v>
      </c>
    </row>
    <row r="121" spans="1:23" x14ac:dyDescent="0.25">
      <c r="A121" s="105" t="s">
        <v>773</v>
      </c>
      <c r="B121" s="106"/>
      <c r="C121" s="106"/>
      <c r="D121" s="106"/>
      <c r="E121" s="106"/>
      <c r="F121" s="106"/>
      <c r="G121" s="106"/>
      <c r="H121" s="35">
        <v>0</v>
      </c>
      <c r="I121" s="36">
        <f>G120*H121</f>
        <v>0</v>
      </c>
      <c r="J121">
        <v>2</v>
      </c>
    </row>
    <row r="122" spans="1:23" x14ac:dyDescent="0.25">
      <c r="A122" s="107"/>
      <c r="B122" s="107"/>
      <c r="C122" s="107"/>
      <c r="D122" s="107"/>
      <c r="E122" s="107"/>
      <c r="F122" s="107"/>
      <c r="G122" s="107"/>
      <c r="H122" s="70">
        <f>H120+H121</f>
        <v>0</v>
      </c>
      <c r="I122" s="71">
        <f>I120+I121</f>
        <v>0</v>
      </c>
      <c r="J122">
        <v>5</v>
      </c>
    </row>
    <row r="123" spans="1:23" x14ac:dyDescent="0.25">
      <c r="B123" s="31">
        <v>38</v>
      </c>
      <c r="C123" s="32" t="s">
        <v>322</v>
      </c>
      <c r="D123" s="33" t="s">
        <v>25</v>
      </c>
      <c r="G123" s="34">
        <v>23</v>
      </c>
      <c r="H123" s="35">
        <v>0</v>
      </c>
      <c r="I123" s="36">
        <f>G123*H123</f>
        <v>0</v>
      </c>
      <c r="J123">
        <v>1</v>
      </c>
    </row>
    <row r="124" spans="1:23" x14ac:dyDescent="0.25">
      <c r="A124" s="105" t="s">
        <v>774</v>
      </c>
      <c r="B124" s="106"/>
      <c r="C124" s="106"/>
      <c r="D124" s="106"/>
      <c r="E124" s="106"/>
      <c r="F124" s="106"/>
      <c r="G124" s="106"/>
      <c r="H124" s="35">
        <v>0</v>
      </c>
      <c r="I124" s="36">
        <f>G123*H124</f>
        <v>0</v>
      </c>
      <c r="J124">
        <v>2</v>
      </c>
    </row>
    <row r="125" spans="1:23" x14ac:dyDescent="0.25">
      <c r="A125" s="107"/>
      <c r="B125" s="107"/>
      <c r="C125" s="107"/>
      <c r="D125" s="107"/>
      <c r="E125" s="107"/>
      <c r="F125" s="107"/>
      <c r="G125" s="107"/>
      <c r="H125" s="70">
        <f>H123+H124</f>
        <v>0</v>
      </c>
      <c r="I125" s="71">
        <f>I123+I124</f>
        <v>0</v>
      </c>
      <c r="J125">
        <v>5</v>
      </c>
    </row>
    <row r="126" spans="1:23" x14ac:dyDescent="0.25">
      <c r="A126" s="73"/>
      <c r="B126" s="25">
        <v>39</v>
      </c>
      <c r="C126" s="26" t="s">
        <v>322</v>
      </c>
      <c r="D126" s="27" t="s">
        <v>25</v>
      </c>
      <c r="E126" s="28"/>
      <c r="F126" s="28"/>
      <c r="G126" s="29">
        <v>47</v>
      </c>
      <c r="H126" s="22">
        <v>0</v>
      </c>
      <c r="I126" s="30">
        <f>G126*H126</f>
        <v>0</v>
      </c>
      <c r="J126">
        <v>1</v>
      </c>
    </row>
    <row r="127" spans="1:23" x14ac:dyDescent="0.25">
      <c r="A127" s="105" t="s">
        <v>775</v>
      </c>
      <c r="B127" s="106"/>
      <c r="C127" s="106"/>
      <c r="D127" s="106"/>
      <c r="E127" s="106"/>
      <c r="F127" s="106"/>
      <c r="G127" s="106"/>
      <c r="H127" s="35">
        <v>0</v>
      </c>
      <c r="I127" s="36">
        <f>G126*H127</f>
        <v>0</v>
      </c>
      <c r="J127">
        <v>2</v>
      </c>
    </row>
    <row r="128" spans="1:23" x14ac:dyDescent="0.25">
      <c r="A128" s="107"/>
      <c r="B128" s="107"/>
      <c r="C128" s="107"/>
      <c r="D128" s="107"/>
      <c r="E128" s="107"/>
      <c r="F128" s="107"/>
      <c r="G128" s="107"/>
      <c r="H128" s="70">
        <f>H126+H127</f>
        <v>0</v>
      </c>
      <c r="I128" s="71">
        <f>I126+I127</f>
        <v>0</v>
      </c>
      <c r="J128">
        <v>5</v>
      </c>
    </row>
    <row r="129" spans="1:10" x14ac:dyDescent="0.25">
      <c r="A129" s="73"/>
      <c r="B129" s="25">
        <v>40</v>
      </c>
      <c r="C129" s="26" t="s">
        <v>322</v>
      </c>
      <c r="D129" s="27" t="s">
        <v>25</v>
      </c>
      <c r="E129" s="28"/>
      <c r="F129" s="28"/>
      <c r="G129" s="29">
        <v>240</v>
      </c>
      <c r="H129" s="22">
        <v>0</v>
      </c>
      <c r="I129" s="30">
        <f>G129*H129</f>
        <v>0</v>
      </c>
      <c r="J129">
        <v>1</v>
      </c>
    </row>
    <row r="130" spans="1:10" x14ac:dyDescent="0.25">
      <c r="A130" s="105" t="s">
        <v>776</v>
      </c>
      <c r="B130" s="106"/>
      <c r="C130" s="106"/>
      <c r="D130" s="106"/>
      <c r="E130" s="106"/>
      <c r="F130" s="106"/>
      <c r="G130" s="106"/>
      <c r="H130" s="35">
        <v>0</v>
      </c>
      <c r="I130" s="36">
        <f>G129*H130</f>
        <v>0</v>
      </c>
      <c r="J130">
        <v>2</v>
      </c>
    </row>
    <row r="131" spans="1:10" x14ac:dyDescent="0.25">
      <c r="A131" s="107"/>
      <c r="B131" s="107"/>
      <c r="C131" s="107"/>
      <c r="D131" s="107"/>
      <c r="E131" s="107"/>
      <c r="F131" s="107"/>
      <c r="G131" s="107"/>
      <c r="H131" s="70">
        <f>H129+H130</f>
        <v>0</v>
      </c>
      <c r="I131" s="71">
        <f>I129+I130</f>
        <v>0</v>
      </c>
      <c r="J131">
        <v>5</v>
      </c>
    </row>
    <row r="132" spans="1:10" x14ac:dyDescent="0.25">
      <c r="A132" s="73"/>
      <c r="B132" s="25">
        <v>41</v>
      </c>
      <c r="C132" s="26" t="s">
        <v>322</v>
      </c>
      <c r="D132" s="27" t="s">
        <v>25</v>
      </c>
      <c r="E132" s="28"/>
      <c r="F132" s="28"/>
      <c r="G132" s="29">
        <v>8</v>
      </c>
      <c r="H132" s="22">
        <v>0</v>
      </c>
      <c r="I132" s="30">
        <f>G132*H132</f>
        <v>0</v>
      </c>
      <c r="J132">
        <v>1</v>
      </c>
    </row>
    <row r="133" spans="1:10" x14ac:dyDescent="0.25">
      <c r="A133" s="105" t="s">
        <v>777</v>
      </c>
      <c r="B133" s="106"/>
      <c r="C133" s="106"/>
      <c r="D133" s="106"/>
      <c r="E133" s="106"/>
      <c r="F133" s="106"/>
      <c r="G133" s="106"/>
      <c r="H133" s="35">
        <v>0</v>
      </c>
      <c r="I133" s="36">
        <f>G132*H133</f>
        <v>0</v>
      </c>
      <c r="J133">
        <v>2</v>
      </c>
    </row>
    <row r="134" spans="1:10" x14ac:dyDescent="0.25">
      <c r="A134" s="107"/>
      <c r="B134" s="107"/>
      <c r="C134" s="107"/>
      <c r="D134" s="107"/>
      <c r="E134" s="107"/>
      <c r="F134" s="107"/>
      <c r="G134" s="107"/>
      <c r="H134" s="70">
        <f>H132+H133</f>
        <v>0</v>
      </c>
      <c r="I134" s="71">
        <f>I132+I133</f>
        <v>0</v>
      </c>
      <c r="J134">
        <v>5</v>
      </c>
    </row>
    <row r="135" spans="1:10" x14ac:dyDescent="0.25">
      <c r="A135" s="73"/>
      <c r="B135" s="25">
        <v>42</v>
      </c>
      <c r="C135" s="26" t="s">
        <v>323</v>
      </c>
      <c r="D135" s="27" t="s">
        <v>25</v>
      </c>
      <c r="E135" s="28"/>
      <c r="F135" s="28"/>
      <c r="G135" s="29">
        <v>4</v>
      </c>
      <c r="H135" s="22">
        <v>0</v>
      </c>
      <c r="I135" s="30">
        <f>G135*H135</f>
        <v>0</v>
      </c>
      <c r="J135">
        <v>1</v>
      </c>
    </row>
    <row r="136" spans="1:10" x14ac:dyDescent="0.25">
      <c r="A136" s="105" t="s">
        <v>324</v>
      </c>
      <c r="B136" s="106"/>
      <c r="C136" s="106"/>
      <c r="D136" s="106"/>
      <c r="E136" s="106"/>
      <c r="F136" s="106"/>
      <c r="G136" s="106"/>
      <c r="H136" s="35">
        <v>0</v>
      </c>
      <c r="I136" s="36">
        <f>G135*H136</f>
        <v>0</v>
      </c>
      <c r="J136">
        <v>2</v>
      </c>
    </row>
    <row r="137" spans="1:10" x14ac:dyDescent="0.25">
      <c r="A137" s="107"/>
      <c r="B137" s="107"/>
      <c r="C137" s="107"/>
      <c r="D137" s="107"/>
      <c r="E137" s="107"/>
      <c r="F137" s="107"/>
      <c r="G137" s="107"/>
      <c r="H137" s="70">
        <f>H135+H136</f>
        <v>0</v>
      </c>
      <c r="I137" s="71">
        <f>I135+I136</f>
        <v>0</v>
      </c>
      <c r="J137">
        <v>5</v>
      </c>
    </row>
    <row r="138" spans="1:10" x14ac:dyDescent="0.25">
      <c r="A138" s="73"/>
      <c r="B138" s="25">
        <v>43</v>
      </c>
      <c r="C138" s="26" t="s">
        <v>323</v>
      </c>
      <c r="D138" s="27" t="s">
        <v>25</v>
      </c>
      <c r="E138" s="28"/>
      <c r="F138" s="28"/>
      <c r="G138" s="29">
        <v>7</v>
      </c>
      <c r="H138" s="22">
        <v>0</v>
      </c>
      <c r="I138" s="30">
        <f>G138*H138</f>
        <v>0</v>
      </c>
      <c r="J138">
        <v>1</v>
      </c>
    </row>
    <row r="139" spans="1:10" x14ac:dyDescent="0.25">
      <c r="A139" s="105" t="s">
        <v>778</v>
      </c>
      <c r="B139" s="106"/>
      <c r="C139" s="106"/>
      <c r="D139" s="106"/>
      <c r="E139" s="106"/>
      <c r="F139" s="106"/>
      <c r="G139" s="106"/>
      <c r="H139" s="35">
        <v>0</v>
      </c>
      <c r="I139" s="36">
        <f>G138*H139</f>
        <v>0</v>
      </c>
      <c r="J139">
        <v>2</v>
      </c>
    </row>
    <row r="140" spans="1:10" x14ac:dyDescent="0.25">
      <c r="A140" s="107"/>
      <c r="B140" s="107"/>
      <c r="C140" s="107"/>
      <c r="D140" s="107"/>
      <c r="E140" s="107"/>
      <c r="F140" s="107"/>
      <c r="G140" s="107"/>
      <c r="H140" s="70">
        <f>H138+H139</f>
        <v>0</v>
      </c>
      <c r="I140" s="71">
        <f>I138+I139</f>
        <v>0</v>
      </c>
      <c r="J140">
        <v>5</v>
      </c>
    </row>
    <row r="141" spans="1:10" x14ac:dyDescent="0.25">
      <c r="A141" s="73"/>
      <c r="B141" s="25">
        <v>44</v>
      </c>
      <c r="C141" s="26" t="s">
        <v>322</v>
      </c>
      <c r="D141" s="27" t="s">
        <v>25</v>
      </c>
      <c r="E141" s="28"/>
      <c r="F141" s="28"/>
      <c r="G141" s="29">
        <v>107</v>
      </c>
      <c r="H141" s="22">
        <v>0</v>
      </c>
      <c r="I141" s="30">
        <f>G141*H141</f>
        <v>0</v>
      </c>
      <c r="J141">
        <v>1</v>
      </c>
    </row>
    <row r="142" spans="1:10" x14ac:dyDescent="0.25">
      <c r="A142" s="105" t="s">
        <v>779</v>
      </c>
      <c r="B142" s="106"/>
      <c r="C142" s="106"/>
      <c r="D142" s="106"/>
      <c r="E142" s="106"/>
      <c r="F142" s="106"/>
      <c r="G142" s="106"/>
      <c r="H142" s="35">
        <v>0</v>
      </c>
      <c r="I142" s="36">
        <f>G141*H142</f>
        <v>0</v>
      </c>
      <c r="J142">
        <v>2</v>
      </c>
    </row>
    <row r="143" spans="1:10" x14ac:dyDescent="0.25">
      <c r="A143" s="107"/>
      <c r="B143" s="107"/>
      <c r="C143" s="107"/>
      <c r="D143" s="107"/>
      <c r="E143" s="107"/>
      <c r="F143" s="107"/>
      <c r="G143" s="107"/>
      <c r="H143" s="70">
        <f>H141+H142</f>
        <v>0</v>
      </c>
      <c r="I143" s="71">
        <f>I141+I142</f>
        <v>0</v>
      </c>
      <c r="J143">
        <v>5</v>
      </c>
    </row>
    <row r="144" spans="1:10" x14ac:dyDescent="0.25">
      <c r="A144" s="73"/>
      <c r="B144" s="25">
        <v>45</v>
      </c>
      <c r="C144" s="26" t="s">
        <v>325</v>
      </c>
      <c r="D144" s="27" t="s">
        <v>25</v>
      </c>
      <c r="E144" s="28"/>
      <c r="F144" s="28"/>
      <c r="G144" s="29">
        <v>20</v>
      </c>
      <c r="H144" s="22">
        <v>0</v>
      </c>
      <c r="I144" s="30">
        <f>G144*H144</f>
        <v>0</v>
      </c>
      <c r="J144">
        <v>1</v>
      </c>
    </row>
    <row r="145" spans="1:23" x14ac:dyDescent="0.25">
      <c r="A145" s="105" t="s">
        <v>780</v>
      </c>
      <c r="B145" s="106"/>
      <c r="C145" s="106"/>
      <c r="D145" s="106"/>
      <c r="E145" s="106"/>
      <c r="F145" s="106"/>
      <c r="G145" s="106"/>
      <c r="H145" s="35">
        <v>0</v>
      </c>
      <c r="I145" s="36">
        <f>G144*H145</f>
        <v>0</v>
      </c>
      <c r="J145">
        <v>2</v>
      </c>
    </row>
    <row r="146" spans="1:23" x14ac:dyDescent="0.25">
      <c r="A146" s="107"/>
      <c r="B146" s="107"/>
      <c r="C146" s="107"/>
      <c r="D146" s="107"/>
      <c r="E146" s="107"/>
      <c r="F146" s="107"/>
      <c r="G146" s="107"/>
      <c r="H146" s="70">
        <f>H144+H145</f>
        <v>0</v>
      </c>
      <c r="I146" s="71">
        <f>I144+I145</f>
        <v>0</v>
      </c>
      <c r="J146">
        <v>5</v>
      </c>
    </row>
    <row r="147" spans="1:23" x14ac:dyDescent="0.25">
      <c r="A147" s="73"/>
      <c r="B147" s="25">
        <v>46</v>
      </c>
      <c r="C147" s="26" t="s">
        <v>325</v>
      </c>
      <c r="D147" s="27" t="s">
        <v>25</v>
      </c>
      <c r="E147" s="28"/>
      <c r="F147" s="28"/>
      <c r="G147" s="29">
        <v>37</v>
      </c>
      <c r="H147" s="22">
        <v>0</v>
      </c>
      <c r="I147" s="30">
        <f>G147*H147</f>
        <v>0</v>
      </c>
      <c r="J147">
        <v>1</v>
      </c>
    </row>
    <row r="148" spans="1:23" x14ac:dyDescent="0.25">
      <c r="A148" s="105" t="s">
        <v>781</v>
      </c>
      <c r="B148" s="106"/>
      <c r="C148" s="106"/>
      <c r="D148" s="106"/>
      <c r="E148" s="106"/>
      <c r="F148" s="106"/>
      <c r="G148" s="106"/>
      <c r="H148" s="35">
        <v>0</v>
      </c>
      <c r="I148" s="36">
        <f>G147*H148</f>
        <v>0</v>
      </c>
      <c r="J148">
        <v>2</v>
      </c>
    </row>
    <row r="149" spans="1:23" x14ac:dyDescent="0.25">
      <c r="A149" s="107"/>
      <c r="B149" s="107"/>
      <c r="C149" s="107"/>
      <c r="D149" s="107"/>
      <c r="E149" s="107"/>
      <c r="F149" s="107"/>
      <c r="G149" s="107"/>
      <c r="H149" s="70">
        <f>H147+H148</f>
        <v>0</v>
      </c>
      <c r="I149" s="71">
        <f>I147+I148</f>
        <v>0</v>
      </c>
      <c r="J149">
        <v>5</v>
      </c>
    </row>
    <row r="150" spans="1:23" x14ac:dyDescent="0.25">
      <c r="A150" s="73"/>
      <c r="B150" s="25">
        <v>47</v>
      </c>
      <c r="C150" s="26" t="s">
        <v>325</v>
      </c>
      <c r="D150" s="27" t="s">
        <v>25</v>
      </c>
      <c r="E150" s="28"/>
      <c r="F150" s="28"/>
      <c r="G150" s="29">
        <v>21</v>
      </c>
      <c r="H150" s="22">
        <v>0</v>
      </c>
      <c r="I150" s="30">
        <f>G150*H150</f>
        <v>0</v>
      </c>
      <c r="J150">
        <v>1</v>
      </c>
    </row>
    <row r="151" spans="1:23" x14ac:dyDescent="0.25">
      <c r="A151" s="105" t="s">
        <v>782</v>
      </c>
      <c r="B151" s="106"/>
      <c r="C151" s="106"/>
      <c r="D151" s="106"/>
      <c r="E151" s="106"/>
      <c r="F151" s="106"/>
      <c r="G151" s="106"/>
      <c r="H151" s="35">
        <v>0</v>
      </c>
      <c r="I151" s="36">
        <f>G150*H151</f>
        <v>0</v>
      </c>
      <c r="J151">
        <v>2</v>
      </c>
      <c r="W151" s="9"/>
    </row>
    <row r="152" spans="1:23" x14ac:dyDescent="0.25">
      <c r="A152" s="107"/>
      <c r="B152" s="107"/>
      <c r="C152" s="107"/>
      <c r="D152" s="107"/>
      <c r="E152" s="107"/>
      <c r="F152" s="107"/>
      <c r="G152" s="107"/>
      <c r="H152" s="70">
        <f>H150+H151</f>
        <v>0</v>
      </c>
      <c r="I152" s="71">
        <f>I150+I151</f>
        <v>0</v>
      </c>
      <c r="J152">
        <v>5</v>
      </c>
    </row>
    <row r="153" spans="1:23" x14ac:dyDescent="0.25">
      <c r="A153" s="73"/>
      <c r="B153" s="25">
        <v>48</v>
      </c>
      <c r="C153" s="26" t="s">
        <v>326</v>
      </c>
      <c r="D153" s="27" t="s">
        <v>25</v>
      </c>
      <c r="E153" s="28"/>
      <c r="F153" s="28"/>
      <c r="G153" s="29">
        <v>4</v>
      </c>
      <c r="H153" s="22">
        <v>0</v>
      </c>
      <c r="I153" s="30">
        <f>G153*H153</f>
        <v>0</v>
      </c>
      <c r="J153">
        <v>1</v>
      </c>
    </row>
    <row r="154" spans="1:23" x14ac:dyDescent="0.25">
      <c r="A154" s="105" t="s">
        <v>783</v>
      </c>
      <c r="B154" s="106"/>
      <c r="C154" s="106"/>
      <c r="D154" s="106"/>
      <c r="E154" s="106"/>
      <c r="F154" s="106"/>
      <c r="G154" s="106"/>
      <c r="H154" s="35">
        <v>0</v>
      </c>
      <c r="I154" s="36">
        <f>G153*H154</f>
        <v>0</v>
      </c>
      <c r="J154">
        <v>2</v>
      </c>
    </row>
    <row r="155" spans="1:23" x14ac:dyDescent="0.25">
      <c r="A155" s="107"/>
      <c r="B155" s="107"/>
      <c r="C155" s="107"/>
      <c r="D155" s="107"/>
      <c r="E155" s="107"/>
      <c r="F155" s="107"/>
      <c r="G155" s="107"/>
      <c r="H155" s="70">
        <f>H153+H154</f>
        <v>0</v>
      </c>
      <c r="I155" s="71">
        <f>I153+I154</f>
        <v>0</v>
      </c>
      <c r="J155">
        <v>5</v>
      </c>
    </row>
    <row r="156" spans="1:23" x14ac:dyDescent="0.25">
      <c r="A156" s="73"/>
      <c r="B156" s="25">
        <v>49</v>
      </c>
      <c r="C156" s="26" t="s">
        <v>326</v>
      </c>
      <c r="D156" s="27" t="s">
        <v>25</v>
      </c>
      <c r="E156" s="28"/>
      <c r="F156" s="28"/>
      <c r="G156" s="29">
        <v>2</v>
      </c>
      <c r="H156" s="22">
        <v>0</v>
      </c>
      <c r="I156" s="30">
        <f>G156*H156</f>
        <v>0</v>
      </c>
      <c r="J156">
        <v>1</v>
      </c>
    </row>
    <row r="157" spans="1:23" x14ac:dyDescent="0.25">
      <c r="A157" s="105" t="s">
        <v>784</v>
      </c>
      <c r="B157" s="106"/>
      <c r="C157" s="106"/>
      <c r="D157" s="106"/>
      <c r="E157" s="106"/>
      <c r="F157" s="106"/>
      <c r="G157" s="106"/>
      <c r="H157" s="35">
        <v>0</v>
      </c>
      <c r="I157" s="36">
        <f>G156*H157</f>
        <v>0</v>
      </c>
      <c r="J157">
        <v>2</v>
      </c>
    </row>
    <row r="158" spans="1:23" x14ac:dyDescent="0.25">
      <c r="A158" s="107"/>
      <c r="B158" s="107"/>
      <c r="C158" s="107"/>
      <c r="D158" s="107"/>
      <c r="E158" s="107"/>
      <c r="F158" s="107"/>
      <c r="G158" s="107"/>
      <c r="H158" s="70">
        <f>H156+H157</f>
        <v>0</v>
      </c>
      <c r="I158" s="71">
        <f>I156+I157</f>
        <v>0</v>
      </c>
      <c r="J158">
        <v>5</v>
      </c>
    </row>
    <row r="159" spans="1:23" x14ac:dyDescent="0.25">
      <c r="A159" s="73"/>
      <c r="B159" s="25">
        <v>50</v>
      </c>
      <c r="C159" s="26" t="s">
        <v>327</v>
      </c>
      <c r="D159" s="27" t="s">
        <v>25</v>
      </c>
      <c r="E159" s="28"/>
      <c r="F159" s="28"/>
      <c r="G159" s="29">
        <v>24</v>
      </c>
      <c r="H159" s="22">
        <v>0</v>
      </c>
      <c r="I159" s="30">
        <f>G159*H159</f>
        <v>0</v>
      </c>
      <c r="J159">
        <v>1</v>
      </c>
    </row>
    <row r="160" spans="1:23" x14ac:dyDescent="0.25">
      <c r="A160" s="105" t="s">
        <v>785</v>
      </c>
      <c r="B160" s="106"/>
      <c r="C160" s="106"/>
      <c r="D160" s="106"/>
      <c r="E160" s="106"/>
      <c r="F160" s="106"/>
      <c r="G160" s="106"/>
      <c r="H160" s="35">
        <v>0</v>
      </c>
      <c r="I160" s="36">
        <f>G159*H160</f>
        <v>0</v>
      </c>
      <c r="J160">
        <v>2</v>
      </c>
    </row>
    <row r="161" spans="1:10" x14ac:dyDescent="0.25">
      <c r="A161" s="107"/>
      <c r="B161" s="107"/>
      <c r="C161" s="107"/>
      <c r="D161" s="107"/>
      <c r="E161" s="107"/>
      <c r="F161" s="107"/>
      <c r="G161" s="107"/>
      <c r="H161" s="70">
        <f>H159+H160</f>
        <v>0</v>
      </c>
      <c r="I161" s="71">
        <f>I159+I160</f>
        <v>0</v>
      </c>
      <c r="J161">
        <v>5</v>
      </c>
    </row>
    <row r="162" spans="1:10" x14ac:dyDescent="0.25">
      <c r="A162" s="73"/>
      <c r="B162" s="25">
        <v>51</v>
      </c>
      <c r="C162" s="26" t="s">
        <v>328</v>
      </c>
      <c r="D162" s="27" t="s">
        <v>25</v>
      </c>
      <c r="E162" s="28"/>
      <c r="F162" s="28"/>
      <c r="G162" s="29">
        <v>29</v>
      </c>
      <c r="H162" s="22">
        <v>0</v>
      </c>
      <c r="I162" s="30">
        <f>G162*H162</f>
        <v>0</v>
      </c>
      <c r="J162">
        <v>1</v>
      </c>
    </row>
    <row r="163" spans="1:10" x14ac:dyDescent="0.25">
      <c r="A163" s="105" t="s">
        <v>329</v>
      </c>
      <c r="B163" s="106"/>
      <c r="C163" s="106"/>
      <c r="D163" s="106"/>
      <c r="E163" s="106"/>
      <c r="F163" s="106"/>
      <c r="G163" s="106"/>
      <c r="H163" s="35">
        <v>0</v>
      </c>
      <c r="I163" s="36">
        <f>G162*H163</f>
        <v>0</v>
      </c>
      <c r="J163">
        <v>2</v>
      </c>
    </row>
    <row r="164" spans="1:10" x14ac:dyDescent="0.25">
      <c r="A164" s="107"/>
      <c r="B164" s="107"/>
      <c r="C164" s="107"/>
      <c r="D164" s="107"/>
      <c r="E164" s="107"/>
      <c r="F164" s="107"/>
      <c r="G164" s="107"/>
      <c r="H164" s="70">
        <f>H162+H163</f>
        <v>0</v>
      </c>
      <c r="I164" s="71">
        <f>I162+I163</f>
        <v>0</v>
      </c>
      <c r="J164">
        <v>5</v>
      </c>
    </row>
    <row r="165" spans="1:10" x14ac:dyDescent="0.25">
      <c r="A165" s="73"/>
      <c r="B165" s="25">
        <v>52</v>
      </c>
      <c r="C165" s="26" t="s">
        <v>330</v>
      </c>
      <c r="D165" s="27" t="s">
        <v>25</v>
      </c>
      <c r="E165" s="28"/>
      <c r="F165" s="28"/>
      <c r="G165" s="29">
        <v>340</v>
      </c>
      <c r="H165" s="22">
        <v>0</v>
      </c>
      <c r="I165" s="30">
        <f>G165*H165</f>
        <v>0</v>
      </c>
      <c r="J165">
        <v>1</v>
      </c>
    </row>
    <row r="166" spans="1:10" x14ac:dyDescent="0.25">
      <c r="A166" s="105" t="s">
        <v>786</v>
      </c>
      <c r="B166" s="106"/>
      <c r="C166" s="106"/>
      <c r="D166" s="106"/>
      <c r="E166" s="106"/>
      <c r="F166" s="106"/>
      <c r="G166" s="106"/>
      <c r="H166" s="35">
        <v>0</v>
      </c>
      <c r="I166" s="36">
        <f>G165*H166</f>
        <v>0</v>
      </c>
      <c r="J166">
        <v>2</v>
      </c>
    </row>
    <row r="167" spans="1:10" x14ac:dyDescent="0.25">
      <c r="A167" s="107"/>
      <c r="B167" s="107"/>
      <c r="C167" s="107"/>
      <c r="D167" s="107"/>
      <c r="E167" s="107"/>
      <c r="F167" s="107"/>
      <c r="G167" s="107"/>
      <c r="H167" s="70">
        <f>H165+H166</f>
        <v>0</v>
      </c>
      <c r="I167" s="71">
        <f>I165+I166</f>
        <v>0</v>
      </c>
      <c r="J167">
        <v>5</v>
      </c>
    </row>
    <row r="168" spans="1:10" x14ac:dyDescent="0.25">
      <c r="A168" s="73"/>
      <c r="B168" s="25">
        <v>53</v>
      </c>
      <c r="C168" s="26" t="s">
        <v>331</v>
      </c>
      <c r="D168" s="27" t="s">
        <v>25</v>
      </c>
      <c r="E168" s="28"/>
      <c r="F168" s="28"/>
      <c r="G168" s="29">
        <v>14</v>
      </c>
      <c r="H168" s="22">
        <v>0</v>
      </c>
      <c r="I168" s="30">
        <f>G168*H168</f>
        <v>0</v>
      </c>
      <c r="J168">
        <v>1</v>
      </c>
    </row>
    <row r="169" spans="1:10" x14ac:dyDescent="0.25">
      <c r="A169" s="105" t="s">
        <v>787</v>
      </c>
      <c r="B169" s="106"/>
      <c r="C169" s="106"/>
      <c r="D169" s="106"/>
      <c r="E169" s="106"/>
      <c r="F169" s="106"/>
      <c r="G169" s="106"/>
      <c r="H169" s="35">
        <v>0</v>
      </c>
      <c r="I169" s="36">
        <f>G168*H169</f>
        <v>0</v>
      </c>
      <c r="J169">
        <v>2</v>
      </c>
    </row>
    <row r="170" spans="1:10" x14ac:dyDescent="0.25">
      <c r="A170" s="107"/>
      <c r="B170" s="107"/>
      <c r="C170" s="107"/>
      <c r="D170" s="107"/>
      <c r="E170" s="107"/>
      <c r="F170" s="107"/>
      <c r="G170" s="107"/>
      <c r="H170" s="70">
        <f>H168+H169</f>
        <v>0</v>
      </c>
      <c r="I170" s="71">
        <f>I168+I169</f>
        <v>0</v>
      </c>
      <c r="J170">
        <v>5</v>
      </c>
    </row>
    <row r="171" spans="1:10" x14ac:dyDescent="0.25">
      <c r="A171" s="73"/>
      <c r="B171" s="25">
        <v>54</v>
      </c>
      <c r="C171" s="26" t="s">
        <v>332</v>
      </c>
      <c r="D171" s="27" t="s">
        <v>25</v>
      </c>
      <c r="E171" s="28"/>
      <c r="F171" s="28"/>
      <c r="G171" s="29">
        <v>12</v>
      </c>
      <c r="H171" s="22">
        <v>0</v>
      </c>
      <c r="I171" s="30">
        <f>G171*H171</f>
        <v>0</v>
      </c>
      <c r="J171">
        <v>1</v>
      </c>
    </row>
    <row r="172" spans="1:10" x14ac:dyDescent="0.25">
      <c r="A172" s="105" t="s">
        <v>788</v>
      </c>
      <c r="B172" s="106"/>
      <c r="C172" s="106"/>
      <c r="D172" s="106"/>
      <c r="E172" s="106"/>
      <c r="F172" s="106"/>
      <c r="G172" s="106"/>
      <c r="H172" s="35">
        <v>0</v>
      </c>
      <c r="I172" s="36">
        <f>G171*H172</f>
        <v>0</v>
      </c>
      <c r="J172">
        <v>2</v>
      </c>
    </row>
    <row r="173" spans="1:10" x14ac:dyDescent="0.25">
      <c r="A173" s="107"/>
      <c r="B173" s="107"/>
      <c r="C173" s="107"/>
      <c r="D173" s="107"/>
      <c r="E173" s="107"/>
      <c r="F173" s="107"/>
      <c r="G173" s="107"/>
      <c r="H173" s="70">
        <f>H171+H172</f>
        <v>0</v>
      </c>
      <c r="I173" s="71">
        <f>I171+I172</f>
        <v>0</v>
      </c>
      <c r="J173">
        <v>5</v>
      </c>
    </row>
    <row r="174" spans="1:10" x14ac:dyDescent="0.25">
      <c r="A174" s="73"/>
      <c r="B174" s="25">
        <v>55</v>
      </c>
      <c r="C174" s="26" t="s">
        <v>333</v>
      </c>
      <c r="D174" s="27" t="s">
        <v>25</v>
      </c>
      <c r="E174" s="28"/>
      <c r="F174" s="28"/>
      <c r="G174" s="29">
        <v>71</v>
      </c>
      <c r="H174" s="22">
        <v>0</v>
      </c>
      <c r="I174" s="30">
        <f>G174*H174</f>
        <v>0</v>
      </c>
      <c r="J174">
        <v>1</v>
      </c>
    </row>
    <row r="175" spans="1:10" x14ac:dyDescent="0.25">
      <c r="A175" s="105" t="s">
        <v>789</v>
      </c>
      <c r="B175" s="106"/>
      <c r="C175" s="106"/>
      <c r="D175" s="106"/>
      <c r="E175" s="106"/>
      <c r="F175" s="106"/>
      <c r="G175" s="106"/>
      <c r="H175" s="35">
        <v>0</v>
      </c>
      <c r="I175" s="36">
        <f>G174*H175</f>
        <v>0</v>
      </c>
      <c r="J175">
        <v>2</v>
      </c>
    </row>
    <row r="176" spans="1:10" x14ac:dyDescent="0.25">
      <c r="A176" s="107"/>
      <c r="B176" s="107"/>
      <c r="C176" s="107"/>
      <c r="D176" s="107"/>
      <c r="E176" s="107"/>
      <c r="F176" s="107"/>
      <c r="G176" s="107"/>
      <c r="H176" s="70">
        <f>H174+H175</f>
        <v>0</v>
      </c>
      <c r="I176" s="71">
        <f>I174+I175</f>
        <v>0</v>
      </c>
      <c r="J176">
        <v>5</v>
      </c>
    </row>
    <row r="177" spans="1:10" x14ac:dyDescent="0.25">
      <c r="A177" s="73"/>
      <c r="B177" s="25">
        <v>56</v>
      </c>
      <c r="C177" s="26" t="s">
        <v>333</v>
      </c>
      <c r="D177" s="27" t="s">
        <v>25</v>
      </c>
      <c r="E177" s="28"/>
      <c r="F177" s="28"/>
      <c r="G177" s="29">
        <v>385</v>
      </c>
      <c r="H177" s="22">
        <v>0</v>
      </c>
      <c r="I177" s="30">
        <f>G177*H177</f>
        <v>0</v>
      </c>
      <c r="J177">
        <v>1</v>
      </c>
    </row>
    <row r="178" spans="1:10" x14ac:dyDescent="0.25">
      <c r="A178" s="105" t="s">
        <v>334</v>
      </c>
      <c r="B178" s="106"/>
      <c r="C178" s="106"/>
      <c r="D178" s="106"/>
      <c r="E178" s="106"/>
      <c r="F178" s="106"/>
      <c r="G178" s="106"/>
      <c r="H178" s="35">
        <v>0</v>
      </c>
      <c r="I178" s="36">
        <f>G177*H178</f>
        <v>0</v>
      </c>
      <c r="J178">
        <v>2</v>
      </c>
    </row>
    <row r="179" spans="1:10" x14ac:dyDescent="0.25">
      <c r="A179" s="107"/>
      <c r="B179" s="107"/>
      <c r="C179" s="107"/>
      <c r="D179" s="107"/>
      <c r="E179" s="107"/>
      <c r="F179" s="107"/>
      <c r="G179" s="107"/>
      <c r="H179" s="70">
        <f>H177+H178</f>
        <v>0</v>
      </c>
      <c r="I179" s="71">
        <f>I177+I178</f>
        <v>0</v>
      </c>
      <c r="J179">
        <v>5</v>
      </c>
    </row>
    <row r="180" spans="1:10" x14ac:dyDescent="0.25">
      <c r="A180" s="73"/>
      <c r="B180" s="25">
        <v>57</v>
      </c>
      <c r="C180" s="26" t="s">
        <v>335</v>
      </c>
      <c r="D180" s="27" t="s">
        <v>25</v>
      </c>
      <c r="E180" s="28"/>
      <c r="F180" s="28"/>
      <c r="G180" s="29">
        <v>9</v>
      </c>
      <c r="H180" s="22">
        <v>0</v>
      </c>
      <c r="I180" s="30">
        <f>G180*H180</f>
        <v>0</v>
      </c>
      <c r="J180">
        <v>1</v>
      </c>
    </row>
    <row r="181" spans="1:10" x14ac:dyDescent="0.25">
      <c r="A181" s="105" t="s">
        <v>790</v>
      </c>
      <c r="B181" s="106"/>
      <c r="C181" s="106"/>
      <c r="D181" s="106"/>
      <c r="E181" s="106"/>
      <c r="F181" s="106"/>
      <c r="G181" s="106"/>
      <c r="H181" s="35">
        <v>0</v>
      </c>
      <c r="I181" s="36">
        <f>G180*H181</f>
        <v>0</v>
      </c>
      <c r="J181">
        <v>2</v>
      </c>
    </row>
    <row r="182" spans="1:10" ht="14.45" customHeight="1" x14ac:dyDescent="0.25">
      <c r="A182" s="107"/>
      <c r="B182" s="107"/>
      <c r="C182" s="107"/>
      <c r="D182" s="107"/>
      <c r="E182" s="107"/>
      <c r="F182" s="107"/>
      <c r="G182" s="107"/>
      <c r="H182" s="70">
        <f>H180+H181</f>
        <v>0</v>
      </c>
      <c r="I182" s="71">
        <f>I180+I181</f>
        <v>0</v>
      </c>
      <c r="J182">
        <v>5</v>
      </c>
    </row>
    <row r="183" spans="1:10" x14ac:dyDescent="0.25">
      <c r="A183" s="73"/>
      <c r="B183" s="25">
        <v>58</v>
      </c>
      <c r="C183" s="26" t="s">
        <v>335</v>
      </c>
      <c r="D183" s="27" t="s">
        <v>25</v>
      </c>
      <c r="E183" s="28"/>
      <c r="F183" s="28"/>
      <c r="G183" s="29">
        <v>18</v>
      </c>
      <c r="H183" s="22">
        <v>0</v>
      </c>
      <c r="I183" s="30">
        <f>G183*H183</f>
        <v>0</v>
      </c>
      <c r="J183">
        <v>1</v>
      </c>
    </row>
    <row r="184" spans="1:10" x14ac:dyDescent="0.25">
      <c r="A184" s="105" t="s">
        <v>791</v>
      </c>
      <c r="B184" s="106"/>
      <c r="C184" s="106"/>
      <c r="D184" s="106"/>
      <c r="E184" s="106"/>
      <c r="F184" s="106"/>
      <c r="G184" s="106"/>
      <c r="H184" s="35">
        <v>0</v>
      </c>
      <c r="I184" s="36">
        <f>G183*H184</f>
        <v>0</v>
      </c>
      <c r="J184">
        <v>2</v>
      </c>
    </row>
    <row r="185" spans="1:10" x14ac:dyDescent="0.25">
      <c r="A185" s="107"/>
      <c r="B185" s="107"/>
      <c r="C185" s="107"/>
      <c r="D185" s="107"/>
      <c r="E185" s="107"/>
      <c r="F185" s="107"/>
      <c r="G185" s="107"/>
      <c r="H185" s="70">
        <f>H183+H184</f>
        <v>0</v>
      </c>
      <c r="I185" s="71">
        <f>I183+I184</f>
        <v>0</v>
      </c>
      <c r="J185">
        <v>5</v>
      </c>
    </row>
    <row r="186" spans="1:10" x14ac:dyDescent="0.25">
      <c r="A186" s="73"/>
      <c r="B186" s="25">
        <v>59</v>
      </c>
      <c r="C186" s="26" t="s">
        <v>336</v>
      </c>
      <c r="D186" s="27" t="s">
        <v>25</v>
      </c>
      <c r="E186" s="28"/>
      <c r="F186" s="28"/>
      <c r="G186" s="29">
        <v>3</v>
      </c>
      <c r="H186" s="22">
        <v>0</v>
      </c>
      <c r="I186" s="30">
        <f>G186*H186</f>
        <v>0</v>
      </c>
      <c r="J186">
        <v>1</v>
      </c>
    </row>
    <row r="187" spans="1:10" x14ac:dyDescent="0.25">
      <c r="A187" s="105" t="s">
        <v>792</v>
      </c>
      <c r="B187" s="106"/>
      <c r="C187" s="106"/>
      <c r="D187" s="106"/>
      <c r="E187" s="106"/>
      <c r="F187" s="106"/>
      <c r="G187" s="106"/>
      <c r="H187" s="35">
        <v>0</v>
      </c>
      <c r="I187" s="36">
        <f>G186*H187</f>
        <v>0</v>
      </c>
      <c r="J187">
        <v>2</v>
      </c>
    </row>
    <row r="188" spans="1:10" x14ac:dyDescent="0.25">
      <c r="A188" s="107"/>
      <c r="B188" s="107"/>
      <c r="C188" s="107"/>
      <c r="D188" s="107"/>
      <c r="E188" s="107"/>
      <c r="F188" s="107"/>
      <c r="G188" s="107"/>
      <c r="H188" s="70">
        <f>H186+H187</f>
        <v>0</v>
      </c>
      <c r="I188" s="71">
        <f>I186+I187</f>
        <v>0</v>
      </c>
      <c r="J188">
        <v>5</v>
      </c>
    </row>
    <row r="189" spans="1:10" x14ac:dyDescent="0.25">
      <c r="A189" s="73"/>
      <c r="B189" s="25">
        <v>60</v>
      </c>
      <c r="C189" s="26" t="s">
        <v>337</v>
      </c>
      <c r="D189" s="27" t="s">
        <v>25</v>
      </c>
      <c r="E189" s="28"/>
      <c r="F189" s="28"/>
      <c r="G189" s="29">
        <v>6</v>
      </c>
      <c r="H189" s="22">
        <v>0</v>
      </c>
      <c r="I189" s="30">
        <f>G189*H189</f>
        <v>0</v>
      </c>
      <c r="J189">
        <v>1</v>
      </c>
    </row>
    <row r="190" spans="1:10" x14ac:dyDescent="0.25">
      <c r="A190" s="105" t="s">
        <v>793</v>
      </c>
      <c r="B190" s="106"/>
      <c r="C190" s="106"/>
      <c r="D190" s="106"/>
      <c r="E190" s="106"/>
      <c r="F190" s="106"/>
      <c r="G190" s="106"/>
      <c r="H190" s="35">
        <v>0</v>
      </c>
      <c r="I190" s="36">
        <f>G189*H190</f>
        <v>0</v>
      </c>
      <c r="J190">
        <v>2</v>
      </c>
    </row>
    <row r="191" spans="1:10" x14ac:dyDescent="0.25">
      <c r="A191" s="107"/>
      <c r="B191" s="107"/>
      <c r="C191" s="107"/>
      <c r="D191" s="107"/>
      <c r="E191" s="107"/>
      <c r="F191" s="107"/>
      <c r="G191" s="107"/>
      <c r="H191" s="70">
        <f>H189+H190</f>
        <v>0</v>
      </c>
      <c r="I191" s="71">
        <f>I189+I190</f>
        <v>0</v>
      </c>
      <c r="J191">
        <v>5</v>
      </c>
    </row>
    <row r="192" spans="1:10" x14ac:dyDescent="0.25">
      <c r="A192" s="73"/>
      <c r="B192" s="25">
        <v>61</v>
      </c>
      <c r="C192" s="26" t="s">
        <v>338</v>
      </c>
      <c r="D192" s="27" t="s">
        <v>25</v>
      </c>
      <c r="E192" s="28"/>
      <c r="F192" s="28"/>
      <c r="G192" s="29">
        <v>1</v>
      </c>
      <c r="H192" s="22">
        <v>0</v>
      </c>
      <c r="I192" s="30">
        <f>G192*H192</f>
        <v>0</v>
      </c>
      <c r="J192">
        <v>1</v>
      </c>
    </row>
    <row r="193" spans="1:10" x14ac:dyDescent="0.25">
      <c r="A193" s="105" t="s">
        <v>794</v>
      </c>
      <c r="B193" s="106"/>
      <c r="C193" s="106"/>
      <c r="D193" s="106"/>
      <c r="E193" s="106"/>
      <c r="F193" s="106"/>
      <c r="G193" s="106"/>
      <c r="H193" s="35">
        <v>0</v>
      </c>
      <c r="I193" s="36">
        <f>G192*H193</f>
        <v>0</v>
      </c>
      <c r="J193">
        <v>2</v>
      </c>
    </row>
    <row r="194" spans="1:10" x14ac:dyDescent="0.25">
      <c r="A194" s="107"/>
      <c r="B194" s="107"/>
      <c r="C194" s="107"/>
      <c r="D194" s="107"/>
      <c r="E194" s="107"/>
      <c r="F194" s="107"/>
      <c r="G194" s="107"/>
      <c r="H194" s="70">
        <f>H192+H193</f>
        <v>0</v>
      </c>
      <c r="I194" s="71">
        <f>I192+I193</f>
        <v>0</v>
      </c>
      <c r="J194">
        <v>5</v>
      </c>
    </row>
    <row r="195" spans="1:10" x14ac:dyDescent="0.25">
      <c r="A195" s="73"/>
      <c r="B195" s="25">
        <v>62</v>
      </c>
      <c r="C195" s="26" t="s">
        <v>339</v>
      </c>
      <c r="D195" s="27" t="s">
        <v>25</v>
      </c>
      <c r="E195" s="28"/>
      <c r="F195" s="28"/>
      <c r="G195" s="29">
        <v>1</v>
      </c>
      <c r="H195" s="22">
        <v>0</v>
      </c>
      <c r="I195" s="30">
        <f>G195*H195</f>
        <v>0</v>
      </c>
      <c r="J195">
        <v>1</v>
      </c>
    </row>
    <row r="196" spans="1:10" x14ac:dyDescent="0.25">
      <c r="A196" s="105" t="s">
        <v>795</v>
      </c>
      <c r="B196" s="106"/>
      <c r="C196" s="106"/>
      <c r="D196" s="106"/>
      <c r="E196" s="106"/>
      <c r="F196" s="106"/>
      <c r="G196" s="106"/>
      <c r="H196" s="35">
        <v>0</v>
      </c>
      <c r="I196" s="36">
        <f>G195*H196</f>
        <v>0</v>
      </c>
      <c r="J196">
        <v>2</v>
      </c>
    </row>
    <row r="197" spans="1:10" x14ac:dyDescent="0.25">
      <c r="A197" s="107"/>
      <c r="B197" s="107"/>
      <c r="C197" s="107"/>
      <c r="D197" s="107"/>
      <c r="E197" s="107"/>
      <c r="F197" s="107"/>
      <c r="G197" s="107"/>
      <c r="H197" s="70">
        <f>H195+H196</f>
        <v>0</v>
      </c>
      <c r="I197" s="71">
        <f>I195+I196</f>
        <v>0</v>
      </c>
      <c r="J197">
        <v>5</v>
      </c>
    </row>
    <row r="198" spans="1:10" x14ac:dyDescent="0.25">
      <c r="A198" s="73"/>
      <c r="B198" s="25">
        <v>63</v>
      </c>
      <c r="C198" s="26" t="s">
        <v>338</v>
      </c>
      <c r="D198" s="27" t="s">
        <v>25</v>
      </c>
      <c r="E198" s="28"/>
      <c r="F198" s="28"/>
      <c r="G198" s="29">
        <v>93</v>
      </c>
      <c r="H198" s="22">
        <v>0</v>
      </c>
      <c r="I198" s="30">
        <f>G198*H198</f>
        <v>0</v>
      </c>
      <c r="J198">
        <v>1</v>
      </c>
    </row>
    <row r="199" spans="1:10" x14ac:dyDescent="0.25">
      <c r="A199" s="105" t="s">
        <v>796</v>
      </c>
      <c r="B199" s="106"/>
      <c r="C199" s="106"/>
      <c r="D199" s="106"/>
      <c r="E199" s="106"/>
      <c r="F199" s="106"/>
      <c r="G199" s="106"/>
      <c r="H199" s="35">
        <v>0</v>
      </c>
      <c r="I199" s="36">
        <f>G198*H199</f>
        <v>0</v>
      </c>
      <c r="J199">
        <v>2</v>
      </c>
    </row>
    <row r="200" spans="1:10" x14ac:dyDescent="0.25">
      <c r="A200" s="107"/>
      <c r="B200" s="107"/>
      <c r="C200" s="107"/>
      <c r="D200" s="107"/>
      <c r="E200" s="107"/>
      <c r="F200" s="107"/>
      <c r="G200" s="107"/>
      <c r="H200" s="70">
        <f>H198+H199</f>
        <v>0</v>
      </c>
      <c r="I200" s="71">
        <f>I198+I199</f>
        <v>0</v>
      </c>
      <c r="J200">
        <v>5</v>
      </c>
    </row>
    <row r="201" spans="1:10" x14ac:dyDescent="0.25">
      <c r="A201" s="73"/>
      <c r="B201" s="25">
        <v>64</v>
      </c>
      <c r="C201" s="26" t="s">
        <v>340</v>
      </c>
      <c r="D201" s="27" t="s">
        <v>25</v>
      </c>
      <c r="E201" s="28"/>
      <c r="F201" s="28"/>
      <c r="G201" s="29">
        <v>76</v>
      </c>
      <c r="H201" s="22">
        <v>0</v>
      </c>
      <c r="I201" s="30">
        <f>G201*H201</f>
        <v>0</v>
      </c>
      <c r="J201">
        <v>1</v>
      </c>
    </row>
    <row r="202" spans="1:10" x14ac:dyDescent="0.25">
      <c r="A202" s="105" t="s">
        <v>797</v>
      </c>
      <c r="B202" s="106"/>
      <c r="C202" s="106"/>
      <c r="D202" s="106"/>
      <c r="E202" s="106"/>
      <c r="F202" s="106"/>
      <c r="G202" s="106"/>
      <c r="H202" s="35">
        <v>0</v>
      </c>
      <c r="I202" s="36">
        <f>G201*H202</f>
        <v>0</v>
      </c>
      <c r="J202">
        <v>2</v>
      </c>
    </row>
    <row r="203" spans="1:10" x14ac:dyDescent="0.25">
      <c r="A203" s="107"/>
      <c r="B203" s="107"/>
      <c r="C203" s="107"/>
      <c r="D203" s="107"/>
      <c r="E203" s="107"/>
      <c r="F203" s="107"/>
      <c r="G203" s="107"/>
      <c r="H203" s="70">
        <f>H201+H202</f>
        <v>0</v>
      </c>
      <c r="I203" s="71">
        <f>I201+I202</f>
        <v>0</v>
      </c>
      <c r="J203">
        <v>5</v>
      </c>
    </row>
    <row r="204" spans="1:10" x14ac:dyDescent="0.25">
      <c r="A204" s="73"/>
      <c r="B204" s="25">
        <v>65</v>
      </c>
      <c r="C204" s="26" t="s">
        <v>341</v>
      </c>
      <c r="D204" s="27" t="s">
        <v>24</v>
      </c>
      <c r="E204" s="28"/>
      <c r="F204" s="28"/>
      <c r="G204" s="29">
        <v>95</v>
      </c>
      <c r="H204" s="22">
        <v>0</v>
      </c>
      <c r="I204" s="30">
        <f>G204*H204</f>
        <v>0</v>
      </c>
      <c r="J204">
        <v>1</v>
      </c>
    </row>
    <row r="205" spans="1:10" x14ac:dyDescent="0.25">
      <c r="A205" s="105" t="s">
        <v>798</v>
      </c>
      <c r="B205" s="106"/>
      <c r="C205" s="106"/>
      <c r="D205" s="106"/>
      <c r="E205" s="106"/>
      <c r="F205" s="106"/>
      <c r="G205" s="106"/>
      <c r="H205" s="35">
        <v>0</v>
      </c>
      <c r="I205" s="36">
        <f>G204*H205</f>
        <v>0</v>
      </c>
      <c r="J205">
        <v>2</v>
      </c>
    </row>
    <row r="206" spans="1:10" x14ac:dyDescent="0.25">
      <c r="A206" s="107"/>
      <c r="B206" s="107"/>
      <c r="C206" s="107"/>
      <c r="D206" s="107"/>
      <c r="E206" s="107"/>
      <c r="F206" s="107"/>
      <c r="G206" s="107"/>
      <c r="H206" s="70">
        <f>H204+H205</f>
        <v>0</v>
      </c>
      <c r="I206" s="71">
        <f>I204+I205</f>
        <v>0</v>
      </c>
      <c r="J206">
        <v>5</v>
      </c>
    </row>
    <row r="207" spans="1:10" x14ac:dyDescent="0.25">
      <c r="A207" s="73"/>
      <c r="B207" s="25">
        <v>66</v>
      </c>
      <c r="C207" s="26" t="s">
        <v>342</v>
      </c>
      <c r="D207" s="27" t="s">
        <v>25</v>
      </c>
      <c r="E207" s="28"/>
      <c r="F207" s="28"/>
      <c r="G207" s="29">
        <v>4</v>
      </c>
      <c r="H207" s="22">
        <v>0</v>
      </c>
      <c r="I207" s="30">
        <f>G207*H207</f>
        <v>0</v>
      </c>
      <c r="J207">
        <v>1</v>
      </c>
    </row>
    <row r="208" spans="1:10" ht="15" customHeight="1" x14ac:dyDescent="0.25">
      <c r="A208" s="105" t="s">
        <v>799</v>
      </c>
      <c r="B208" s="106"/>
      <c r="C208" s="106"/>
      <c r="D208" s="106"/>
      <c r="E208" s="106"/>
      <c r="F208" s="106"/>
      <c r="G208" s="106"/>
      <c r="H208" s="35">
        <v>0</v>
      </c>
      <c r="I208" s="36">
        <f>G207*H208</f>
        <v>0</v>
      </c>
      <c r="J208">
        <v>2</v>
      </c>
    </row>
    <row r="209" spans="1:10" x14ac:dyDescent="0.25">
      <c r="A209" s="107"/>
      <c r="B209" s="107"/>
      <c r="C209" s="107"/>
      <c r="D209" s="107"/>
      <c r="E209" s="107"/>
      <c r="F209" s="107"/>
      <c r="G209" s="107"/>
      <c r="H209" s="70">
        <f>H207+H208</f>
        <v>0</v>
      </c>
      <c r="I209" s="71">
        <f>I207+I208</f>
        <v>0</v>
      </c>
      <c r="J209">
        <v>5</v>
      </c>
    </row>
    <row r="210" spans="1:10" x14ac:dyDescent="0.25">
      <c r="A210" s="73"/>
      <c r="B210" s="25">
        <v>67</v>
      </c>
      <c r="C210" s="26" t="s">
        <v>342</v>
      </c>
      <c r="D210" s="27" t="s">
        <v>25</v>
      </c>
      <c r="E210" s="28"/>
      <c r="F210" s="28"/>
      <c r="G210" s="29">
        <v>2</v>
      </c>
      <c r="H210" s="22">
        <v>0</v>
      </c>
      <c r="I210" s="30">
        <f>G210*H210</f>
        <v>0</v>
      </c>
      <c r="J210">
        <v>1</v>
      </c>
    </row>
    <row r="211" spans="1:10" x14ac:dyDescent="0.25">
      <c r="A211" s="105" t="s">
        <v>800</v>
      </c>
      <c r="B211" s="106"/>
      <c r="C211" s="106"/>
      <c r="D211" s="106"/>
      <c r="E211" s="106"/>
      <c r="F211" s="106"/>
      <c r="G211" s="106"/>
      <c r="H211" s="35">
        <v>0</v>
      </c>
      <c r="I211" s="36">
        <f>G210*H211</f>
        <v>0</v>
      </c>
      <c r="J211">
        <v>2</v>
      </c>
    </row>
    <row r="212" spans="1:10" x14ac:dyDescent="0.25">
      <c r="A212" s="107"/>
      <c r="B212" s="107"/>
      <c r="C212" s="107"/>
      <c r="D212" s="107"/>
      <c r="E212" s="107"/>
      <c r="F212" s="107"/>
      <c r="G212" s="107"/>
      <c r="H212" s="70">
        <f>H210+H211</f>
        <v>0</v>
      </c>
      <c r="I212" s="71">
        <f>I210+I211</f>
        <v>0</v>
      </c>
      <c r="J212">
        <v>5</v>
      </c>
    </row>
    <row r="213" spans="1:10" x14ac:dyDescent="0.25">
      <c r="A213" s="73"/>
      <c r="B213" s="25">
        <v>68</v>
      </c>
      <c r="C213" s="26" t="s">
        <v>343</v>
      </c>
      <c r="D213" s="27" t="s">
        <v>25</v>
      </c>
      <c r="E213" s="28"/>
      <c r="F213" s="28"/>
      <c r="G213" s="29">
        <v>2</v>
      </c>
      <c r="H213" s="22">
        <v>0</v>
      </c>
      <c r="I213" s="30">
        <f>G213*H213</f>
        <v>0</v>
      </c>
      <c r="J213">
        <v>1</v>
      </c>
    </row>
    <row r="214" spans="1:10" x14ac:dyDescent="0.25">
      <c r="A214" s="105" t="s">
        <v>801</v>
      </c>
      <c r="B214" s="106"/>
      <c r="C214" s="106"/>
      <c r="D214" s="106"/>
      <c r="E214" s="106"/>
      <c r="F214" s="106"/>
      <c r="G214" s="106"/>
      <c r="H214" s="35">
        <v>0</v>
      </c>
      <c r="I214" s="36">
        <f>G213*H214</f>
        <v>0</v>
      </c>
      <c r="J214">
        <v>2</v>
      </c>
    </row>
    <row r="215" spans="1:10" x14ac:dyDescent="0.25">
      <c r="A215" s="107"/>
      <c r="B215" s="107"/>
      <c r="C215" s="107"/>
      <c r="D215" s="107"/>
      <c r="E215" s="107"/>
      <c r="F215" s="107"/>
      <c r="G215" s="107"/>
      <c r="H215" s="70">
        <f>H213+H214</f>
        <v>0</v>
      </c>
      <c r="I215" s="71">
        <f>I213+I214</f>
        <v>0</v>
      </c>
      <c r="J215">
        <v>5</v>
      </c>
    </row>
    <row r="216" spans="1:10" x14ac:dyDescent="0.25">
      <c r="A216" s="73"/>
      <c r="B216" s="25">
        <v>69</v>
      </c>
      <c r="C216" s="26" t="s">
        <v>344</v>
      </c>
      <c r="D216" s="27" t="s">
        <v>24</v>
      </c>
      <c r="E216" s="28"/>
      <c r="F216" s="28"/>
      <c r="G216" s="29">
        <v>178</v>
      </c>
      <c r="H216" s="22">
        <v>0</v>
      </c>
      <c r="I216" s="30">
        <f>G216*H216</f>
        <v>0</v>
      </c>
      <c r="J216">
        <v>1</v>
      </c>
    </row>
    <row r="217" spans="1:10" x14ac:dyDescent="0.25">
      <c r="A217" s="105" t="s">
        <v>802</v>
      </c>
      <c r="B217" s="106"/>
      <c r="C217" s="106"/>
      <c r="D217" s="106"/>
      <c r="E217" s="106"/>
      <c r="F217" s="106"/>
      <c r="G217" s="106"/>
      <c r="H217" s="35">
        <v>0</v>
      </c>
      <c r="I217" s="36">
        <f>G216*H217</f>
        <v>0</v>
      </c>
      <c r="J217">
        <v>2</v>
      </c>
    </row>
    <row r="218" spans="1:10" x14ac:dyDescent="0.25">
      <c r="A218" s="107"/>
      <c r="B218" s="107"/>
      <c r="C218" s="107"/>
      <c r="D218" s="107"/>
      <c r="E218" s="107"/>
      <c r="F218" s="107"/>
      <c r="G218" s="107"/>
      <c r="H218" s="70">
        <f>H216+H217</f>
        <v>0</v>
      </c>
      <c r="I218" s="71">
        <f>I216+I217</f>
        <v>0</v>
      </c>
      <c r="J218">
        <v>5</v>
      </c>
    </row>
    <row r="219" spans="1:10" x14ac:dyDescent="0.25">
      <c r="A219" s="73"/>
      <c r="B219" s="25">
        <v>70</v>
      </c>
      <c r="C219" s="26" t="s">
        <v>338</v>
      </c>
      <c r="D219" s="27" t="s">
        <v>25</v>
      </c>
      <c r="E219" s="28"/>
      <c r="F219" s="28"/>
      <c r="G219" s="29">
        <v>8</v>
      </c>
      <c r="H219" s="22">
        <v>0</v>
      </c>
      <c r="I219" s="30">
        <f>G219*H219</f>
        <v>0</v>
      </c>
      <c r="J219">
        <v>1</v>
      </c>
    </row>
    <row r="220" spans="1:10" x14ac:dyDescent="0.25">
      <c r="A220" s="105" t="s">
        <v>803</v>
      </c>
      <c r="B220" s="106"/>
      <c r="C220" s="106"/>
      <c r="D220" s="106"/>
      <c r="E220" s="106"/>
      <c r="F220" s="106"/>
      <c r="G220" s="106"/>
      <c r="H220" s="35">
        <v>0</v>
      </c>
      <c r="I220" s="36">
        <f>G219*H220</f>
        <v>0</v>
      </c>
      <c r="J220">
        <v>2</v>
      </c>
    </row>
    <row r="221" spans="1:10" x14ac:dyDescent="0.25">
      <c r="A221" s="107"/>
      <c r="B221" s="107"/>
      <c r="C221" s="107"/>
      <c r="D221" s="107"/>
      <c r="E221" s="107"/>
      <c r="F221" s="107"/>
      <c r="G221" s="107"/>
      <c r="H221" s="70">
        <f>H219+H220</f>
        <v>0</v>
      </c>
      <c r="I221" s="71">
        <f>I219+I220</f>
        <v>0</v>
      </c>
      <c r="J221">
        <v>5</v>
      </c>
    </row>
    <row r="222" spans="1:10" x14ac:dyDescent="0.25">
      <c r="A222" s="73"/>
      <c r="B222" s="25">
        <v>71</v>
      </c>
      <c r="C222" s="26" t="s">
        <v>345</v>
      </c>
      <c r="D222" s="27" t="s">
        <v>25</v>
      </c>
      <c r="E222" s="28"/>
      <c r="F222" s="28"/>
      <c r="G222" s="29">
        <v>13</v>
      </c>
      <c r="H222" s="22">
        <v>0</v>
      </c>
      <c r="I222" s="30">
        <f>G222*H222</f>
        <v>0</v>
      </c>
      <c r="J222">
        <v>1</v>
      </c>
    </row>
    <row r="223" spans="1:10" x14ac:dyDescent="0.25">
      <c r="A223" s="105" t="s">
        <v>804</v>
      </c>
      <c r="B223" s="106"/>
      <c r="C223" s="106"/>
      <c r="D223" s="106"/>
      <c r="E223" s="106"/>
      <c r="F223" s="106"/>
      <c r="G223" s="106"/>
      <c r="H223" s="35">
        <v>0</v>
      </c>
      <c r="I223" s="36">
        <f>G222*H223</f>
        <v>0</v>
      </c>
      <c r="J223">
        <v>2</v>
      </c>
    </row>
    <row r="224" spans="1:10" x14ac:dyDescent="0.25">
      <c r="A224" s="107"/>
      <c r="B224" s="107"/>
      <c r="C224" s="107"/>
      <c r="D224" s="107"/>
      <c r="E224" s="107"/>
      <c r="F224" s="107"/>
      <c r="G224" s="107"/>
      <c r="H224" s="70">
        <f>H222+H223</f>
        <v>0</v>
      </c>
      <c r="I224" s="71">
        <f>I222+I223</f>
        <v>0</v>
      </c>
      <c r="J224">
        <v>5</v>
      </c>
    </row>
    <row r="225" spans="1:10" x14ac:dyDescent="0.25">
      <c r="A225" s="73"/>
      <c r="B225" s="25">
        <v>72</v>
      </c>
      <c r="C225" s="26" t="s">
        <v>345</v>
      </c>
      <c r="D225" s="27" t="s">
        <v>25</v>
      </c>
      <c r="E225" s="28"/>
      <c r="F225" s="28"/>
      <c r="G225" s="29">
        <v>18</v>
      </c>
      <c r="H225" s="22">
        <v>0</v>
      </c>
      <c r="I225" s="30">
        <f>G225*H225</f>
        <v>0</v>
      </c>
      <c r="J225">
        <v>1</v>
      </c>
    </row>
    <row r="226" spans="1:10" x14ac:dyDescent="0.25">
      <c r="A226" s="105" t="s">
        <v>804</v>
      </c>
      <c r="B226" s="106"/>
      <c r="C226" s="106"/>
      <c r="D226" s="106"/>
      <c r="E226" s="106"/>
      <c r="F226" s="106"/>
      <c r="G226" s="106"/>
      <c r="H226" s="35">
        <v>0</v>
      </c>
      <c r="I226" s="36">
        <f>G225*H226</f>
        <v>0</v>
      </c>
      <c r="J226">
        <v>2</v>
      </c>
    </row>
    <row r="227" spans="1:10" x14ac:dyDescent="0.25">
      <c r="A227" s="107"/>
      <c r="B227" s="107"/>
      <c r="C227" s="107"/>
      <c r="D227" s="107"/>
      <c r="E227" s="107"/>
      <c r="F227" s="107"/>
      <c r="G227" s="107"/>
      <c r="H227" s="70">
        <f>H225+H226</f>
        <v>0</v>
      </c>
      <c r="I227" s="71">
        <f>I225+I226</f>
        <v>0</v>
      </c>
      <c r="J227">
        <v>5</v>
      </c>
    </row>
    <row r="228" spans="1:10" x14ac:dyDescent="0.25">
      <c r="A228" s="73"/>
      <c r="B228" s="25">
        <v>73</v>
      </c>
      <c r="C228" s="26" t="s">
        <v>345</v>
      </c>
      <c r="D228" s="27" t="s">
        <v>25</v>
      </c>
      <c r="E228" s="28"/>
      <c r="F228" s="28"/>
      <c r="G228" s="29">
        <v>10</v>
      </c>
      <c r="H228" s="22">
        <v>0</v>
      </c>
      <c r="I228" s="30">
        <f>G228*H228</f>
        <v>0</v>
      </c>
      <c r="J228">
        <v>1</v>
      </c>
    </row>
    <row r="229" spans="1:10" x14ac:dyDescent="0.25">
      <c r="A229" s="105" t="s">
        <v>805</v>
      </c>
      <c r="B229" s="106"/>
      <c r="C229" s="106"/>
      <c r="D229" s="106"/>
      <c r="E229" s="106"/>
      <c r="F229" s="106"/>
      <c r="G229" s="106"/>
      <c r="H229" s="35">
        <v>0</v>
      </c>
      <c r="I229" s="36">
        <f>G228*H229</f>
        <v>0</v>
      </c>
      <c r="J229">
        <v>2</v>
      </c>
    </row>
    <row r="230" spans="1:10" x14ac:dyDescent="0.25">
      <c r="A230" s="107"/>
      <c r="B230" s="107"/>
      <c r="C230" s="107"/>
      <c r="D230" s="107"/>
      <c r="E230" s="107"/>
      <c r="F230" s="107"/>
      <c r="G230" s="107"/>
      <c r="H230" s="70">
        <f>H228+H229</f>
        <v>0</v>
      </c>
      <c r="I230" s="71">
        <f>I228+I229</f>
        <v>0</v>
      </c>
      <c r="J230">
        <v>5</v>
      </c>
    </row>
    <row r="231" spans="1:10" x14ac:dyDescent="0.25">
      <c r="A231" s="73"/>
      <c r="B231" s="25">
        <v>74</v>
      </c>
      <c r="C231" s="26" t="s">
        <v>346</v>
      </c>
      <c r="D231" s="27" t="s">
        <v>25</v>
      </c>
      <c r="E231" s="28"/>
      <c r="F231" s="28"/>
      <c r="G231" s="29">
        <v>19</v>
      </c>
      <c r="H231" s="22">
        <v>0</v>
      </c>
      <c r="I231" s="30">
        <f>G231*H231</f>
        <v>0</v>
      </c>
      <c r="J231">
        <v>1</v>
      </c>
    </row>
    <row r="232" spans="1:10" x14ac:dyDescent="0.25">
      <c r="A232" s="105" t="s">
        <v>806</v>
      </c>
      <c r="B232" s="106"/>
      <c r="C232" s="106"/>
      <c r="D232" s="106"/>
      <c r="E232" s="106"/>
      <c r="F232" s="106"/>
      <c r="G232" s="106"/>
      <c r="H232" s="35">
        <v>0</v>
      </c>
      <c r="I232" s="36">
        <f>G231*H232</f>
        <v>0</v>
      </c>
      <c r="J232">
        <v>2</v>
      </c>
    </row>
    <row r="233" spans="1:10" x14ac:dyDescent="0.25">
      <c r="A233" s="107"/>
      <c r="B233" s="107"/>
      <c r="C233" s="107"/>
      <c r="D233" s="107"/>
      <c r="E233" s="107"/>
      <c r="F233" s="107"/>
      <c r="G233" s="107"/>
      <c r="H233" s="70">
        <f>H231+H232</f>
        <v>0</v>
      </c>
      <c r="I233" s="71">
        <f>I231+I232</f>
        <v>0</v>
      </c>
      <c r="J233">
        <v>5</v>
      </c>
    </row>
    <row r="234" spans="1:10" x14ac:dyDescent="0.25">
      <c r="A234" s="73"/>
      <c r="B234" s="25">
        <v>75</v>
      </c>
      <c r="C234" s="26" t="s">
        <v>347</v>
      </c>
      <c r="D234" s="27" t="s">
        <v>25</v>
      </c>
      <c r="E234" s="28"/>
      <c r="F234" s="28"/>
      <c r="G234" s="29">
        <v>90</v>
      </c>
      <c r="H234" s="22">
        <v>0</v>
      </c>
      <c r="I234" s="30">
        <f>G234*H234</f>
        <v>0</v>
      </c>
      <c r="J234">
        <v>1</v>
      </c>
    </row>
    <row r="235" spans="1:10" x14ac:dyDescent="0.25">
      <c r="A235" s="105" t="s">
        <v>807</v>
      </c>
      <c r="B235" s="106"/>
      <c r="C235" s="106"/>
      <c r="D235" s="106"/>
      <c r="E235" s="106"/>
      <c r="F235" s="106"/>
      <c r="G235" s="106"/>
      <c r="H235" s="35">
        <v>0</v>
      </c>
      <c r="I235" s="36">
        <f>G234*H235</f>
        <v>0</v>
      </c>
      <c r="J235">
        <v>2</v>
      </c>
    </row>
    <row r="236" spans="1:10" x14ac:dyDescent="0.25">
      <c r="A236" s="107"/>
      <c r="B236" s="107"/>
      <c r="C236" s="107"/>
      <c r="D236" s="107"/>
      <c r="E236" s="107"/>
      <c r="F236" s="107"/>
      <c r="G236" s="107"/>
      <c r="H236" s="70">
        <f>H234+H235</f>
        <v>0</v>
      </c>
      <c r="I236" s="71">
        <f>I234+I235</f>
        <v>0</v>
      </c>
      <c r="J236">
        <v>5</v>
      </c>
    </row>
    <row r="237" spans="1:10" x14ac:dyDescent="0.25">
      <c r="A237" s="73"/>
      <c r="B237" s="25">
        <v>76</v>
      </c>
      <c r="C237" s="26" t="s">
        <v>347</v>
      </c>
      <c r="D237" s="27" t="s">
        <v>25</v>
      </c>
      <c r="E237" s="28"/>
      <c r="F237" s="28"/>
      <c r="G237" s="29">
        <v>14</v>
      </c>
      <c r="H237" s="22">
        <v>0</v>
      </c>
      <c r="I237" s="30">
        <f>G237*H237</f>
        <v>0</v>
      </c>
      <c r="J237">
        <v>1</v>
      </c>
    </row>
    <row r="238" spans="1:10" x14ac:dyDescent="0.25">
      <c r="A238" s="105" t="s">
        <v>807</v>
      </c>
      <c r="B238" s="106"/>
      <c r="C238" s="106"/>
      <c r="D238" s="106"/>
      <c r="E238" s="106"/>
      <c r="F238" s="106"/>
      <c r="G238" s="106"/>
      <c r="H238" s="35">
        <v>0</v>
      </c>
      <c r="I238" s="36">
        <f>G237*H238</f>
        <v>0</v>
      </c>
      <c r="J238">
        <v>2</v>
      </c>
    </row>
    <row r="239" spans="1:10" x14ac:dyDescent="0.25">
      <c r="A239" s="107"/>
      <c r="B239" s="107"/>
      <c r="C239" s="107"/>
      <c r="D239" s="107"/>
      <c r="E239" s="107"/>
      <c r="F239" s="107"/>
      <c r="G239" s="107"/>
      <c r="H239" s="70">
        <f>H237+H238</f>
        <v>0</v>
      </c>
      <c r="I239" s="71">
        <f>I237+I238</f>
        <v>0</v>
      </c>
      <c r="J239">
        <v>5</v>
      </c>
    </row>
    <row r="240" spans="1:10" x14ac:dyDescent="0.25">
      <c r="A240" s="73"/>
      <c r="B240" s="25">
        <v>77</v>
      </c>
      <c r="C240" s="26" t="s">
        <v>348</v>
      </c>
      <c r="D240" s="27" t="s">
        <v>25</v>
      </c>
      <c r="E240" s="28"/>
      <c r="F240" s="28"/>
      <c r="G240" s="29">
        <v>62</v>
      </c>
      <c r="H240" s="22">
        <v>0</v>
      </c>
      <c r="I240" s="30">
        <f>G240*H240</f>
        <v>0</v>
      </c>
      <c r="J240">
        <v>1</v>
      </c>
    </row>
    <row r="241" spans="1:10" x14ac:dyDescent="0.25">
      <c r="A241" s="105" t="s">
        <v>808</v>
      </c>
      <c r="B241" s="106"/>
      <c r="C241" s="106"/>
      <c r="D241" s="106"/>
      <c r="E241" s="106"/>
      <c r="F241" s="106"/>
      <c r="G241" s="106"/>
      <c r="H241" s="35">
        <v>0</v>
      </c>
      <c r="I241" s="36">
        <f>G240*H241</f>
        <v>0</v>
      </c>
      <c r="J241">
        <v>2</v>
      </c>
    </row>
    <row r="242" spans="1:10" ht="14.45" customHeight="1" x14ac:dyDescent="0.25">
      <c r="A242" s="107"/>
      <c r="B242" s="107"/>
      <c r="C242" s="107"/>
      <c r="D242" s="107"/>
      <c r="E242" s="107"/>
      <c r="F242" s="107"/>
      <c r="G242" s="107"/>
      <c r="H242" s="70">
        <f>H240+H241</f>
        <v>0</v>
      </c>
      <c r="I242" s="71">
        <f>I240+I241</f>
        <v>0</v>
      </c>
      <c r="J242">
        <v>5</v>
      </c>
    </row>
    <row r="243" spans="1:10" x14ac:dyDescent="0.25">
      <c r="A243" s="73"/>
      <c r="B243" s="25">
        <v>78</v>
      </c>
      <c r="C243" s="26" t="s">
        <v>349</v>
      </c>
      <c r="D243" s="27" t="s">
        <v>25</v>
      </c>
      <c r="E243" s="28"/>
      <c r="F243" s="28"/>
      <c r="G243" s="29">
        <v>1</v>
      </c>
      <c r="H243" s="22">
        <v>0</v>
      </c>
      <c r="I243" s="30">
        <f>G243*H243</f>
        <v>0</v>
      </c>
      <c r="J243">
        <v>1</v>
      </c>
    </row>
    <row r="244" spans="1:10" x14ac:dyDescent="0.25">
      <c r="A244" s="105" t="s">
        <v>809</v>
      </c>
      <c r="B244" s="106"/>
      <c r="C244" s="106"/>
      <c r="D244" s="106"/>
      <c r="E244" s="106"/>
      <c r="F244" s="106"/>
      <c r="G244" s="106"/>
      <c r="H244" s="35">
        <v>0</v>
      </c>
      <c r="I244" s="36">
        <f>G243*H244</f>
        <v>0</v>
      </c>
      <c r="J244">
        <v>2</v>
      </c>
    </row>
    <row r="245" spans="1:10" x14ac:dyDescent="0.25">
      <c r="A245" s="107"/>
      <c r="B245" s="107"/>
      <c r="C245" s="107"/>
      <c r="D245" s="107"/>
      <c r="E245" s="107"/>
      <c r="F245" s="107"/>
      <c r="G245" s="107"/>
      <c r="H245" s="70">
        <f>H243+H244</f>
        <v>0</v>
      </c>
      <c r="I245" s="71">
        <f>I243+I244</f>
        <v>0</v>
      </c>
      <c r="J245">
        <v>5</v>
      </c>
    </row>
    <row r="246" spans="1:10" x14ac:dyDescent="0.25">
      <c r="A246" s="73"/>
      <c r="B246" s="25">
        <v>79</v>
      </c>
      <c r="C246" s="26" t="s">
        <v>350</v>
      </c>
      <c r="D246" s="27" t="s">
        <v>25</v>
      </c>
      <c r="E246" s="28"/>
      <c r="F246" s="28"/>
      <c r="G246" s="29">
        <v>1</v>
      </c>
      <c r="H246" s="22">
        <v>0</v>
      </c>
      <c r="I246" s="30">
        <f>G246*H246</f>
        <v>0</v>
      </c>
      <c r="J246">
        <v>1</v>
      </c>
    </row>
    <row r="247" spans="1:10" x14ac:dyDescent="0.25">
      <c r="A247" s="105" t="s">
        <v>810</v>
      </c>
      <c r="B247" s="106"/>
      <c r="C247" s="106"/>
      <c r="D247" s="106"/>
      <c r="E247" s="106"/>
      <c r="F247" s="106"/>
      <c r="G247" s="106"/>
      <c r="H247" s="35">
        <v>0</v>
      </c>
      <c r="I247" s="36">
        <f>G246*H247</f>
        <v>0</v>
      </c>
      <c r="J247">
        <v>2</v>
      </c>
    </row>
    <row r="248" spans="1:10" x14ac:dyDescent="0.25">
      <c r="A248" s="107"/>
      <c r="B248" s="107"/>
      <c r="C248" s="107"/>
      <c r="D248" s="107"/>
      <c r="E248" s="107"/>
      <c r="F248" s="107"/>
      <c r="G248" s="107"/>
      <c r="H248" s="70">
        <f>H246+H247</f>
        <v>0</v>
      </c>
      <c r="I248" s="71">
        <f>I246+I247</f>
        <v>0</v>
      </c>
      <c r="J248">
        <v>5</v>
      </c>
    </row>
    <row r="249" spans="1:10" x14ac:dyDescent="0.25">
      <c r="A249" s="73"/>
      <c r="B249" s="25">
        <v>80</v>
      </c>
      <c r="C249" s="26" t="s">
        <v>351</v>
      </c>
      <c r="D249" s="27" t="s">
        <v>25</v>
      </c>
      <c r="E249" s="28"/>
      <c r="F249" s="28"/>
      <c r="G249" s="29">
        <v>1</v>
      </c>
      <c r="H249" s="22">
        <v>0</v>
      </c>
      <c r="I249" s="30">
        <f>G249*H249</f>
        <v>0</v>
      </c>
      <c r="J249">
        <v>1</v>
      </c>
    </row>
    <row r="250" spans="1:10" x14ac:dyDescent="0.25">
      <c r="A250" s="105" t="s">
        <v>811</v>
      </c>
      <c r="B250" s="106"/>
      <c r="C250" s="106"/>
      <c r="D250" s="106"/>
      <c r="E250" s="106"/>
      <c r="F250" s="106"/>
      <c r="G250" s="106"/>
      <c r="H250" s="35">
        <v>0</v>
      </c>
      <c r="I250" s="36">
        <f>G249*H250</f>
        <v>0</v>
      </c>
      <c r="J250">
        <v>2</v>
      </c>
    </row>
    <row r="251" spans="1:10" x14ac:dyDescent="0.25">
      <c r="A251" s="107"/>
      <c r="B251" s="107"/>
      <c r="C251" s="107"/>
      <c r="D251" s="107"/>
      <c r="E251" s="107"/>
      <c r="F251" s="107"/>
      <c r="G251" s="107"/>
      <c r="H251" s="70">
        <f>H249+H250</f>
        <v>0</v>
      </c>
      <c r="I251" s="71">
        <f>I249+I250</f>
        <v>0</v>
      </c>
      <c r="J251">
        <v>5</v>
      </c>
    </row>
    <row r="252" spans="1:10" x14ac:dyDescent="0.25">
      <c r="A252" s="73"/>
      <c r="B252" s="25">
        <v>81</v>
      </c>
      <c r="C252" s="26" t="s">
        <v>349</v>
      </c>
      <c r="D252" s="27" t="s">
        <v>25</v>
      </c>
      <c r="E252" s="28"/>
      <c r="F252" s="28"/>
      <c r="G252" s="29">
        <v>1</v>
      </c>
      <c r="H252" s="22">
        <v>0</v>
      </c>
      <c r="I252" s="30">
        <f>G252*H252</f>
        <v>0</v>
      </c>
      <c r="J252">
        <v>1</v>
      </c>
    </row>
    <row r="253" spans="1:10" x14ac:dyDescent="0.25">
      <c r="A253" s="105" t="s">
        <v>812</v>
      </c>
      <c r="B253" s="106"/>
      <c r="C253" s="106"/>
      <c r="D253" s="106"/>
      <c r="E253" s="106"/>
      <c r="F253" s="106"/>
      <c r="G253" s="106"/>
      <c r="H253" s="35">
        <v>0</v>
      </c>
      <c r="I253" s="36">
        <f>G252*H253</f>
        <v>0</v>
      </c>
      <c r="J253">
        <v>2</v>
      </c>
    </row>
    <row r="254" spans="1:10" x14ac:dyDescent="0.25">
      <c r="A254" s="107"/>
      <c r="B254" s="107"/>
      <c r="C254" s="107"/>
      <c r="D254" s="107"/>
      <c r="E254" s="107"/>
      <c r="F254" s="107"/>
      <c r="G254" s="107"/>
      <c r="H254" s="70">
        <f>H252+H253</f>
        <v>0</v>
      </c>
      <c r="I254" s="71">
        <f>I252+I253</f>
        <v>0</v>
      </c>
      <c r="J254">
        <v>5</v>
      </c>
    </row>
    <row r="255" spans="1:10" x14ac:dyDescent="0.25">
      <c r="A255" s="73"/>
      <c r="B255" s="25">
        <v>82</v>
      </c>
      <c r="C255" s="26" t="s">
        <v>349</v>
      </c>
      <c r="D255" s="27" t="s">
        <v>25</v>
      </c>
      <c r="E255" s="28"/>
      <c r="F255" s="28"/>
      <c r="G255" s="29">
        <v>1</v>
      </c>
      <c r="H255" s="22">
        <v>0</v>
      </c>
      <c r="I255" s="30">
        <f>G255*H255</f>
        <v>0</v>
      </c>
      <c r="J255">
        <v>1</v>
      </c>
    </row>
    <row r="256" spans="1:10" x14ac:dyDescent="0.25">
      <c r="A256" s="105" t="s">
        <v>813</v>
      </c>
      <c r="B256" s="106"/>
      <c r="C256" s="106"/>
      <c r="D256" s="106"/>
      <c r="E256" s="106"/>
      <c r="F256" s="106"/>
      <c r="G256" s="106"/>
      <c r="H256" s="35">
        <v>0</v>
      </c>
      <c r="I256" s="36">
        <f>G255*H256</f>
        <v>0</v>
      </c>
      <c r="J256">
        <v>2</v>
      </c>
    </row>
    <row r="257" spans="1:10" x14ac:dyDescent="0.25">
      <c r="A257" s="107"/>
      <c r="B257" s="107"/>
      <c r="C257" s="107"/>
      <c r="D257" s="107"/>
      <c r="E257" s="107"/>
      <c r="F257" s="107"/>
      <c r="G257" s="107"/>
      <c r="H257" s="70">
        <f>H255+H256</f>
        <v>0</v>
      </c>
      <c r="I257" s="71">
        <f>I255+I256</f>
        <v>0</v>
      </c>
      <c r="J257">
        <v>5</v>
      </c>
    </row>
    <row r="258" spans="1:10" x14ac:dyDescent="0.25">
      <c r="A258" s="73"/>
      <c r="B258" s="25">
        <v>83</v>
      </c>
      <c r="C258" s="26" t="s">
        <v>349</v>
      </c>
      <c r="D258" s="27" t="s">
        <v>25</v>
      </c>
      <c r="E258" s="28"/>
      <c r="F258" s="28"/>
      <c r="G258" s="29">
        <v>1</v>
      </c>
      <c r="H258" s="22">
        <v>0</v>
      </c>
      <c r="I258" s="30">
        <f>G258*H258</f>
        <v>0</v>
      </c>
      <c r="J258">
        <v>1</v>
      </c>
    </row>
    <row r="259" spans="1:10" x14ac:dyDescent="0.25">
      <c r="A259" s="105" t="s">
        <v>814</v>
      </c>
      <c r="B259" s="106"/>
      <c r="C259" s="106"/>
      <c r="D259" s="106"/>
      <c r="E259" s="106"/>
      <c r="F259" s="106"/>
      <c r="G259" s="106"/>
      <c r="H259" s="35">
        <v>0</v>
      </c>
      <c r="I259" s="36">
        <f>G258*H259</f>
        <v>0</v>
      </c>
      <c r="J259">
        <v>2</v>
      </c>
    </row>
    <row r="260" spans="1:10" x14ac:dyDescent="0.25">
      <c r="A260" s="107"/>
      <c r="B260" s="107"/>
      <c r="C260" s="107"/>
      <c r="D260" s="107"/>
      <c r="E260" s="107"/>
      <c r="F260" s="107"/>
      <c r="G260" s="107"/>
      <c r="H260" s="70">
        <f>H258+H259</f>
        <v>0</v>
      </c>
      <c r="I260" s="71">
        <f>I258+I259</f>
        <v>0</v>
      </c>
      <c r="J260">
        <v>5</v>
      </c>
    </row>
    <row r="261" spans="1:10" x14ac:dyDescent="0.25">
      <c r="A261" s="73"/>
      <c r="B261" s="25">
        <v>84</v>
      </c>
      <c r="C261" s="26" t="s">
        <v>351</v>
      </c>
      <c r="D261" s="27" t="s">
        <v>25</v>
      </c>
      <c r="E261" s="28"/>
      <c r="F261" s="28"/>
      <c r="G261" s="29">
        <v>1</v>
      </c>
      <c r="H261" s="22">
        <v>0</v>
      </c>
      <c r="I261" s="30">
        <f>G261*H261</f>
        <v>0</v>
      </c>
      <c r="J261">
        <v>1</v>
      </c>
    </row>
    <row r="262" spans="1:10" x14ac:dyDescent="0.25">
      <c r="A262" s="105" t="s">
        <v>352</v>
      </c>
      <c r="B262" s="106"/>
      <c r="C262" s="106"/>
      <c r="D262" s="106"/>
      <c r="E262" s="106"/>
      <c r="F262" s="106"/>
      <c r="G262" s="106"/>
      <c r="H262" s="35">
        <v>0</v>
      </c>
      <c r="I262" s="36">
        <f>G261*H262</f>
        <v>0</v>
      </c>
      <c r="J262">
        <v>2</v>
      </c>
    </row>
    <row r="263" spans="1:10" x14ac:dyDescent="0.25">
      <c r="A263" s="107"/>
      <c r="B263" s="107"/>
      <c r="C263" s="107"/>
      <c r="D263" s="107"/>
      <c r="E263" s="107"/>
      <c r="F263" s="107"/>
      <c r="G263" s="107"/>
      <c r="H263" s="70">
        <f>H261+H262</f>
        <v>0</v>
      </c>
      <c r="I263" s="71">
        <f>I261+I262</f>
        <v>0</v>
      </c>
      <c r="J263">
        <v>5</v>
      </c>
    </row>
    <row r="264" spans="1:10" x14ac:dyDescent="0.25">
      <c r="A264" s="73"/>
      <c r="B264" s="25">
        <v>85</v>
      </c>
      <c r="C264" s="26" t="s">
        <v>351</v>
      </c>
      <c r="D264" s="27" t="s">
        <v>25</v>
      </c>
      <c r="E264" s="28"/>
      <c r="F264" s="28"/>
      <c r="G264" s="29">
        <v>1</v>
      </c>
      <c r="H264" s="22">
        <v>0</v>
      </c>
      <c r="I264" s="30">
        <f>G264*H264</f>
        <v>0</v>
      </c>
      <c r="J264">
        <v>1</v>
      </c>
    </row>
    <row r="265" spans="1:10" x14ac:dyDescent="0.25">
      <c r="A265" s="105" t="s">
        <v>815</v>
      </c>
      <c r="B265" s="106"/>
      <c r="C265" s="106"/>
      <c r="D265" s="106"/>
      <c r="E265" s="106"/>
      <c r="F265" s="106"/>
      <c r="G265" s="106"/>
      <c r="H265" s="35">
        <v>0</v>
      </c>
      <c r="I265" s="36">
        <f>G264*H265</f>
        <v>0</v>
      </c>
      <c r="J265">
        <v>2</v>
      </c>
    </row>
    <row r="266" spans="1:10" x14ac:dyDescent="0.25">
      <c r="A266" s="107"/>
      <c r="B266" s="107"/>
      <c r="C266" s="107"/>
      <c r="D266" s="107"/>
      <c r="E266" s="107"/>
      <c r="F266" s="107"/>
      <c r="G266" s="107"/>
      <c r="H266" s="70">
        <f>H264+H265</f>
        <v>0</v>
      </c>
      <c r="I266" s="71">
        <f>I264+I265</f>
        <v>0</v>
      </c>
      <c r="J266">
        <v>5</v>
      </c>
    </row>
    <row r="267" spans="1:10" x14ac:dyDescent="0.25">
      <c r="A267" s="73"/>
      <c r="B267" s="25">
        <v>86</v>
      </c>
      <c r="C267" s="26" t="s">
        <v>351</v>
      </c>
      <c r="D267" s="27" t="s">
        <v>25</v>
      </c>
      <c r="E267" s="28"/>
      <c r="F267" s="28"/>
      <c r="G267" s="29">
        <v>1</v>
      </c>
      <c r="H267" s="22">
        <v>0</v>
      </c>
      <c r="I267" s="30">
        <f>G267*H267</f>
        <v>0</v>
      </c>
      <c r="J267">
        <v>1</v>
      </c>
    </row>
    <row r="268" spans="1:10" x14ac:dyDescent="0.25">
      <c r="A268" s="105" t="s">
        <v>352</v>
      </c>
      <c r="B268" s="106"/>
      <c r="C268" s="106"/>
      <c r="D268" s="106"/>
      <c r="E268" s="106"/>
      <c r="F268" s="106"/>
      <c r="G268" s="106"/>
      <c r="H268" s="35">
        <v>0</v>
      </c>
      <c r="I268" s="36">
        <f>G267*H268</f>
        <v>0</v>
      </c>
      <c r="J268">
        <v>2</v>
      </c>
    </row>
    <row r="269" spans="1:10" x14ac:dyDescent="0.25">
      <c r="A269" s="107"/>
      <c r="B269" s="107"/>
      <c r="C269" s="107"/>
      <c r="D269" s="107"/>
      <c r="E269" s="107"/>
      <c r="F269" s="107"/>
      <c r="G269" s="107"/>
      <c r="H269" s="70">
        <f>H267+H268</f>
        <v>0</v>
      </c>
      <c r="I269" s="71">
        <f>I267+I268</f>
        <v>0</v>
      </c>
      <c r="J269">
        <v>5</v>
      </c>
    </row>
    <row r="270" spans="1:10" x14ac:dyDescent="0.25">
      <c r="A270" s="73"/>
      <c r="B270" s="25">
        <v>87</v>
      </c>
      <c r="C270" s="26" t="s">
        <v>351</v>
      </c>
      <c r="D270" s="27" t="s">
        <v>25</v>
      </c>
      <c r="E270" s="28"/>
      <c r="F270" s="28"/>
      <c r="G270" s="29">
        <v>1</v>
      </c>
      <c r="H270" s="22">
        <v>0</v>
      </c>
      <c r="I270" s="30">
        <f>G270*H270</f>
        <v>0</v>
      </c>
      <c r="J270">
        <v>1</v>
      </c>
    </row>
    <row r="271" spans="1:10" x14ac:dyDescent="0.25">
      <c r="A271" s="105" t="s">
        <v>352</v>
      </c>
      <c r="B271" s="106"/>
      <c r="C271" s="106"/>
      <c r="D271" s="106"/>
      <c r="E271" s="106"/>
      <c r="F271" s="106"/>
      <c r="G271" s="106"/>
      <c r="H271" s="35">
        <v>0</v>
      </c>
      <c r="I271" s="36">
        <f>G270*H271</f>
        <v>0</v>
      </c>
      <c r="J271">
        <v>2</v>
      </c>
    </row>
    <row r="272" spans="1:10" x14ac:dyDescent="0.25">
      <c r="A272" s="107"/>
      <c r="B272" s="107"/>
      <c r="C272" s="107"/>
      <c r="D272" s="107"/>
      <c r="E272" s="107"/>
      <c r="F272" s="107"/>
      <c r="G272" s="107"/>
      <c r="H272" s="70">
        <f>H270+H271</f>
        <v>0</v>
      </c>
      <c r="I272" s="71">
        <f>I270+I271</f>
        <v>0</v>
      </c>
      <c r="J272">
        <v>5</v>
      </c>
    </row>
    <row r="273" spans="1:10" x14ac:dyDescent="0.25">
      <c r="A273" s="73"/>
      <c r="B273" s="25">
        <v>88</v>
      </c>
      <c r="C273" s="26" t="s">
        <v>351</v>
      </c>
      <c r="D273" s="27" t="s">
        <v>25</v>
      </c>
      <c r="E273" s="28"/>
      <c r="F273" s="28"/>
      <c r="G273" s="29">
        <v>1</v>
      </c>
      <c r="H273" s="22">
        <v>0</v>
      </c>
      <c r="I273" s="30">
        <f>G273*H273</f>
        <v>0</v>
      </c>
      <c r="J273">
        <v>1</v>
      </c>
    </row>
    <row r="274" spans="1:10" x14ac:dyDescent="0.25">
      <c r="A274" s="105" t="s">
        <v>816</v>
      </c>
      <c r="B274" s="106"/>
      <c r="C274" s="106"/>
      <c r="D274" s="106"/>
      <c r="E274" s="106"/>
      <c r="F274" s="106"/>
      <c r="G274" s="106"/>
      <c r="H274" s="35">
        <v>0</v>
      </c>
      <c r="I274" s="36">
        <f>G273*H274</f>
        <v>0</v>
      </c>
      <c r="J274">
        <v>2</v>
      </c>
    </row>
    <row r="275" spans="1:10" x14ac:dyDescent="0.25">
      <c r="A275" s="107"/>
      <c r="B275" s="107"/>
      <c r="C275" s="107"/>
      <c r="D275" s="107"/>
      <c r="E275" s="107"/>
      <c r="F275" s="107"/>
      <c r="G275" s="107"/>
      <c r="H275" s="70">
        <f>H273+H274</f>
        <v>0</v>
      </c>
      <c r="I275" s="71">
        <f>I273+I274</f>
        <v>0</v>
      </c>
      <c r="J275">
        <v>5</v>
      </c>
    </row>
    <row r="276" spans="1:10" x14ac:dyDescent="0.25">
      <c r="A276" s="73"/>
      <c r="B276" s="25">
        <v>89</v>
      </c>
      <c r="C276" s="26" t="s">
        <v>351</v>
      </c>
      <c r="D276" s="27" t="s">
        <v>25</v>
      </c>
      <c r="E276" s="28"/>
      <c r="F276" s="28"/>
      <c r="G276" s="29">
        <v>1</v>
      </c>
      <c r="H276" s="22">
        <v>0</v>
      </c>
      <c r="I276" s="30">
        <f>G276*H276</f>
        <v>0</v>
      </c>
      <c r="J276">
        <v>1</v>
      </c>
    </row>
    <row r="277" spans="1:10" x14ac:dyDescent="0.25">
      <c r="A277" s="105" t="s">
        <v>817</v>
      </c>
      <c r="B277" s="106"/>
      <c r="C277" s="106"/>
      <c r="D277" s="106"/>
      <c r="E277" s="106"/>
      <c r="F277" s="106"/>
      <c r="G277" s="106"/>
      <c r="H277" s="35">
        <v>0</v>
      </c>
      <c r="I277" s="36">
        <f>G276*H277</f>
        <v>0</v>
      </c>
      <c r="J277">
        <v>2</v>
      </c>
    </row>
    <row r="278" spans="1:10" x14ac:dyDescent="0.25">
      <c r="A278" s="107"/>
      <c r="B278" s="107"/>
      <c r="C278" s="107"/>
      <c r="D278" s="107"/>
      <c r="E278" s="107"/>
      <c r="F278" s="107"/>
      <c r="G278" s="107"/>
      <c r="H278" s="70">
        <f>H276+H277</f>
        <v>0</v>
      </c>
      <c r="I278" s="71">
        <f>I276+I277</f>
        <v>0</v>
      </c>
      <c r="J278">
        <v>5</v>
      </c>
    </row>
    <row r="279" spans="1:10" x14ac:dyDescent="0.25">
      <c r="A279" s="73"/>
      <c r="B279" s="25">
        <v>90</v>
      </c>
      <c r="C279" s="26" t="s">
        <v>351</v>
      </c>
      <c r="D279" s="27" t="s">
        <v>25</v>
      </c>
      <c r="E279" s="28"/>
      <c r="F279" s="28"/>
      <c r="G279" s="29">
        <v>1</v>
      </c>
      <c r="H279" s="22">
        <v>0</v>
      </c>
      <c r="I279" s="30">
        <f>G279*H279</f>
        <v>0</v>
      </c>
      <c r="J279">
        <v>1</v>
      </c>
    </row>
    <row r="280" spans="1:10" x14ac:dyDescent="0.25">
      <c r="A280" s="105" t="s">
        <v>818</v>
      </c>
      <c r="B280" s="106"/>
      <c r="C280" s="106"/>
      <c r="D280" s="106"/>
      <c r="E280" s="106"/>
      <c r="F280" s="106"/>
      <c r="G280" s="106"/>
      <c r="H280" s="35">
        <v>0</v>
      </c>
      <c r="I280" s="36">
        <f>G279*H280</f>
        <v>0</v>
      </c>
      <c r="J280">
        <v>2</v>
      </c>
    </row>
    <row r="281" spans="1:10" x14ac:dyDescent="0.25">
      <c r="A281" s="107"/>
      <c r="B281" s="107"/>
      <c r="C281" s="107"/>
      <c r="D281" s="107"/>
      <c r="E281" s="107"/>
      <c r="F281" s="107"/>
      <c r="G281" s="107"/>
      <c r="H281" s="70">
        <f>H279+H280</f>
        <v>0</v>
      </c>
      <c r="I281" s="71">
        <f>I279+I280</f>
        <v>0</v>
      </c>
      <c r="J281">
        <v>5</v>
      </c>
    </row>
    <row r="282" spans="1:10" x14ac:dyDescent="0.25">
      <c r="A282" s="73"/>
      <c r="B282" s="25">
        <v>91</v>
      </c>
      <c r="C282" s="26" t="s">
        <v>351</v>
      </c>
      <c r="D282" s="27" t="s">
        <v>25</v>
      </c>
      <c r="E282" s="28"/>
      <c r="F282" s="28"/>
      <c r="G282" s="29">
        <v>1</v>
      </c>
      <c r="H282" s="22">
        <v>0</v>
      </c>
      <c r="I282" s="30">
        <f>G282*H282</f>
        <v>0</v>
      </c>
      <c r="J282">
        <v>1</v>
      </c>
    </row>
    <row r="283" spans="1:10" x14ac:dyDescent="0.25">
      <c r="A283" s="105" t="s">
        <v>819</v>
      </c>
      <c r="B283" s="106"/>
      <c r="C283" s="106"/>
      <c r="D283" s="106"/>
      <c r="E283" s="106"/>
      <c r="F283" s="106"/>
      <c r="G283" s="106"/>
      <c r="H283" s="35">
        <v>0</v>
      </c>
      <c r="I283" s="36">
        <f>G282*H283</f>
        <v>0</v>
      </c>
      <c r="J283">
        <v>2</v>
      </c>
    </row>
    <row r="284" spans="1:10" x14ac:dyDescent="0.25">
      <c r="A284" s="107"/>
      <c r="B284" s="107"/>
      <c r="C284" s="107"/>
      <c r="D284" s="107"/>
      <c r="E284" s="107"/>
      <c r="F284" s="107"/>
      <c r="G284" s="107"/>
      <c r="H284" s="70">
        <f>H282+H283</f>
        <v>0</v>
      </c>
      <c r="I284" s="71">
        <f>I282+I283</f>
        <v>0</v>
      </c>
      <c r="J284">
        <v>5</v>
      </c>
    </row>
    <row r="285" spans="1:10" x14ac:dyDescent="0.25">
      <c r="A285" s="73"/>
      <c r="B285" s="25">
        <v>92</v>
      </c>
      <c r="C285" s="26" t="s">
        <v>349</v>
      </c>
      <c r="D285" s="27" t="s">
        <v>25</v>
      </c>
      <c r="E285" s="28"/>
      <c r="F285" s="28"/>
      <c r="G285" s="29">
        <v>1</v>
      </c>
      <c r="H285" s="22">
        <v>0</v>
      </c>
      <c r="I285" s="30">
        <f>G285*H285</f>
        <v>0</v>
      </c>
      <c r="J285">
        <v>1</v>
      </c>
    </row>
    <row r="286" spans="1:10" x14ac:dyDescent="0.25">
      <c r="A286" s="105" t="s">
        <v>820</v>
      </c>
      <c r="B286" s="106"/>
      <c r="C286" s="106"/>
      <c r="D286" s="106"/>
      <c r="E286" s="106"/>
      <c r="F286" s="106"/>
      <c r="G286" s="106"/>
      <c r="H286" s="35">
        <v>0</v>
      </c>
      <c r="I286" s="36">
        <f>G285*H286</f>
        <v>0</v>
      </c>
      <c r="J286">
        <v>2</v>
      </c>
    </row>
    <row r="287" spans="1:10" x14ac:dyDescent="0.25">
      <c r="A287" s="107"/>
      <c r="B287" s="107"/>
      <c r="C287" s="107"/>
      <c r="D287" s="107"/>
      <c r="E287" s="107"/>
      <c r="F287" s="107"/>
      <c r="G287" s="107"/>
      <c r="H287" s="70">
        <f>H285+H286</f>
        <v>0</v>
      </c>
      <c r="I287" s="71">
        <f>I285+I286</f>
        <v>0</v>
      </c>
      <c r="J287">
        <v>5</v>
      </c>
    </row>
    <row r="288" spans="1:10" x14ac:dyDescent="0.25">
      <c r="A288" s="73"/>
      <c r="B288" s="25">
        <v>93</v>
      </c>
      <c r="C288" s="26" t="s">
        <v>349</v>
      </c>
      <c r="D288" s="27" t="s">
        <v>25</v>
      </c>
      <c r="E288" s="28"/>
      <c r="F288" s="28"/>
      <c r="G288" s="29">
        <v>1</v>
      </c>
      <c r="H288" s="22">
        <v>0</v>
      </c>
      <c r="I288" s="30">
        <f>G288*H288</f>
        <v>0</v>
      </c>
      <c r="J288">
        <v>1</v>
      </c>
    </row>
    <row r="289" spans="1:10" x14ac:dyDescent="0.25">
      <c r="A289" s="105" t="s">
        <v>821</v>
      </c>
      <c r="B289" s="106"/>
      <c r="C289" s="106"/>
      <c r="D289" s="106"/>
      <c r="E289" s="106"/>
      <c r="F289" s="106"/>
      <c r="G289" s="106"/>
      <c r="H289" s="35">
        <v>0</v>
      </c>
      <c r="I289" s="36">
        <f>G288*H289</f>
        <v>0</v>
      </c>
      <c r="J289">
        <v>2</v>
      </c>
    </row>
    <row r="290" spans="1:10" x14ac:dyDescent="0.25">
      <c r="A290" s="107"/>
      <c r="B290" s="107"/>
      <c r="C290" s="107"/>
      <c r="D290" s="107"/>
      <c r="E290" s="107"/>
      <c r="F290" s="107"/>
      <c r="G290" s="107"/>
      <c r="H290" s="70">
        <f>H288+H289</f>
        <v>0</v>
      </c>
      <c r="I290" s="71">
        <f>I288+I289</f>
        <v>0</v>
      </c>
      <c r="J290">
        <v>5</v>
      </c>
    </row>
    <row r="291" spans="1:10" x14ac:dyDescent="0.25">
      <c r="A291" s="73"/>
      <c r="B291" s="25">
        <v>94</v>
      </c>
      <c r="C291" s="26" t="s">
        <v>353</v>
      </c>
      <c r="D291" s="27" t="s">
        <v>25</v>
      </c>
      <c r="E291" s="28"/>
      <c r="F291" s="28"/>
      <c r="G291" s="29">
        <v>12</v>
      </c>
      <c r="H291" s="22">
        <v>0</v>
      </c>
      <c r="I291" s="30">
        <f>G291*H291</f>
        <v>0</v>
      </c>
      <c r="J291">
        <v>1</v>
      </c>
    </row>
    <row r="292" spans="1:10" x14ac:dyDescent="0.25">
      <c r="A292" s="105" t="s">
        <v>822</v>
      </c>
      <c r="B292" s="106"/>
      <c r="C292" s="106"/>
      <c r="D292" s="106"/>
      <c r="E292" s="106"/>
      <c r="F292" s="106"/>
      <c r="G292" s="106"/>
      <c r="H292" s="35">
        <v>0</v>
      </c>
      <c r="I292" s="36">
        <f>G291*H292</f>
        <v>0</v>
      </c>
      <c r="J292">
        <v>2</v>
      </c>
    </row>
    <row r="293" spans="1:10" x14ac:dyDescent="0.25">
      <c r="A293" s="107"/>
      <c r="B293" s="107"/>
      <c r="C293" s="107"/>
      <c r="D293" s="107"/>
      <c r="E293" s="107"/>
      <c r="F293" s="107"/>
      <c r="G293" s="107"/>
      <c r="H293" s="70">
        <f>H291+H292</f>
        <v>0</v>
      </c>
      <c r="I293" s="71">
        <f>I291+I292</f>
        <v>0</v>
      </c>
      <c r="J293">
        <v>5</v>
      </c>
    </row>
    <row r="294" spans="1:10" x14ac:dyDescent="0.25">
      <c r="A294" s="73"/>
      <c r="B294" s="25">
        <v>95</v>
      </c>
      <c r="C294" s="26" t="s">
        <v>354</v>
      </c>
      <c r="D294" s="27" t="s">
        <v>25</v>
      </c>
      <c r="E294" s="28"/>
      <c r="F294" s="28"/>
      <c r="G294" s="29">
        <v>6</v>
      </c>
      <c r="H294" s="22">
        <v>0</v>
      </c>
      <c r="I294" s="30">
        <f>G294*H294</f>
        <v>0</v>
      </c>
      <c r="J294">
        <v>1</v>
      </c>
    </row>
    <row r="295" spans="1:10" x14ac:dyDescent="0.25">
      <c r="A295" s="105" t="s">
        <v>355</v>
      </c>
      <c r="B295" s="106"/>
      <c r="C295" s="106"/>
      <c r="D295" s="106"/>
      <c r="E295" s="106"/>
      <c r="F295" s="106"/>
      <c r="G295" s="106"/>
      <c r="H295" s="35">
        <v>0</v>
      </c>
      <c r="I295" s="36">
        <f>G294*H295</f>
        <v>0</v>
      </c>
      <c r="J295">
        <v>2</v>
      </c>
    </row>
    <row r="296" spans="1:10" x14ac:dyDescent="0.25">
      <c r="A296" s="107"/>
      <c r="B296" s="107"/>
      <c r="C296" s="107"/>
      <c r="D296" s="107"/>
      <c r="E296" s="107"/>
      <c r="F296" s="107"/>
      <c r="G296" s="107"/>
      <c r="H296" s="70">
        <f>H294+H295</f>
        <v>0</v>
      </c>
      <c r="I296" s="71">
        <f>I294+I295</f>
        <v>0</v>
      </c>
      <c r="J296">
        <v>5</v>
      </c>
    </row>
    <row r="297" spans="1:10" x14ac:dyDescent="0.25">
      <c r="A297" s="73"/>
      <c r="B297" s="25">
        <v>96</v>
      </c>
      <c r="C297" s="26" t="s">
        <v>354</v>
      </c>
      <c r="D297" s="27" t="s">
        <v>25</v>
      </c>
      <c r="E297" s="28"/>
      <c r="F297" s="28"/>
      <c r="G297" s="29">
        <v>10</v>
      </c>
      <c r="H297" s="22">
        <v>0</v>
      </c>
      <c r="I297" s="30">
        <f>G297*H297</f>
        <v>0</v>
      </c>
      <c r="J297">
        <v>1</v>
      </c>
    </row>
    <row r="298" spans="1:10" x14ac:dyDescent="0.25">
      <c r="A298" s="105" t="s">
        <v>823</v>
      </c>
      <c r="B298" s="106"/>
      <c r="C298" s="106"/>
      <c r="D298" s="106"/>
      <c r="E298" s="106"/>
      <c r="F298" s="106"/>
      <c r="G298" s="106"/>
      <c r="H298" s="35">
        <v>0</v>
      </c>
      <c r="I298" s="36">
        <f>G297*H298</f>
        <v>0</v>
      </c>
      <c r="J298">
        <v>2</v>
      </c>
    </row>
    <row r="299" spans="1:10" ht="14.45" customHeight="1" x14ac:dyDescent="0.25">
      <c r="A299" s="107"/>
      <c r="B299" s="107"/>
      <c r="C299" s="107"/>
      <c r="D299" s="107"/>
      <c r="E299" s="107"/>
      <c r="F299" s="107"/>
      <c r="G299" s="107"/>
      <c r="H299" s="70">
        <f>H297+H298</f>
        <v>0</v>
      </c>
      <c r="I299" s="71">
        <f>I297+I298</f>
        <v>0</v>
      </c>
      <c r="J299">
        <v>5</v>
      </c>
    </row>
    <row r="300" spans="1:10" x14ac:dyDescent="0.25">
      <c r="A300" s="73"/>
      <c r="B300" s="25">
        <v>97</v>
      </c>
      <c r="C300" s="26" t="s">
        <v>356</v>
      </c>
      <c r="D300" s="27" t="s">
        <v>25</v>
      </c>
      <c r="E300" s="28"/>
      <c r="F300" s="28"/>
      <c r="G300" s="29">
        <v>28</v>
      </c>
      <c r="H300" s="22">
        <v>0</v>
      </c>
      <c r="I300" s="30">
        <f>G300*H300</f>
        <v>0</v>
      </c>
      <c r="J300">
        <v>1</v>
      </c>
    </row>
    <row r="301" spans="1:10" x14ac:dyDescent="0.25">
      <c r="A301" s="105" t="s">
        <v>824</v>
      </c>
      <c r="B301" s="106"/>
      <c r="C301" s="106"/>
      <c r="D301" s="106"/>
      <c r="E301" s="106"/>
      <c r="F301" s="106"/>
      <c r="G301" s="106"/>
      <c r="H301" s="35">
        <v>0</v>
      </c>
      <c r="I301" s="36">
        <f>G300*H301</f>
        <v>0</v>
      </c>
      <c r="J301">
        <v>2</v>
      </c>
    </row>
    <row r="302" spans="1:10" x14ac:dyDescent="0.25">
      <c r="A302" s="107"/>
      <c r="B302" s="107"/>
      <c r="C302" s="107"/>
      <c r="D302" s="107"/>
      <c r="E302" s="107"/>
      <c r="F302" s="107"/>
      <c r="G302" s="107"/>
      <c r="H302" s="70">
        <f>H300+H301</f>
        <v>0</v>
      </c>
      <c r="I302" s="71">
        <f>I300+I301</f>
        <v>0</v>
      </c>
      <c r="J302">
        <v>5</v>
      </c>
    </row>
    <row r="303" spans="1:10" x14ac:dyDescent="0.25">
      <c r="A303" s="73"/>
      <c r="B303" s="25">
        <v>98</v>
      </c>
      <c r="C303" s="26" t="s">
        <v>356</v>
      </c>
      <c r="D303" s="27" t="s">
        <v>25</v>
      </c>
      <c r="E303" s="28"/>
      <c r="F303" s="28"/>
      <c r="G303" s="29">
        <v>24</v>
      </c>
      <c r="H303" s="22">
        <v>0</v>
      </c>
      <c r="I303" s="30">
        <f>G303*H303</f>
        <v>0</v>
      </c>
      <c r="J303">
        <v>1</v>
      </c>
    </row>
    <row r="304" spans="1:10" x14ac:dyDescent="0.25">
      <c r="A304" s="105" t="s">
        <v>825</v>
      </c>
      <c r="B304" s="106"/>
      <c r="C304" s="106"/>
      <c r="D304" s="106"/>
      <c r="E304" s="106"/>
      <c r="F304" s="106"/>
      <c r="G304" s="106"/>
      <c r="H304" s="35">
        <v>0</v>
      </c>
      <c r="I304" s="36">
        <f>G303*H304</f>
        <v>0</v>
      </c>
      <c r="J304">
        <v>2</v>
      </c>
    </row>
    <row r="305" spans="1:10" x14ac:dyDescent="0.25">
      <c r="A305" s="107"/>
      <c r="B305" s="107"/>
      <c r="C305" s="107"/>
      <c r="D305" s="107"/>
      <c r="E305" s="107"/>
      <c r="F305" s="107"/>
      <c r="G305" s="107"/>
      <c r="H305" s="70">
        <f>H303+H304</f>
        <v>0</v>
      </c>
      <c r="I305" s="71">
        <f>I303+I304</f>
        <v>0</v>
      </c>
      <c r="J305">
        <v>5</v>
      </c>
    </row>
    <row r="306" spans="1:10" x14ac:dyDescent="0.25">
      <c r="A306" s="73"/>
      <c r="B306" s="25">
        <v>99</v>
      </c>
      <c r="C306" s="26" t="s">
        <v>357</v>
      </c>
      <c r="D306" s="27" t="s">
        <v>25</v>
      </c>
      <c r="E306" s="28"/>
      <c r="F306" s="28"/>
      <c r="G306" s="29">
        <v>32</v>
      </c>
      <c r="H306" s="22">
        <v>0</v>
      </c>
      <c r="I306" s="30">
        <f>G306*H306</f>
        <v>0</v>
      </c>
      <c r="J306">
        <v>1</v>
      </c>
    </row>
    <row r="307" spans="1:10" x14ac:dyDescent="0.25">
      <c r="A307" s="105" t="s">
        <v>826</v>
      </c>
      <c r="B307" s="106"/>
      <c r="C307" s="106"/>
      <c r="D307" s="106"/>
      <c r="E307" s="106"/>
      <c r="F307" s="106"/>
      <c r="G307" s="106"/>
      <c r="H307" s="35">
        <v>0</v>
      </c>
      <c r="I307" s="36">
        <f>G306*H307</f>
        <v>0</v>
      </c>
      <c r="J307">
        <v>2</v>
      </c>
    </row>
    <row r="308" spans="1:10" x14ac:dyDescent="0.25">
      <c r="A308" s="107"/>
      <c r="B308" s="107"/>
      <c r="C308" s="107"/>
      <c r="D308" s="107"/>
      <c r="E308" s="107"/>
      <c r="F308" s="107"/>
      <c r="G308" s="107"/>
      <c r="H308" s="70">
        <f>H306+H307</f>
        <v>0</v>
      </c>
      <c r="I308" s="71">
        <f>I306+I307</f>
        <v>0</v>
      </c>
      <c r="J308">
        <v>5</v>
      </c>
    </row>
    <row r="309" spans="1:10" x14ac:dyDescent="0.25">
      <c r="A309" s="73"/>
      <c r="B309" s="25">
        <v>100</v>
      </c>
      <c r="C309" s="26" t="s">
        <v>358</v>
      </c>
      <c r="D309" s="27" t="s">
        <v>25</v>
      </c>
      <c r="E309" s="28"/>
      <c r="F309" s="28"/>
      <c r="G309" s="29">
        <v>10</v>
      </c>
      <c r="H309" s="22">
        <v>0</v>
      </c>
      <c r="I309" s="30">
        <f>G309*H309</f>
        <v>0</v>
      </c>
      <c r="J309">
        <v>1</v>
      </c>
    </row>
    <row r="310" spans="1:10" x14ac:dyDescent="0.25">
      <c r="A310" s="105" t="s">
        <v>827</v>
      </c>
      <c r="B310" s="106"/>
      <c r="C310" s="106"/>
      <c r="D310" s="106"/>
      <c r="E310" s="106"/>
      <c r="F310" s="106"/>
      <c r="G310" s="106"/>
      <c r="H310" s="35">
        <v>0</v>
      </c>
      <c r="I310" s="36">
        <f>G309*H310</f>
        <v>0</v>
      </c>
      <c r="J310">
        <v>2</v>
      </c>
    </row>
    <row r="311" spans="1:10" x14ac:dyDescent="0.25">
      <c r="A311" s="107"/>
      <c r="B311" s="107"/>
      <c r="C311" s="107"/>
      <c r="D311" s="107"/>
      <c r="E311" s="107"/>
      <c r="F311" s="107"/>
      <c r="G311" s="107"/>
      <c r="H311" s="70">
        <f>H309+H310</f>
        <v>0</v>
      </c>
      <c r="I311" s="71">
        <f>I309+I310</f>
        <v>0</v>
      </c>
      <c r="J311">
        <v>5</v>
      </c>
    </row>
    <row r="312" spans="1:10" x14ac:dyDescent="0.25">
      <c r="A312" s="73"/>
      <c r="B312" s="25">
        <v>101</v>
      </c>
      <c r="C312" s="26" t="s">
        <v>359</v>
      </c>
      <c r="D312" s="27" t="s">
        <v>25</v>
      </c>
      <c r="E312" s="28"/>
      <c r="F312" s="28"/>
      <c r="G312" s="29">
        <v>487</v>
      </c>
      <c r="H312" s="22">
        <v>0</v>
      </c>
      <c r="I312" s="30">
        <f>G312*H312</f>
        <v>0</v>
      </c>
      <c r="J312">
        <v>1</v>
      </c>
    </row>
    <row r="313" spans="1:10" x14ac:dyDescent="0.25">
      <c r="A313" s="105" t="s">
        <v>828</v>
      </c>
      <c r="B313" s="106"/>
      <c r="C313" s="106"/>
      <c r="D313" s="106"/>
      <c r="E313" s="106"/>
      <c r="F313" s="106"/>
      <c r="G313" s="106"/>
      <c r="H313" s="35">
        <v>0</v>
      </c>
      <c r="I313" s="36">
        <f>G312*H313</f>
        <v>0</v>
      </c>
      <c r="J313">
        <v>2</v>
      </c>
    </row>
    <row r="314" spans="1:10" x14ac:dyDescent="0.25">
      <c r="A314" s="107"/>
      <c r="B314" s="107"/>
      <c r="C314" s="107"/>
      <c r="D314" s="107"/>
      <c r="E314" s="107"/>
      <c r="F314" s="107"/>
      <c r="G314" s="107"/>
      <c r="H314" s="70">
        <f>H312+H313</f>
        <v>0</v>
      </c>
      <c r="I314" s="71">
        <f>I312+I313</f>
        <v>0</v>
      </c>
      <c r="J314">
        <v>5</v>
      </c>
    </row>
    <row r="315" spans="1:10" x14ac:dyDescent="0.25">
      <c r="A315" s="73"/>
      <c r="B315" s="25">
        <v>102</v>
      </c>
      <c r="C315" s="26" t="s">
        <v>361</v>
      </c>
      <c r="D315" s="27" t="s">
        <v>25</v>
      </c>
      <c r="E315" s="28"/>
      <c r="F315" s="28"/>
      <c r="G315" s="29">
        <v>18</v>
      </c>
      <c r="H315" s="22">
        <v>0</v>
      </c>
      <c r="I315" s="30">
        <f>G315*H315</f>
        <v>0</v>
      </c>
      <c r="J315">
        <v>1</v>
      </c>
    </row>
    <row r="316" spans="1:10" x14ac:dyDescent="0.25">
      <c r="A316" s="105" t="s">
        <v>829</v>
      </c>
      <c r="B316" s="106"/>
      <c r="C316" s="106"/>
      <c r="D316" s="106"/>
      <c r="E316" s="106"/>
      <c r="F316" s="106"/>
      <c r="G316" s="106"/>
      <c r="H316" s="35">
        <v>0</v>
      </c>
      <c r="I316" s="36">
        <f>G315*H316</f>
        <v>0</v>
      </c>
      <c r="J316">
        <v>2</v>
      </c>
    </row>
    <row r="317" spans="1:10" x14ac:dyDescent="0.25">
      <c r="A317" s="107"/>
      <c r="B317" s="107"/>
      <c r="C317" s="107"/>
      <c r="D317" s="107"/>
      <c r="E317" s="107"/>
      <c r="F317" s="107"/>
      <c r="G317" s="107"/>
      <c r="H317" s="70">
        <f>H315+H316</f>
        <v>0</v>
      </c>
      <c r="I317" s="71">
        <f>I315+I316</f>
        <v>0</v>
      </c>
      <c r="J317">
        <v>5</v>
      </c>
    </row>
    <row r="318" spans="1:10" x14ac:dyDescent="0.25">
      <c r="A318" s="73"/>
      <c r="B318" s="25">
        <v>103</v>
      </c>
      <c r="C318" s="26" t="s">
        <v>359</v>
      </c>
      <c r="D318" s="27" t="s">
        <v>25</v>
      </c>
      <c r="E318" s="28"/>
      <c r="F318" s="28"/>
      <c r="G318" s="29">
        <v>2</v>
      </c>
      <c r="H318" s="22">
        <v>0</v>
      </c>
      <c r="I318" s="30">
        <f>G318*H318</f>
        <v>0</v>
      </c>
      <c r="J318">
        <v>1</v>
      </c>
    </row>
    <row r="319" spans="1:10" x14ac:dyDescent="0.25">
      <c r="A319" s="105" t="s">
        <v>360</v>
      </c>
      <c r="B319" s="106"/>
      <c r="C319" s="106"/>
      <c r="D319" s="106"/>
      <c r="E319" s="106"/>
      <c r="F319" s="106"/>
      <c r="G319" s="106"/>
      <c r="H319" s="35">
        <v>0</v>
      </c>
      <c r="I319" s="36">
        <f>G318*H319</f>
        <v>0</v>
      </c>
      <c r="J319">
        <v>2</v>
      </c>
    </row>
    <row r="320" spans="1:10" ht="14.45" customHeight="1" x14ac:dyDescent="0.25">
      <c r="A320" s="107"/>
      <c r="B320" s="107"/>
      <c r="C320" s="107"/>
      <c r="D320" s="107"/>
      <c r="E320" s="107"/>
      <c r="F320" s="107"/>
      <c r="G320" s="107"/>
      <c r="H320" s="70">
        <f>H318+H319</f>
        <v>0</v>
      </c>
      <c r="I320" s="71">
        <f>I318+I319</f>
        <v>0</v>
      </c>
      <c r="J320">
        <v>5</v>
      </c>
    </row>
    <row r="321" spans="1:10" x14ac:dyDescent="0.25">
      <c r="A321" s="73"/>
      <c r="B321" s="25">
        <v>104</v>
      </c>
      <c r="C321" s="26" t="s">
        <v>362</v>
      </c>
      <c r="D321" s="27" t="s">
        <v>25</v>
      </c>
      <c r="E321" s="28"/>
      <c r="F321" s="28"/>
      <c r="G321" s="29">
        <v>1</v>
      </c>
      <c r="H321" s="22">
        <v>0</v>
      </c>
      <c r="I321" s="30">
        <f>G321*H321</f>
        <v>0</v>
      </c>
      <c r="J321">
        <v>1</v>
      </c>
    </row>
    <row r="322" spans="1:10" x14ac:dyDescent="0.25">
      <c r="A322" s="105" t="s">
        <v>363</v>
      </c>
      <c r="B322" s="106"/>
      <c r="C322" s="106"/>
      <c r="D322" s="106"/>
      <c r="E322" s="106"/>
      <c r="F322" s="106"/>
      <c r="G322" s="106"/>
      <c r="H322" s="35">
        <v>0</v>
      </c>
      <c r="I322" s="36">
        <f>G321*H322</f>
        <v>0</v>
      </c>
      <c r="J322">
        <v>2</v>
      </c>
    </row>
    <row r="323" spans="1:10" x14ac:dyDescent="0.25">
      <c r="A323" s="107"/>
      <c r="B323" s="107"/>
      <c r="C323" s="107"/>
      <c r="D323" s="107"/>
      <c r="E323" s="107"/>
      <c r="F323" s="107"/>
      <c r="G323" s="107"/>
      <c r="H323" s="70">
        <f>H321+H322</f>
        <v>0</v>
      </c>
      <c r="I323" s="71">
        <f>I321+I322</f>
        <v>0</v>
      </c>
      <c r="J323">
        <v>5</v>
      </c>
    </row>
    <row r="324" spans="1:10" x14ac:dyDescent="0.25">
      <c r="A324" s="73"/>
      <c r="B324" s="25">
        <v>105</v>
      </c>
      <c r="C324" s="26" t="s">
        <v>364</v>
      </c>
      <c r="D324" s="27" t="s">
        <v>25</v>
      </c>
      <c r="E324" s="28"/>
      <c r="F324" s="28"/>
      <c r="G324" s="29">
        <v>9</v>
      </c>
      <c r="H324" s="22">
        <v>0</v>
      </c>
      <c r="I324" s="30">
        <f>G324*H324</f>
        <v>0</v>
      </c>
      <c r="J324">
        <v>1</v>
      </c>
    </row>
    <row r="325" spans="1:10" x14ac:dyDescent="0.25">
      <c r="A325" s="105" t="s">
        <v>830</v>
      </c>
      <c r="B325" s="106"/>
      <c r="C325" s="106"/>
      <c r="D325" s="106"/>
      <c r="E325" s="106"/>
      <c r="F325" s="106"/>
      <c r="G325" s="106"/>
      <c r="H325" s="35">
        <v>0</v>
      </c>
      <c r="I325" s="36">
        <f>G324*H325</f>
        <v>0</v>
      </c>
      <c r="J325">
        <v>2</v>
      </c>
    </row>
    <row r="326" spans="1:10" x14ac:dyDescent="0.25">
      <c r="A326" s="107"/>
      <c r="B326" s="107"/>
      <c r="C326" s="107"/>
      <c r="D326" s="107"/>
      <c r="E326" s="107"/>
      <c r="F326" s="107"/>
      <c r="G326" s="107"/>
      <c r="H326" s="70">
        <f>H324+H325</f>
        <v>0</v>
      </c>
      <c r="I326" s="71">
        <f>I324+I325</f>
        <v>0</v>
      </c>
      <c r="J326">
        <v>5</v>
      </c>
    </row>
    <row r="327" spans="1:10" x14ac:dyDescent="0.25">
      <c r="A327" s="73"/>
      <c r="B327" s="25">
        <v>106</v>
      </c>
      <c r="C327" s="26" t="s">
        <v>365</v>
      </c>
      <c r="D327" s="27" t="s">
        <v>25</v>
      </c>
      <c r="E327" s="28"/>
      <c r="F327" s="28"/>
      <c r="G327" s="29">
        <v>1</v>
      </c>
      <c r="H327" s="22">
        <v>0</v>
      </c>
      <c r="I327" s="30">
        <f>G327*H327</f>
        <v>0</v>
      </c>
      <c r="J327">
        <v>1</v>
      </c>
    </row>
    <row r="328" spans="1:10" x14ac:dyDescent="0.25">
      <c r="A328" s="105" t="s">
        <v>831</v>
      </c>
      <c r="B328" s="106"/>
      <c r="C328" s="106"/>
      <c r="D328" s="106"/>
      <c r="E328" s="106"/>
      <c r="F328" s="106"/>
      <c r="G328" s="106"/>
      <c r="H328" s="35">
        <v>0</v>
      </c>
      <c r="I328" s="36">
        <f>G327*H328</f>
        <v>0</v>
      </c>
      <c r="J328">
        <v>2</v>
      </c>
    </row>
    <row r="329" spans="1:10" x14ac:dyDescent="0.25">
      <c r="A329" s="107"/>
      <c r="B329" s="107"/>
      <c r="C329" s="107"/>
      <c r="D329" s="107"/>
      <c r="E329" s="107"/>
      <c r="F329" s="107"/>
      <c r="G329" s="107"/>
      <c r="H329" s="70">
        <f>H327+H328</f>
        <v>0</v>
      </c>
      <c r="I329" s="71">
        <f>I327+I328</f>
        <v>0</v>
      </c>
      <c r="J329">
        <v>5</v>
      </c>
    </row>
    <row r="330" spans="1:10" x14ac:dyDescent="0.25">
      <c r="A330" s="73"/>
      <c r="B330" s="25">
        <v>107</v>
      </c>
      <c r="C330" s="26" t="s">
        <v>366</v>
      </c>
      <c r="D330" s="27" t="s">
        <v>25</v>
      </c>
      <c r="E330" s="28"/>
      <c r="F330" s="28"/>
      <c r="G330" s="29">
        <v>7</v>
      </c>
      <c r="H330" s="22">
        <v>0</v>
      </c>
      <c r="I330" s="30">
        <f>G330*H330</f>
        <v>0</v>
      </c>
      <c r="J330">
        <v>1</v>
      </c>
    </row>
    <row r="331" spans="1:10" x14ac:dyDescent="0.25">
      <c r="A331" s="105" t="s">
        <v>832</v>
      </c>
      <c r="B331" s="106"/>
      <c r="C331" s="106"/>
      <c r="D331" s="106"/>
      <c r="E331" s="106"/>
      <c r="F331" s="106"/>
      <c r="G331" s="106"/>
      <c r="H331" s="35">
        <v>0</v>
      </c>
      <c r="I331" s="36">
        <f>G330*H331</f>
        <v>0</v>
      </c>
      <c r="J331">
        <v>2</v>
      </c>
    </row>
    <row r="332" spans="1:10" x14ac:dyDescent="0.25">
      <c r="A332" s="107"/>
      <c r="B332" s="107"/>
      <c r="C332" s="107"/>
      <c r="D332" s="107"/>
      <c r="E332" s="107"/>
      <c r="F332" s="107"/>
      <c r="G332" s="107"/>
      <c r="H332" s="70">
        <f>H330+H331</f>
        <v>0</v>
      </c>
      <c r="I332" s="71">
        <f>I330+I331</f>
        <v>0</v>
      </c>
      <c r="J332">
        <v>5</v>
      </c>
    </row>
    <row r="333" spans="1:10" x14ac:dyDescent="0.25">
      <c r="A333" s="73"/>
      <c r="B333" s="25">
        <v>108</v>
      </c>
      <c r="C333" s="26" t="s">
        <v>367</v>
      </c>
      <c r="D333" s="27" t="s">
        <v>25</v>
      </c>
      <c r="E333" s="28"/>
      <c r="F333" s="28"/>
      <c r="G333" s="29">
        <v>41</v>
      </c>
      <c r="H333" s="22">
        <v>0</v>
      </c>
      <c r="I333" s="30">
        <f>G333*H333</f>
        <v>0</v>
      </c>
      <c r="J333">
        <v>1</v>
      </c>
    </row>
    <row r="334" spans="1:10" x14ac:dyDescent="0.25">
      <c r="A334" s="105" t="s">
        <v>833</v>
      </c>
      <c r="B334" s="106"/>
      <c r="C334" s="106"/>
      <c r="D334" s="106"/>
      <c r="E334" s="106"/>
      <c r="F334" s="106"/>
      <c r="G334" s="106"/>
      <c r="H334" s="35">
        <v>0</v>
      </c>
      <c r="I334" s="36">
        <f>G333*H334</f>
        <v>0</v>
      </c>
      <c r="J334">
        <v>2</v>
      </c>
    </row>
    <row r="335" spans="1:10" ht="14.45" customHeight="1" x14ac:dyDescent="0.25">
      <c r="A335" s="107"/>
      <c r="B335" s="107"/>
      <c r="C335" s="107"/>
      <c r="D335" s="107"/>
      <c r="E335" s="107"/>
      <c r="F335" s="107"/>
      <c r="G335" s="107"/>
      <c r="H335" s="70">
        <f>H333+H334</f>
        <v>0</v>
      </c>
      <c r="I335" s="71">
        <f>I333+I334</f>
        <v>0</v>
      </c>
      <c r="J335">
        <v>5</v>
      </c>
    </row>
    <row r="336" spans="1:10" x14ac:dyDescent="0.25">
      <c r="A336" s="73"/>
      <c r="B336" s="25">
        <v>109</v>
      </c>
      <c r="C336" s="26" t="s">
        <v>320</v>
      </c>
      <c r="D336" s="27" t="s">
        <v>24</v>
      </c>
      <c r="E336" s="28"/>
      <c r="F336" s="28"/>
      <c r="G336" s="29">
        <v>3750</v>
      </c>
      <c r="H336" s="22">
        <v>0</v>
      </c>
      <c r="I336" s="30">
        <f>G336*H336</f>
        <v>0</v>
      </c>
      <c r="J336">
        <v>1</v>
      </c>
    </row>
    <row r="337" spans="1:10" x14ac:dyDescent="0.25">
      <c r="A337" s="105" t="s">
        <v>834</v>
      </c>
      <c r="B337" s="106"/>
      <c r="C337" s="106"/>
      <c r="D337" s="106"/>
      <c r="E337" s="106"/>
      <c r="F337" s="106"/>
      <c r="G337" s="106"/>
      <c r="H337" s="35">
        <v>0</v>
      </c>
      <c r="I337" s="36">
        <f>G336*H337</f>
        <v>0</v>
      </c>
      <c r="J337">
        <v>2</v>
      </c>
    </row>
    <row r="338" spans="1:10" x14ac:dyDescent="0.25">
      <c r="A338" s="107"/>
      <c r="B338" s="107"/>
      <c r="C338" s="107"/>
      <c r="D338" s="107"/>
      <c r="E338" s="107"/>
      <c r="F338" s="107"/>
      <c r="G338" s="107"/>
      <c r="H338" s="70">
        <f>H336+H337</f>
        <v>0</v>
      </c>
      <c r="I338" s="71">
        <f>I336+I337</f>
        <v>0</v>
      </c>
      <c r="J338">
        <v>5</v>
      </c>
    </row>
    <row r="339" spans="1:10" x14ac:dyDescent="0.25">
      <c r="A339" s="73"/>
      <c r="B339" s="25">
        <v>110</v>
      </c>
      <c r="C339" s="26" t="s">
        <v>310</v>
      </c>
      <c r="D339" s="27" t="s">
        <v>24</v>
      </c>
      <c r="E339" s="28"/>
      <c r="F339" s="28"/>
      <c r="G339" s="29">
        <v>1900</v>
      </c>
      <c r="H339" s="22">
        <v>0</v>
      </c>
      <c r="I339" s="30">
        <f>G339*H339</f>
        <v>0</v>
      </c>
      <c r="J339">
        <v>1</v>
      </c>
    </row>
    <row r="340" spans="1:10" x14ac:dyDescent="0.25">
      <c r="A340" s="105" t="s">
        <v>835</v>
      </c>
      <c r="B340" s="106"/>
      <c r="C340" s="106"/>
      <c r="D340" s="106"/>
      <c r="E340" s="106"/>
      <c r="F340" s="106"/>
      <c r="G340" s="106"/>
      <c r="H340" s="35">
        <v>0</v>
      </c>
      <c r="I340" s="36">
        <f>G339*H340</f>
        <v>0</v>
      </c>
      <c r="J340">
        <v>2</v>
      </c>
    </row>
    <row r="341" spans="1:10" x14ac:dyDescent="0.25">
      <c r="A341" s="107"/>
      <c r="B341" s="107"/>
      <c r="C341" s="107"/>
      <c r="D341" s="107"/>
      <c r="E341" s="107"/>
      <c r="F341" s="107"/>
      <c r="G341" s="107"/>
      <c r="H341" s="70">
        <f>H339+H340</f>
        <v>0</v>
      </c>
      <c r="I341" s="71">
        <f>I339+I340</f>
        <v>0</v>
      </c>
      <c r="J341">
        <v>5</v>
      </c>
    </row>
    <row r="342" spans="1:10" x14ac:dyDescent="0.25">
      <c r="A342" s="73"/>
      <c r="B342" s="25">
        <v>111</v>
      </c>
      <c r="C342" s="26" t="s">
        <v>368</v>
      </c>
      <c r="D342" s="27" t="s">
        <v>25</v>
      </c>
      <c r="E342" s="28"/>
      <c r="F342" s="28"/>
      <c r="G342" s="29">
        <v>1</v>
      </c>
      <c r="H342" s="22">
        <v>0</v>
      </c>
      <c r="I342" s="30">
        <f>G342*H342</f>
        <v>0</v>
      </c>
      <c r="J342">
        <v>1</v>
      </c>
    </row>
    <row r="343" spans="1:10" x14ac:dyDescent="0.25">
      <c r="A343" s="105" t="s">
        <v>836</v>
      </c>
      <c r="B343" s="106"/>
      <c r="C343" s="106"/>
      <c r="D343" s="106"/>
      <c r="E343" s="106"/>
      <c r="F343" s="106"/>
      <c r="G343" s="106"/>
      <c r="H343" s="35">
        <v>0</v>
      </c>
      <c r="I343" s="36">
        <f>G342*H343</f>
        <v>0</v>
      </c>
      <c r="J343">
        <v>2</v>
      </c>
    </row>
    <row r="344" spans="1:10" x14ac:dyDescent="0.25">
      <c r="A344" s="107"/>
      <c r="B344" s="107"/>
      <c r="C344" s="107"/>
      <c r="D344" s="107"/>
      <c r="E344" s="107"/>
      <c r="F344" s="107"/>
      <c r="G344" s="107"/>
      <c r="H344" s="70">
        <f>H342+H343</f>
        <v>0</v>
      </c>
      <c r="I344" s="71">
        <f>I342+I343</f>
        <v>0</v>
      </c>
      <c r="J344">
        <v>5</v>
      </c>
    </row>
    <row r="345" spans="1:10" x14ac:dyDescent="0.25">
      <c r="A345" s="73"/>
      <c r="B345" s="25">
        <v>112</v>
      </c>
      <c r="C345" s="26" t="s">
        <v>369</v>
      </c>
      <c r="D345" s="27" t="s">
        <v>25</v>
      </c>
      <c r="E345" s="28"/>
      <c r="F345" s="28"/>
      <c r="G345" s="29">
        <v>56</v>
      </c>
      <c r="H345" s="22">
        <v>0</v>
      </c>
      <c r="I345" s="30">
        <f>G345*H345</f>
        <v>0</v>
      </c>
      <c r="J345">
        <v>1</v>
      </c>
    </row>
    <row r="346" spans="1:10" x14ac:dyDescent="0.25">
      <c r="A346" s="105" t="s">
        <v>837</v>
      </c>
      <c r="B346" s="106"/>
      <c r="C346" s="106"/>
      <c r="D346" s="106"/>
      <c r="E346" s="106"/>
      <c r="F346" s="106"/>
      <c r="G346" s="106"/>
      <c r="H346" s="35">
        <v>0</v>
      </c>
      <c r="I346" s="36">
        <f>G345*H346</f>
        <v>0</v>
      </c>
      <c r="J346">
        <v>2</v>
      </c>
    </row>
    <row r="347" spans="1:10" x14ac:dyDescent="0.25">
      <c r="A347" s="107"/>
      <c r="B347" s="107"/>
      <c r="C347" s="107"/>
      <c r="D347" s="107"/>
      <c r="E347" s="107"/>
      <c r="F347" s="107"/>
      <c r="G347" s="107"/>
      <c r="H347" s="70">
        <f>H345+H346</f>
        <v>0</v>
      </c>
      <c r="I347" s="71">
        <f>I345+I346</f>
        <v>0</v>
      </c>
      <c r="J347">
        <v>5</v>
      </c>
    </row>
    <row r="348" spans="1:10" x14ac:dyDescent="0.25">
      <c r="A348" s="73"/>
      <c r="B348" s="25">
        <v>113</v>
      </c>
      <c r="C348" s="26" t="s">
        <v>370</v>
      </c>
      <c r="D348" s="27" t="s">
        <v>25</v>
      </c>
      <c r="E348" s="28"/>
      <c r="F348" s="28"/>
      <c r="G348" s="29">
        <v>17</v>
      </c>
      <c r="H348" s="22">
        <v>0</v>
      </c>
      <c r="I348" s="30">
        <f>G348*H348</f>
        <v>0</v>
      </c>
      <c r="J348">
        <v>1</v>
      </c>
    </row>
    <row r="349" spans="1:10" x14ac:dyDescent="0.25">
      <c r="A349" s="105" t="s">
        <v>838</v>
      </c>
      <c r="B349" s="106"/>
      <c r="C349" s="106"/>
      <c r="D349" s="106"/>
      <c r="E349" s="106"/>
      <c r="F349" s="106"/>
      <c r="G349" s="106"/>
      <c r="H349" s="35">
        <v>0</v>
      </c>
      <c r="I349" s="36">
        <f>G348*H349</f>
        <v>0</v>
      </c>
      <c r="J349">
        <v>2</v>
      </c>
    </row>
    <row r="350" spans="1:10" x14ac:dyDescent="0.25">
      <c r="A350" s="107"/>
      <c r="B350" s="107"/>
      <c r="C350" s="107"/>
      <c r="D350" s="107"/>
      <c r="E350" s="107"/>
      <c r="F350" s="107"/>
      <c r="G350" s="107"/>
      <c r="H350" s="70">
        <f>H348+H349</f>
        <v>0</v>
      </c>
      <c r="I350" s="71">
        <f>I348+I349</f>
        <v>0</v>
      </c>
      <c r="J350">
        <v>5</v>
      </c>
    </row>
    <row r="351" spans="1:10" x14ac:dyDescent="0.25">
      <c r="A351" s="73"/>
      <c r="B351" s="25">
        <v>114</v>
      </c>
      <c r="C351" s="26" t="s">
        <v>371</v>
      </c>
      <c r="D351" s="27" t="s">
        <v>25</v>
      </c>
      <c r="E351" s="28"/>
      <c r="F351" s="28"/>
      <c r="G351" s="29">
        <v>1</v>
      </c>
      <c r="H351" s="22">
        <v>0</v>
      </c>
      <c r="I351" s="30">
        <f>G351*H351</f>
        <v>0</v>
      </c>
      <c r="J351">
        <v>1</v>
      </c>
    </row>
    <row r="352" spans="1:10" x14ac:dyDescent="0.25">
      <c r="A352" s="105" t="s">
        <v>839</v>
      </c>
      <c r="B352" s="106"/>
      <c r="C352" s="106"/>
      <c r="D352" s="106"/>
      <c r="E352" s="106"/>
      <c r="F352" s="106"/>
      <c r="G352" s="106"/>
      <c r="H352" s="35">
        <v>0</v>
      </c>
      <c r="I352" s="36">
        <f>G351*H352</f>
        <v>0</v>
      </c>
      <c r="J352">
        <v>2</v>
      </c>
    </row>
    <row r="353" spans="1:10" x14ac:dyDescent="0.25">
      <c r="A353" s="107"/>
      <c r="B353" s="107"/>
      <c r="C353" s="107"/>
      <c r="D353" s="107"/>
      <c r="E353" s="107"/>
      <c r="F353" s="107"/>
      <c r="G353" s="107"/>
      <c r="H353" s="70">
        <f>H351+H352</f>
        <v>0</v>
      </c>
      <c r="I353" s="71">
        <f>I351+I352</f>
        <v>0</v>
      </c>
      <c r="J353">
        <v>5</v>
      </c>
    </row>
    <row r="354" spans="1:10" x14ac:dyDescent="0.25">
      <c r="A354" s="73"/>
      <c r="B354" s="25">
        <v>115</v>
      </c>
      <c r="C354" s="26" t="s">
        <v>372</v>
      </c>
      <c r="D354" s="27" t="s">
        <v>25</v>
      </c>
      <c r="E354" s="28"/>
      <c r="F354" s="28"/>
      <c r="G354" s="29">
        <v>5</v>
      </c>
      <c r="H354" s="22">
        <v>0</v>
      </c>
      <c r="I354" s="30">
        <f>G354*H354</f>
        <v>0</v>
      </c>
      <c r="J354">
        <v>1</v>
      </c>
    </row>
    <row r="355" spans="1:10" x14ac:dyDescent="0.25">
      <c r="A355" s="105" t="s">
        <v>840</v>
      </c>
      <c r="B355" s="106"/>
      <c r="C355" s="106"/>
      <c r="D355" s="106"/>
      <c r="E355" s="106"/>
      <c r="F355" s="106"/>
      <c r="G355" s="106"/>
      <c r="H355" s="35">
        <v>0</v>
      </c>
      <c r="I355" s="36">
        <f>G354*H355</f>
        <v>0</v>
      </c>
      <c r="J355">
        <v>2</v>
      </c>
    </row>
    <row r="356" spans="1:10" x14ac:dyDescent="0.25">
      <c r="A356" s="107"/>
      <c r="B356" s="107"/>
      <c r="C356" s="107"/>
      <c r="D356" s="107"/>
      <c r="E356" s="107"/>
      <c r="F356" s="107"/>
      <c r="G356" s="107"/>
      <c r="H356" s="70">
        <f>H354+H355</f>
        <v>0</v>
      </c>
      <c r="I356" s="71">
        <f>I354+I355</f>
        <v>0</v>
      </c>
      <c r="J356">
        <v>5</v>
      </c>
    </row>
    <row r="357" spans="1:10" x14ac:dyDescent="0.25">
      <c r="A357" s="73"/>
      <c r="B357" s="25">
        <v>116</v>
      </c>
      <c r="C357" s="26" t="s">
        <v>373</v>
      </c>
      <c r="D357" s="27" t="s">
        <v>25</v>
      </c>
      <c r="E357" s="28"/>
      <c r="F357" s="28"/>
      <c r="G357" s="29">
        <v>3</v>
      </c>
      <c r="H357" s="22">
        <v>0</v>
      </c>
      <c r="I357" s="30">
        <f>G357*H357</f>
        <v>0</v>
      </c>
      <c r="J357">
        <v>1</v>
      </c>
    </row>
    <row r="358" spans="1:10" x14ac:dyDescent="0.25">
      <c r="A358" s="105" t="s">
        <v>841</v>
      </c>
      <c r="B358" s="106"/>
      <c r="C358" s="106"/>
      <c r="D358" s="106"/>
      <c r="E358" s="106"/>
      <c r="F358" s="106"/>
      <c r="G358" s="106"/>
      <c r="H358" s="35">
        <v>0</v>
      </c>
      <c r="I358" s="36">
        <f>G357*H358</f>
        <v>0</v>
      </c>
      <c r="J358">
        <v>2</v>
      </c>
    </row>
    <row r="359" spans="1:10" x14ac:dyDescent="0.25">
      <c r="A359" s="107"/>
      <c r="B359" s="107"/>
      <c r="C359" s="107"/>
      <c r="D359" s="107"/>
      <c r="E359" s="107"/>
      <c r="F359" s="107"/>
      <c r="G359" s="107"/>
      <c r="H359" s="70">
        <f>H357+H358</f>
        <v>0</v>
      </c>
      <c r="I359" s="71">
        <f>I357+I358</f>
        <v>0</v>
      </c>
      <c r="J359">
        <v>5</v>
      </c>
    </row>
    <row r="360" spans="1:10" x14ac:dyDescent="0.25">
      <c r="A360" s="73"/>
      <c r="B360" s="25">
        <v>116</v>
      </c>
      <c r="C360" s="26" t="s">
        <v>374</v>
      </c>
      <c r="D360" s="27" t="s">
        <v>25</v>
      </c>
      <c r="E360" s="28"/>
      <c r="F360" s="28"/>
      <c r="G360" s="29">
        <v>3</v>
      </c>
      <c r="H360" s="22">
        <v>0</v>
      </c>
      <c r="I360" s="30">
        <f>G360*H360</f>
        <v>0</v>
      </c>
      <c r="J360">
        <v>1</v>
      </c>
    </row>
    <row r="361" spans="1:10" x14ac:dyDescent="0.25">
      <c r="A361" s="105" t="s">
        <v>842</v>
      </c>
      <c r="B361" s="106"/>
      <c r="C361" s="106"/>
      <c r="D361" s="106"/>
      <c r="E361" s="106"/>
      <c r="F361" s="106"/>
      <c r="G361" s="106"/>
      <c r="H361" s="35">
        <v>0</v>
      </c>
      <c r="I361" s="36">
        <f>G360*H361</f>
        <v>0</v>
      </c>
      <c r="J361">
        <v>2</v>
      </c>
    </row>
    <row r="362" spans="1:10" x14ac:dyDescent="0.25">
      <c r="A362" s="107"/>
      <c r="B362" s="107"/>
      <c r="C362" s="107"/>
      <c r="D362" s="107"/>
      <c r="E362" s="107"/>
      <c r="F362" s="107"/>
      <c r="G362" s="107"/>
      <c r="H362" s="70">
        <f>H360+H361</f>
        <v>0</v>
      </c>
      <c r="I362" s="71">
        <f>I360+I361</f>
        <v>0</v>
      </c>
      <c r="J362">
        <v>5</v>
      </c>
    </row>
    <row r="363" spans="1:10" x14ac:dyDescent="0.25">
      <c r="A363" s="73"/>
      <c r="B363" s="25">
        <v>116</v>
      </c>
      <c r="C363" s="26" t="s">
        <v>375</v>
      </c>
      <c r="D363" s="27" t="s">
        <v>25</v>
      </c>
      <c r="E363" s="28"/>
      <c r="F363" s="28"/>
      <c r="G363" s="29">
        <v>3</v>
      </c>
      <c r="H363" s="22">
        <v>0</v>
      </c>
      <c r="I363" s="30">
        <f>G363*H363</f>
        <v>0</v>
      </c>
      <c r="J363">
        <v>1</v>
      </c>
    </row>
    <row r="364" spans="1:10" x14ac:dyDescent="0.25">
      <c r="A364" s="105" t="s">
        <v>843</v>
      </c>
      <c r="B364" s="106"/>
      <c r="C364" s="106"/>
      <c r="D364" s="106"/>
      <c r="E364" s="106"/>
      <c r="F364" s="106"/>
      <c r="G364" s="106"/>
      <c r="H364" s="35">
        <v>0</v>
      </c>
      <c r="I364" s="36">
        <f>G363*H364</f>
        <v>0</v>
      </c>
      <c r="J364">
        <v>2</v>
      </c>
    </row>
    <row r="365" spans="1:10" x14ac:dyDescent="0.25">
      <c r="A365" s="107"/>
      <c r="B365" s="107"/>
      <c r="C365" s="107"/>
      <c r="D365" s="107"/>
      <c r="E365" s="107"/>
      <c r="F365" s="107"/>
      <c r="G365" s="107"/>
      <c r="H365" s="70">
        <f>H363+H364</f>
        <v>0</v>
      </c>
      <c r="I365" s="71">
        <f>I363+I364</f>
        <v>0</v>
      </c>
      <c r="J365">
        <v>5</v>
      </c>
    </row>
    <row r="366" spans="1:10" x14ac:dyDescent="0.25">
      <c r="A366" s="73"/>
      <c r="B366" s="25">
        <v>117</v>
      </c>
      <c r="C366" s="26" t="s">
        <v>376</v>
      </c>
      <c r="D366" s="27" t="s">
        <v>25</v>
      </c>
      <c r="E366" s="28"/>
      <c r="F366" s="28"/>
      <c r="G366" s="29">
        <v>3</v>
      </c>
      <c r="H366" s="22">
        <v>0</v>
      </c>
      <c r="I366" s="30">
        <f>G366*H366</f>
        <v>0</v>
      </c>
      <c r="J366">
        <v>1</v>
      </c>
    </row>
    <row r="367" spans="1:10" x14ac:dyDescent="0.25">
      <c r="A367" s="105" t="s">
        <v>844</v>
      </c>
      <c r="B367" s="106"/>
      <c r="C367" s="106"/>
      <c r="D367" s="106"/>
      <c r="E367" s="106"/>
      <c r="F367" s="106"/>
      <c r="G367" s="106"/>
      <c r="H367" s="35">
        <v>0</v>
      </c>
      <c r="I367" s="36">
        <f>G366*H367</f>
        <v>0</v>
      </c>
      <c r="J367">
        <v>2</v>
      </c>
    </row>
    <row r="368" spans="1:10" x14ac:dyDescent="0.25">
      <c r="A368" s="107"/>
      <c r="B368" s="107"/>
      <c r="C368" s="107"/>
      <c r="D368" s="107"/>
      <c r="E368" s="107"/>
      <c r="F368" s="107"/>
      <c r="G368" s="107"/>
      <c r="H368" s="70">
        <f>H366+H367</f>
        <v>0</v>
      </c>
      <c r="I368" s="71">
        <f>I366+I367</f>
        <v>0</v>
      </c>
      <c r="J368">
        <v>5</v>
      </c>
    </row>
    <row r="369" spans="1:10" x14ac:dyDescent="0.25">
      <c r="A369" s="73"/>
      <c r="B369" s="25">
        <v>118</v>
      </c>
      <c r="C369" s="26" t="s">
        <v>377</v>
      </c>
      <c r="D369" s="27" t="s">
        <v>25</v>
      </c>
      <c r="E369" s="28"/>
      <c r="F369" s="28"/>
      <c r="G369" s="29">
        <v>12</v>
      </c>
      <c r="H369" s="22">
        <v>0</v>
      </c>
      <c r="I369" s="30">
        <f>G369*H369</f>
        <v>0</v>
      </c>
      <c r="J369">
        <v>1</v>
      </c>
    </row>
    <row r="370" spans="1:10" x14ac:dyDescent="0.25">
      <c r="A370" s="105" t="s">
        <v>845</v>
      </c>
      <c r="B370" s="106"/>
      <c r="C370" s="106"/>
      <c r="D370" s="106"/>
      <c r="E370" s="106"/>
      <c r="F370" s="106"/>
      <c r="G370" s="106"/>
      <c r="H370" s="35">
        <v>0</v>
      </c>
      <c r="I370" s="36">
        <f>G369*H370</f>
        <v>0</v>
      </c>
      <c r="J370">
        <v>2</v>
      </c>
    </row>
    <row r="371" spans="1:10" x14ac:dyDescent="0.25">
      <c r="A371" s="107"/>
      <c r="B371" s="107"/>
      <c r="C371" s="107"/>
      <c r="D371" s="107"/>
      <c r="E371" s="107"/>
      <c r="F371" s="107"/>
      <c r="G371" s="107"/>
      <c r="H371" s="70">
        <f>H369+H370</f>
        <v>0</v>
      </c>
      <c r="I371" s="71">
        <f>I369+I370</f>
        <v>0</v>
      </c>
      <c r="J371">
        <v>5</v>
      </c>
    </row>
    <row r="372" spans="1:10" x14ac:dyDescent="0.25">
      <c r="A372" s="73"/>
      <c r="B372" s="25">
        <v>118</v>
      </c>
      <c r="C372" s="26" t="s">
        <v>378</v>
      </c>
      <c r="D372" s="27" t="s">
        <v>25</v>
      </c>
      <c r="E372" s="28"/>
      <c r="F372" s="28"/>
      <c r="G372" s="29">
        <v>12</v>
      </c>
      <c r="H372" s="22">
        <v>0</v>
      </c>
      <c r="I372" s="30">
        <f>G372*H372</f>
        <v>0</v>
      </c>
      <c r="J372">
        <v>1</v>
      </c>
    </row>
    <row r="373" spans="1:10" x14ac:dyDescent="0.25">
      <c r="A373" s="105" t="s">
        <v>846</v>
      </c>
      <c r="B373" s="106"/>
      <c r="C373" s="106"/>
      <c r="D373" s="106"/>
      <c r="E373" s="106"/>
      <c r="F373" s="106"/>
      <c r="G373" s="106"/>
      <c r="H373" s="35">
        <v>0</v>
      </c>
      <c r="I373" s="36">
        <f>G372*H373</f>
        <v>0</v>
      </c>
      <c r="J373">
        <v>2</v>
      </c>
    </row>
    <row r="374" spans="1:10" x14ac:dyDescent="0.25">
      <c r="A374" s="107"/>
      <c r="B374" s="107"/>
      <c r="C374" s="107"/>
      <c r="D374" s="107"/>
      <c r="E374" s="107"/>
      <c r="F374" s="107"/>
      <c r="G374" s="107"/>
      <c r="H374" s="70">
        <f>H372+H373</f>
        <v>0</v>
      </c>
      <c r="I374" s="71">
        <f>I372+I373</f>
        <v>0</v>
      </c>
      <c r="J374">
        <v>5</v>
      </c>
    </row>
    <row r="375" spans="1:10" x14ac:dyDescent="0.25">
      <c r="A375" s="73"/>
      <c r="B375" s="25">
        <v>118</v>
      </c>
      <c r="C375" s="26" t="s">
        <v>379</v>
      </c>
      <c r="D375" s="27" t="s">
        <v>25</v>
      </c>
      <c r="E375" s="28"/>
      <c r="F375" s="28"/>
      <c r="G375" s="29">
        <v>12</v>
      </c>
      <c r="H375" s="22">
        <v>0</v>
      </c>
      <c r="I375" s="30">
        <f>G375*H375</f>
        <v>0</v>
      </c>
      <c r="J375">
        <v>1</v>
      </c>
    </row>
    <row r="376" spans="1:10" x14ac:dyDescent="0.25">
      <c r="A376" s="105" t="s">
        <v>847</v>
      </c>
      <c r="B376" s="106"/>
      <c r="C376" s="106"/>
      <c r="D376" s="106"/>
      <c r="E376" s="106"/>
      <c r="F376" s="106"/>
      <c r="G376" s="106"/>
      <c r="H376" s="35">
        <v>0</v>
      </c>
      <c r="I376" s="36">
        <f>G375*H376</f>
        <v>0</v>
      </c>
      <c r="J376">
        <v>2</v>
      </c>
    </row>
    <row r="377" spans="1:10" x14ac:dyDescent="0.25">
      <c r="A377" s="107"/>
      <c r="B377" s="107"/>
      <c r="C377" s="107"/>
      <c r="D377" s="107"/>
      <c r="E377" s="107"/>
      <c r="F377" s="107"/>
      <c r="G377" s="107"/>
      <c r="H377" s="70">
        <f>H375+H376</f>
        <v>0</v>
      </c>
      <c r="I377" s="71">
        <f>I375+I376</f>
        <v>0</v>
      </c>
      <c r="J377">
        <v>5</v>
      </c>
    </row>
    <row r="378" spans="1:10" x14ac:dyDescent="0.25">
      <c r="A378" s="73"/>
      <c r="B378" s="25">
        <v>119</v>
      </c>
      <c r="C378" s="26" t="s">
        <v>380</v>
      </c>
      <c r="D378" s="27" t="s">
        <v>25</v>
      </c>
      <c r="E378" s="28"/>
      <c r="F378" s="28"/>
      <c r="G378" s="29">
        <v>1</v>
      </c>
      <c r="H378" s="22">
        <f>(1+IF(OR(ISERR(FIND(":",#REF!)),ISERR(FIND("%",#REF!))),0,MID(#REF!,FIND(":",#REF!)+2,FIND("%",#REF!)-FIND(":",#REF!)-2)/100))*0</f>
        <v>0</v>
      </c>
      <c r="I378" s="30">
        <f>G378*H378</f>
        <v>0</v>
      </c>
      <c r="J378">
        <v>1</v>
      </c>
    </row>
    <row r="379" spans="1:10" x14ac:dyDescent="0.25">
      <c r="A379" s="105" t="s">
        <v>848</v>
      </c>
      <c r="B379" s="106"/>
      <c r="C379" s="106"/>
      <c r="D379" s="106"/>
      <c r="E379" s="106"/>
      <c r="F379" s="106"/>
      <c r="G379" s="106"/>
      <c r="H379" s="35">
        <v>0</v>
      </c>
      <c r="I379" s="36">
        <f>G378*H379</f>
        <v>0</v>
      </c>
      <c r="J379">
        <v>2</v>
      </c>
    </row>
    <row r="380" spans="1:10" ht="14.45" customHeight="1" x14ac:dyDescent="0.25">
      <c r="A380" s="107"/>
      <c r="B380" s="107"/>
      <c r="C380" s="107"/>
      <c r="D380" s="107"/>
      <c r="E380" s="107"/>
      <c r="F380" s="107"/>
      <c r="G380" s="107"/>
      <c r="H380" s="70">
        <f>H378+H379</f>
        <v>0</v>
      </c>
      <c r="I380" s="71">
        <f>I378+I379</f>
        <v>0</v>
      </c>
      <c r="J380">
        <v>5</v>
      </c>
    </row>
    <row r="381" spans="1:10" x14ac:dyDescent="0.25">
      <c r="A381" s="73"/>
      <c r="B381" s="25">
        <v>120</v>
      </c>
      <c r="C381" s="26" t="s">
        <v>381</v>
      </c>
      <c r="D381" s="27" t="s">
        <v>25</v>
      </c>
      <c r="E381" s="28"/>
      <c r="F381" s="28"/>
      <c r="G381" s="29">
        <v>2</v>
      </c>
      <c r="H381" s="22">
        <f>(1+IF(OR(ISERR(FIND(":",#REF!)),ISERR(FIND("%",#REF!))),0,MID(#REF!,FIND(":",#REF!)+2,FIND("%",#REF!)-FIND(":",#REF!)-2)/100))*0</f>
        <v>0</v>
      </c>
      <c r="I381" s="30">
        <f>G381*H381</f>
        <v>0</v>
      </c>
      <c r="J381">
        <v>1</v>
      </c>
    </row>
    <row r="382" spans="1:10" x14ac:dyDescent="0.25">
      <c r="A382" s="105" t="s">
        <v>849</v>
      </c>
      <c r="B382" s="106"/>
      <c r="C382" s="106"/>
      <c r="D382" s="106"/>
      <c r="E382" s="106"/>
      <c r="F382" s="106"/>
      <c r="G382" s="106"/>
      <c r="H382" s="35">
        <v>0</v>
      </c>
      <c r="I382" s="36">
        <f>G381*H382</f>
        <v>0</v>
      </c>
      <c r="J382">
        <v>2</v>
      </c>
    </row>
    <row r="383" spans="1:10" ht="14.45" customHeight="1" x14ac:dyDescent="0.25">
      <c r="A383" s="107"/>
      <c r="B383" s="107"/>
      <c r="C383" s="107"/>
      <c r="D383" s="107"/>
      <c r="E383" s="107"/>
      <c r="F383" s="107"/>
      <c r="G383" s="107"/>
      <c r="H383" s="70">
        <f>H381+H382</f>
        <v>0</v>
      </c>
      <c r="I383" s="71">
        <f>I381+I382</f>
        <v>0</v>
      </c>
      <c r="J383">
        <v>5</v>
      </c>
    </row>
    <row r="384" spans="1:10" x14ac:dyDescent="0.25">
      <c r="A384" s="73"/>
      <c r="B384" s="25">
        <v>121</v>
      </c>
      <c r="C384" s="26" t="s">
        <v>382</v>
      </c>
      <c r="D384" s="27" t="s">
        <v>25</v>
      </c>
      <c r="E384" s="28"/>
      <c r="F384" s="28"/>
      <c r="G384" s="29">
        <v>1</v>
      </c>
      <c r="H384" s="22">
        <v>0</v>
      </c>
      <c r="I384" s="30">
        <f>G384*H384</f>
        <v>0</v>
      </c>
      <c r="J384">
        <v>1</v>
      </c>
    </row>
    <row r="385" spans="1:10" x14ac:dyDescent="0.25">
      <c r="A385" s="105" t="s">
        <v>383</v>
      </c>
      <c r="B385" s="106"/>
      <c r="C385" s="106"/>
      <c r="D385" s="106"/>
      <c r="E385" s="106"/>
      <c r="F385" s="106"/>
      <c r="G385" s="106"/>
      <c r="H385" s="35">
        <v>0</v>
      </c>
      <c r="I385" s="36">
        <f>G384*H385</f>
        <v>0</v>
      </c>
      <c r="J385">
        <v>2</v>
      </c>
    </row>
    <row r="386" spans="1:10" x14ac:dyDescent="0.25">
      <c r="A386" s="107"/>
      <c r="B386" s="107"/>
      <c r="C386" s="107"/>
      <c r="D386" s="107"/>
      <c r="E386" s="107"/>
      <c r="F386" s="107"/>
      <c r="G386" s="107"/>
      <c r="H386" s="70">
        <f>H384+H385</f>
        <v>0</v>
      </c>
      <c r="I386" s="71">
        <f>I384+I385</f>
        <v>0</v>
      </c>
      <c r="J386">
        <v>5</v>
      </c>
    </row>
    <row r="387" spans="1:10" x14ac:dyDescent="0.25">
      <c r="A387" s="73"/>
      <c r="B387" s="25">
        <v>122</v>
      </c>
      <c r="C387" s="26" t="s">
        <v>384</v>
      </c>
      <c r="D387" s="27" t="s">
        <v>385</v>
      </c>
      <c r="E387" s="28"/>
      <c r="F387" s="28"/>
      <c r="G387" s="29">
        <v>3</v>
      </c>
      <c r="H387" s="22">
        <f>(1+IF(OR(ISERR(FIND(":",#REF!)),ISERR(FIND("%",#REF!))),0,MID(#REF!,FIND(":",#REF!)+2,FIND("%",#REF!)-FIND(":",#REF!)-2)/100))*0</f>
        <v>0</v>
      </c>
      <c r="I387" s="30">
        <f>G387*H387</f>
        <v>0</v>
      </c>
      <c r="J387">
        <v>1</v>
      </c>
    </row>
    <row r="388" spans="1:10" x14ac:dyDescent="0.25">
      <c r="A388" s="105" t="s">
        <v>850</v>
      </c>
      <c r="B388" s="106"/>
      <c r="C388" s="106"/>
      <c r="D388" s="106"/>
      <c r="E388" s="106"/>
      <c r="F388" s="106"/>
      <c r="G388" s="106"/>
      <c r="H388" s="35">
        <v>0</v>
      </c>
      <c r="I388" s="36">
        <f>G387*H388</f>
        <v>0</v>
      </c>
      <c r="J388">
        <v>2</v>
      </c>
    </row>
    <row r="389" spans="1:10" ht="14.45" customHeight="1" x14ac:dyDescent="0.25">
      <c r="A389" s="107"/>
      <c r="B389" s="107"/>
      <c r="C389" s="107"/>
      <c r="D389" s="107"/>
      <c r="E389" s="107"/>
      <c r="F389" s="107"/>
      <c r="G389" s="107"/>
      <c r="H389" s="70">
        <f>H387+H388</f>
        <v>0</v>
      </c>
      <c r="I389" s="71">
        <f>I387+I388</f>
        <v>0</v>
      </c>
      <c r="J389">
        <v>5</v>
      </c>
    </row>
    <row r="390" spans="1:10" x14ac:dyDescent="0.25">
      <c r="A390" s="73"/>
      <c r="B390" s="25">
        <v>123</v>
      </c>
      <c r="C390" s="26" t="s">
        <v>386</v>
      </c>
      <c r="D390" s="27" t="s">
        <v>25</v>
      </c>
      <c r="E390" s="28"/>
      <c r="F390" s="28"/>
      <c r="G390" s="29">
        <v>20</v>
      </c>
      <c r="H390" s="22">
        <f>(1+IF(OR(ISERR(FIND(":",#REF!)),ISERR(FIND("%",#REF!))),0,MID(#REF!,FIND(":",#REF!)+2,FIND("%",#REF!)-FIND(":",#REF!)-2)/100))*0</f>
        <v>0</v>
      </c>
      <c r="I390" s="30">
        <f>G390*H390</f>
        <v>0</v>
      </c>
      <c r="J390">
        <v>1</v>
      </c>
    </row>
    <row r="391" spans="1:10" x14ac:dyDescent="0.25">
      <c r="A391" s="105" t="s">
        <v>851</v>
      </c>
      <c r="B391" s="106"/>
      <c r="C391" s="106"/>
      <c r="D391" s="106"/>
      <c r="E391" s="106"/>
      <c r="F391" s="106"/>
      <c r="G391" s="106"/>
      <c r="H391" s="35">
        <v>0</v>
      </c>
      <c r="I391" s="36">
        <f>G390*H391</f>
        <v>0</v>
      </c>
      <c r="J391">
        <v>2</v>
      </c>
    </row>
    <row r="392" spans="1:10" ht="14.45" customHeight="1" x14ac:dyDescent="0.25">
      <c r="A392" s="107"/>
      <c r="B392" s="107"/>
      <c r="C392" s="107"/>
      <c r="D392" s="107"/>
      <c r="E392" s="107"/>
      <c r="F392" s="107"/>
      <c r="G392" s="107"/>
      <c r="H392" s="70">
        <f>H390+H391</f>
        <v>0</v>
      </c>
      <c r="I392" s="71">
        <f>I390+I391</f>
        <v>0</v>
      </c>
      <c r="J392">
        <v>5</v>
      </c>
    </row>
    <row r="393" spans="1:10" x14ac:dyDescent="0.25">
      <c r="A393" s="73"/>
      <c r="B393" s="25">
        <v>124</v>
      </c>
      <c r="C393" s="26" t="s">
        <v>387</v>
      </c>
      <c r="D393" s="27" t="s">
        <v>24</v>
      </c>
      <c r="E393" s="28"/>
      <c r="F393" s="28"/>
      <c r="G393" s="29">
        <v>240</v>
      </c>
      <c r="H393" s="22">
        <v>0</v>
      </c>
      <c r="I393" s="30">
        <f>G393*H393</f>
        <v>0</v>
      </c>
      <c r="J393">
        <v>1</v>
      </c>
    </row>
    <row r="394" spans="1:10" x14ac:dyDescent="0.25">
      <c r="A394" s="105" t="s">
        <v>852</v>
      </c>
      <c r="B394" s="106"/>
      <c r="C394" s="106"/>
      <c r="D394" s="106"/>
      <c r="E394" s="106"/>
      <c r="F394" s="106"/>
      <c r="G394" s="106"/>
      <c r="H394" s="35">
        <v>0</v>
      </c>
      <c r="I394" s="36">
        <f>G393*H394</f>
        <v>0</v>
      </c>
      <c r="J394">
        <v>2</v>
      </c>
    </row>
    <row r="395" spans="1:10" x14ac:dyDescent="0.25">
      <c r="A395" s="107"/>
      <c r="B395" s="107"/>
      <c r="C395" s="107"/>
      <c r="D395" s="107"/>
      <c r="E395" s="107"/>
      <c r="F395" s="107"/>
      <c r="G395" s="107"/>
      <c r="H395" s="70">
        <f>H393+H394</f>
        <v>0</v>
      </c>
      <c r="I395" s="71">
        <f>I393+I394</f>
        <v>0</v>
      </c>
      <c r="J395">
        <v>5</v>
      </c>
    </row>
    <row r="396" spans="1:10" x14ac:dyDescent="0.25">
      <c r="A396" s="73"/>
      <c r="B396" s="25">
        <v>125</v>
      </c>
      <c r="C396" s="26" t="s">
        <v>387</v>
      </c>
      <c r="D396" s="27" t="s">
        <v>24</v>
      </c>
      <c r="E396" s="28"/>
      <c r="F396" s="28"/>
      <c r="G396" s="29">
        <v>45</v>
      </c>
      <c r="H396" s="22">
        <v>0</v>
      </c>
      <c r="I396" s="30">
        <f>G396*H396</f>
        <v>0</v>
      </c>
      <c r="J396">
        <v>1</v>
      </c>
    </row>
    <row r="397" spans="1:10" x14ac:dyDescent="0.25">
      <c r="A397" s="105" t="s">
        <v>853</v>
      </c>
      <c r="B397" s="106"/>
      <c r="C397" s="106"/>
      <c r="D397" s="106"/>
      <c r="E397" s="106"/>
      <c r="F397" s="106"/>
      <c r="G397" s="106"/>
      <c r="H397" s="35">
        <v>0</v>
      </c>
      <c r="I397" s="36">
        <f>G396*H397</f>
        <v>0</v>
      </c>
      <c r="J397">
        <v>2</v>
      </c>
    </row>
    <row r="398" spans="1:10" x14ac:dyDescent="0.25">
      <c r="A398" s="107"/>
      <c r="B398" s="107"/>
      <c r="C398" s="107"/>
      <c r="D398" s="107"/>
      <c r="E398" s="107"/>
      <c r="F398" s="107"/>
      <c r="G398" s="107"/>
      <c r="H398" s="70">
        <f>H396+H397</f>
        <v>0</v>
      </c>
      <c r="I398" s="71">
        <f>I396+I397</f>
        <v>0</v>
      </c>
      <c r="J398">
        <v>5</v>
      </c>
    </row>
    <row r="399" spans="1:10" x14ac:dyDescent="0.25">
      <c r="A399" s="73"/>
      <c r="B399" s="25">
        <v>126</v>
      </c>
      <c r="C399" s="26" t="s">
        <v>388</v>
      </c>
      <c r="D399" s="27" t="s">
        <v>25</v>
      </c>
      <c r="E399" s="28"/>
      <c r="F399" s="28"/>
      <c r="G399" s="29">
        <v>100</v>
      </c>
      <c r="H399" s="22">
        <v>0</v>
      </c>
      <c r="I399" s="30">
        <f>G399*H399</f>
        <v>0</v>
      </c>
      <c r="J399">
        <v>1</v>
      </c>
    </row>
    <row r="400" spans="1:10" x14ac:dyDescent="0.25">
      <c r="A400" s="105" t="s">
        <v>854</v>
      </c>
      <c r="B400" s="106"/>
      <c r="C400" s="106"/>
      <c r="D400" s="106"/>
      <c r="E400" s="106"/>
      <c r="F400" s="106"/>
      <c r="G400" s="106"/>
      <c r="H400" s="35">
        <v>0</v>
      </c>
      <c r="I400" s="36">
        <f>G399*H400</f>
        <v>0</v>
      </c>
      <c r="J400">
        <v>2</v>
      </c>
    </row>
    <row r="401" spans="1:10" x14ac:dyDescent="0.25">
      <c r="A401" s="107"/>
      <c r="B401" s="107"/>
      <c r="C401" s="107"/>
      <c r="D401" s="107"/>
      <c r="E401" s="107"/>
      <c r="F401" s="107"/>
      <c r="G401" s="107"/>
      <c r="H401" s="70">
        <f>H399+H400</f>
        <v>0</v>
      </c>
      <c r="I401" s="71">
        <f>I399+I400</f>
        <v>0</v>
      </c>
      <c r="J401">
        <v>5</v>
      </c>
    </row>
    <row r="402" spans="1:10" x14ac:dyDescent="0.25">
      <c r="A402" s="73"/>
      <c r="B402" s="25">
        <v>127</v>
      </c>
      <c r="C402" s="26" t="s">
        <v>389</v>
      </c>
      <c r="D402" s="27" t="s">
        <v>25</v>
      </c>
      <c r="E402" s="28"/>
      <c r="F402" s="28"/>
      <c r="G402" s="29">
        <v>1</v>
      </c>
      <c r="H402" s="22">
        <v>0</v>
      </c>
      <c r="I402" s="30">
        <f>G402*H402</f>
        <v>0</v>
      </c>
      <c r="J402">
        <v>1</v>
      </c>
    </row>
    <row r="403" spans="1:10" x14ac:dyDescent="0.25">
      <c r="A403" s="105" t="s">
        <v>390</v>
      </c>
      <c r="B403" s="106"/>
      <c r="C403" s="106"/>
      <c r="D403" s="106"/>
      <c r="E403" s="106"/>
      <c r="F403" s="106"/>
      <c r="G403" s="106"/>
      <c r="H403" s="35">
        <v>0</v>
      </c>
      <c r="I403" s="36">
        <f>G402*H403</f>
        <v>0</v>
      </c>
      <c r="J403">
        <v>2</v>
      </c>
    </row>
    <row r="404" spans="1:10" ht="14.45" customHeight="1" x14ac:dyDescent="0.25">
      <c r="A404" s="107"/>
      <c r="B404" s="107"/>
      <c r="C404" s="107"/>
      <c r="D404" s="107"/>
      <c r="E404" s="107"/>
      <c r="F404" s="107"/>
      <c r="G404" s="107"/>
      <c r="H404" s="70">
        <f>H402+H403</f>
        <v>0</v>
      </c>
      <c r="I404" s="71">
        <f>I402+I403</f>
        <v>0</v>
      </c>
      <c r="J404">
        <v>5</v>
      </c>
    </row>
    <row r="405" spans="1:10" x14ac:dyDescent="0.25">
      <c r="A405" s="73"/>
      <c r="B405" s="25">
        <v>128</v>
      </c>
      <c r="C405" s="26" t="s">
        <v>391</v>
      </c>
      <c r="D405" s="27" t="s">
        <v>25</v>
      </c>
      <c r="E405" s="28"/>
      <c r="F405" s="28"/>
      <c r="G405" s="29">
        <v>4</v>
      </c>
      <c r="H405" s="22">
        <v>0</v>
      </c>
      <c r="I405" s="30">
        <f>G405*H405</f>
        <v>0</v>
      </c>
      <c r="J405">
        <v>1</v>
      </c>
    </row>
    <row r="406" spans="1:10" x14ac:dyDescent="0.25">
      <c r="A406" s="105" t="s">
        <v>855</v>
      </c>
      <c r="B406" s="106"/>
      <c r="C406" s="106"/>
      <c r="D406" s="106"/>
      <c r="E406" s="106"/>
      <c r="F406" s="106"/>
      <c r="G406" s="106"/>
      <c r="H406" s="35">
        <v>0</v>
      </c>
      <c r="I406" s="36">
        <f>G405*H406</f>
        <v>0</v>
      </c>
      <c r="J406">
        <v>2</v>
      </c>
    </row>
    <row r="407" spans="1:10" x14ac:dyDescent="0.25">
      <c r="A407" s="107"/>
      <c r="B407" s="107"/>
      <c r="C407" s="107"/>
      <c r="D407" s="107"/>
      <c r="E407" s="107"/>
      <c r="F407" s="107"/>
      <c r="G407" s="107"/>
      <c r="H407" s="70">
        <f>H405+H406</f>
        <v>0</v>
      </c>
      <c r="I407" s="71">
        <f>I405+I406</f>
        <v>0</v>
      </c>
      <c r="J407">
        <v>5</v>
      </c>
    </row>
    <row r="408" spans="1:10" x14ac:dyDescent="0.25">
      <c r="A408" s="73"/>
      <c r="B408" s="25">
        <v>129</v>
      </c>
      <c r="C408" s="26" t="s">
        <v>392</v>
      </c>
      <c r="D408" s="27" t="s">
        <v>24</v>
      </c>
      <c r="E408" s="28"/>
      <c r="F408" s="28"/>
      <c r="G408" s="29">
        <v>12</v>
      </c>
      <c r="H408" s="22">
        <v>0</v>
      </c>
      <c r="I408" s="30">
        <f>G408*H408</f>
        <v>0</v>
      </c>
      <c r="J408">
        <v>1</v>
      </c>
    </row>
    <row r="409" spans="1:10" x14ac:dyDescent="0.25">
      <c r="A409" s="105" t="s">
        <v>856</v>
      </c>
      <c r="B409" s="106"/>
      <c r="C409" s="106"/>
      <c r="D409" s="106"/>
      <c r="E409" s="106"/>
      <c r="F409" s="106"/>
      <c r="G409" s="106"/>
      <c r="H409" s="35">
        <v>0</v>
      </c>
      <c r="I409" s="36">
        <f>G408*H409</f>
        <v>0</v>
      </c>
      <c r="J409">
        <v>2</v>
      </c>
    </row>
    <row r="410" spans="1:10" x14ac:dyDescent="0.25">
      <c r="A410" s="107"/>
      <c r="B410" s="107"/>
      <c r="C410" s="107"/>
      <c r="D410" s="107"/>
      <c r="E410" s="107"/>
      <c r="F410" s="107"/>
      <c r="G410" s="107"/>
      <c r="H410" s="70">
        <f>H408+H409</f>
        <v>0</v>
      </c>
      <c r="I410" s="71">
        <f>I408+I409</f>
        <v>0</v>
      </c>
      <c r="J410">
        <v>5</v>
      </c>
    </row>
    <row r="411" spans="1:10" x14ac:dyDescent="0.25">
      <c r="A411" s="73"/>
      <c r="B411" s="25">
        <v>130</v>
      </c>
      <c r="C411" s="26" t="s">
        <v>393</v>
      </c>
      <c r="D411" s="27" t="s">
        <v>25</v>
      </c>
      <c r="E411" s="28"/>
      <c r="F411" s="28"/>
      <c r="G411" s="29">
        <v>1</v>
      </c>
      <c r="H411" s="22">
        <f>(1+IF(OR(ISERR(FIND(":",#REF!)),ISERR(FIND("%",#REF!))),0,MID(#REF!,FIND(":",#REF!)+2,FIND("%",#REF!)-FIND(":",#REF!)-2)/100))*0</f>
        <v>0</v>
      </c>
      <c r="I411" s="30">
        <f>G411*H411</f>
        <v>0</v>
      </c>
      <c r="J411">
        <v>1</v>
      </c>
    </row>
    <row r="412" spans="1:10" x14ac:dyDescent="0.25">
      <c r="A412" s="105" t="s">
        <v>857</v>
      </c>
      <c r="B412" s="106"/>
      <c r="C412" s="106"/>
      <c r="D412" s="106"/>
      <c r="E412" s="106"/>
      <c r="F412" s="106"/>
      <c r="G412" s="106"/>
      <c r="H412" s="35">
        <v>0</v>
      </c>
      <c r="I412" s="36">
        <f>G411*H412</f>
        <v>0</v>
      </c>
      <c r="J412">
        <v>2</v>
      </c>
    </row>
    <row r="413" spans="1:10" x14ac:dyDescent="0.25">
      <c r="A413" s="107"/>
      <c r="B413" s="107"/>
      <c r="C413" s="107"/>
      <c r="D413" s="107"/>
      <c r="E413" s="107"/>
      <c r="F413" s="107"/>
      <c r="G413" s="107"/>
      <c r="H413" s="70">
        <f>H411+H412</f>
        <v>0</v>
      </c>
      <c r="I413" s="71">
        <f>I411+I412</f>
        <v>0</v>
      </c>
      <c r="J413">
        <v>5</v>
      </c>
    </row>
    <row r="414" spans="1:10" x14ac:dyDescent="0.25">
      <c r="A414" s="73"/>
      <c r="B414" s="25">
        <v>131</v>
      </c>
      <c r="C414" s="26" t="s">
        <v>394</v>
      </c>
      <c r="D414" s="27" t="s">
        <v>25</v>
      </c>
      <c r="E414" s="28"/>
      <c r="F414" s="28"/>
      <c r="G414" s="29">
        <v>15</v>
      </c>
      <c r="H414" s="22">
        <v>0</v>
      </c>
      <c r="I414" s="30">
        <f>G414*H414</f>
        <v>0</v>
      </c>
      <c r="J414">
        <v>1</v>
      </c>
    </row>
    <row r="415" spans="1:10" x14ac:dyDescent="0.25">
      <c r="A415" s="105" t="s">
        <v>858</v>
      </c>
      <c r="B415" s="106"/>
      <c r="C415" s="106"/>
      <c r="D415" s="106"/>
      <c r="E415" s="106"/>
      <c r="F415" s="106"/>
      <c r="G415" s="106"/>
      <c r="H415" s="35">
        <v>0</v>
      </c>
      <c r="I415" s="36">
        <f>G414*H415</f>
        <v>0</v>
      </c>
      <c r="J415">
        <v>2</v>
      </c>
    </row>
    <row r="416" spans="1:10" x14ac:dyDescent="0.25">
      <c r="A416" s="107"/>
      <c r="B416" s="107"/>
      <c r="C416" s="107"/>
      <c r="D416" s="107"/>
      <c r="E416" s="107"/>
      <c r="F416" s="107"/>
      <c r="G416" s="107"/>
      <c r="H416" s="70">
        <f>H414+H415</f>
        <v>0</v>
      </c>
      <c r="I416" s="71">
        <f>I414+I415</f>
        <v>0</v>
      </c>
      <c r="J416">
        <v>5</v>
      </c>
    </row>
    <row r="417" spans="1:10" x14ac:dyDescent="0.25">
      <c r="A417" s="73"/>
      <c r="B417" s="25">
        <v>132</v>
      </c>
      <c r="C417" s="26" t="s">
        <v>395</v>
      </c>
      <c r="D417" s="27" t="s">
        <v>25</v>
      </c>
      <c r="E417" s="28"/>
      <c r="F417" s="28"/>
      <c r="G417" s="29">
        <v>29</v>
      </c>
      <c r="H417" s="22">
        <v>0</v>
      </c>
      <c r="I417" s="30">
        <f>G417*H417</f>
        <v>0</v>
      </c>
      <c r="J417">
        <v>1</v>
      </c>
    </row>
    <row r="418" spans="1:10" x14ac:dyDescent="0.25">
      <c r="A418" s="105" t="s">
        <v>859</v>
      </c>
      <c r="B418" s="106"/>
      <c r="C418" s="106"/>
      <c r="D418" s="106"/>
      <c r="E418" s="106"/>
      <c r="F418" s="106"/>
      <c r="G418" s="106"/>
      <c r="H418" s="35">
        <v>0</v>
      </c>
      <c r="I418" s="36">
        <f>G417*H418</f>
        <v>0</v>
      </c>
      <c r="J418">
        <v>2</v>
      </c>
    </row>
    <row r="419" spans="1:10" x14ac:dyDescent="0.25">
      <c r="A419" s="107"/>
      <c r="B419" s="107"/>
      <c r="C419" s="107"/>
      <c r="D419" s="107"/>
      <c r="E419" s="107"/>
      <c r="F419" s="107"/>
      <c r="G419" s="107"/>
      <c r="H419" s="70">
        <f>H417+H418</f>
        <v>0</v>
      </c>
      <c r="I419" s="71">
        <f>I417+I418</f>
        <v>0</v>
      </c>
      <c r="J419">
        <v>5</v>
      </c>
    </row>
    <row r="420" spans="1:10" x14ac:dyDescent="0.25">
      <c r="A420" s="73"/>
      <c r="B420" s="25">
        <v>133</v>
      </c>
      <c r="C420" s="26" t="s">
        <v>396</v>
      </c>
      <c r="D420" s="27" t="s">
        <v>23</v>
      </c>
      <c r="E420" s="28"/>
      <c r="F420" s="28"/>
      <c r="G420" s="29">
        <v>35</v>
      </c>
      <c r="H420" s="22">
        <v>0</v>
      </c>
      <c r="I420" s="30">
        <f>G420*H420</f>
        <v>0</v>
      </c>
      <c r="J420">
        <v>1</v>
      </c>
    </row>
    <row r="421" spans="1:10" x14ac:dyDescent="0.25">
      <c r="A421" s="105" t="s">
        <v>860</v>
      </c>
      <c r="B421" s="106"/>
      <c r="C421" s="106"/>
      <c r="D421" s="106"/>
      <c r="E421" s="106"/>
      <c r="F421" s="106"/>
      <c r="G421" s="106"/>
      <c r="H421" s="35">
        <v>0</v>
      </c>
      <c r="I421" s="36">
        <f>G420*H421</f>
        <v>0</v>
      </c>
      <c r="J421">
        <v>2</v>
      </c>
    </row>
    <row r="422" spans="1:10" x14ac:dyDescent="0.25">
      <c r="A422" s="107"/>
      <c r="B422" s="107"/>
      <c r="C422" s="107"/>
      <c r="D422" s="107"/>
      <c r="E422" s="107"/>
      <c r="F422" s="107"/>
      <c r="G422" s="107"/>
      <c r="H422" s="70">
        <f>H420+H421</f>
        <v>0</v>
      </c>
      <c r="I422" s="71">
        <f>I420+I421</f>
        <v>0</v>
      </c>
      <c r="J422">
        <v>5</v>
      </c>
    </row>
    <row r="423" spans="1:10" x14ac:dyDescent="0.25">
      <c r="A423" s="73"/>
      <c r="B423" s="25">
        <v>134</v>
      </c>
      <c r="C423" s="26" t="s">
        <v>397</v>
      </c>
      <c r="D423" s="27" t="s">
        <v>25</v>
      </c>
      <c r="E423" s="28"/>
      <c r="F423" s="28"/>
      <c r="G423" s="29">
        <v>16</v>
      </c>
      <c r="H423" s="22">
        <v>0</v>
      </c>
      <c r="I423" s="30">
        <f>G423*H423</f>
        <v>0</v>
      </c>
      <c r="J423">
        <v>1</v>
      </c>
    </row>
    <row r="424" spans="1:10" x14ac:dyDescent="0.25">
      <c r="A424" s="105" t="s">
        <v>398</v>
      </c>
      <c r="B424" s="106"/>
      <c r="C424" s="106"/>
      <c r="D424" s="106"/>
      <c r="E424" s="106"/>
      <c r="F424" s="106"/>
      <c r="G424" s="106"/>
      <c r="H424" s="35">
        <v>0</v>
      </c>
      <c r="I424" s="36">
        <f>G423*H424</f>
        <v>0</v>
      </c>
      <c r="J424">
        <v>2</v>
      </c>
    </row>
    <row r="425" spans="1:10" ht="14.45" customHeight="1" x14ac:dyDescent="0.25">
      <c r="A425" s="107"/>
      <c r="B425" s="107"/>
      <c r="C425" s="107"/>
      <c r="D425" s="107"/>
      <c r="E425" s="107"/>
      <c r="F425" s="107"/>
      <c r="G425" s="107"/>
      <c r="H425" s="70">
        <f>H423+H424</f>
        <v>0</v>
      </c>
      <c r="I425" s="71">
        <f>I423+I424</f>
        <v>0</v>
      </c>
      <c r="J425">
        <v>5</v>
      </c>
    </row>
    <row r="426" spans="1:10" x14ac:dyDescent="0.25">
      <c r="A426" s="73"/>
      <c r="B426" s="25">
        <v>135</v>
      </c>
      <c r="C426" s="26" t="s">
        <v>399</v>
      </c>
      <c r="D426" s="27" t="s">
        <v>25</v>
      </c>
      <c r="E426" s="28"/>
      <c r="F426" s="28"/>
      <c r="G426" s="29">
        <v>1</v>
      </c>
      <c r="H426" s="22">
        <v>0</v>
      </c>
      <c r="I426" s="30">
        <f>G426*H426</f>
        <v>0</v>
      </c>
      <c r="J426">
        <v>1</v>
      </c>
    </row>
    <row r="427" spans="1:10" x14ac:dyDescent="0.25">
      <c r="A427" s="105" t="s">
        <v>400</v>
      </c>
      <c r="B427" s="106"/>
      <c r="C427" s="106"/>
      <c r="D427" s="106"/>
      <c r="E427" s="106"/>
      <c r="F427" s="106"/>
      <c r="G427" s="106"/>
      <c r="H427" s="35">
        <v>0</v>
      </c>
      <c r="I427" s="36">
        <f>G426*H427</f>
        <v>0</v>
      </c>
      <c r="J427">
        <v>2</v>
      </c>
    </row>
    <row r="428" spans="1:10" ht="14.45" customHeight="1" x14ac:dyDescent="0.25">
      <c r="A428" s="107"/>
      <c r="B428" s="107"/>
      <c r="C428" s="107"/>
      <c r="D428" s="107"/>
      <c r="E428" s="107"/>
      <c r="F428" s="107"/>
      <c r="G428" s="107"/>
      <c r="H428" s="70">
        <f>H426+H427</f>
        <v>0</v>
      </c>
      <c r="I428" s="71">
        <f>I426+I427</f>
        <v>0</v>
      </c>
      <c r="J428">
        <v>5</v>
      </c>
    </row>
    <row r="429" spans="1:10" x14ac:dyDescent="0.25">
      <c r="A429" s="73"/>
      <c r="B429" s="25">
        <v>136</v>
      </c>
      <c r="C429" s="26" t="s">
        <v>399</v>
      </c>
      <c r="D429" s="27" t="s">
        <v>25</v>
      </c>
      <c r="E429" s="28"/>
      <c r="F429" s="28"/>
      <c r="G429" s="29">
        <v>1</v>
      </c>
      <c r="H429" s="22">
        <v>0</v>
      </c>
      <c r="I429" s="30">
        <f>G429*H429</f>
        <v>0</v>
      </c>
      <c r="J429">
        <v>1</v>
      </c>
    </row>
    <row r="430" spans="1:10" x14ac:dyDescent="0.25">
      <c r="A430" s="105" t="s">
        <v>861</v>
      </c>
      <c r="B430" s="106"/>
      <c r="C430" s="106"/>
      <c r="D430" s="106"/>
      <c r="E430" s="106"/>
      <c r="F430" s="106"/>
      <c r="G430" s="106"/>
      <c r="H430" s="35">
        <v>0</v>
      </c>
      <c r="I430" s="36">
        <f>G429*H430</f>
        <v>0</v>
      </c>
      <c r="J430">
        <v>2</v>
      </c>
    </row>
    <row r="431" spans="1:10" x14ac:dyDescent="0.25">
      <c r="A431" s="107"/>
      <c r="B431" s="107"/>
      <c r="C431" s="107"/>
      <c r="D431" s="107"/>
      <c r="E431" s="107"/>
      <c r="F431" s="107"/>
      <c r="G431" s="107"/>
      <c r="H431" s="70">
        <f>H429+H430</f>
        <v>0</v>
      </c>
      <c r="I431" s="71">
        <f>I429+I430</f>
        <v>0</v>
      </c>
      <c r="J431">
        <v>5</v>
      </c>
    </row>
    <row r="432" spans="1:10" x14ac:dyDescent="0.25">
      <c r="A432" s="73"/>
      <c r="B432" s="25">
        <v>137</v>
      </c>
      <c r="C432" s="26" t="s">
        <v>401</v>
      </c>
      <c r="D432" s="27" t="s">
        <v>402</v>
      </c>
      <c r="E432" s="28"/>
      <c r="F432" s="28"/>
      <c r="G432" s="29">
        <v>2</v>
      </c>
      <c r="H432" s="22">
        <v>0</v>
      </c>
      <c r="I432" s="30">
        <f>G432*H432</f>
        <v>0</v>
      </c>
      <c r="J432">
        <v>1</v>
      </c>
    </row>
    <row r="433" spans="1:19" x14ac:dyDescent="0.25">
      <c r="A433" s="105" t="s">
        <v>862</v>
      </c>
      <c r="B433" s="106"/>
      <c r="C433" s="106"/>
      <c r="D433" s="106"/>
      <c r="E433" s="106"/>
      <c r="F433" s="106"/>
      <c r="G433" s="106"/>
      <c r="H433" s="35">
        <v>0</v>
      </c>
      <c r="I433" s="36">
        <f>G432*H433</f>
        <v>0</v>
      </c>
      <c r="J433">
        <v>2</v>
      </c>
    </row>
    <row r="434" spans="1:19" x14ac:dyDescent="0.25">
      <c r="A434" s="107"/>
      <c r="B434" s="107"/>
      <c r="C434" s="107"/>
      <c r="D434" s="107"/>
      <c r="E434" s="107"/>
      <c r="F434" s="107"/>
      <c r="G434" s="107"/>
      <c r="H434" s="70">
        <f>H432+H433</f>
        <v>0</v>
      </c>
      <c r="I434" s="71">
        <f>I432+I433</f>
        <v>0</v>
      </c>
      <c r="J434">
        <v>5</v>
      </c>
    </row>
    <row r="435" spans="1:19" x14ac:dyDescent="0.25">
      <c r="B435" s="37" t="s">
        <v>26</v>
      </c>
      <c r="C435" s="32"/>
      <c r="D435" s="33"/>
      <c r="E435" s="36">
        <f>SUMIF(J12:J434,"1",I12:I434)</f>
        <v>0</v>
      </c>
      <c r="F435" s="36">
        <f>SUMIF(J12:J434,"2",I12:I434)</f>
        <v>0</v>
      </c>
      <c r="G435" s="36"/>
      <c r="H435" s="36"/>
      <c r="I435" s="36">
        <f>SUMIF(J12:J434,"5",I12:I434)</f>
        <v>0</v>
      </c>
      <c r="K435" s="4">
        <f>SUMIF(J12:J434,"3",K12:K434)</f>
        <v>0</v>
      </c>
      <c r="L435" s="4">
        <f>SUMIF(J12:J434,"3",L12:L434)</f>
        <v>0</v>
      </c>
      <c r="M435" s="4">
        <f>SUMIF(J12:J434,"3",M12:M434)</f>
        <v>0</v>
      </c>
      <c r="N435" s="4">
        <f>SUMIF(J12:J434,"4",N12:N434)</f>
        <v>0</v>
      </c>
      <c r="O435" s="4">
        <f>SUMIF(J12:J434,"4",O12:O434)</f>
        <v>0</v>
      </c>
      <c r="P435" s="4">
        <f>SUMIF(J12:J434,"4",P12:P434)</f>
        <v>0</v>
      </c>
      <c r="Q435" s="4">
        <f>SUMIF(J12:J434,"4",Q12:Q434)</f>
        <v>0</v>
      </c>
      <c r="R435" s="4">
        <f>SUMIF(J12:J434,"4",R12:R434)</f>
        <v>0</v>
      </c>
      <c r="S435" s="4">
        <f>SUMIF(J12:J434,"4",S12:S434)</f>
        <v>0</v>
      </c>
    </row>
  </sheetData>
  <mergeCells count="146">
    <mergeCell ref="A433:G434"/>
    <mergeCell ref="A427:G428"/>
    <mergeCell ref="A430:G431"/>
    <mergeCell ref="A424:G425"/>
    <mergeCell ref="A397:G398"/>
    <mergeCell ref="A403:G404"/>
    <mergeCell ref="A400:G401"/>
    <mergeCell ref="A406:G407"/>
    <mergeCell ref="A409:G410"/>
    <mergeCell ref="A412:G413"/>
    <mergeCell ref="A418:G419"/>
    <mergeCell ref="A415:G416"/>
    <mergeCell ref="A421:G422"/>
    <mergeCell ref="A367:G368"/>
    <mergeCell ref="A364:G365"/>
    <mergeCell ref="A373:G374"/>
    <mergeCell ref="A370:G371"/>
    <mergeCell ref="A379:G380"/>
    <mergeCell ref="A382:G383"/>
    <mergeCell ref="A376:G377"/>
    <mergeCell ref="A385:G386"/>
    <mergeCell ref="A394:G395"/>
    <mergeCell ref="A391:G392"/>
    <mergeCell ref="A388:G389"/>
    <mergeCell ref="A334:G335"/>
    <mergeCell ref="A340:G341"/>
    <mergeCell ref="A337:G338"/>
    <mergeCell ref="A343:G344"/>
    <mergeCell ref="A349:G350"/>
    <mergeCell ref="A346:G347"/>
    <mergeCell ref="A355:G356"/>
    <mergeCell ref="A352:G353"/>
    <mergeCell ref="A361:G362"/>
    <mergeCell ref="A358:G359"/>
    <mergeCell ref="A307:G308"/>
    <mergeCell ref="A310:G311"/>
    <mergeCell ref="A313:G314"/>
    <mergeCell ref="A316:G317"/>
    <mergeCell ref="A322:G323"/>
    <mergeCell ref="A319:G320"/>
    <mergeCell ref="A325:G326"/>
    <mergeCell ref="A328:G329"/>
    <mergeCell ref="A331:G332"/>
    <mergeCell ref="A280:G281"/>
    <mergeCell ref="A283:G284"/>
    <mergeCell ref="A289:G290"/>
    <mergeCell ref="A286:G287"/>
    <mergeCell ref="A292:G293"/>
    <mergeCell ref="A295:G296"/>
    <mergeCell ref="A298:G299"/>
    <mergeCell ref="A301:G302"/>
    <mergeCell ref="A304:G305"/>
    <mergeCell ref="A250:G251"/>
    <mergeCell ref="A256:G257"/>
    <mergeCell ref="A253:G254"/>
    <mergeCell ref="A259:G260"/>
    <mergeCell ref="A262:G263"/>
    <mergeCell ref="A268:G269"/>
    <mergeCell ref="A265:G266"/>
    <mergeCell ref="A271:G272"/>
    <mergeCell ref="A277:G278"/>
    <mergeCell ref="A274:G275"/>
    <mergeCell ref="A223:G224"/>
    <mergeCell ref="A229:G230"/>
    <mergeCell ref="A226:G227"/>
    <mergeCell ref="A232:G233"/>
    <mergeCell ref="A235:G236"/>
    <mergeCell ref="A238:G239"/>
    <mergeCell ref="A244:G245"/>
    <mergeCell ref="A241:G242"/>
    <mergeCell ref="A247:G248"/>
    <mergeCell ref="A196:G197"/>
    <mergeCell ref="A202:G203"/>
    <mergeCell ref="A199:G200"/>
    <mergeCell ref="A205:G206"/>
    <mergeCell ref="A211:G212"/>
    <mergeCell ref="A208:G209"/>
    <mergeCell ref="A214:G215"/>
    <mergeCell ref="A220:G221"/>
    <mergeCell ref="A217:G218"/>
    <mergeCell ref="A166:G167"/>
    <mergeCell ref="A169:G170"/>
    <mergeCell ref="A175:G176"/>
    <mergeCell ref="A172:G173"/>
    <mergeCell ref="A181:G182"/>
    <mergeCell ref="A178:G179"/>
    <mergeCell ref="A184:G185"/>
    <mergeCell ref="A187:G188"/>
    <mergeCell ref="A193:G194"/>
    <mergeCell ref="A190:G191"/>
    <mergeCell ref="A136:G137"/>
    <mergeCell ref="A142:G143"/>
    <mergeCell ref="A139:G140"/>
    <mergeCell ref="A145:G146"/>
    <mergeCell ref="A148:G149"/>
    <mergeCell ref="A151:G152"/>
    <mergeCell ref="A157:G158"/>
    <mergeCell ref="A154:G155"/>
    <mergeCell ref="A163:G164"/>
    <mergeCell ref="A160:G161"/>
    <mergeCell ref="A112:G113"/>
    <mergeCell ref="A109:G110"/>
    <mergeCell ref="A118:G119"/>
    <mergeCell ref="A115:G116"/>
    <mergeCell ref="A121:G122"/>
    <mergeCell ref="A124:G125"/>
    <mergeCell ref="A130:G131"/>
    <mergeCell ref="A127:G128"/>
    <mergeCell ref="A133:G134"/>
    <mergeCell ref="A82:G83"/>
    <mergeCell ref="A79:G80"/>
    <mergeCell ref="A85:G86"/>
    <mergeCell ref="A88:G89"/>
    <mergeCell ref="A94:G95"/>
    <mergeCell ref="A91:G92"/>
    <mergeCell ref="A97:G98"/>
    <mergeCell ref="A100:G101"/>
    <mergeCell ref="A106:G107"/>
    <mergeCell ref="A103:G104"/>
    <mergeCell ref="A55:G56"/>
    <mergeCell ref="A52:G53"/>
    <mergeCell ref="A58:G59"/>
    <mergeCell ref="A61:G62"/>
    <mergeCell ref="A67:G68"/>
    <mergeCell ref="A64:G65"/>
    <mergeCell ref="A70:G71"/>
    <mergeCell ref="A73:G74"/>
    <mergeCell ref="A76:G77"/>
    <mergeCell ref="A25:G26"/>
    <mergeCell ref="A28:G29"/>
    <mergeCell ref="A31:G32"/>
    <mergeCell ref="A34:G35"/>
    <mergeCell ref="A40:G41"/>
    <mergeCell ref="A37:G38"/>
    <mergeCell ref="A43:G44"/>
    <mergeCell ref="A46:G47"/>
    <mergeCell ref="A49:G50"/>
    <mergeCell ref="A1:D1"/>
    <mergeCell ref="A2:I2"/>
    <mergeCell ref="A3:I3"/>
    <mergeCell ref="A4:I4"/>
    <mergeCell ref="A5:H5"/>
    <mergeCell ref="A13:G14"/>
    <mergeCell ref="A16:G17"/>
    <mergeCell ref="A19:G20"/>
    <mergeCell ref="A22:G23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63" manualBreakCount="63">
    <brk id="17" max="16383" man="1"/>
    <brk id="20" max="16383" man="1"/>
    <brk id="23" max="16383" man="1"/>
    <brk id="26" max="16383" man="1"/>
    <brk id="29" max="16383" man="1"/>
    <brk id="35" max="16383" man="1"/>
    <brk id="41" max="16383" man="1"/>
    <brk id="47" max="16383" man="1"/>
    <brk id="53" max="16383" man="1"/>
    <brk id="59" max="16383" man="1"/>
    <brk id="65" max="16383" man="1"/>
    <brk id="71" max="16383" man="1"/>
    <brk id="77" max="16383" man="1"/>
    <brk id="83" max="16383" man="1"/>
    <brk id="89" max="16383" man="1"/>
    <brk id="95" max="16383" man="1"/>
    <brk id="101" max="16383" man="1"/>
    <brk id="110" max="16383" man="1"/>
    <brk id="119" max="16383" man="1"/>
    <brk id="125" max="16383" man="1"/>
    <brk id="131" max="16383" man="1"/>
    <brk id="137" max="16383" man="1"/>
    <brk id="143" max="16383" man="1"/>
    <brk id="149" max="16383" man="1"/>
    <brk id="155" max="16383" man="1"/>
    <brk id="164" max="16383" man="1"/>
    <brk id="170" max="16383" man="1"/>
    <brk id="179" max="16383" man="1"/>
    <brk id="185" max="16383" man="1"/>
    <brk id="191" max="16383" man="1"/>
    <brk id="197" max="16383" man="1"/>
    <brk id="203" max="16383" man="1"/>
    <brk id="212" max="16383" man="1"/>
    <brk id="221" max="16383" man="1"/>
    <brk id="227" max="16383" man="1"/>
    <brk id="233" max="16383" man="1"/>
    <brk id="239" max="16383" man="1"/>
    <brk id="245" max="16383" man="1"/>
    <brk id="251" max="16383" man="1"/>
    <brk id="257" max="16383" man="1"/>
    <brk id="263" max="16383" man="1"/>
    <brk id="269" max="16383" man="1"/>
    <brk id="275" max="16383" man="1"/>
    <brk id="281" max="16383" man="1"/>
    <brk id="287" max="16383" man="1"/>
    <brk id="293" max="16383" man="1"/>
    <brk id="299" max="16383" man="1"/>
    <brk id="305" max="16383" man="1"/>
    <brk id="311" max="16383" man="1"/>
    <brk id="317" max="16383" man="1"/>
    <brk id="323" max="16383" man="1"/>
    <brk id="329" max="16383" man="1"/>
    <brk id="335" max="16383" man="1"/>
    <brk id="341" max="16383" man="1"/>
    <brk id="353" max="16383" man="1"/>
    <brk id="362" max="16383" man="1"/>
    <brk id="371" max="16383" man="1"/>
    <brk id="383" max="16383" man="1"/>
    <brk id="392" max="16383" man="1"/>
    <brk id="401" max="16383" man="1"/>
    <brk id="407" max="16383" man="1"/>
    <brk id="413" max="16383" man="1"/>
    <brk id="4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11</vt:i4>
      </vt:variant>
      <vt:variant>
        <vt:lpstr>Zone denumite</vt:lpstr>
      </vt:variant>
      <vt:variant>
        <vt:i4>9</vt:i4>
      </vt:variant>
    </vt:vector>
  </HeadingPairs>
  <TitlesOfParts>
    <vt:vector size="20" baseType="lpstr">
      <vt:lpstr>Centralizator</vt:lpstr>
      <vt:lpstr>F4</vt:lpstr>
      <vt:lpstr>O.03 D.00</vt:lpstr>
      <vt:lpstr>O.03 D.01</vt:lpstr>
      <vt:lpstr>O.03 D.02</vt:lpstr>
      <vt:lpstr>O.03 D.03</vt:lpstr>
      <vt:lpstr>O.03 D.04</vt:lpstr>
      <vt:lpstr>O.04 D.01</vt:lpstr>
      <vt:lpstr>O.05 D.01</vt:lpstr>
      <vt:lpstr>O.05 D.02</vt:lpstr>
      <vt:lpstr>O.06 D.01</vt:lpstr>
      <vt:lpstr>'O.03 D.00'!Imprimare_titluri</vt:lpstr>
      <vt:lpstr>'O.03 D.01'!Imprimare_titluri</vt:lpstr>
      <vt:lpstr>'O.03 D.02'!Imprimare_titluri</vt:lpstr>
      <vt:lpstr>'O.03 D.03'!Imprimare_titluri</vt:lpstr>
      <vt:lpstr>'O.03 D.04'!Imprimare_titluri</vt:lpstr>
      <vt:lpstr>'O.04 D.01'!Imprimare_titluri</vt:lpstr>
      <vt:lpstr>'O.05 D.01'!Imprimare_titluri</vt:lpstr>
      <vt:lpstr>'O.05 D.02'!Imprimare_titluri</vt:lpstr>
      <vt:lpstr>'O.06 D.01'!Imprimare_titluri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Corina Onciu</dc:creator>
  <cp:lastModifiedBy>cezar@prohvac.ro</cp:lastModifiedBy>
  <dcterms:created xsi:type="dcterms:W3CDTF">2023-09-07T05:41:00Z</dcterms:created>
  <dcterms:modified xsi:type="dcterms:W3CDTF">2024-03-24T21:52:35Z</dcterms:modified>
</cp:coreProperties>
</file>