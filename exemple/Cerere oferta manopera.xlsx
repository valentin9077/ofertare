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8496"/>
  </bookViews>
  <sheets>
    <sheet name="Inst Termice" sheetId="2" r:id="rId1"/>
    <sheet name="Inst Sanitare" sheetId="3"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3" i="2" l="1"/>
  <c r="F238"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7" i="3"/>
  <c r="A8" i="3"/>
  <c r="A9" i="3" s="1"/>
  <c r="A10" i="3" s="1"/>
  <c r="A11" i="3" s="1"/>
  <c r="A12"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6" i="3" s="1"/>
  <c r="A77" i="3" s="1"/>
  <c r="A78" i="3" s="1"/>
  <c r="A79" i="3" s="1"/>
  <c r="A80" i="3" s="1"/>
  <c r="A81" i="3" s="1"/>
  <c r="A82" i="3" s="1"/>
  <c r="A83" i="3" s="1"/>
  <c r="A86" i="3" s="1"/>
  <c r="A87" i="3" s="1"/>
  <c r="A88" i="3" s="1"/>
  <c r="A89" i="3" s="1"/>
  <c r="A90" i="3" s="1"/>
  <c r="A91" i="3" s="1"/>
  <c r="A92" i="3" s="1"/>
  <c r="A93" i="3" s="1"/>
  <c r="A94" i="3" s="1"/>
  <c r="A95" i="3" s="1"/>
  <c r="A96" i="3" s="1"/>
  <c r="A97" i="3" s="1"/>
  <c r="A98" i="3" s="1"/>
  <c r="A99" i="3" s="1"/>
  <c r="A100" i="3" s="1"/>
  <c r="A103" i="3" s="1"/>
  <c r="A104" i="3" s="1"/>
  <c r="A105" i="3" s="1"/>
  <c r="A106" i="3" s="1"/>
  <c r="A107" i="3" s="1"/>
  <c r="A108" i="3" s="1"/>
  <c r="A111" i="3" s="1"/>
  <c r="A139" i="3"/>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217" i="3"/>
  <c r="A218" i="3" s="1"/>
  <c r="A219" i="3" s="1"/>
  <c r="A220" i="3" s="1"/>
  <c r="A221" i="3" s="1"/>
  <c r="A222" i="3" s="1"/>
  <c r="A223" i="3" s="1"/>
  <c r="A224" i="3" s="1"/>
  <c r="A225" i="3" s="1"/>
  <c r="A226" i="3" s="1"/>
  <c r="A227" i="3" s="1"/>
  <c r="A228" i="3" s="1"/>
  <c r="A229" i="3" s="1"/>
  <c r="A230" i="3" s="1"/>
  <c r="A231" i="3" s="1"/>
  <c r="A232" i="3" s="1"/>
  <c r="A233" i="3" s="1"/>
  <c r="A234" i="3" s="1"/>
  <c r="A235" i="3" s="1"/>
  <c r="F26" i="2"/>
  <c r="F27" i="2"/>
  <c r="F29" i="2"/>
  <c r="F59" i="2"/>
  <c r="F60" i="2"/>
  <c r="F68" i="2"/>
  <c r="F69" i="2"/>
  <c r="F82" i="2"/>
  <c r="F83" i="2"/>
  <c r="F84" i="2"/>
  <c r="F133" i="2"/>
  <c r="F134" i="2"/>
  <c r="F141" i="2"/>
  <c r="F164" i="2"/>
  <c r="F167" i="2"/>
  <c r="F168" i="2"/>
  <c r="F182" i="2"/>
  <c r="F186" i="2"/>
  <c r="F187" i="2"/>
  <c r="F198" i="2"/>
  <c r="F199" i="2"/>
  <c r="F206" i="2"/>
  <c r="F207" i="2"/>
  <c r="F208" i="2"/>
  <c r="F215" i="2"/>
  <c r="F216" i="2"/>
  <c r="F221" i="2"/>
  <c r="F227" i="2"/>
  <c r="F228" i="2"/>
  <c r="F241" i="2"/>
  <c r="F242" i="2"/>
  <c r="F247" i="2"/>
  <c r="F248" i="2"/>
  <c r="F252" i="2"/>
  <c r="F251" i="2"/>
  <c r="F250" i="2"/>
  <c r="F249" i="2"/>
  <c r="F246" i="2"/>
  <c r="F245" i="2"/>
  <c r="F244" i="2"/>
  <c r="F243" i="2"/>
  <c r="F240" i="2"/>
  <c r="F239" i="2"/>
  <c r="F238" i="2"/>
  <c r="F237" i="2"/>
  <c r="F236" i="2"/>
  <c r="F235" i="2"/>
  <c r="F234" i="2"/>
  <c r="F233" i="2"/>
  <c r="F232" i="2"/>
  <c r="F231" i="2"/>
  <c r="F230" i="2"/>
  <c r="F229" i="2"/>
  <c r="F226" i="2"/>
  <c r="F225" i="2"/>
  <c r="F224" i="2"/>
  <c r="F223" i="2"/>
  <c r="F222" i="2"/>
  <c r="F220" i="2"/>
  <c r="F219" i="2"/>
  <c r="F218" i="2"/>
  <c r="F217" i="2"/>
  <c r="F214" i="2"/>
  <c r="F213" i="2"/>
  <c r="F212" i="2"/>
  <c r="F211" i="2"/>
  <c r="F210" i="2"/>
  <c r="F209" i="2"/>
  <c r="F205" i="2"/>
  <c r="F204" i="2"/>
  <c r="F203" i="2"/>
  <c r="F202" i="2"/>
  <c r="F201" i="2"/>
  <c r="F200" i="2"/>
  <c r="F197" i="2"/>
  <c r="F196" i="2"/>
  <c r="F195" i="2"/>
  <c r="F194" i="2"/>
  <c r="F193" i="2"/>
  <c r="F192" i="2"/>
  <c r="F191" i="2"/>
  <c r="F190" i="2"/>
  <c r="F189" i="2"/>
  <c r="F188" i="2"/>
  <c r="F185" i="2"/>
  <c r="F184" i="2"/>
  <c r="F183" i="2"/>
  <c r="F181" i="2"/>
  <c r="F180" i="2"/>
  <c r="F179" i="2"/>
  <c r="F178" i="2"/>
  <c r="F177" i="2"/>
  <c r="F176" i="2"/>
  <c r="F175" i="2"/>
  <c r="F174" i="2"/>
  <c r="F173" i="2"/>
  <c r="F172" i="2"/>
  <c r="F171" i="2"/>
  <c r="F170" i="2"/>
  <c r="F169" i="2"/>
  <c r="F166" i="2"/>
  <c r="F165" i="2"/>
  <c r="F163" i="2"/>
  <c r="F162" i="2"/>
  <c r="F161" i="2"/>
  <c r="F160" i="2"/>
  <c r="F159" i="2"/>
  <c r="F158" i="2"/>
  <c r="F157" i="2"/>
  <c r="F156" i="2"/>
  <c r="F155" i="2"/>
  <c r="F154" i="2"/>
  <c r="F153" i="2"/>
  <c r="F152" i="2"/>
  <c r="F151" i="2"/>
  <c r="F150" i="2"/>
  <c r="F149" i="2"/>
  <c r="F148" i="2"/>
  <c r="F147" i="2"/>
  <c r="F146" i="2"/>
  <c r="F145" i="2"/>
  <c r="F144" i="2"/>
  <c r="F143" i="2"/>
  <c r="F142" i="2"/>
  <c r="F140" i="2"/>
  <c r="F139" i="2"/>
  <c r="F138" i="2"/>
  <c r="F137" i="2"/>
  <c r="F136" i="2"/>
  <c r="F135"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A85" i="2"/>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F81" i="2"/>
  <c r="F80" i="2"/>
  <c r="F79" i="2"/>
  <c r="F78" i="2"/>
  <c r="F77" i="2"/>
  <c r="F76" i="2"/>
  <c r="F75" i="2"/>
  <c r="F74" i="2"/>
  <c r="F73" i="2"/>
  <c r="F72" i="2"/>
  <c r="F71" i="2"/>
  <c r="A71" i="2"/>
  <c r="A72" i="2" s="1"/>
  <c r="A73" i="2" s="1"/>
  <c r="A74" i="2" s="1"/>
  <c r="A75" i="2" s="1"/>
  <c r="A76" i="2" s="1"/>
  <c r="A77" i="2" s="1"/>
  <c r="A78" i="2" s="1"/>
  <c r="A79" i="2" s="1"/>
  <c r="A80" i="2" s="1"/>
  <c r="A81" i="2" s="1"/>
  <c r="F70" i="2"/>
  <c r="F67" i="2"/>
  <c r="F66" i="2"/>
  <c r="F65" i="2"/>
  <c r="F64" i="2"/>
  <c r="F63" i="2"/>
  <c r="F62" i="2"/>
  <c r="A62" i="2"/>
  <c r="A63" i="2" s="1"/>
  <c r="A64" i="2" s="1"/>
  <c r="A65" i="2" s="1"/>
  <c r="A66" i="2" s="1"/>
  <c r="A67" i="2" s="1"/>
  <c r="F61"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A29" i="2"/>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F28" i="2"/>
  <c r="F25" i="2"/>
  <c r="F24" i="2"/>
  <c r="F23" i="2"/>
  <c r="F22" i="2"/>
  <c r="F21" i="2"/>
  <c r="F20" i="2"/>
  <c r="F19" i="2"/>
  <c r="F18" i="2"/>
  <c r="F17" i="2"/>
  <c r="F16" i="2"/>
  <c r="F15" i="2"/>
  <c r="F14" i="2"/>
  <c r="F13" i="2"/>
  <c r="F12" i="2"/>
  <c r="F11" i="2"/>
  <c r="F10" i="2"/>
  <c r="F9" i="2"/>
  <c r="F8" i="2"/>
  <c r="F7" i="2"/>
  <c r="A7" i="2"/>
  <c r="A8" i="2" s="1"/>
  <c r="A9" i="2" s="1"/>
  <c r="A10" i="2" s="1"/>
  <c r="A11" i="2" s="1"/>
  <c r="A12" i="2" s="1"/>
  <c r="A13" i="2" s="1"/>
  <c r="A14" i="2" s="1"/>
  <c r="A15" i="2" s="1"/>
  <c r="A16" i="2" s="1"/>
  <c r="A17" i="2" s="1"/>
  <c r="A18" i="2" s="1"/>
  <c r="A19" i="2" s="1"/>
  <c r="A20" i="2" s="1"/>
  <c r="A21" i="2" s="1"/>
  <c r="A22" i="2" s="1"/>
  <c r="A23" i="2" s="1"/>
  <c r="A24" i="2" s="1"/>
  <c r="A25" i="2" s="1"/>
  <c r="F6" i="2"/>
</calcChain>
</file>

<file path=xl/sharedStrings.xml><?xml version="1.0" encoding="utf-8"?>
<sst xmlns="http://schemas.openxmlformats.org/spreadsheetml/2006/main" count="922" uniqueCount="431">
  <si>
    <t>INSTALATII TERMICE</t>
  </si>
  <si>
    <t>DESCRIERE LUCRARE</t>
  </si>
  <si>
    <t>U.M.</t>
  </si>
  <si>
    <t>CANTITATE TOTALA</t>
  </si>
  <si>
    <t>Pret unitar manopera</t>
  </si>
  <si>
    <t>Pret total material</t>
  </si>
  <si>
    <t>euro</t>
  </si>
  <si>
    <t>IT01</t>
  </si>
  <si>
    <t>INCALZIRE IN PARDOSEALA</t>
  </si>
  <si>
    <t>TeavaPE-Xa pt. incalzire in pardoseala, Ø 16 x 1,5 mm
polietilenă reticulată peroxidic (PE-Xa), corespunde DIN 16892. Etanșeitate la oxigen conform DIN 4726. Autorizări: număr de înregistrare DIN CERTCO: 3V226 PE-Xa sau 3V227 PE-Xa, model de referinta Rehau, Uponor, Ecoheat sau similar</t>
  </si>
  <si>
    <t>ml</t>
  </si>
  <si>
    <t>Banda perimetrala  pt. izolare, 8mm x 150 mm x 40 ml, rola 25ml
Din material spumant PE extrudat.
Autoadeziv pentru fixare pe perete; profilat, pentru adaptarea flexibilã la colţurile încãperii;</t>
  </si>
  <si>
    <t xml:space="preserve">Placa cu nuturi  preizolata EPS100, 30 mm grosime 
Formată în partea inferioară din polistiren expandat, avizat conform EN12163 şi în partea superioară din folie acoperitoare termoformată, din polistirol. </t>
  </si>
  <si>
    <t>mp</t>
  </si>
  <si>
    <t>Aditiv pentru cresterea densitatii sapei.</t>
  </si>
  <si>
    <t>kg</t>
  </si>
  <si>
    <t>Teava tip PEX-a 32x3.4mm, complet cu sisteme de prindere, fitinguri, accesorii de montaj , Izolatii termice la conducte cu cauciuc sintetic cu celule inchise (elastomer) cu bariera de vapori grosime 13mm</t>
  </si>
  <si>
    <t>Contoare de energie termica ultrasunete, cu integrator electronic si sonde de temperatura tur/retur, si transmitere la distanta radio
Componenta:
- debitmetru energie termica 
- integrator electronic
- ∆h max contor=0.5 mCA
- interval de temperatura: 5-130 grdC
- alimentare baterie interna cu durata de viata de minim 10 ani.
-modul emisie radio
- pozitie de montaj: orizontal sau vertical, trasee rectilinii montaj conform furnizor
-clasa precizie B
Furnizor /montator autorizat BRML</t>
  </si>
  <si>
    <t>buc</t>
  </si>
  <si>
    <t>Vana cu sfera / fluture din fonta pentru separare/inchidere Pn10, cu contraflanse, garnituri, suruburi, piulite, saibe, material marunt, piese speciale de adaptare la conducta cu diametrul :
Dn20</t>
  </si>
  <si>
    <t>Robinet de echilibrare hidraulica Pn10, cu contraflanse, garnituri, suruburi, piulite, saibe, material marunt, piese speciale de adaptare la conducta cu diametrul :
Dn20</t>
  </si>
  <si>
    <t>Termostat de camera 230v cu ceas programabil si senzor de pardoseala.
Domeniul de temperatura al camerei: 5 C – 30C
temperatura pardoseala 5 C – 37 
Controlul preciziei temperaturii: ± 0,5 C
Temperatura de protectie impotriva inghetului</t>
  </si>
  <si>
    <t>Cablu multifilar tip MYYM 2x1,5mmp pentru pentru interconectarea cu circuitul/circuitele corespunzatoare din distribuitoarele de pardoseala</t>
  </si>
  <si>
    <t>Distribuitorul de pardoseala,  prevazut cu kit  pentru reglarea temperaturii (ventil termostat ½", ventil ½" pentru reglarea debitului pe retur, cot racord cu termometru si ventil de aerisire ½", cot racord cu robinet de umplere golire ½"), inclusiv dulap din tabla zincata pentru distribuitor pentru montaj ingropat / aparent si unitate de control incalzire in pardoseala 
5 circuite  - carcasa metalica 805x730x120 mm</t>
  </si>
  <si>
    <t>6 circuite  - carcasa metalica 805x730x120 mm</t>
  </si>
  <si>
    <t>7 circuite  - carcasa metalica 1005x730x120 mm</t>
  </si>
  <si>
    <t>8 circuite - carcasa metalica 1005x730x120 mm</t>
  </si>
  <si>
    <t>9 circuite - carcasa metalica 1005x730x120 mm</t>
  </si>
  <si>
    <t>10 circuite - carcasa metalica 1005x730x120 mm</t>
  </si>
  <si>
    <t>11 circuite - carcasa metalica 1005x730x120 mm</t>
  </si>
  <si>
    <t>12 circuite - carcasa metalica 1005x730x120 mm</t>
  </si>
  <si>
    <t>Spalarea hidraulica a conductelor</t>
  </si>
  <si>
    <t>Proba de etanseitate la presiune a instalatiei, Proba de dilatare-contractare si de functionare a instalatiei</t>
  </si>
  <si>
    <t>ans</t>
  </si>
  <si>
    <t>IT02</t>
  </si>
  <si>
    <t>DISTRIBUTIE CATRE  APARTAMENTE</t>
  </si>
  <si>
    <t>Teava neagra din otel - distributie agent termic apa calda, Pn 16, trasa montata prin cuple rapide,  inclusiv fitingurile pentru imbinare (curbe, mufe, reductii, etc) cu diametrul nominal:
Ø1 1/2" - Dn40</t>
  </si>
  <si>
    <t>Ø2" - Dn50</t>
  </si>
  <si>
    <t xml:space="preserve">Ø2 1/2" - Dn65 </t>
  </si>
  <si>
    <t>Ø8" - Dn80</t>
  </si>
  <si>
    <t>Izolatii termice la conducte cu cauciuc sintetic cu celule inchise (elastomer) cu bariera de vapori ridicata tip ARMAFLEX , pentru conducte de agent termic apa calda, complet cu clipsuri cu diametrul nominal:
Dn 40 mm - grosime 13mm</t>
  </si>
  <si>
    <t>Dn 50 mm -  grosime 13mm</t>
  </si>
  <si>
    <t>Dn 65 mm -  grosime 20mm</t>
  </si>
  <si>
    <t>Dn 80 mm - grosime 20mm</t>
  </si>
  <si>
    <t>Ansamblu format din aerisitor automat, stut sudabil pe teava de otel, robinet fluture DN15</t>
  </si>
  <si>
    <t>Robinet de golire Dn 15 Pn10</t>
  </si>
  <si>
    <t>Filtru de impuritati "Y" din fonta prevazut cu sita de otel incorporata, dop de scurgere   Pn=10atm, cu contraflanse, garnituri, suruburi, piulite, saibe, material marunt, piese speciale de adaptare la conducta cu diametrul:
Dn40</t>
  </si>
  <si>
    <t xml:space="preserve">Distribuitor  pentru contorizare Dn 32, cu urmatoarele numere de circuite:
2 circuite 3/4" </t>
  </si>
  <si>
    <t xml:space="preserve">3 circuite 3/4" </t>
  </si>
  <si>
    <t xml:space="preserve">4 circuite 3/4" </t>
  </si>
  <si>
    <t xml:space="preserve">5 circuite 3/4" </t>
  </si>
  <si>
    <t xml:space="preserve">6 circuite 3/4" </t>
  </si>
  <si>
    <t xml:space="preserve">7 circuite 3/4" </t>
  </si>
  <si>
    <t xml:space="preserve">8 circuite 3/4" </t>
  </si>
  <si>
    <t xml:space="preserve">9 circuite 3/4" </t>
  </si>
  <si>
    <t xml:space="preserve">10 circuite 3/4" </t>
  </si>
  <si>
    <t xml:space="preserve">11 circuite 3/4" </t>
  </si>
  <si>
    <t xml:space="preserve">12 circuite 3/4" </t>
  </si>
  <si>
    <t xml:space="preserve">Suport si dispozitive de fixare pentru tevi cu diametru nominal:
Dn 40 </t>
  </si>
  <si>
    <t xml:space="preserve">Dn 50 </t>
  </si>
  <si>
    <t>Dn 65</t>
  </si>
  <si>
    <t>Dn 80</t>
  </si>
  <si>
    <t>Compensator de dilatatie   Pn=10atm, cu contraflanse, garnituri, suruburi, piulite, saibe, material marunt, piese speciale de adaptare la conducta cu diametrul:
Dn65</t>
  </si>
  <si>
    <t>Echilibrarea sistemului</t>
  </si>
  <si>
    <t>Vana cu sfera / fluture din fonta pentru separare/inchidere Pn10, cu contraflanse, garnituri, suruburi, piulite, saibe, material marunt, piese speciale de adaptare la conducta cu diametrul:
Dn 40</t>
  </si>
  <si>
    <t>IT03</t>
  </si>
  <si>
    <t xml:space="preserve">INSTALATIE DE VENTILARE GRUPURI SANITARE SI BUCATARIE </t>
  </si>
  <si>
    <t>Ventilator  de perete pentru evacuare aer viciat grupuri sanitare, prevazut cu clapeta antiretur integrata  cu urmatoarele 
caracteristici:
- debit de aer: 75 mc/h;
- disponibil de presiune: 50 Pa;
- putere electrica 0.1 kW; 230V/50Hz/1Ph
Complet echipat cu elemente de prindere si sustinere, si complet automatizat.</t>
  </si>
  <si>
    <t>Tubulatura circulara rigida tip SPIRO (clasa de etanseitate B),neizolata,pentru evacuare aer  complet cu garnituri de etansare la imbinare, accesorii de sustinere (tija reglabila filetata, tamburi de cauciuc, sina de montaj, console metalice), accesorii de cuplare si etansare avand urmatoarele dimensiuni:
 Ø100</t>
  </si>
  <si>
    <t xml:space="preserve"> Ø125</t>
  </si>
  <si>
    <t xml:space="preserve">Grila tip valva montaj pe tubulatura circulara, complet echipatat cu urmatoarele dimensiuni: 
Ø100  </t>
  </si>
  <si>
    <t>Grila tip valva montaj pe tubulatura circulara, complet echipatat cu urmatoarele dimensiuni:  Φ 125mm</t>
  </si>
  <si>
    <t xml:space="preserve">Grila exterioara montaj pe tubulatura circulara, cu protectie antiploaie, complet echipatat cu urmatoarele dimensiuni: 
Ø100  </t>
  </si>
  <si>
    <t xml:space="preserve">Grila exterioara montaj pe tubulatura circulara, cu protectie antiploaie, complet echipatat cu urmatoarele dimensiuni: 
Ø125  </t>
  </si>
  <si>
    <t>IT04</t>
  </si>
  <si>
    <t>INSTALATIE DE CLIMATIZARE</t>
  </si>
  <si>
    <t>Teava din cupru ∅6,35 mm, pentru realizarea traseu frigorific, izolata cu izolatie tip Armaflex, grosime 13mm</t>
  </si>
  <si>
    <t>Teava din cupru ∅9.5 mm, pentru realizarea traseu frigorific, izolata cu izolatie tip Armaflex, grosime 13mm</t>
  </si>
  <si>
    <t>Unitate interioara Casetă Cu 1 Direcție WindFree, cu urmatoarele caracteristici:
-capacitate de racire/incalzire: 2.60 / 2.90 kW  ; 9000BTU
-agent frigorific: R32A;
-dimensiuni nete (l×h×a) (mm) 970 x 135 x 410 mm</t>
  </si>
  <si>
    <t>Unitate interioara Casetă Cu 1 Direcție WindFree cu urmatoarele caracteristici:
-capacitate de racire/incalzire: 3.50 / 3.80 kW  ; 12000BTU
-agent frigorific: R32A;
-dimensiuni nete (l×h×a) (mm) 970 x 135 x 410 mm</t>
  </si>
  <si>
    <t>Unitate interioara WindFree™ , cu urmatoarele caracteristici:
-capacitate de racire/incalzire: 2.50 / 3.20 kW
-9000 BTU
-agent frigorific: R32A;</t>
  </si>
  <si>
    <t>Unitate interioara WindFree™  , cu urmatoarele caracteristici:
-capacitate de racire/incalzire: 3.50 / 4.00 kW
-12000 BTU
-agent frigorific: R32A;</t>
  </si>
  <si>
    <t>Unitate interioara WindFree™ , cu urmatoarele caracteristici:
-capacitate de racire/incalzire: 4.30 / 4.70 kW
-15000 BTU
-agent frigorific: R32A;</t>
  </si>
  <si>
    <t>Unitate Exterioară :
- capacitate de racire/incalzire: 5.20 / 6.30 kW kW ; 18000BTU
- agent frigorific: R32A;
- mono fazic</t>
  </si>
  <si>
    <t>Unitate Exterioară 
- capacitate de racire/incalzire: 6.80 / 8.00 kW ; 23000BTU
- agent frigorific: R32A;
- mono fazic</t>
  </si>
  <si>
    <t>Unitate Exterioară
- capacitate de racire/incalzire: 8.00 / 9.30 kW ; 27000BTU
- agent frigorific: R32A;
- mono fazic</t>
  </si>
  <si>
    <t>Unitate Exterioară
- capacitate de racire/incalzire: 10.00 12.00 kW ; 34000BTU
- agent frigorific: R32A;
- mono fazic</t>
  </si>
  <si>
    <t xml:space="preserve">Telecomandă  cu fir </t>
  </si>
  <si>
    <t>IT05</t>
  </si>
  <si>
    <t>CENTRALA TERMICA  A</t>
  </si>
  <si>
    <t>Teava neagra din otel - distributie agent termic apa calda, Pn 10, trasa montata prin cuple rapide,  inclusiv fitingurile pentru imbinare (curbe, mufe, reductii, etc) cu diametrul nominal:
Ø1 1/2" - Dn40</t>
  </si>
  <si>
    <t>Ø3" - Dn80</t>
  </si>
  <si>
    <t>Ø4" - Dn100</t>
  </si>
  <si>
    <t>Izolatii termice la conducte cu cauciuc sintetic cu celule inchise (elastomer) cu bariera de vapori ridicata tip ARMAFLEX , pentru conducte de agent termic apa calda, complet cu clipsuri cu diametrul nominal:
Dn 40 mm - grosime 25mm</t>
  </si>
  <si>
    <t>Dn 50 mm -  grosime 25mm</t>
  </si>
  <si>
    <t>Dn 50 mm -  grosime 50mm</t>
  </si>
  <si>
    <t>Dn 65 mm -  grosime 25mm</t>
  </si>
  <si>
    <t>Dn 80 mm - grosime 25mm</t>
  </si>
  <si>
    <t>Dn 100 mm - grosime 25mm</t>
  </si>
  <si>
    <t>Protectia mecanica cu tabla zincata avand grosimea de 0,5mm pentru  tubulatura montata pe terasa</t>
  </si>
  <si>
    <t>Protectie cu fir incalzitor pentru sistem de distributie apa calda , inclusiv accesorii de montaj, senzor de temperatura</t>
  </si>
  <si>
    <t xml:space="preserve">Etilen glicol </t>
  </si>
  <si>
    <t>l</t>
  </si>
  <si>
    <t>Preselector hidraulic (butelie de egalizare a presiunii), Pn 16:
- Diametru x Inaltime: 300m x 1300 mm;
- patru racorduri Dn100 mm;
- racord golire Dn15 mm;
- racord aerisire Dn15 mm;
- racord manometru Dn15 mm;</t>
  </si>
  <si>
    <t xml:space="preserve">Distribuitor confectionat din teava neagra, prevazut cu stuturi sudate prevazute cu flanse pentru racordurile de agent termic si stuturi cu filet exterior pentru aerisitor, manometru, termometru, golire; 
Ansamblul va avea suport (picioare) sudat si va fi  grunduit, vopsit si izolat termic cu vata minerala caserata pe folie de aluminiu cu grosimea de 50mm cu urmatoarele caracteristici:
Dimensiuni (Lungime x Diametru): 1700 x Dn200 mm;
- un racord Dn=65mm;un racord Dn=80mm
- un racord de intrare, Dn 100mm;
- termometru;
- golire generala distribuitor, Dn15 mm ;
- manometru cu robinet de control 0 -10 bar.       </t>
  </si>
  <si>
    <t>Ansamblu format din aerisitor automat, stut sudabil pe teava de otel, robinet fluture DN25</t>
  </si>
  <si>
    <t>Vana cu sfera / fluture din fonta pentru separare/inchidere Pn10, cu contraflanse, garnituri, suruburi, piulite, saibe, material marunt, piese speciale de adaptare la conducta cu diametrul:
Dn 15</t>
  </si>
  <si>
    <t>Dn 20</t>
  </si>
  <si>
    <t>Dn 25</t>
  </si>
  <si>
    <t>Dn 50</t>
  </si>
  <si>
    <t>Dn 100</t>
  </si>
  <si>
    <t>Clapeta de sens cu arc din fonta, cu contraflanse, garnituri, suruburi, piulite, saibe, material marunt, piese speciale de adaptare la conducta cu diametrul:
Dn 25</t>
  </si>
  <si>
    <t>Vana cu trei cai motorizata din fonta complet echipata cu servomotor in 3 puncte (alimentare 230V, 50Hz), cu contraflanse, garnituri, suruburi, piulite, saibe, material marunt, piese speciale de adaptare la conducta cu diametrul:
Dn 50 Kvs =40</t>
  </si>
  <si>
    <t>Racord antivibrant pentru imbinarea dintre pompa de circulatie si reteaua de agent termic, fabricat din materiale ce permit utilizarea continua la 80°C si presiunea de 3 bar cu diametrul:
Dn 65</t>
  </si>
  <si>
    <t>Manometru pentru instalatii cu apa, domeniu de masura: 0...10bar</t>
  </si>
  <si>
    <t>Termometru vertical cu scala gradata imersat, domeniu de masura: -10...+120°C, racord Ø1/2"</t>
  </si>
  <si>
    <t>Senzor de temperatura si debit pe conducta</t>
  </si>
  <si>
    <t>Senzor de presiune  pe conducta</t>
  </si>
  <si>
    <t>Supapa de siguranta 1"</t>
  </si>
  <si>
    <t>Filtru de impuritati "Y" din fonta prevazut cu sita de otel incorporata, dop de scurgere   Pn=10atm, cu contraflanse, garnituri, suruburi, piulite, saibe, material marunt, piese speciale de adaptare la conducta cu diametrul:
Dn 25</t>
  </si>
  <si>
    <t>Separator de namol automat cu miez magnetic ZIO Dn 80</t>
  </si>
  <si>
    <t xml:space="preserve">Automatizarea  cazanului cu functionare in cascada (maxim 4 cazane), cu programator orar si functionare in functie de temperatura exterioara , senzori de conducte,etc si, trebuie sa poata comanda:
- pompa circulatie cazan
-preparare ACM 
- rotirea cazanelor master-slave
- 2 circuite incalzire;
- protectia cazanului
- senzori de sesizare presiune minima 
- senzori de sesizare presiune maxima
- senzori circulatie fluid
- programator vara/iarna </t>
  </si>
  <si>
    <t>Grila exterioara, antiploaie, cu rama cu plasa din sarma, cu urmatoarele dimensiuni: 250x250mm</t>
  </si>
  <si>
    <t>Sistem cos de fum, complet cu accesorii de montaj si prindere alcatuit din urmatoarele subansambluri:
Cos de fum coaxial Φ= 200 mm,  4 racorduri Φ200/110 , L= 4,0 m
Gura de vizitate pentru curatire
Racord preluare condens</t>
  </si>
  <si>
    <t>Proba de etanseitate la presiune a instalatiei</t>
  </si>
  <si>
    <t>Proba de dilatare-contractare si de functionare a instalatiei</t>
  </si>
  <si>
    <t>Etansare la foc strapungeri elemente rezistente la foc EI 120</t>
  </si>
  <si>
    <t>Verificare si punere in functiune</t>
  </si>
  <si>
    <t>IT06</t>
  </si>
  <si>
    <t xml:space="preserve">PREPARARE APA CALDA MENAJERA  </t>
  </si>
  <si>
    <t>Teava neagra din otel - distributie agent termic apa calda, Pn 10, trasa montata prin cuple rapide,  inclusiv fitingurile pentru imbinare (curbe, mufe, reductii, etc) cu diametrul nominal:
Ø3/4" - Dn20</t>
  </si>
  <si>
    <t>Ø1 1/4" - Dn32</t>
  </si>
  <si>
    <t>Izolatii termice la conducte cu cauciuc sintetic cu celule inchise (elastomer) cu bariera de vapori ridicata tip ARMAFLEX , pentru conducte de agent termic apa calda, complet cu clipsuri cu diametrul nominal:
Dn 20 mm - grosime 13mm</t>
  </si>
  <si>
    <t>Dn 32 mm -  grosime 20mm</t>
  </si>
  <si>
    <t>Vana cu sfera / fluture din fonta pentru separare/inchidere Pn10, cu contraflanse, garnituri, suruburi, piulite, saibe, material marunt, piese speciale de adaptare la conducta cu diametrul:
Dn 20</t>
  </si>
  <si>
    <t>Dn 40</t>
  </si>
  <si>
    <t>Racord antivibrant pentru imbinarea dintre pompa de circulatie si reteaua de agent termic, fabricat din materiale ce permit utilizarea continua la 80°C si presiunea de 3 bar cu diametrul:
Dn 50</t>
  </si>
  <si>
    <t>Supapa de siguranta 3/4"</t>
  </si>
  <si>
    <t>Filtru de impuritati "Y" din fonta prevazut cu sita de otel incorporata, dop de scurgere   Pn=10atm, cu contraflanse, garnituri, suruburi, piulite, saibe, material marunt, piese speciale de adaptare la conducta cu diametrul:
Dn 50</t>
  </si>
  <si>
    <t xml:space="preserve">Automatizarea  pompa de caldura, cu programator orar si functionare in functie de temperatura exterioara , senzori de conducte,etc si, trebuie sa poata comanda:
- pompa circulatie cazan- schimbator
- preparare ACM 
- protectia pompa de caldura
- senzori de sesizare presiune minima 
- senzori de sesizare presiune maxima
- senzori circulatie fluid
- programator vara/iarna </t>
  </si>
  <si>
    <t>IT07</t>
  </si>
  <si>
    <t xml:space="preserve"> INSTALATIE DE PRESURIZARE SI DESFUMARE</t>
  </si>
  <si>
    <t>Tubulatura rectangulara din tabla zincata pentru controlul fumului intr-un compartiment unic (evacuarea fumului), clasa de etanseitate la foc E600 120 (ve ho) S500,inclusiv piese speciale, complet cu garnituri de etansare la imbinare, accesorii de sustinere (tija reglabila filetata, tamburi de cauciuc, sina de montaj, console metalice), accesorii de cuplare si etansare  certificat SR EN 12101</t>
  </si>
  <si>
    <t>Tubulatura rectangulara din tabla zincata (clasa de etanseitate B), rezistenta la foc EI60 ho,pentru evacuare fum si gaze fierbinti/ presurizare,inclusiv piese speciale, complet cu garnituri de etansare la imbinare, accesorii de sustinere (tija reglabila filetata, tamburi de cauciuc, sina de montaj, console metalice), accesorii de cuplare si etansare  certificat SR EN 12101</t>
  </si>
  <si>
    <t>Tubulatura rectangulara din tabla zincata (clasa de etanseitate B), rezistenta la foc EI120 ho,pentru evacuare fum si gaze fierbinti/ presurizare,inclusiv piese speciale, complet cu garnituri de etansare la imbinare, accesorii de sustinere (tija reglabila filetata, tamburi de cauciuc, sina de montaj, console metalice), accesorii de cuplare si etansare  certificat SR EN 12101</t>
  </si>
  <si>
    <t>Grila evacuare DESFUMARE, confectionata din plasa de sarma cu rama,  inclusiv cadru de montaj
lxh= 600x600 mm</t>
  </si>
  <si>
    <t>Volet rezistent la foc (E60) multilamelar cu lamele  actionat cu servomotor 230V, cu un contact de semnalizare de început si unul de sfârşit de cursă, pozitie de asteptare INCHIS si grila de marcare la dimensiunea voletului, complet cu accesorii montaj, prindere, etansare, grila de mascare dimensiuni lxh: 600x300 mm</t>
  </si>
  <si>
    <t>Volet rezistent la foc (E60) multilamelar cu lamele  actionat cu servomotor 230V, cu un contact de semnalizare de început si unul de sfârşit de cursă, pozitie de asteptare INCHIS si grila de marcare la dimensiunea voletului, complet cu accesorii montaj, prindere, etansare, grila de mascare dimensiuni lxh: 600x900 mm</t>
  </si>
  <si>
    <t>Volet presurizare,  cu doua usi batante, (EI60) actionat cu servomotor 230V, cu un contact de semnalizare de început si unul de sfârşit de cursă, pozitie de asteptare INCHIS si grila de marcare la dimensiunea voletului, complet cu accesorii montaj, prindere, etansare, cu grila de mascare dimensiuni lxh: 400x605 mm</t>
  </si>
  <si>
    <t>Volet compensare,  cu doua usi batante, (EI60) cu rearmare actionat cu servomotor 230V, cu un contact de semnalizare de început si unul de sfârşit de cursă, pozitie de asteptare INCHIS si grila de marcare la dimensiunea voletului, complet cu accesorii montaj, prindere, etansare, cu grila de mascare dimensiuni lxh: 500x895 mm</t>
  </si>
  <si>
    <t>Volet compensare,  cu doua usi batante, (EI60) cu rearmare actionat cu servomotor 230V, cu un contact de semnalizare de început si unul de sfârşit de cursă, pozitie de asteptare INCHIS si grila de marcare la dimensiunea voletului, complet cu accesorii montaj, prindere, etansare, cu grila de mascare dimensiuni lxh: 600x895 mm</t>
  </si>
  <si>
    <t>Volet compensare,  cu doua usi batante, (EI60) cu rearmare actionat cu servomotor 230V, cu un contact de semnalizare de început si unul de sfârşit de cursă, pozitie de asteptare INCHIS si grila de marcare la dimensiunea voletului, complet cu accesorii montaj, prindere, etansare, cu grila de mascare dimensiuni lxh: 700x895 mm</t>
  </si>
  <si>
    <t>Volet desfumare, rectangular, cu clapeta mobila cu reararmare, (EI60) actionat cu servomotor 230V, cu un contact de semnalizare de început si unul de sfârşit de cursă, pozitie de asteptare INCHIS si grila de marcare la dimensiunea voletului, complet cu accesorii montaj, prindere, etansare, dimensiuni lxh: 600x750 mm</t>
  </si>
  <si>
    <t>Volet desfumare, rectangular, multifilar, (EI60) actionat cu servomotor 230V, cu un contact de semnalizare de început si unul de sfârşit de cursă, pozitie de asteptare INCHIS si grila de marcare la dimensiunea voletului, complet cu accesorii montaj, prindere, etansare, dimensiuni lxh: 600x750 mm</t>
  </si>
  <si>
    <t>Grila rectangulara de exterior cu protectie antiploaie, pentru aspiratie aer proaspat sau aer evacuat, cu rama si lamele din tabla de aluminiu, plasa din sarma galvanizata, dimensiuni lxh= 400x600 mm</t>
  </si>
  <si>
    <t>Traductor de presiune diferentiala cu banda dubla, controlul debitului de aer la ventilatoare. Se poate folosi pentru gazele non agresive si non inflamabile, modele disponibile cu 4 digit.
Tipul presiuni masurate:
- presiune diferentiala, relativa,metoda de masura piezorezistiv
- semnal de iesire 0...10 V
- Tensiune de alimentare 18...30 Vca
- Temperatura mediu de lucru- 10...+70 C
- Presiune maxima admisa -20Kpa
-Accesorii incluse: 2 prize de montaj, tub silicon de 2 m si suruburi de prindere</t>
  </si>
  <si>
    <t>Protectii la foc la treceri prin pereti si pardoseli pentru tubulaturi</t>
  </si>
  <si>
    <t>Echilibrarea hidraulica sistem desfumare</t>
  </si>
  <si>
    <t>Punere in functiune sistem de presurizare si evacuare fum</t>
  </si>
  <si>
    <t>IT08</t>
  </si>
  <si>
    <t>INSTALATIE DE FILTROVENTILATIE</t>
  </si>
  <si>
    <t>Vana antisuflu Dn 150mm, montata pe conducta de aspiratie;</t>
  </si>
  <si>
    <t>Multiplicator de turatie + cuplaj CEB1 + manivela de actionare</t>
  </si>
  <si>
    <t>Filtru retinator de praf in carcasa cu clapeta tip PPE-49;</t>
  </si>
  <si>
    <t>Filtru STL - 3 bucati;</t>
  </si>
  <si>
    <t>Ventilator electromanual, 750 mc/h, Hext=150Pa, Pel=0.5 Kw</t>
  </si>
  <si>
    <r>
      <t xml:space="preserve">Supapa de suprapresiune </t>
    </r>
    <r>
      <rPr>
        <sz val="12"/>
        <rFont val="Arial"/>
        <family val="2"/>
      </rPr>
      <t>SS</t>
    </r>
  </si>
  <si>
    <t>Grile de refulare dubla deflectie 525x75</t>
  </si>
  <si>
    <t>Teava DN 150</t>
  </si>
  <si>
    <t>m</t>
  </si>
  <si>
    <t>Conducta DN 160</t>
  </si>
  <si>
    <t>Punere in functiune</t>
  </si>
  <si>
    <t>IT09</t>
  </si>
  <si>
    <t>INSTALATIE DE  INCALZIRE SI VENTILARE CAMERE TEHNICE</t>
  </si>
  <si>
    <t>Tubulatura circulara rigida tip SPIRO (clasa de etanseitate B),neizolata,pentru evacuare aer  complet cu garnituri de etansare la imbinare, accesorii de sustinere (tija reglabila filetata, tamburi de cauciuc, sina de montaj, console metalice), accesorii de cuplare si etansare avand urmatoarele dimensiuni:
 Ø160</t>
  </si>
  <si>
    <t>Tubulatura circulara rigida tip SPIRO rezistenta la foc EI120 ho,pentru,inclusiv piese speciale, complet cu garnituri de etansare la imbinare, accesorii de sustinere (tija reglabila filetata, tamburi de cauciuc, sina de montaj, console metalice), accesorii de cuplare si etansare avand urmatoarele dimensiuni:
 Ø160</t>
  </si>
  <si>
    <t>Clapete rezistente la foc RF1.5h, circulara, cu servomotor 230V cu arc de revenire , prevazute cu un contact de semnalizare de început si unul de sfârşit de cursă, cu flanse, complet cu accesorii montaj, prindere, etansare rezistenta la foc a spatiului intre clapeta si elementul de constructie in care este montata, cu urmatoarele dimensiuni de conectare:
Ø160 mm</t>
  </si>
  <si>
    <t>Grila rectangulara rezistenta la foc EI120, dimensiuni lxh= 400x600 mm</t>
  </si>
  <si>
    <t>Grila din plasa de sarma  Ø160</t>
  </si>
  <si>
    <t xml:space="preserve"> Utilaje, echipamente tehnologice și funcționale care necesită montaj  F4</t>
  </si>
  <si>
    <t>IT10</t>
  </si>
  <si>
    <t xml:space="preserve">CENTRALA TERMICA  B  </t>
  </si>
  <si>
    <t>Microcentrala murala cu functionare in regim de condensatie, , putere termica 180kW (Δt=80/60°C), 196kW (Δt=50/30°C), prevazuta cu arzator cilindric cu mod de functionare silentios, suflanta pentru aer de ardere cu turatie reglabila, kit neutralizare condens, kit evacuare gaze ardere Ø100/Ø150, automatizare digitala, set de racordare pentru fiecare cazan (conducte de legatura cu forma prestabilita, pompa de circulatie cu turatie variabila, robinete sferice, robinet de umplere/golire, clapeta de sens, robinet gaz, supape de siguranta)</t>
  </si>
  <si>
    <t>Vas de expansiune, cu urmatoarele caracteristici:
- Capaciate: 50 litri;
- Diametru racord vas de expansiune: 3/4";
- Diametru exterior: 365 mm;
- Inaltime vas de expansiune: 582 mm;
- Presiune maxima de operare: 6 bar;
- Presiune standard: 2.5 bar.</t>
  </si>
  <si>
    <t>Statie de dedurizare apa mono cu urmatoarele caracteristici: 
-	Debit: 1.5 mc/h
-	Presiune de lucru: 2 - 6 bar
-	Dp:0,5 bar
-	Alimentare electrica: 230V, 50Hz</t>
  </si>
  <si>
    <t>Pompa simpla circulatie, cu turatie variabila, pentru circulatie agent termic 50/30°C, circuit incalzire, cu urmatoarele caracteristici:
-Q=15.1 mc/h.
-H=15 mCA.
-Convertizor de frecventa incorporat
-Domeniu de temperatura: 10 - 110°C
- Grad de protectie: IP44.
Complet echipata si automatizata.</t>
  </si>
  <si>
    <t>Pompa simpla circulatie, cu turatie variabila, pentru circulatie agent termic 70/50°C, circuit ACM, cu urmatoarele caracteristici:
-Q=7.9 mc/h.
-H=7.0 mCA.
-Convertizor de frecventa incorporat
-Domeniu de temperatura: 10 - 110°C
-Tensiune alimentare: 1 ~ 230 V, 50 Hz.
- Grad de protectie: IP44.
Complet echipata si automatizata.</t>
  </si>
  <si>
    <t>Modul de degazare, umplere si mentine a presiunii pentru sistem de incalzire,  completare controlata  agent termic, degazare, si expansiune in circuitele de incalzire inchise, echipata cu pompa de mentinere in presiune, ventil de mentinere constanta a presiunii, comanda pentru controlul functie de presiune si timp a regimului de functionare al pompei , filtru, ventil de sens. Nivelul din vasul de expansiune se masoara prin intermediul senzorilor de presiune hidrostatici amplasati la partea inferioara si superioara si este afisat digital pe panoul de comanda. cu urmatoarele caracteristici: 
-	Putere termica instalatie: 600 kW
 pmin=1,25bar, pmax= 2,25bar</t>
  </si>
  <si>
    <t>IT11</t>
  </si>
  <si>
    <t>PREPARARE APA CALDA</t>
  </si>
  <si>
    <t xml:space="preserve">Pompa de caldura aer-apa propan  cu urmatoarele specificatii
-capacitate de incalzire: 50 kW  la temperatura exterioara 0°C;
-	temperaturi exterioare limita de functionare incalzire -15 °C ÷43 °C;
-	temperatura agent termic 50-45 gr. C
-	tip refrigerant: R290
Sistemele vor fi prevazute cu automatizare, care va realiza urmatoarele functii:
-	repornire automata in caz de avarie (pana de curent);
-	semnalizare in caz de avarie (defectiune) a sistemelor de climatizare;
-	suport metalic pentru montaj;
   </t>
  </si>
  <si>
    <t>Boiler cu serpentina marita  cu urmatoarele caracteristici:
-capacitate nominala de stocare: 1000 l;
-temperatura maxima: 95°C; 
-diametru exterior cu izolatie: 1000mm;
-inaltime:2230 mm;
-greutate: 303 kg;</t>
  </si>
  <si>
    <t>Rezervor apa pompa de caldura cu izolatie fara serpentine cu urmatoarele caracteristici:
- Capaciate: 400 litri;
- Diametru exterior: 700 mm;
- Inaltime vas de expansiune: 1655 mm;
- Presiune maxima de operare: 10 bar;</t>
  </si>
  <si>
    <t>Vas de expansiune pompa de caldura, cu urmatoarele caracteristici:
- Capaciate: 50 litri;
- Diametru racord vas de expansiune: 3/4";
- Diametru exterior: 365 mm;
- Inaltime vas de expansiune: 582 mm;
- Presiune maxima de operare: 8 bar;
- Presiune standard: 2.5 bar.</t>
  </si>
  <si>
    <t>Pompa simpla circulatie, cu turatie variabila, pentru circulatie agent termic 50/40°C, circuit pompa de caldura, cu urmatoarele caracteristici:
-Q=8.6 mc/h.
-H=5.0 mCA.
-Convertizor de frecventa incorporat
-Domeniu de temperatura: 10 - 110°C
-Tensiune alimentare: 1 ~ 230 V, 50 Hz.
-Grad de protectie: IP44.
Complet echipata si automatizata.</t>
  </si>
  <si>
    <t>Schimbator de caldura in placi izolat cu urmatoarele caracteristici:
Sarcina termica PRIMAR: 190 kW                                                           
Temperatura intrare:70 C / Temperatura iesire:50 C
Cadere de presiune max.3 mCA/ Presiune max.4 Bar
Sarcina termica SECUNDAR: 190kW                                                              
Temperatura intrare:10C/ Temperatura iesire:55 C
Cadere de presiune max.3 mCA /Presiune max.6 Bar</t>
  </si>
  <si>
    <t>Rezervor apa calda cu izolatie fara serpentina cu urmatoarele caracteristici:
-	Capaciate: 1500 litri;
-	Diametru exterior: 1200 mm;
-	Inaltime vas de expansiune: 2220 mm;
Presiune maxima de operare: 10 bar;</t>
  </si>
  <si>
    <t>Vas de expansiune boiler, cu urmatoarele caracteristici:
- Capaciate: 400 litri;
- Diametru racord vas de expansiune: 1";
- Diametru exterior: 630 mm;
- Inaltime vas de expansiune: 1450 mm;
- Presiune maxima de operare: 8 bar;
- Presiune standard: 2.5 bar.</t>
  </si>
  <si>
    <t>Pompa simpla circulatie, pentru circulatie recirculare apa calda
menajera, cu urmatoarele caracteristici:
-Q=0.5 mc/h.
-H=3.0 mCA.
-Domeniu de temperatura: 10 - 110°‹C
-Tensiune alimentare: 1 ~ 230 V, 50 Hz.
-Grad de protectie: IP44.
Complet echipata si automatizata.</t>
  </si>
  <si>
    <t>Pompa simpla circulatie, cu turatie variabila, pentru circulatie agent termic 50/10°C, circuit intre schimbatorul de caldura si acumulator, cu urmatoarele caracteristici:
-Q=7.4 mc/h.
-H=5.3 mCA.
-Convertizor de frecventa incorporat
-Domeniu de temperatura: 10 - 110°C
-Tensiune alimentare: 1 ~ 230 V, 50 Hz.
-Grad de protectie: IP44.
Complet echipata si automatizata.</t>
  </si>
  <si>
    <t>IT12</t>
  </si>
  <si>
    <t>Ventilator axial carcasat desfumare parcaj in doua trepte
Debit nominal de aer 29400 mc/h;
Presiune disponibila 450Pa;
Consum electric 7.5kW/400V;
Rezistent la foc F200 120.
montat pe postament metalic H=0.5m
Complet echipat cu accesorii de prindere si montaj, support antiseismic antivibranti,racorduri flexibile, cablu de alimentare, tablou de forta si automatizare conform SR EN 12101</t>
  </si>
  <si>
    <t>Ventilator axial tip turela desfumare parcaj in doua trepte
Debit nominal de aer 39000 mc/h;
Presiune disponibila 450Pa;
Consum electric 11.0kW/400V;
Rezistent la foc F200 120.
montat pe postament metalic H=0.5m
Complet echipat cu accesorii de prindere si montaj, support antiseismic antivibranti,racorduri flexibile, cablu de alimentare, tablou de forta si automatizare conform SR EN 12101</t>
  </si>
  <si>
    <t>Ventilator axial de perete compensare, cu functionare in doua trepte
Debit nominal de aer 6500 mc/h;
Presiune disponibila 200Pa;
Consum electric 1.5kW/400V;
Complet echipat cu accesorii de prindere si montaj, support antiseismic antivibranti,racorduri flexibile, cablu de alimentare, tablou de forta si automatizare conform SR EN 12101</t>
  </si>
  <si>
    <t>Ventilator axial de perete compensare, cu functionare in doua trepte
Debit nominal de aer 9800 mc/h;
Presiune disponibila 200Pa;
Consum electric 1.5kW/400V;
Complet echipat cu accesorii de prindere si montaj, support antiseismic antivibranti,racorduri flexibile, cablu de alimentare, tablou de forta si automatizare conform SR EN 12101</t>
  </si>
  <si>
    <t>Ventilator axial de perete compensare, cu functionare in doua trepte
Debit nominal de aer 19800 mc/h;
Presiune disponibila 220Pa;
Consum electric 2.5kW/400V;
Complet echipat cu accesorii de prindere si montaj, support antiseismic antivibranti,racorduri flexibile, cablu de alimentare, tablou de forta si automatizare conform SR EN 12101</t>
  </si>
  <si>
    <t>Ventilator axial de perete compensare, cu functionare in doua trepte
Debit nominal de aer 22400 mc/h;
Presiune disponibila 150Pa;
Consum electric 2.5kW/400V;
Complet echipat cu accesorii de prindere si montaj, support antiseismic antivibranti,racorduri flexibile, cablu de alimentare, tablou de forta si automatizare conform SR EN 12101</t>
  </si>
  <si>
    <t>Ventilator axial de perete presurizare 
Casa scarii Subteran, cu turatie variabila
Debit nominal de aer 5200 mc/h;
Presiune disponibila 300Pa;
Consum electric 1.5kW/400V;
Complet echipat cu accesorii de prindere si montaj, support antiseismic antivibranti,racorduri flexibile, cablu de alimentare, tablou de forta si automatizare conform SR EN 12101</t>
  </si>
  <si>
    <t>Ventilator axial necarcasat presurizare 
SAS tampon, cu turatie variabila
Debit nominal de aer 2200 mc/h;
Presiune disponibila 200Pa;
Consum electric 0.5kW/400V;
Complet echipat cu accesorii de prindere si montaj, support antiseismic antivibranti,racorduri flexibile, cablu de alimentare, tablou de forta si automatizare conform SR EN 12101</t>
  </si>
  <si>
    <t>Ventilator axial necarcasat presurizare 
SAS tampon, cu turatie variabila
Debit nominal de aer 2700 mc/h;
Presiune disponibila 150Pa;
Consum electric 0.5kW/400V;
Complet echipat cu accesorii de prindere si montaj, support antiseismic antivibranti,racorduri flexibile, cablu de alimentare, tablou de forta si automatizare conform SR EN 12101</t>
  </si>
  <si>
    <t>Ventilator axial necarcasat presurizare 
SAS tampon, cu turatie variabila
Debit nominal de aer 2200 mc/h;
Rezistent la foc F300.
Presiune disponibila 150Pa;
Consum electric 0.5kW/400V;
Complet echipat cu accesorii de prindere si montaj, support antiseismic antivibranti,racorduri flexibile, cablu de alimentare, tablou de forta si automatizare conform SR EN 12101</t>
  </si>
  <si>
    <t>Ventilator axial necarcasat presurizare 
SAS tampon, cu turatie variabila
Debit nominal de aer 3400 mc/h;
Rezistent la foc F300.
Presiune disponibila 180Pa;
Consum electric 0.5kW/400V;
Complet echipat cu accesorii de prindere si montaj, support antiseismic antivibranti,racorduri flexibile, cablu de alimentare, tablou de forta si automatizare conform SR EN 12101</t>
  </si>
  <si>
    <r>
      <t xml:space="preserve">Sistem JET-FUN F300 120 min Subsol 1 si 2 
 JETFAN FLAKTWOODS  31 JTv  (F300120) 
Qtr-II=4320m³/h / Qtr-I 2124m³/h 400V-3ph-50Hz ;P=0.7kW
Complet echipat cu accesorii de prindere si montaj, deflector de aer, support antiseismic antivibranti,racorduri flexibile, cablu de alimentare, tablou de forta si automatizare conform SR EN 12101, deflector de aer
</t>
    </r>
    <r>
      <rPr>
        <sz val="11"/>
        <color rgb="FFFF0000"/>
        <rFont val="Arial"/>
        <family val="2"/>
      </rPr>
      <t>Nota:Pozitia si numarul final al echipamentelor pentru desfumare in parcaj se va stabili printr-o simulare CFD (computational fluid dinamics)  realizata de catre furnizorul ventilatoarelor tip jet-fan.</t>
    </r>
  </si>
  <si>
    <t>IT13</t>
  </si>
  <si>
    <t>Radiator electric de perete pentru încălzire directă:
• putere electrica 1.0 kW;
  alimentare electrica 230V/50Hz;
• protecţie la supraîncălzire;
• funcţionare silenţioasă;
• randament 100%;
• realizat cu clasa de protecţie IP 24</t>
  </si>
  <si>
    <t xml:space="preserve">Ventilator in-line de tubulatura
Debit nominal de aer 200 mc/h;
Presiune disponibila80Pa;
Comanda manuala ON/OFF + automat de la senzorul de umiditate
Complet echipat cu accesorii de prindere si montaj, racorduri flexibile, </t>
  </si>
  <si>
    <t xml:space="preserve">Ventilator in-line  300 mc/h;100Pa; 
Comanda manuala ON/OFF + timer
Complet echipat cu accesorii de prindere si montaj, racorduri flexibile, </t>
  </si>
  <si>
    <t xml:space="preserve">Ventilator in-line de tubulatura
Debit nominal de aer 400 mc/h;
Presiune disponibila80Pa;
Comanda manuala ON/OFF + automat de la senzorul de umiditate
Complet echipat cu accesorii de prindere si montaj, racorduri flexibile, </t>
  </si>
  <si>
    <t>IT14</t>
  </si>
  <si>
    <t>SISTEM SMART HOME - va actiona sistemul de climatizare si incalzirea in pardoseala, din interiorul apartamentului cat si din exterior, prin  conexiunea la telefonul mobil, totodata sistemul trebuie sa aibe posibilitatatea conectarii altor sisteme daca beneficiarul final doreste.</t>
  </si>
  <si>
    <t>2 CAMERE - Sistemul trebuie sa cuprinda: o tableta mobila, pentru fiecare apartament, care va actiona in tot apartamentul, posibilitatea actionarii sistemului de smart home a tuturor membrilor familiei, de la distanta, prin telefon, pentru fiecare camera in parte.</t>
  </si>
  <si>
    <t>3 CAMERE - Sistemul trebuie sa cuprinda: o tableta mobila, pentru fiecare apartament, care va actiona in tot apartamentul, posibilitatea actionarii sistemului de smart home a tuturor membrilor familiei, de la distanta, prin telefon, pentru fiecare camera in parte.</t>
  </si>
  <si>
    <t>4 CAMERE  - Sistemul trebuie sa cuprinda: o tableta mobila, pentru fiecare apartament, care va actiona in tot apartamentul, posibilitatea actionarii sistemului de smart home a tuturor membrilor familiei, de la distanta, prin telefon, pentru fiecare camera in parte.</t>
  </si>
  <si>
    <t>5 CAMERE  - Sistemul trebuie sa cuprinda: o tableta mobila, pentru fiecare apartament, care va actiona in tot apartamentul, posibilitatea actionarii sistemului de smart home a tuturor membrilor familiei, de la distanta, prin telefon, pentru fiecare camera in parte.</t>
  </si>
  <si>
    <t>CONSTRUIRE COMPLEX MULTIFUNCTIONAL -  COMERT, SERVICII, LOCUIRE, DEPOZITARE MIC-GROS CU RH PROPUS = 2S+P+MZ+8E+9-10/11 E RETRASE, CONFORM P.U.D. APROBAT PRIN H.C.L.S. 3 NR.310/02.12.2021, CONSTRUCTII ANEXE, RETELE INTERIOARE, ACCESURI / ALEI AUTO SI PIETONALE, RACORD LA DRUMURILE PUBLICE, PARCARI, SPATII VERZI, IMPREJMUIRE TEREN SI ORGANIZARE DE EXECUTIE LUCRARI</t>
  </si>
  <si>
    <t>INSTALATII SANITARE</t>
  </si>
  <si>
    <t>CATITATE TOTALA</t>
  </si>
  <si>
    <t>IS1</t>
  </si>
  <si>
    <t>OBIECTE SANITARE</t>
  </si>
  <si>
    <r>
      <t xml:space="preserve">Instalatie completa pentru lavoar, continand:
- 1 baterie amestecatoare monocomanda din alama cromata Ø ½ ", cu senzor infrarosu, ventil electromagnetic, baterie litiu 6V si aerator/limitator de debit;
- 1 ventil + sifon Ø 1 1/4";
- 2 piese de racord OL-Pe-Xa (½"FIxDN15);
</t>
    </r>
    <r>
      <rPr>
        <sz val="10"/>
        <color rgb="FFFF0000"/>
        <rFont val="Arial Narrow"/>
        <family val="2"/>
      </rPr>
      <t xml:space="preserve">- </t>
    </r>
    <r>
      <rPr>
        <sz val="10"/>
        <rFont val="Arial Narrow"/>
        <family val="2"/>
      </rPr>
      <t xml:space="preserve">2 robineti reglaj coltar Ø ½";
- 2 racorduri flexibile 1/2";
- inclusiv sisteme de fixare;
- procurare coliere cu cauciuc,pentru teava DN15 echipate cu  piulita expandata si tija filetata,M8;
- procurare coliere cu cauciuc,Ø 40, echipate cu  piulita expandata si tija filetata,M8;
- inclusiv transportul obiectelor pana la locul punerii in opera;
- material marunt,garnituri,suruburi,fixare etc.
Nota: Obiectele sanitare nu fac obiectul prezentei documentatii, sunt cuprinse in listele de cantitati de arhitectura.    </t>
    </r>
  </si>
  <si>
    <t>Instalatie completa pentru WC, continand:
-rama pentru vas closet;
-rezervor apa aparent/incastrat,racord alimentare apa;
- set conectare vas WC, cot iesire vas WC si piesa mufata;
- robinet coltar 1/2";
- piesa de racord OL-Pe-Xa (½"FIxDN15);
- racord flexibil 1/2";
- inclusiv sisteme de fixare;
- racord flexibil (Ø110);
- procurare coliere cu cauciuc,pentru teava DN15 echipate cu  piulita expandata si tija filetata,M8;
- material marunt,garnituri,suruburi,fixare etc;
- inclusiv transportul obiectelor pana la locul punerii in opera.
Nota: Obiectele sanitare nu fac obiectul prezentei documentatii, sunt cuprinse in listele de cantitati de arhitectura.</t>
  </si>
  <si>
    <t xml:space="preserve">Instalatie completa pentru spalator, continand:
- 1 baterie amestecatoare monocomanda din alama cromata Ø 3/4 ", cu ventil automat, dop si aerator/limitator de debit;
- 1 ventil + sifon Ø 50";
- 2 piese de racord OL-Pe-Xa (3/4"FIxDN20);
- 2 robineti reglaj coltar Ø 3/4";
- 2 racorduri flexibile 3/4";
- inclusiv sisteme de fixare;
- procurare coliere cu cauciuc,pentru teava DN20 echipate cu  piulita expandata si tija filetata,M8;
- procurare coliere cu cauciuc,Ø 50, echipate cu  piulita expandata si tija filetata,M8;
- inclusiv transportul obiectelor pana la locul punerii in opera;
- material marunt,garnituri,suruburi,fixare etc.
Nota: Obiectele sanitare nu fac obiectul prezentei documentatii, sunt cuprinse in listele de cantitati de arhitectura.    </t>
  </si>
  <si>
    <t>Instalatie completa pentru cada baie, continand:
- o cada de baie si sifon de scurgere D50 ;
- 1 baterie amestecatoare monocomanda pentru cada de baie, cu dus flexibil, para pentru dus si duport de prindere pentru para de dus;
- 1 baterie termostate pentru dus, cu dus flexibil, para pentru dus, suport de prindere pentru para de dus si aerator/limitator de debit;
- 2 piese excentrice (3/4);
- 2 piese de racord OL-Pe-Xa (3/4"FIxDN20);
- inclusiv sistem de fixare;
- procurare coliere cu cauciuc,pentru teava DN20 echipate cu  piulita expandata si tija filetata,M8;
- material marunt,garnituri,suruburi,fixare etc;
- inclusiv transportul obiectelor pana la locul punerii in opera.
Nota: Obiectele sanitare nu fac obiectul prezentei documentatii, sunt cuprinse in listele de cantitati de arhitectura.</t>
  </si>
  <si>
    <t>Instalatie completa pentru dus, continand:
- rigola de dus cu sifon inclus  (Ø50);
- 1 baterie termostate pentru dus, cu dus flexibil, para pentru dus, suport de prindere pentru para de dus si aerator/limitator de debit;
- 2 piese excentrice (3/4);
- 2 piese de racord OL-Pe-Xa (3/4"FIxDN20);
- inclusiv sistem de fixare;
- procurare coliere cu cauciuc,pentru teava DN20 echipate cu  piulita expandata si tija filetata,M8;
- procurare coliere cu cauciuc,Ø 50, echipate cu  piulita expandata si tija filetata,M8;
- material marunt,garnituri,suruburi,fixare etc;
- inclusiv transportul obiectelor pana la locul punerii in opera.
Nota: Obiectele sanitare nu fac obiectul prezentei documentatii, sunt cuprinse in listele de cantitati de arhitectura.</t>
  </si>
  <si>
    <t>Robinet coltar, alama nichelata, cu fluture, pentru masina de spalat, FE, 1/2x3/4"</t>
  </si>
  <si>
    <t>IS2</t>
  </si>
  <si>
    <t>ALIMENTARI CU APA</t>
  </si>
  <si>
    <t>Teava universala din polipropilena reticulata la presiuni înalte (PE-Xa) conform DIN 16892 EN ISO 15875, cu imbinare prin expandare folosind manson alunecator din material PVDF si fittinguri din material PPSU (PX) (Pe-Xa SDR7.4, PN16) pentru alimentare cu apa rece/calda.  Sistem complet de suporti pentru conducte de apa, din otel zincat (bride, tije, mansoane ,antizgomot, sisteme de prindere, suruburi etc.), procurare si montare.
Dimensiuni: Pe-Xa20x2.28(Dn15). 
Izolata 6mm</t>
  </si>
  <si>
    <t>Dimensiuni: Pe-Xa32x4.4 (Dn25).
Izolata 6mm</t>
  </si>
  <si>
    <t xml:space="preserve">Distribuitor apa rece/apa calda apartament (Lxhxa) echipat cu robineti de trecere, robineti de golire, cu urmatoarele numere de circuite:
3 circuite 3/8" </t>
  </si>
  <si>
    <t xml:space="preserve">4 circuite 3/8" </t>
  </si>
  <si>
    <t xml:space="preserve">5 circuite 3/8" </t>
  </si>
  <si>
    <t xml:space="preserve">6 circuite 3/8" </t>
  </si>
  <si>
    <t xml:space="preserve">7 circuite 3/8" </t>
  </si>
  <si>
    <t xml:space="preserve">8 circuite 3/8" </t>
  </si>
  <si>
    <t xml:space="preserve">9 circuite 3/8" </t>
  </si>
  <si>
    <t xml:space="preserve">10 circuite 3/8" </t>
  </si>
  <si>
    <t xml:space="preserve">11 circuite 3/8" </t>
  </si>
  <si>
    <t xml:space="preserve">12 circuite 3/8" </t>
  </si>
  <si>
    <t>Carcasa metalica pentru montaj incastrat pentru distribuitoarele de apa rece/apa calda</t>
  </si>
  <si>
    <t>Contor de apa rece multijet, cu contraflanse, garnituri, suruburi, piulite, saibe, material marunt, piese speciale de adaptare la conducta cu diametrul: Dn20</t>
  </si>
  <si>
    <t>Contor de apa calda multijet, cu contraflanse, garnituri, suruburi, piulite, saibe, material marunt, piese speciale de adaptare la conducta cu diametrul: Dn20</t>
  </si>
  <si>
    <t>Vana cu sfera / fluture din fonta pentru separare/inchidere Pn10, cu contraflanse, garnituri, suruburi, piulite, saibe, material marunt, piese speciale de adaptare la conducta cu diametrul :
Dn25</t>
  </si>
  <si>
    <t>Filtru de impuritati "Y" din fonta prevazut cu sita de otel incorporata, dop de scurgere   Pn=10atm, cu contraflanse, garnituri, suruburi, piulite, saibe, material marunt, piese speciale de adaptare la conducta cu diametrul:
Dn25</t>
  </si>
  <si>
    <t>Robinet apa dublu serviciu (Terasa), 1/2" cu protectie antiinghet</t>
  </si>
  <si>
    <t>Proba de etanseitate la presiune si dilatare-contractare si de functionare a instalatiei</t>
  </si>
  <si>
    <t>Efectuare probe etanseitate la presiune si functionare instalatie de alimentare cu apa</t>
  </si>
  <si>
    <t>IS3</t>
  </si>
  <si>
    <t>ALIMENTARE CU APA SPATII COMUNE</t>
  </si>
  <si>
    <t>Teava din OLZn - distributie apa rece/apa calda, Pn 16, trasa montata prin cuple rapide,  inclusiv fitingurile pentru imbinare (curbe, mufe, reductii, etc) cu diametrul nominal:
Ø1" - Dn25</t>
  </si>
  <si>
    <t>Ø1 1/2" - Dn40</t>
  </si>
  <si>
    <t>Ø2 1/2" - Dn65</t>
  </si>
  <si>
    <t>Izolatii termice la conducte cu cauciuc sintetic cu celule inchise (elastomer) cu bariera de vapori ridicata tip ARMAFLEX, pt. teava cu diametrul nominal:
Ø32 mm grosime 13mm</t>
  </si>
  <si>
    <t>Ø50 mm grosime 13mm</t>
  </si>
  <si>
    <t>Ø63 mm grosime 19mm</t>
  </si>
  <si>
    <t>Ø75 mm grosime 19mm</t>
  </si>
  <si>
    <t>Ø90 mm grosime 19mm</t>
  </si>
  <si>
    <t>Ø110 mm grosime 19mm</t>
  </si>
  <si>
    <t>Distribuitor  pentru contorizare Dn 40 din OLZn, cu urmatoarele numere de circuite: 2 circuite 1"</t>
  </si>
  <si>
    <t>Distribuitor  pentru contorizare Dn 40 din OLZn, cu urmatoarele numere de circuite: 4 circuite 1"</t>
  </si>
  <si>
    <t>Distribuitor  pentru contorizare Dn 40 din OLZn, cu urmatoarele numere de circuite: 6 circuite 1"</t>
  </si>
  <si>
    <t>Distribuitor  pentru contorizare Dn 40 din OLZn, cu urmatoarele numere de circuite: 7 circuite 1"</t>
  </si>
  <si>
    <t>Distribuitor  pentru contorizare Dn 40 din OLZn, cu urmatoarele numere de circuite: 8 circuite 1"</t>
  </si>
  <si>
    <t>Distribuitor  pentru contorizare Dn 40 din OLZn, cu urmatoarele numere de circuite: 9 circuite 1"</t>
  </si>
  <si>
    <t>Distribuitor  pentru contorizare Dn 40 din OLZn, cu urmatoarele numere de circuite: 10 circuite 1"</t>
  </si>
  <si>
    <t>Distribuitor  pentru contorizare Dn 40 din OLZn, cu urmatoarele numere de circuite: 11 circuite 1"</t>
  </si>
  <si>
    <t>Distribuitor  pentru contorizare Dn 40 din OLZn, cu urmatoarele numere de circuite: 12 circuite 1"</t>
  </si>
  <si>
    <t>Robinet cu sfera / fluture din fonta pentru separare/inchidere Pn10, cu contraflanse, garnituri, suruburi, piulite, saibe, material marunt, piese speciale de adaptare la conducta cu diametrul : Dn40</t>
  </si>
  <si>
    <t>Reductor de presiune  cu reglaj din fonta, cu contraflanse, garnituri, suruburi, piulite, saibe, material marunt, piese speciale de adaptare la conducta cu diametrul : Dn40</t>
  </si>
  <si>
    <t>Colier de fixare tevi cu doua suruburi cu diametru nominal : Dn25</t>
  </si>
  <si>
    <t>Dn40</t>
  </si>
  <si>
    <t>Dn50</t>
  </si>
  <si>
    <t>Dn65</t>
  </si>
  <si>
    <t>Dn80</t>
  </si>
  <si>
    <t>Dn100</t>
  </si>
  <si>
    <t>Compensator de dilatatie   Pn=10atm, cu contraflanse, garnituri, suruburi, piulite, saibe, material marunt, piese speciale de adaptare la conducta cu diametrul : Dn40</t>
  </si>
  <si>
    <t>IS4</t>
  </si>
  <si>
    <t>CANALIZARE MENAJERA INTERIOARA</t>
  </si>
  <si>
    <t>Teava din polipropilena pentru canalizare interioara, imbinata cu mufe de introducere si inele de etansare din cauciuc, inclusiv coturile, ramificatiile,  etc. Sistem complet de suporti pentru conducte de canalizare, din otel zincat (bride, tije, mansoane ,antizgomot, sisteme de prindere, suruburi etc.) PP40</t>
  </si>
  <si>
    <t>PP 50</t>
  </si>
  <si>
    <t>PP 110</t>
  </si>
  <si>
    <t>Piesa de curatire din polipropilena, imbinata cu mufe de introducere si inele de etansare din cauciuc D 110 mm</t>
  </si>
  <si>
    <t>Usa de vizitare</t>
  </si>
  <si>
    <t>Efectuare probe etanseitate la cond. de canalizare</t>
  </si>
  <si>
    <t>Caciula de ventilare pentru coloanele de canalizare PP110  cu gratar antiinsecte</t>
  </si>
  <si>
    <t>Aerator cu membrana pentru coloanele de canalizare PP110 demontabil cu membrana din cauciuc masiv si pereti duble izolatoare</t>
  </si>
  <si>
    <t>IS5</t>
  </si>
  <si>
    <t>CANALIZARE PLUVIALA + CONDENS</t>
  </si>
  <si>
    <t>Teava din polipropilena pentru canalizare interioara, imbinata cu mufe de introducere si inele de etansare din cauciuc, inclusiv coturile, ramificatiile,  etc. Sistem complet de suporti pentru conducte de canalizare, din otel zincat (bride, tije, mansoane ,antizgomot, sisteme de prindere, suruburi etc.) PP 32</t>
  </si>
  <si>
    <t>Teava PP 50</t>
  </si>
  <si>
    <t>Teava PP 110</t>
  </si>
  <si>
    <t>Piesa de curatire din polipropilena, imbinata cu mufe de introducere si inele de etansare din cauciuc D50 mm</t>
  </si>
  <si>
    <t xml:space="preserve">Sifon condens cu obturator de miros </t>
  </si>
  <si>
    <t>Garnitura tehnica, Ø 40/32 mm, pentru racord condens</t>
  </si>
  <si>
    <t>Gură de scurgere cu iesire orizontala, pentru balcoane, DN50 cu guler izolator şi flanşă</t>
  </si>
  <si>
    <t>Gură de scurgere cu iesire orizontala, pentru balcoane, DN100 cu guler izolator şi flanşă</t>
  </si>
  <si>
    <t>Teava din polietilena de inalta densitate PEHD, imbinata prin electrosudura, inclusiv coturile, ramificatiile, etc.Sistem complet de suporti pentru conducte de canalizare, din otel zincat (bride, tije, mansoane ,antizgomot, sisteme de prindere,etc.) PEHD 110mm</t>
  </si>
  <si>
    <t>Piesa de curatire din PEHD D.110mm</t>
  </si>
  <si>
    <t>Receptor pentru terasa PEHD cu ieşire orizontala DN50 cu guler izolator şi flanşă, cu parafrunzar</t>
  </si>
  <si>
    <t>Receptor pentru terasa PEHD cu ieşire orizontala DN110 cu guler izolator şi flanşă, cu parafrunzar</t>
  </si>
  <si>
    <t>IS6</t>
  </si>
  <si>
    <t>INSTALATIE  COLOANA USCATA</t>
  </si>
  <si>
    <t>Teava neagra D75, PN25, montata prin cuplaje rigide, gata de instalare, cu garnitura, inclusiv fitingurile pentru imbinare (curbe, mufe, reductii, piese de trecere prin pereti, etc) diametrul nominal de:
Dn65</t>
  </si>
  <si>
    <t>Suport si dispozitive de fixare pentru tevi cu diametru nominal:
Dn65</t>
  </si>
  <si>
    <t>Cuplaj Storz DN65,Hm=1.5m,inclinat 45°, pentru alimentare cu apa coloana uscata</t>
  </si>
  <si>
    <t>Cuplaj Storz cu diametru de trecere 45mm,Hm=1.5m</t>
  </si>
  <si>
    <t>Ventil de retinere si robinet de golire amplasat la baza coloanei uscate</t>
  </si>
  <si>
    <t>Probe etanseitate la presiune şi funcţionare coloana uscata</t>
  </si>
  <si>
    <t>IS7</t>
  </si>
  <si>
    <t>ALIMENTARI CU APA SUBTERAN</t>
  </si>
  <si>
    <t>Teava din OLZn - distributie apa rece, Pn 10, trasa montata prin cuple rapide,  inclusiv fitingurile pentru imbinare (curbe, mufe, reductii, etc) cu diametrul nominal:
Ø1/2" - Dn15</t>
  </si>
  <si>
    <t>Ø2 " - Dn50</t>
  </si>
  <si>
    <t>Izolatii termice la conducte cu cauciuc sintetic cu celule inchise (elastomer) cu bariera de vapori ridicata tip ARMAFLEX, pt. teava cu diametrul nominal:
Ø20 mm grosime 13mm</t>
  </si>
  <si>
    <t>Ø40 mm grosime 19mm</t>
  </si>
  <si>
    <t>Ø80 mm grosime 19mm</t>
  </si>
  <si>
    <t>Colier de fixare tevi cu doua suruburi cu diametru nominal : Dn15</t>
  </si>
  <si>
    <t>Colier de fixare tevi cu doua suruburi cu diametru nominal : Dn32</t>
  </si>
  <si>
    <t>Colier de fixare tevi cu doua suruburi cu diametru nominal : Dn65</t>
  </si>
  <si>
    <t>Colier de fixare tevi cu doua suruburi cu diametru nominal : Dn100</t>
  </si>
  <si>
    <t>Robinet dublu serviciu cu sfera  din fonta pentru separare/inchidere Pn10, cu contraflanse, garnituri, suruburi, piulite, saibe, material marunt, piese speciale de adaptare la conducta cu diametrul :
Dn15</t>
  </si>
  <si>
    <t>Robinet cu sfera / fluture din fonta pentru separare/inchidere Pn10, cu contraflanse, garnituri, suruburi, piulite, saibe, material marunt, piese speciale de adaptare la conducta cu diametrul :
Dn32</t>
  </si>
  <si>
    <t>Clapeta de sens; cu mufe filetate, pentru montaj aparent; material marunt de etansare 
Dn32</t>
  </si>
  <si>
    <t>Clapeta de sens; cu mufe filetate, pentru montaj aparent; material marunt de etansare 
Dn50</t>
  </si>
  <si>
    <t>Filtru de impuritati "Y" din fonta prevazut cu sita de otel incorporata, dop de scurgere   Pn=10atm, cu contraflanse, garnituri, suruburi, piulite, saibe, material marunt, piese speciale de adaptare la conducta
Dn32</t>
  </si>
  <si>
    <t>Filtru de impuritati "Y" din fonta prevazut cu sita de otel incorporata, dop de scurgere   Pn=10atm, cu contraflanse, garnituri, suruburi, piulite, saibe, material marunt, piese speciale de adaptare la conducta
Dn50</t>
  </si>
  <si>
    <t>Apometru  apa rece Dn25 cu  transmitere la distanta radio
Componenta:
- interval de temperatura: 5-90 grdC
- alimentare baterie interna cu durata de viata de minim 10 ani.
-modul emisie radio
- pozitie de montaj: orizontal sau vertical, trasee rectilinii montaj conform furnizor
-clasa precizie B
Furnizor /montator autorizat BRML</t>
  </si>
  <si>
    <t>Apometru  apa rece Dn40 cu  transmitere la distanta radio
Componenta:
- interval de temperatura: 5-90 grdC
- alimentare baterie interna cu durata de viata de minim 10 ani.
-modul emisie radio
- pozitie de montaj: orizontal sau vertical, trasee rectilinii montaj conform furnizor
-clasa precizie B
Furnizor /montator autorizat BRML</t>
  </si>
  <si>
    <t>Compensator de dilatatie   Pn=10atm, cu contraflanse, garnituri, suruburi, piulite, saibe, material marunt, piese speciale de adaptare la conducta cu diametrul : Dn65</t>
  </si>
  <si>
    <t>IS8</t>
  </si>
  <si>
    <t>CANALIZARE MENAJERA LIDL + SUBSOLURI</t>
  </si>
  <si>
    <t xml:space="preserve"> Teava pentru canalizare , imbinata cu mufe de introducere si inele de etansare din cauciuc, inclusiv coturile, ramificatiile,  etc. Sistem complet de suporti pentru conducte de canalizare, din otel zincat (bride, tije, mansoane ,antizgomot, sisteme de prindere,etc.)
PVC-KG110 SN2</t>
  </si>
  <si>
    <t>Piesa de curatire din polipropilena, imbinata cu mufe de introducere si inele de etansare din cauciuc Dn 110 mm</t>
  </si>
  <si>
    <t>Teava din polietilena de inalta densitate PEHD, imbinata prin electrosudura, inclusiv coturile, ramificatiile, etc.Sistem complet de suporti pentru conducte de canalizare, din otel zincat (bride, tije, mansoane ,antizgomot, sisteme de prindere,etc.) PEHD 50mm</t>
  </si>
  <si>
    <t>Teava din polietilena de inalta densitate PEHD, imbinata prin electrosudura, inclusiv coturile, ramificatiile, etc.Sistem complet de suporti pentru conducte de canalizare, din otel zincat (bride, tije, mansoane ,antizgomot, sisteme de prindere,etc.) PEHD 125mm</t>
  </si>
  <si>
    <t>Teava din polietilena de inalta densitate PEHD, imbinata prin electrosudura, inclusiv coturile, ramificatiile, etc.Sistem complet de suporti pentru conducte de canalizare, din otel zincat (bride, tije, mansoane ,antizgomot, sisteme de prindere,etc.) PEHD 160mm</t>
  </si>
  <si>
    <t>Teava din polietilena de inalta densitate PEHD, imbinata prin electrosudura, inclusiv coturile, ramificatiile, etc.Sistem complet de suporti pentru conducte de canalizare, din otel zincat (bride, tije, mansoane ,antizgomot, sisteme de prindere,etc.) PEHD 200mm</t>
  </si>
  <si>
    <t>Teava din polietilena de inalta densitate PEHD, imbinata prin electrosudura, inclusiv coturile, ramificatiile, etc.Sistem complet de suporti pentru conducte de canalizare, din otel zincat (bride, tije, mansoane ,antizgomot, sisteme de prindere,etc.) PEHD 250mm</t>
  </si>
  <si>
    <t>Piesa de curatire din polietilena de inalta densitate PEHD, imbinata prin electrosudura D.50mm</t>
  </si>
  <si>
    <t>Piesa de curatire din polietilena de inalta densitate PEHD, imbinata prin electrosudura D.110mm</t>
  </si>
  <si>
    <t>Piesa de curatire din polietilena de inalta densitate PEHD, imbinata prin electrosudura D.125mm</t>
  </si>
  <si>
    <t>Piesa de curatire din polietilena de inalta densitate PEHD, imbinata prin electrosudura D.160mm</t>
  </si>
  <si>
    <t>Piesa de curatire din polietilena de inalta densitate PEHD, imbinata prin electrosudura D.200mm</t>
  </si>
  <si>
    <t>Piesa de curatire din polietilena de inalta densitate PEHD, imbinata prin electrosudura D.250mm</t>
  </si>
  <si>
    <t>Manson rezistent la foc 2h+ etansare la foc  pentru conducta de PEHD50</t>
  </si>
  <si>
    <t>Manson rezistent la foc 2h+ etansare la foc pentru conducta de PEHD110</t>
  </si>
  <si>
    <t>Manson rezistent la foc 2h+ etansare la foc  pentru conducta de PEHD160</t>
  </si>
  <si>
    <t>Manson rezistent la foc 2h+ etansare la foc  pentru conducta de PEHD200</t>
  </si>
  <si>
    <t>Manson rezistent la foc 2h+ etansare la foc  pentru conducta de PEHD250</t>
  </si>
  <si>
    <t xml:space="preserve">Sifon de pardoseala DN110 cu ieşire verticala, clapetă, filtru pt. nisip, suport grătar  şi grătar </t>
  </si>
  <si>
    <t xml:space="preserve">Sifon de pardoseala DN110 cu ieşire verticala, clapetă, filtru pt. nisip, suport grătar  şi grătar + kit protectie la foc sifon   </t>
  </si>
  <si>
    <t xml:space="preserve">Sifon de pardoseala DN110 cu ieşire orizontala, clapetă, filtru pt. nisip, suport grătar  şi grătar </t>
  </si>
  <si>
    <t>Izolatii termice la conducte cu cauciuc sintetic cu celule inchise (elastomer) cu bariera de vapori ridicata tip ARMAFLEX, pt. teava cu diametrul nominal:
Ø50 mm grosime 13mm</t>
  </si>
  <si>
    <t>Ø125 mm grosime 19mm</t>
  </si>
  <si>
    <t>Ø160 mm grosime 19mm</t>
  </si>
  <si>
    <t>Ø200 mm grosime 19mm</t>
  </si>
  <si>
    <t>Ø250 mm grosime 19mm</t>
  </si>
  <si>
    <t>Spalararea conductelor de canalizare si alimentare cu apa</t>
  </si>
  <si>
    <t>IS9</t>
  </si>
  <si>
    <t>ALIMENTARE CU APA SI CANALIZARE EXTERIOARA</t>
  </si>
  <si>
    <t xml:space="preserve"> Teava pentru canalizare ingropata PVC-KG SN4, cu mufe si garnituri din elastomeri inclusiv coturile, ramificatiile, etc diametrul:
PVC-KG 110</t>
  </si>
  <si>
    <t>PVC-KG 160</t>
  </si>
  <si>
    <t>PVC-KG 200</t>
  </si>
  <si>
    <t>PVC-KG 250</t>
  </si>
  <si>
    <t>PVC-KG 315</t>
  </si>
  <si>
    <t>Camin de canalizare prefabricat SDM realizat din: baza camin cu radier cu jgheab (cu intrari si iesiri conf.plan si profil), inele de camin, elemente tronconice, inele de aducere la cota. Toate elementele caminului sunt prevazute la imbinari cu inel de etansare,inclusiv piesele de trecere prin pereti. D=0.4m</t>
  </si>
  <si>
    <t>Camin de canalizare menajera prefabricat din beton realizat din: baza camin cu radier cu jgheab (cu intrari si iesiri conf.plan si profil), inele de camin, elemente tronconice, inele de aducere la cota. Toate elementele caminului sunt prevazute la imbinari cu inel de etansare,inclusiv piesele de trecere prin pereti. D=0.8m</t>
  </si>
  <si>
    <t>Camin de canalizare menajera prefabricat din beton realizat din: baza camin cu radier cu jgheab (cu intrari si iesiri conf.plan si profil), inele de camin, elemente tronconice, inele de aducere la cota. Toate elementele caminului sunt prevazute la imbinari cu inel de etansare,inclusiv piesele de trecere prin pereti. D=1.2m</t>
  </si>
  <si>
    <t>Capac carosabil cu rama A150 KN la camine de canalizare, D=0,4m</t>
  </si>
  <si>
    <t>Capac carosabil cu rama D400 KN la camine de canalizare, D=0,8m</t>
  </si>
  <si>
    <t xml:space="preserve">Rigola cu urmatoarele caracteristici:  clasa de sarcini pana la C250, descarcare orizontala cu flansa, placa de capat,gratar din otel zincat/fonta, clasa de sarcini C250 </t>
  </si>
  <si>
    <t>Camin de bransament prefabricat din beton Lxl=1500x800mm alimentare generala  format din:
· un apometrul pentru apa apa rece, multi jet, cadran umed cu diametrul nominal de 80mm;
· trei robineti de trecere cu diametrul nominal de 100mm;
· o clapeta de sens cu diametrul nominal de 100mm; 
· un filtru pentru apa, tip Y pentru impuritati cu  diametrul nominal de 100mm;
· un robinet de golire cu diametrul nominal de 15mm.</t>
  </si>
  <si>
    <t>Teava din polietilena  tip PEHD Pn10, cu mufe si garnituri din elastomeri inclusiv coturile, ramificatiile, etc cu diametru:
PEHD D50</t>
  </si>
  <si>
    <t>Teava din polietilena  tip PEHD Pn10, cu mufe si garnituri din elastomeri inclusiv coturile, ramificatiile, etc cu diametru:
PEHD D90</t>
  </si>
  <si>
    <t>Teava din polietilena  tip PEHD Pn10, cu mufe si garnituri din elastomeri inclusiv coturile, ramificatiile, etc cu diametru:
PEHD D110</t>
  </si>
  <si>
    <t>Piesa etansa de trecere prin pereti ∅50mm</t>
  </si>
  <si>
    <t>Piesa etansa de trecere prin pereti ∅90mm</t>
  </si>
  <si>
    <t>Piesa etansa de trecere prin pereti ∅110mm</t>
  </si>
  <si>
    <t>Piesa etansa de trecere prin pereti ∅200mm</t>
  </si>
  <si>
    <t>Piesa etansa de trecere prin pereti ∅250mm</t>
  </si>
  <si>
    <t xml:space="preserve">Separator de hidrocarburi cu portanta propie, deznisipator si separator coalescent  
Debit [l/s]:20
Inaltime [mm]: 2515
Diametru [mm]: 1800
Diametru teava intrare/iesire [mm]: 200                    </t>
  </si>
  <si>
    <t>Efectuare probe etanseitate si functionare conducte de canalizare si alimentare cu apa</t>
  </si>
  <si>
    <t>IS10</t>
  </si>
  <si>
    <t xml:space="preserve">GRUP POMPARE APA PLUVIALA </t>
  </si>
  <si>
    <t>Pompa apa pluviala  cu montaj umed  (1A);
-Debit: 10.8 m³/h pe pompa ;
-Inaltime de pompare: 8.00 m pe pompa;
-Inclusiv tablou electric si de automatizare complet echipat;
-Sistem complet de detectare a nivelului apei dotat cu senzori de nivel;
-material marunt, de etansare, de fixare.</t>
  </si>
  <si>
    <t>Grup  Pompare apa pluviala formata din doua pompe montaj umed  (1A+1R);
-Debit: 36 m³/h pe pompa ;
-Inaltime de pompare:8.00 m pe pompa;
-Inclusiv tablou electric si de automatizare complet echipat;
-Sistem complet de detectare a nivelului apei dotat cu senzori de nivel;
-material marunt, de etansare, de fixare.</t>
  </si>
  <si>
    <t>Grup  Pompare apa pluviala formata din doua pompe montaj umed  (1A+1R);
-Debit: 36 m³/h pe pompa ;
-Inaltime de pompare:15.00 m pe pompa;
-Inclusiv tablou electric si de automatizare complet echipat;
-Sistem complet de detectare a nivelului apei dotat cu senzori de nivel;
-material marunt, de etansare, de fixare.</t>
  </si>
  <si>
    <t>Grup  Pompare apa pluviala formata din doua pompe  montaj uscat  (1A+1R);
-Debit: 36 m³/h pe pompa ;
-Inaltime de pompare:15.00 m pe pompa;
-Inclusiv tablou electric si de automatizare complet echipat;
-Sistem complet de detectare a nivelului apei dotat cu senzori de nivel;
-material marunt, de etansare, de fixare.</t>
  </si>
  <si>
    <t>Conducta tip PEHD  D50 sub presiune, pentru evacuare ape uzate menajere de la bazinul de retentie</t>
  </si>
  <si>
    <t>Conducta tip PEHD  D90 sub presiune, pentru evacuare ape uzate menajere de la bazinul de retentie</t>
  </si>
  <si>
    <t>Conducta tip PEHD  D110 sub presiune, pentru evacuare ape uzate menajere de la bazinul de retentie</t>
  </si>
  <si>
    <t>Izolatii termice la conducte cu cauciuc sintetic cu celule inchise (elastomer) cu bariera de vapori ridicata tip ARMAFLEX, pt. teava cu diametrul nominal:
Ø110 mm grosime 19mm</t>
  </si>
  <si>
    <t>Robinet fluture de trecere ; cu mufe filetate, material marunt de etansare: Dn40</t>
  </si>
  <si>
    <t>Robinet fluture de trecere ; cu mufe filetate, material marunt de etansare: Dn80</t>
  </si>
  <si>
    <t>Robinet fluture de trecere ; cu mufe filetate, material marunt de etansare: de etansare Dn110</t>
  </si>
  <si>
    <t>Clapeta de sens; cu mufe filetate, pentru montaj aparent; material marunt de etansare Dn40</t>
  </si>
  <si>
    <t>Clapeta de sens; cu mufe filetate, pentru montaj aparent; material marunt de etansare Dn80</t>
  </si>
  <si>
    <t>Clapeta de sens; cu mufe filetate, pentru montaj aparent; material marunt de etansare Dn100</t>
  </si>
  <si>
    <t>Sorb pentru aspiratie cu mufe filetate, pentru montaj aparent; material marunt de etansare
 Dn80</t>
  </si>
  <si>
    <t>Probe de presiune si etanseitate, proba la functionare si punere in  functiune instalatie grup pompare apa pluviala</t>
  </si>
  <si>
    <t>IS11</t>
  </si>
  <si>
    <t>GOSPODARIE DE APA MENAJERA</t>
  </si>
  <si>
    <t>Grup de pompare apa rece cu turatie variabila pentru consum menajer cu urmatoarele caracteristici: Q= 6.6l/s. H= 75mCA. 
Grupul de pompare cu turatie variabila este echipat cu: 
-2 electropompe centrifuge cu ax vertical (1A+1R)montate pe placa de baza;
-colector de aspiratie si colector de refulare;
-vane de trecere cu sfera; 
-deconectarea fara socuri de oprire a pompei de baza la Q = 0 prin regulator PID adaptiv
-supape de sens si cu manometre pentru fiecare pompa; 
-rezervor sub presiune de 8 l cu membranã; 
-Alimentarea: 3~400V/50Hz 
-Gradul de protectie a grupului:  IP 55.</t>
  </si>
  <si>
    <t>Recipient hidrofor vertical cu membrana interschimbabila din cauciuc natural cu urmatoarele caracteristici:
-capacitate:1000 L;
-presiune maxima:10 bar;
-dimensiuni:=800 mm,H=2180mm;
-racord:1 1/4'';</t>
  </si>
  <si>
    <t>Rezervor apa potabila :
Rezervor din polietilena pentru apa potabila:
- Capacitate: 5000 litri;
- Greutate 101,5 kg;
- Ø x h = 1790 x 2210;
- Montaj vertical;</t>
  </si>
  <si>
    <t>Robinet fluture de trecere ; cu mufe filetate, material marunt de etansare: Dn50</t>
  </si>
  <si>
    <t>Robinet fluture de trecere ; cu mufe filetate, material marunt de etansare: de etansare:Dn100</t>
  </si>
  <si>
    <t>Robinet de golire, cu mufe filetate, pentru montaj aparent; material marunt de etansare Dn20</t>
  </si>
  <si>
    <t>Supapa de siguranta montata pe vasul de expansiune  1 1/4"</t>
  </si>
  <si>
    <t>Racord antivibrant cu mufe filetate, pentru montaj aparent; material marunt de etansare
Dn100</t>
  </si>
  <si>
    <t>Robinet cu plutitor cu mufe filetate, pentru montaj aparent; material marunt de etansare
 Dn50</t>
  </si>
  <si>
    <t>Sorb pentru aspiratie cu mufe filetate, pentru montaj aparent; material marunt de etansare
 Dn50</t>
  </si>
  <si>
    <t>Electrovana cu arc actionata electric umplere rezervor de apa Dn100</t>
  </si>
  <si>
    <t>Filtru de impuritati "Y" din fonta prevazut cu sita de otel incorporata, dop de scurgere   Pn=10atm, cu contraflanse, garnituri, suruburi, piulite, saibe, material marunt, piese speciale de adaptare la conducta
Dn100</t>
  </si>
  <si>
    <t>Contor de apa rece, cu contraflanse, garnituri, suruburi, piulite, saibe, material marunt, piese speciale de adaptare la conducta
Dn80</t>
  </si>
  <si>
    <t>Filtre de sedimente autocuratitor, cu mufe filetate, purjor, cartus lavabil, pentru montaj aparent; material marunt de etansare Dn100</t>
  </si>
  <si>
    <t>Manometru, Pn 0-16 bar, racord ½”;stut cu robinet de control</t>
  </si>
  <si>
    <t xml:space="preserve">Distribuitor apa rece  din otel complet echipat, sistem complet de suporti sustinere din otel zincat                                                         
DxL: 150x1500mm;                                            </t>
  </si>
  <si>
    <t xml:space="preserve">Indicator de nivel </t>
  </si>
  <si>
    <t>Sistem automatizare complet echipat pentru detectarea nivelului din rezervor format din senzori de nivel, conform schemei de functionare;</t>
  </si>
  <si>
    <t>Tablou de automatizare gup pompare menajer</t>
  </si>
  <si>
    <t xml:space="preserve">Probe de presiune si etanseitate, probe la functionare si punere in  functiune instalatie grup pompare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</si>
</sst>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 [$€-1]"/>
    <numFmt numFmtId="165" formatCode="_(* #,##0_);_(* \(#,##0\);_(* &quot;-&quot;??_);_(@_)"/>
  </numFmts>
  <fonts count="17" x14ac:knownFonts="1">
    <font>
      <sz val="11"/>
      <color theme="1"/>
      <name val="Calibri"/>
      <family val="2"/>
      <scheme val="minor"/>
    </font>
    <font>
      <sz val="11"/>
      <color theme="1"/>
      <name val="Calibri"/>
      <family val="2"/>
      <scheme val="minor"/>
    </font>
    <font>
      <b/>
      <sz val="10"/>
      <name val="Arial Narrow"/>
      <family val="2"/>
    </font>
    <font>
      <sz val="10"/>
      <color rgb="FF000000"/>
      <name val="Arial Narrow"/>
      <family val="2"/>
    </font>
    <font>
      <b/>
      <sz val="14"/>
      <name val="Arial Narrow"/>
      <family val="2"/>
    </font>
    <font>
      <b/>
      <sz val="10"/>
      <color rgb="FF000000"/>
      <name val="Arial Narrow"/>
      <family val="2"/>
    </font>
    <font>
      <b/>
      <sz val="10"/>
      <color theme="1"/>
      <name val="Arial Narrow"/>
      <family val="2"/>
    </font>
    <font>
      <sz val="10"/>
      <name val="Arial Narrow"/>
      <family val="2"/>
    </font>
    <font>
      <sz val="10"/>
      <color rgb="FFFF0000"/>
      <name val="Arial Narrow"/>
      <family val="2"/>
    </font>
    <font>
      <sz val="11"/>
      <color indexed="8"/>
      <name val="Arial"/>
      <family val="2"/>
      <charset val="238"/>
    </font>
    <font>
      <sz val="12"/>
      <name val="Arial"/>
      <family val="2"/>
    </font>
    <font>
      <sz val="11"/>
      <color rgb="FFFF0000"/>
      <name val="Arial"/>
      <family val="2"/>
    </font>
    <font>
      <sz val="11"/>
      <name val="Arial"/>
      <family val="2"/>
    </font>
    <font>
      <sz val="10"/>
      <color theme="1"/>
      <name val="Arial Narrow"/>
      <family val="2"/>
    </font>
    <font>
      <b/>
      <sz val="14"/>
      <color rgb="FF000000"/>
      <name val="Arial Narrow"/>
      <family val="2"/>
    </font>
    <font>
      <sz val="10"/>
      <color rgb="FF0070C0"/>
      <name val="Arial Narrow"/>
      <family val="2"/>
    </font>
    <font>
      <b/>
      <sz val="12"/>
      <color theme="0"/>
      <name val="Arial Narrow"/>
      <family val="2"/>
    </font>
  </fonts>
  <fills count="9">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bgColor indexed="64"/>
      </patternFill>
    </fill>
  </fills>
  <borders count="17">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top/>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6">
    <xf numFmtId="0" fontId="0" fillId="0" borderId="0"/>
    <xf numFmtId="0" fontId="1" fillId="0" borderId="0"/>
    <xf numFmtId="0" fontId="3" fillId="0" borderId="0">
      <alignment wrapText="1"/>
    </xf>
    <xf numFmtId="43" fontId="3" fillId="0" borderId="0" applyFont="0" applyFill="0" applyBorder="0" applyAlignment="0" applyProtection="0"/>
    <xf numFmtId="0" fontId="9" fillId="0" borderId="0"/>
    <xf numFmtId="0" fontId="1" fillId="0" borderId="0"/>
  </cellStyleXfs>
  <cellXfs count="121">
    <xf numFmtId="0" fontId="0" fillId="0" borderId="0" xfId="0"/>
    <xf numFmtId="0" fontId="3" fillId="0" borderId="0" xfId="2" applyFont="1" applyAlignment="1">
      <alignment horizontal="center" wrapText="1"/>
    </xf>
    <xf numFmtId="0" fontId="3" fillId="0" borderId="0" xfId="2" applyFont="1">
      <alignment wrapText="1"/>
    </xf>
    <xf numFmtId="0" fontId="4" fillId="2" borderId="2" xfId="1" applyFont="1" applyFill="1" applyBorder="1" applyAlignment="1">
      <alignment vertical="center"/>
    </xf>
    <xf numFmtId="0" fontId="3" fillId="2" borderId="2" xfId="2" applyFont="1" applyFill="1" applyBorder="1" applyAlignment="1">
      <alignment horizontal="center" wrapText="1"/>
    </xf>
    <xf numFmtId="0" fontId="3" fillId="2" borderId="2" xfId="2" applyFont="1" applyFill="1" applyBorder="1">
      <alignment wrapText="1"/>
    </xf>
    <xf numFmtId="0" fontId="2" fillId="3" borderId="2" xfId="1" applyFont="1" applyFill="1" applyBorder="1" applyAlignment="1">
      <alignment vertical="center"/>
    </xf>
    <xf numFmtId="0" fontId="2" fillId="3" borderId="2" xfId="1" applyFont="1" applyFill="1" applyBorder="1" applyAlignment="1">
      <alignment horizontal="center" vertical="center"/>
    </xf>
    <xf numFmtId="1" fontId="2" fillId="3" borderId="2" xfId="1" applyNumberFormat="1" applyFont="1" applyFill="1" applyBorder="1" applyAlignment="1">
      <alignment vertical="center"/>
    </xf>
    <xf numFmtId="0" fontId="2" fillId="4" borderId="2" xfId="1" applyFont="1" applyFill="1" applyBorder="1" applyAlignment="1">
      <alignment vertical="center"/>
    </xf>
    <xf numFmtId="0" fontId="2" fillId="0" borderId="2" xfId="1" applyFont="1" applyBorder="1" applyAlignment="1">
      <alignment horizontal="center" vertical="center"/>
    </xf>
    <xf numFmtId="1" fontId="2" fillId="0" borderId="2" xfId="1" applyNumberFormat="1" applyFont="1" applyBorder="1" applyAlignment="1">
      <alignment horizontal="center" vertical="center" wrapText="1"/>
    </xf>
    <xf numFmtId="0" fontId="5" fillId="0" borderId="2" xfId="2" applyFont="1" applyBorder="1" applyAlignment="1">
      <alignment horizontal="center" vertical="center" wrapText="1"/>
    </xf>
    <xf numFmtId="0" fontId="6" fillId="0" borderId="2" xfId="2" applyFont="1" applyBorder="1" applyAlignment="1">
      <alignment horizontal="center" vertical="center" wrapText="1"/>
    </xf>
    <xf numFmtId="0" fontId="5" fillId="0" borderId="2" xfId="2" applyFont="1" applyBorder="1" applyAlignment="1">
      <alignment horizontal="center" vertical="center"/>
    </xf>
    <xf numFmtId="0" fontId="6" fillId="0" borderId="2" xfId="2" applyFont="1" applyBorder="1" applyAlignment="1">
      <alignment horizontal="center" vertical="center"/>
    </xf>
    <xf numFmtId="0" fontId="2" fillId="5" borderId="2" xfId="1" applyFont="1" applyFill="1" applyBorder="1" applyAlignment="1">
      <alignment horizontal="center" vertical="center"/>
    </xf>
    <xf numFmtId="0" fontId="2" fillId="5" borderId="2" xfId="1" applyFont="1" applyFill="1" applyBorder="1" applyAlignment="1">
      <alignment horizontal="center" vertical="center" wrapText="1"/>
    </xf>
    <xf numFmtId="0" fontId="7" fillId="5" borderId="2" xfId="1" applyFont="1" applyFill="1" applyBorder="1" applyAlignment="1">
      <alignment horizontal="center" vertical="center" wrapText="1"/>
    </xf>
    <xf numFmtId="0" fontId="7" fillId="5" borderId="2" xfId="2" applyFont="1" applyFill="1" applyBorder="1" applyAlignment="1">
      <alignment horizontal="center" wrapText="1"/>
    </xf>
    <xf numFmtId="0" fontId="3" fillId="5" borderId="2" xfId="2" applyFont="1" applyFill="1" applyBorder="1">
      <alignment wrapText="1"/>
    </xf>
    <xf numFmtId="0" fontId="7" fillId="4" borderId="2" xfId="2" applyFont="1" applyFill="1" applyBorder="1" applyAlignment="1">
      <alignment horizontal="center" vertical="center" wrapText="1"/>
    </xf>
    <xf numFmtId="0" fontId="7" fillId="4" borderId="2" xfId="2" applyFont="1" applyFill="1" applyBorder="1" applyAlignment="1">
      <alignment horizontal="left" vertical="center" wrapText="1"/>
    </xf>
    <xf numFmtId="165" fontId="2" fillId="0" borderId="2" xfId="3" applyNumberFormat="1" applyFont="1" applyBorder="1" applyAlignment="1">
      <alignment horizontal="center" vertical="center" wrapText="1"/>
    </xf>
    <xf numFmtId="164" fontId="7" fillId="4" borderId="2" xfId="4" applyNumberFormat="1" applyFont="1" applyFill="1" applyBorder="1" applyAlignment="1">
      <alignment vertical="center"/>
    </xf>
    <xf numFmtId="164" fontId="3" fillId="0" borderId="2" xfId="2" applyNumberFormat="1" applyFont="1" applyBorder="1" applyAlignment="1">
      <alignment vertical="center" wrapText="1"/>
    </xf>
    <xf numFmtId="165" fontId="2" fillId="4" borderId="2" xfId="3" applyNumberFormat="1" applyFont="1" applyFill="1" applyBorder="1" applyAlignment="1">
      <alignment horizontal="center" vertical="center" wrapText="1"/>
    </xf>
    <xf numFmtId="0" fontId="7" fillId="4" borderId="2" xfId="2" applyFont="1" applyFill="1" applyBorder="1" applyAlignment="1">
      <alignment horizontal="left" vertical="top" wrapText="1"/>
    </xf>
    <xf numFmtId="0" fontId="3" fillId="4" borderId="0" xfId="2" applyFont="1" applyFill="1">
      <alignment wrapText="1"/>
    </xf>
    <xf numFmtId="0" fontId="7" fillId="0" borderId="2" xfId="2" applyFont="1" applyBorder="1" applyAlignment="1">
      <alignment horizontal="justify" vertical="center"/>
    </xf>
    <xf numFmtId="0" fontId="7" fillId="0" borderId="2" xfId="2" applyFont="1" applyBorder="1" applyAlignment="1">
      <alignment horizontal="center" vertical="center"/>
    </xf>
    <xf numFmtId="0" fontId="2" fillId="5" borderId="2" xfId="2" applyFont="1" applyFill="1" applyBorder="1" applyAlignment="1">
      <alignment horizontal="center" vertical="center" wrapText="1"/>
    </xf>
    <xf numFmtId="0" fontId="7" fillId="5" borderId="2" xfId="2" applyFont="1" applyFill="1" applyBorder="1" applyAlignment="1">
      <alignment horizontal="center" vertical="center"/>
    </xf>
    <xf numFmtId="165" fontId="2" fillId="5" borderId="2" xfId="3" applyNumberFormat="1" applyFont="1" applyFill="1" applyBorder="1" applyAlignment="1">
      <alignment horizontal="center" vertical="center" wrapText="1"/>
    </xf>
    <xf numFmtId="0" fontId="7" fillId="0" borderId="2" xfId="2" applyFont="1" applyBorder="1" applyAlignment="1">
      <alignment horizontal="left" vertical="center" wrapText="1"/>
    </xf>
    <xf numFmtId="0" fontId="7" fillId="0" borderId="2" xfId="2" applyFont="1" applyBorder="1" applyAlignment="1">
      <alignment horizontal="center" vertical="center" wrapText="1"/>
    </xf>
    <xf numFmtId="0" fontId="7" fillId="6" borderId="2" xfId="2" applyFont="1" applyFill="1" applyBorder="1" applyAlignment="1">
      <alignment horizontal="center" vertical="center" wrapText="1"/>
    </xf>
    <xf numFmtId="0" fontId="7" fillId="6" borderId="2" xfId="2" applyFont="1" applyFill="1" applyBorder="1" applyAlignment="1">
      <alignment horizontal="left" vertical="center" wrapText="1"/>
    </xf>
    <xf numFmtId="165" fontId="2" fillId="6" borderId="2" xfId="3" applyNumberFormat="1" applyFont="1" applyFill="1" applyBorder="1" applyAlignment="1">
      <alignment horizontal="center" vertical="center" wrapText="1"/>
    </xf>
    <xf numFmtId="164" fontId="7" fillId="6" borderId="2" xfId="4" applyNumberFormat="1" applyFont="1" applyFill="1" applyBorder="1" applyAlignment="1">
      <alignment vertical="center"/>
    </xf>
    <xf numFmtId="0" fontId="7" fillId="0" borderId="2" xfId="2" applyFont="1" applyBorder="1" applyAlignment="1">
      <alignment vertical="center" wrapText="1"/>
    </xf>
    <xf numFmtId="0" fontId="3" fillId="0" borderId="2" xfId="2" applyFont="1" applyBorder="1" applyAlignment="1">
      <alignment horizontal="center" wrapText="1"/>
    </xf>
    <xf numFmtId="0" fontId="3" fillId="6" borderId="2" xfId="2" applyFont="1" applyFill="1" applyBorder="1" applyAlignment="1">
      <alignment horizontal="center" wrapText="1"/>
    </xf>
    <xf numFmtId="0" fontId="3" fillId="4" borderId="2" xfId="2" applyFont="1" applyFill="1" applyBorder="1" applyAlignment="1">
      <alignment horizontal="center" wrapText="1"/>
    </xf>
    <xf numFmtId="0" fontId="3" fillId="0" borderId="2" xfId="2" applyFont="1" applyBorder="1" applyAlignment="1">
      <alignment vertical="center" wrapText="1"/>
    </xf>
    <xf numFmtId="0" fontId="3" fillId="0" borderId="2" xfId="2" applyFont="1" applyBorder="1" applyAlignment="1">
      <alignment horizontal="center" vertical="center" wrapText="1"/>
    </xf>
    <xf numFmtId="0" fontId="3" fillId="0" borderId="2" xfId="2" applyFont="1" applyBorder="1">
      <alignment wrapText="1"/>
    </xf>
    <xf numFmtId="0" fontId="3" fillId="4" borderId="2" xfId="2" applyFill="1" applyBorder="1" applyAlignment="1">
      <alignment horizontal="center" vertical="center" wrapText="1"/>
    </xf>
    <xf numFmtId="1" fontId="2" fillId="3" borderId="2" xfId="1" applyNumberFormat="1" applyFont="1" applyFill="1" applyBorder="1" applyAlignment="1">
      <alignment horizontal="center" vertical="center"/>
    </xf>
    <xf numFmtId="0" fontId="3" fillId="4" borderId="2" xfId="2" applyFont="1" applyFill="1" applyBorder="1" applyAlignment="1">
      <alignment horizontal="center" vertical="center" wrapText="1"/>
    </xf>
    <xf numFmtId="0" fontId="3" fillId="4" borderId="0" xfId="2" applyFont="1" applyFill="1" applyAlignment="1">
      <alignment vertical="center" wrapText="1"/>
    </xf>
    <xf numFmtId="0" fontId="3" fillId="0" borderId="2" xfId="2" applyBorder="1" applyAlignment="1">
      <alignment horizontal="center" vertical="center" wrapText="1"/>
    </xf>
    <xf numFmtId="165" fontId="2" fillId="0" borderId="2" xfId="3" applyNumberFormat="1" applyFont="1" applyBorder="1" applyAlignment="1">
      <alignment vertical="center" wrapText="1"/>
    </xf>
    <xf numFmtId="0" fontId="7" fillId="4" borderId="2" xfId="2" applyFont="1" applyFill="1" applyBorder="1" applyAlignment="1">
      <alignment vertical="center" wrapText="1"/>
    </xf>
    <xf numFmtId="0" fontId="2" fillId="5" borderId="2" xfId="1" applyFont="1" applyFill="1" applyBorder="1" applyAlignment="1">
      <alignment horizontal="left" vertical="center" wrapText="1"/>
    </xf>
    <xf numFmtId="0" fontId="3" fillId="0" borderId="0" xfId="2" applyFont="1" applyAlignment="1">
      <alignment vertical="center" wrapText="1"/>
    </xf>
    <xf numFmtId="0" fontId="3" fillId="0" borderId="0" xfId="2" applyFont="1" applyAlignment="1">
      <alignment horizontal="center" vertical="center" wrapText="1"/>
    </xf>
    <xf numFmtId="0" fontId="6" fillId="0" borderId="0" xfId="1" applyFont="1" applyAlignment="1">
      <alignment horizontal="center" vertical="center" wrapText="1"/>
    </xf>
    <xf numFmtId="0" fontId="13" fillId="0" borderId="0" xfId="1" applyFont="1" applyAlignment="1">
      <alignment vertical="center"/>
    </xf>
    <xf numFmtId="0" fontId="13" fillId="2" borderId="3" xfId="1" applyFont="1" applyFill="1" applyBorder="1" applyAlignment="1">
      <alignment vertical="center"/>
    </xf>
    <xf numFmtId="0" fontId="14" fillId="2" borderId="3" xfId="2" applyFont="1" applyFill="1" applyBorder="1" applyAlignment="1">
      <alignment horizontal="center" vertical="center" wrapText="1"/>
    </xf>
    <xf numFmtId="0" fontId="14" fillId="2" borderId="4" xfId="2" applyFont="1" applyFill="1" applyBorder="1" applyAlignment="1">
      <alignment vertical="center" wrapText="1"/>
    </xf>
    <xf numFmtId="0" fontId="2" fillId="2" borderId="4" xfId="1" applyFont="1" applyFill="1" applyBorder="1" applyAlignment="1">
      <alignment vertical="center"/>
    </xf>
    <xf numFmtId="0" fontId="13" fillId="2" borderId="4" xfId="1" applyFont="1" applyFill="1" applyBorder="1" applyAlignment="1">
      <alignment vertical="center"/>
    </xf>
    <xf numFmtId="164" fontId="13" fillId="2" borderId="4" xfId="1" applyNumberFormat="1" applyFont="1" applyFill="1" applyBorder="1" applyAlignment="1">
      <alignment vertical="center"/>
    </xf>
    <xf numFmtId="0" fontId="2" fillId="4" borderId="5" xfId="1" applyFont="1" applyFill="1" applyBorder="1" applyAlignment="1">
      <alignment vertical="center"/>
    </xf>
    <xf numFmtId="0" fontId="2" fillId="0" borderId="6" xfId="1" applyFont="1" applyBorder="1" applyAlignment="1">
      <alignment horizontal="center" vertical="center"/>
    </xf>
    <xf numFmtId="0" fontId="5" fillId="0" borderId="6" xfId="2" applyFont="1" applyBorder="1" applyAlignment="1">
      <alignment horizontal="center" vertical="center" wrapText="1"/>
    </xf>
    <xf numFmtId="0" fontId="2" fillId="0" borderId="6" xfId="2" applyFont="1" applyBorder="1" applyAlignment="1">
      <alignment horizontal="center" vertical="center" wrapText="1"/>
    </xf>
    <xf numFmtId="0" fontId="6" fillId="0" borderId="6" xfId="2" applyFont="1" applyBorder="1" applyAlignment="1">
      <alignment horizontal="center" vertical="center" wrapText="1"/>
    </xf>
    <xf numFmtId="0" fontId="2" fillId="0" borderId="2" xfId="2" applyFont="1" applyBorder="1" applyAlignment="1">
      <alignment horizontal="center" vertical="center" wrapText="1"/>
    </xf>
    <xf numFmtId="0" fontId="2" fillId="4" borderId="0" xfId="1" applyFont="1" applyFill="1" applyAlignment="1">
      <alignment vertical="center"/>
    </xf>
    <xf numFmtId="0" fontId="2" fillId="5" borderId="7" xfId="1" applyFont="1" applyFill="1" applyBorder="1" applyAlignment="1">
      <alignment horizontal="center" vertical="center" wrapText="1"/>
    </xf>
    <xf numFmtId="0" fontId="2" fillId="5" borderId="2" xfId="1" applyFont="1" applyFill="1" applyBorder="1" applyAlignment="1">
      <alignment vertical="center"/>
    </xf>
    <xf numFmtId="0" fontId="13" fillId="5" borderId="2" xfId="1" applyFont="1" applyFill="1" applyBorder="1" applyAlignment="1">
      <alignment vertical="center"/>
    </xf>
    <xf numFmtId="0" fontId="7" fillId="4" borderId="8" xfId="2" applyFont="1" applyFill="1" applyBorder="1" applyAlignment="1">
      <alignment horizontal="center" vertical="center" wrapText="1"/>
    </xf>
    <xf numFmtId="1" fontId="2" fillId="0" borderId="2" xfId="2" applyNumberFormat="1" applyFont="1" applyBorder="1" applyAlignment="1">
      <alignment horizontal="center" vertical="center" wrapText="1"/>
    </xf>
    <xf numFmtId="164" fontId="7" fillId="0" borderId="2" xfId="1" applyNumberFormat="1" applyFont="1" applyBorder="1" applyAlignment="1">
      <alignment vertical="center"/>
    </xf>
    <xf numFmtId="0" fontId="7" fillId="0" borderId="0" xfId="1" applyFont="1" applyAlignment="1">
      <alignment vertical="center"/>
    </xf>
    <xf numFmtId="0" fontId="15" fillId="0" borderId="0" xfId="1" applyFont="1" applyAlignment="1">
      <alignment vertical="center"/>
    </xf>
    <xf numFmtId="0" fontId="7" fillId="4" borderId="9" xfId="2" applyFont="1" applyFill="1" applyBorder="1" applyAlignment="1">
      <alignment horizontal="center" vertical="center" wrapText="1"/>
    </xf>
    <xf numFmtId="0" fontId="7" fillId="4" borderId="10" xfId="2" applyFont="1" applyFill="1" applyBorder="1" applyAlignment="1">
      <alignment horizontal="center" vertical="center" wrapText="1"/>
    </xf>
    <xf numFmtId="0" fontId="7" fillId="5" borderId="7" xfId="2" applyFont="1" applyFill="1" applyBorder="1" applyAlignment="1">
      <alignment horizontal="center" vertical="center" wrapText="1"/>
    </xf>
    <xf numFmtId="0" fontId="7" fillId="6" borderId="8" xfId="2" applyFont="1" applyFill="1" applyBorder="1" applyAlignment="1">
      <alignment horizontal="center" vertical="center" wrapText="1"/>
    </xf>
    <xf numFmtId="0" fontId="15" fillId="4" borderId="0" xfId="1" applyFont="1" applyFill="1" applyAlignment="1">
      <alignment vertical="center"/>
    </xf>
    <xf numFmtId="0" fontId="2" fillId="0" borderId="2" xfId="1" applyFont="1" applyBorder="1" applyAlignment="1">
      <alignment vertical="center"/>
    </xf>
    <xf numFmtId="0" fontId="7" fillId="0" borderId="0" xfId="2" applyFont="1" applyAlignment="1">
      <alignment horizontal="center" vertical="center"/>
    </xf>
    <xf numFmtId="0" fontId="13" fillId="4" borderId="0" xfId="1" applyFont="1" applyFill="1" applyAlignment="1">
      <alignment vertical="center"/>
    </xf>
    <xf numFmtId="0" fontId="7" fillId="0" borderId="8" xfId="2" applyFont="1" applyBorder="1" applyAlignment="1">
      <alignment horizontal="center" vertical="center" wrapText="1"/>
    </xf>
    <xf numFmtId="0" fontId="7" fillId="0" borderId="9" xfId="2" applyFont="1" applyBorder="1" applyAlignment="1">
      <alignment horizontal="center" vertical="center" wrapText="1"/>
    </xf>
    <xf numFmtId="0" fontId="7" fillId="0" borderId="10" xfId="2" applyFont="1" applyBorder="1" applyAlignment="1">
      <alignment horizontal="center" vertical="center" wrapText="1"/>
    </xf>
    <xf numFmtId="0" fontId="2" fillId="0" borderId="2" xfId="1" applyFont="1" applyBorder="1" applyAlignment="1">
      <alignment horizontal="center" vertical="center" wrapText="1"/>
    </xf>
    <xf numFmtId="1" fontId="2" fillId="0" borderId="2" xfId="1" applyNumberFormat="1" applyFont="1" applyBorder="1" applyAlignment="1">
      <alignment vertical="center"/>
    </xf>
    <xf numFmtId="0" fontId="7" fillId="5" borderId="2" xfId="2" applyFont="1" applyFill="1" applyBorder="1" applyAlignment="1">
      <alignment horizontal="center"/>
    </xf>
    <xf numFmtId="1" fontId="2" fillId="5" borderId="2" xfId="1" applyNumberFormat="1" applyFont="1" applyFill="1" applyBorder="1" applyAlignment="1">
      <alignment vertical="center"/>
    </xf>
    <xf numFmtId="0" fontId="2" fillId="4" borderId="2" xfId="2" applyFont="1" applyFill="1" applyBorder="1" applyAlignment="1">
      <alignment horizontal="left" vertical="center" wrapText="1"/>
    </xf>
    <xf numFmtId="0" fontId="7" fillId="5" borderId="2" xfId="2" applyFont="1" applyFill="1" applyBorder="1" applyAlignment="1">
      <alignment horizontal="center" vertical="center" wrapText="1"/>
    </xf>
    <xf numFmtId="0" fontId="7" fillId="0" borderId="8" xfId="2" applyFont="1" applyBorder="1" applyAlignment="1">
      <alignment horizontal="left" vertical="center" wrapText="1"/>
    </xf>
    <xf numFmtId="0" fontId="7" fillId="6" borderId="8" xfId="2" applyFont="1" applyFill="1" applyBorder="1" applyAlignment="1">
      <alignment horizontal="left" vertical="center" wrapText="1"/>
    </xf>
    <xf numFmtId="0" fontId="7" fillId="4" borderId="8" xfId="2" applyFont="1" applyFill="1" applyBorder="1" applyAlignment="1">
      <alignment horizontal="left" vertical="center" wrapText="1"/>
    </xf>
    <xf numFmtId="0" fontId="7" fillId="0" borderId="9" xfId="2" applyFont="1" applyBorder="1" applyAlignment="1">
      <alignment horizontal="left" vertical="center" wrapText="1"/>
    </xf>
    <xf numFmtId="0" fontId="12" fillId="4" borderId="0" xfId="5" applyFont="1" applyFill="1" applyAlignment="1">
      <alignment horizontal="center" vertical="center" wrapText="1"/>
    </xf>
    <xf numFmtId="0" fontId="7" fillId="8" borderId="7" xfId="2" applyFont="1" applyFill="1" applyBorder="1" applyAlignment="1">
      <alignment horizontal="center" vertical="center" wrapText="1"/>
    </xf>
    <xf numFmtId="0" fontId="16" fillId="8" borderId="2" xfId="1" applyFont="1" applyFill="1" applyBorder="1" applyAlignment="1">
      <alignment horizontal="center" vertical="center" wrapText="1"/>
    </xf>
    <xf numFmtId="0" fontId="7" fillId="8" borderId="2" xfId="2" applyFont="1" applyFill="1" applyBorder="1" applyAlignment="1">
      <alignment horizontal="center"/>
    </xf>
    <xf numFmtId="1" fontId="2" fillId="8" borderId="2" xfId="1" applyNumberFormat="1" applyFont="1" applyFill="1" applyBorder="1" applyAlignment="1">
      <alignment vertical="center"/>
    </xf>
    <xf numFmtId="0" fontId="7" fillId="8" borderId="2" xfId="2" applyFont="1" applyFill="1" applyBorder="1" applyAlignment="1">
      <alignment horizontal="center" vertical="center" wrapText="1"/>
    </xf>
    <xf numFmtId="0" fontId="7" fillId="8" borderId="11" xfId="1" applyFont="1" applyFill="1" applyBorder="1" applyAlignment="1">
      <alignment horizontal="center" vertical="center" wrapText="1"/>
    </xf>
    <xf numFmtId="0" fontId="2" fillId="8" borderId="2" xfId="1" applyFont="1" applyFill="1" applyBorder="1" applyAlignment="1">
      <alignment horizontal="center" vertical="center" wrapText="1"/>
    </xf>
    <xf numFmtId="0" fontId="7" fillId="0" borderId="12" xfId="2" applyFont="1" applyBorder="1" applyAlignment="1">
      <alignment horizontal="center" vertical="center" wrapText="1"/>
    </xf>
    <xf numFmtId="0" fontId="7" fillId="4" borderId="12" xfId="2" applyFont="1" applyFill="1" applyBorder="1" applyAlignment="1">
      <alignment horizontal="center" vertical="center" wrapText="1"/>
    </xf>
    <xf numFmtId="0" fontId="7" fillId="0" borderId="13" xfId="2" applyFont="1" applyBorder="1" applyAlignment="1">
      <alignment horizontal="center" vertical="center" wrapText="1"/>
    </xf>
    <xf numFmtId="0" fontId="7" fillId="8" borderId="14" xfId="2" applyFont="1" applyFill="1" applyBorder="1" applyAlignment="1">
      <alignment horizontal="center" vertical="center" wrapText="1"/>
    </xf>
    <xf numFmtId="0" fontId="7" fillId="0" borderId="7" xfId="2" applyFont="1" applyBorder="1" applyAlignment="1">
      <alignment horizontal="center" vertical="center" wrapText="1"/>
    </xf>
    <xf numFmtId="1" fontId="2" fillId="4" borderId="2" xfId="1" applyNumberFormat="1" applyFont="1" applyFill="1" applyBorder="1" applyAlignment="1">
      <alignment vertical="center"/>
    </xf>
    <xf numFmtId="0" fontId="7" fillId="0" borderId="1" xfId="2" applyFont="1" applyBorder="1" applyAlignment="1">
      <alignment horizontal="center" vertical="center" wrapText="1"/>
    </xf>
    <xf numFmtId="0" fontId="2" fillId="0" borderId="0" xfId="1" applyFont="1" applyAlignment="1">
      <alignment vertical="center"/>
    </xf>
    <xf numFmtId="164" fontId="7" fillId="0" borderId="16" xfId="1" applyNumberFormat="1" applyFont="1" applyBorder="1" applyAlignment="1">
      <alignment vertical="center"/>
    </xf>
    <xf numFmtId="164" fontId="13" fillId="7" borderId="15" xfId="1" applyNumberFormat="1" applyFont="1" applyFill="1" applyBorder="1" applyAlignment="1">
      <alignment vertical="center"/>
    </xf>
    <xf numFmtId="164" fontId="3" fillId="0" borderId="16" xfId="2" applyNumberFormat="1" applyFont="1" applyBorder="1" applyAlignment="1">
      <alignment vertical="center" wrapText="1"/>
    </xf>
    <xf numFmtId="164" fontId="3" fillId="7" borderId="15" xfId="2" applyNumberFormat="1" applyFont="1" applyFill="1" applyBorder="1">
      <alignment wrapText="1"/>
    </xf>
  </cellXfs>
  <cellStyles count="6">
    <cellStyle name="Comma 2" xfId="3"/>
    <cellStyle name="Normal" xfId="0" builtinId="0"/>
    <cellStyle name="Normal 2" xfId="2"/>
    <cellStyle name="Normal 2 2" xfId="4"/>
    <cellStyle name="Normal 6" xfId="1"/>
    <cellStyle name="Normal 6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3"/>
  <sheetViews>
    <sheetView tabSelected="1" workbookViewId="0">
      <selection activeCell="K250" sqref="K250"/>
    </sheetView>
  </sheetViews>
  <sheetFormatPr defaultColWidth="7.6640625" defaultRowHeight="13.8" x14ac:dyDescent="0.3"/>
  <cols>
    <col min="1" max="1" width="7.6640625" style="2"/>
    <col min="2" max="2" width="61.33203125" style="55" customWidth="1"/>
    <col min="3" max="3" width="7.44140625" style="56" customWidth="1"/>
    <col min="4" max="4" width="10.5546875" style="1" customWidth="1"/>
    <col min="5" max="5" width="9.33203125" style="2" customWidth="1"/>
    <col min="6" max="6" width="14.5546875" style="2" customWidth="1"/>
    <col min="7" max="16384" width="7.6640625" style="2"/>
  </cols>
  <sheetData>
    <row r="1" spans="1:6" ht="18" x14ac:dyDescent="0.3">
      <c r="A1" s="3"/>
      <c r="B1" s="3" t="s">
        <v>0</v>
      </c>
      <c r="C1" s="3"/>
      <c r="D1" s="4"/>
      <c r="E1" s="5"/>
      <c r="F1" s="5"/>
    </row>
    <row r="2" spans="1:6" x14ac:dyDescent="0.3">
      <c r="A2" s="6"/>
      <c r="B2" s="6"/>
      <c r="C2" s="7"/>
      <c r="D2" s="6"/>
      <c r="E2" s="6"/>
      <c r="F2" s="6"/>
    </row>
    <row r="3" spans="1:6" ht="27.6" x14ac:dyDescent="0.3">
      <c r="A3" s="9"/>
      <c r="B3" s="10" t="s">
        <v>1</v>
      </c>
      <c r="C3" s="10" t="s">
        <v>2</v>
      </c>
      <c r="D3" s="11" t="s">
        <v>3</v>
      </c>
      <c r="E3" s="12" t="s">
        <v>4</v>
      </c>
      <c r="F3" s="13" t="s">
        <v>5</v>
      </c>
    </row>
    <row r="4" spans="1:6" x14ac:dyDescent="0.3">
      <c r="A4" s="9"/>
      <c r="B4" s="10"/>
      <c r="C4" s="10"/>
      <c r="D4" s="11"/>
      <c r="E4" s="14" t="s">
        <v>6</v>
      </c>
      <c r="F4" s="15" t="s">
        <v>6</v>
      </c>
    </row>
    <row r="5" spans="1:6" x14ac:dyDescent="0.3">
      <c r="A5" s="16" t="s">
        <v>7</v>
      </c>
      <c r="B5" s="17" t="s">
        <v>8</v>
      </c>
      <c r="C5" s="18"/>
      <c r="D5" s="19"/>
      <c r="E5" s="20"/>
      <c r="F5" s="20"/>
    </row>
    <row r="6" spans="1:6" ht="60" customHeight="1" x14ac:dyDescent="0.3">
      <c r="A6" s="21">
        <v>1</v>
      </c>
      <c r="B6" s="22" t="s">
        <v>9</v>
      </c>
      <c r="C6" s="21" t="s">
        <v>10</v>
      </c>
      <c r="D6" s="23">
        <v>176662.75</v>
      </c>
      <c r="E6" s="24"/>
      <c r="F6" s="25">
        <f>D6*E6</f>
        <v>0</v>
      </c>
    </row>
    <row r="7" spans="1:6" ht="55.2" x14ac:dyDescent="0.3">
      <c r="A7" s="21">
        <f>A6+1</f>
        <v>2</v>
      </c>
      <c r="B7" s="22" t="s">
        <v>11</v>
      </c>
      <c r="C7" s="21" t="s">
        <v>10</v>
      </c>
      <c r="D7" s="23">
        <v>25625.599999999999</v>
      </c>
      <c r="E7" s="24"/>
      <c r="F7" s="25">
        <f t="shared" ref="F7:F70" si="0">D7*E7</f>
        <v>0</v>
      </c>
    </row>
    <row r="8" spans="1:6" ht="41.4" x14ac:dyDescent="0.3">
      <c r="A8" s="21">
        <f t="shared" ref="A8:A25" si="1">A7+1</f>
        <v>3</v>
      </c>
      <c r="B8" s="22" t="s">
        <v>12</v>
      </c>
      <c r="C8" s="21" t="s">
        <v>13</v>
      </c>
      <c r="D8" s="26">
        <v>18304</v>
      </c>
      <c r="E8" s="24"/>
      <c r="F8" s="25">
        <f t="shared" si="0"/>
        <v>0</v>
      </c>
    </row>
    <row r="9" spans="1:6" x14ac:dyDescent="0.3">
      <c r="A9" s="21">
        <f t="shared" si="1"/>
        <v>4</v>
      </c>
      <c r="B9" s="22" t="s">
        <v>14</v>
      </c>
      <c r="C9" s="21" t="s">
        <v>15</v>
      </c>
      <c r="D9" s="23">
        <v>4209.92</v>
      </c>
      <c r="E9" s="24"/>
      <c r="F9" s="25">
        <f t="shared" si="0"/>
        <v>0</v>
      </c>
    </row>
    <row r="10" spans="1:6" ht="41.4" x14ac:dyDescent="0.3">
      <c r="A10" s="21">
        <f t="shared" si="1"/>
        <v>5</v>
      </c>
      <c r="B10" s="22" t="s">
        <v>16</v>
      </c>
      <c r="C10" s="21" t="s">
        <v>10</v>
      </c>
      <c r="D10" s="23">
        <v>10784.356</v>
      </c>
      <c r="E10" s="24"/>
      <c r="F10" s="25">
        <f t="shared" si="0"/>
        <v>0</v>
      </c>
    </row>
    <row r="11" spans="1:6" ht="165.6" x14ac:dyDescent="0.3">
      <c r="A11" s="21">
        <f t="shared" si="1"/>
        <v>6</v>
      </c>
      <c r="B11" s="22" t="s">
        <v>17</v>
      </c>
      <c r="C11" s="21" t="s">
        <v>18</v>
      </c>
      <c r="D11" s="23">
        <v>279</v>
      </c>
      <c r="E11" s="24"/>
      <c r="F11" s="25">
        <f t="shared" si="0"/>
        <v>0</v>
      </c>
    </row>
    <row r="12" spans="1:6" ht="55.2" x14ac:dyDescent="0.3">
      <c r="A12" s="21">
        <f t="shared" si="1"/>
        <v>7</v>
      </c>
      <c r="B12" s="22" t="s">
        <v>19</v>
      </c>
      <c r="C12" s="21" t="s">
        <v>18</v>
      </c>
      <c r="D12" s="23">
        <v>1116</v>
      </c>
      <c r="E12" s="24"/>
      <c r="F12" s="25">
        <f t="shared" si="0"/>
        <v>0</v>
      </c>
    </row>
    <row r="13" spans="1:6" ht="41.4" x14ac:dyDescent="0.3">
      <c r="A13" s="21">
        <f t="shared" si="1"/>
        <v>8</v>
      </c>
      <c r="B13" s="22" t="s">
        <v>20</v>
      </c>
      <c r="C13" s="21" t="s">
        <v>18</v>
      </c>
      <c r="D13" s="23">
        <v>279</v>
      </c>
      <c r="E13" s="24"/>
      <c r="F13" s="25">
        <f t="shared" si="0"/>
        <v>0</v>
      </c>
    </row>
    <row r="14" spans="1:6" ht="69" x14ac:dyDescent="0.3">
      <c r="A14" s="21">
        <f t="shared" si="1"/>
        <v>9</v>
      </c>
      <c r="B14" s="22" t="s">
        <v>21</v>
      </c>
      <c r="C14" s="21" t="s">
        <v>18</v>
      </c>
      <c r="D14" s="23">
        <v>1030</v>
      </c>
      <c r="E14" s="24"/>
      <c r="F14" s="25">
        <f t="shared" si="0"/>
        <v>0</v>
      </c>
    </row>
    <row r="15" spans="1:6" ht="27.6" x14ac:dyDescent="0.3">
      <c r="A15" s="21">
        <f t="shared" si="1"/>
        <v>10</v>
      </c>
      <c r="B15" s="22" t="s">
        <v>22</v>
      </c>
      <c r="C15" s="21" t="s">
        <v>10</v>
      </c>
      <c r="D15" s="23">
        <v>15450</v>
      </c>
      <c r="E15" s="24"/>
      <c r="F15" s="25">
        <f t="shared" si="0"/>
        <v>0</v>
      </c>
    </row>
    <row r="16" spans="1:6" ht="81.75" customHeight="1" x14ac:dyDescent="0.3">
      <c r="A16" s="21">
        <f t="shared" si="1"/>
        <v>11</v>
      </c>
      <c r="B16" s="27" t="s">
        <v>23</v>
      </c>
      <c r="C16" s="21" t="s">
        <v>18</v>
      </c>
      <c r="D16" s="23">
        <v>18</v>
      </c>
      <c r="E16" s="24"/>
      <c r="F16" s="25">
        <f t="shared" si="0"/>
        <v>0</v>
      </c>
    </row>
    <row r="17" spans="1:6" ht="81" customHeight="1" x14ac:dyDescent="0.3">
      <c r="A17" s="21">
        <f t="shared" si="1"/>
        <v>12</v>
      </c>
      <c r="B17" s="22" t="s">
        <v>24</v>
      </c>
      <c r="C17" s="21" t="s">
        <v>18</v>
      </c>
      <c r="D17" s="23">
        <v>47</v>
      </c>
      <c r="E17" s="24"/>
      <c r="F17" s="25">
        <f t="shared" si="0"/>
        <v>0</v>
      </c>
    </row>
    <row r="18" spans="1:6" ht="77.25" customHeight="1" x14ac:dyDescent="0.3">
      <c r="A18" s="21">
        <f t="shared" si="1"/>
        <v>13</v>
      </c>
      <c r="B18" s="22" t="s">
        <v>25</v>
      </c>
      <c r="C18" s="21" t="s">
        <v>18</v>
      </c>
      <c r="D18" s="23">
        <v>1</v>
      </c>
      <c r="E18" s="24"/>
      <c r="F18" s="25">
        <f t="shared" si="0"/>
        <v>0</v>
      </c>
    </row>
    <row r="19" spans="1:6" ht="80.25" customHeight="1" x14ac:dyDescent="0.3">
      <c r="A19" s="21">
        <f t="shared" si="1"/>
        <v>14</v>
      </c>
      <c r="B19" s="22" t="s">
        <v>26</v>
      </c>
      <c r="C19" s="21" t="s">
        <v>18</v>
      </c>
      <c r="D19" s="23">
        <v>140</v>
      </c>
      <c r="E19" s="24"/>
      <c r="F19" s="25">
        <f t="shared" si="0"/>
        <v>0</v>
      </c>
    </row>
    <row r="20" spans="1:6" ht="83.25" customHeight="1" x14ac:dyDescent="0.3">
      <c r="A20" s="21">
        <f t="shared" si="1"/>
        <v>15</v>
      </c>
      <c r="B20" s="22" t="s">
        <v>27</v>
      </c>
      <c r="C20" s="21" t="s">
        <v>18</v>
      </c>
      <c r="D20" s="23">
        <v>28</v>
      </c>
      <c r="E20" s="24"/>
      <c r="F20" s="25">
        <f t="shared" si="0"/>
        <v>0</v>
      </c>
    </row>
    <row r="21" spans="1:6" ht="78" customHeight="1" x14ac:dyDescent="0.3">
      <c r="A21" s="21">
        <f t="shared" si="1"/>
        <v>16</v>
      </c>
      <c r="B21" s="22" t="s">
        <v>28</v>
      </c>
      <c r="C21" s="21" t="s">
        <v>18</v>
      </c>
      <c r="D21" s="23">
        <v>41</v>
      </c>
      <c r="E21" s="24"/>
      <c r="F21" s="25">
        <f t="shared" si="0"/>
        <v>0</v>
      </c>
    </row>
    <row r="22" spans="1:6" ht="86.25" customHeight="1" x14ac:dyDescent="0.3">
      <c r="A22" s="21">
        <f t="shared" si="1"/>
        <v>17</v>
      </c>
      <c r="B22" s="22" t="s">
        <v>29</v>
      </c>
      <c r="C22" s="21" t="s">
        <v>18</v>
      </c>
      <c r="D22" s="23">
        <v>1</v>
      </c>
      <c r="E22" s="24"/>
      <c r="F22" s="25">
        <f t="shared" si="0"/>
        <v>0</v>
      </c>
    </row>
    <row r="23" spans="1:6" ht="93" customHeight="1" x14ac:dyDescent="0.3">
      <c r="A23" s="21">
        <f t="shared" si="1"/>
        <v>18</v>
      </c>
      <c r="B23" s="22" t="s">
        <v>30</v>
      </c>
      <c r="C23" s="21" t="s">
        <v>18</v>
      </c>
      <c r="D23" s="23">
        <v>10</v>
      </c>
      <c r="E23" s="24"/>
      <c r="F23" s="25">
        <f t="shared" si="0"/>
        <v>0</v>
      </c>
    </row>
    <row r="24" spans="1:6" s="28" customFormat="1" x14ac:dyDescent="0.3">
      <c r="A24" s="21">
        <f t="shared" si="1"/>
        <v>19</v>
      </c>
      <c r="B24" s="22" t="s">
        <v>31</v>
      </c>
      <c r="C24" s="21" t="s">
        <v>10</v>
      </c>
      <c r="D24" s="26">
        <v>187447.106</v>
      </c>
      <c r="E24" s="24"/>
      <c r="F24" s="25">
        <f t="shared" si="0"/>
        <v>0</v>
      </c>
    </row>
    <row r="25" spans="1:6" ht="27.6" x14ac:dyDescent="0.3">
      <c r="A25" s="21">
        <f t="shared" si="1"/>
        <v>20</v>
      </c>
      <c r="B25" s="22" t="s">
        <v>32</v>
      </c>
      <c r="C25" s="21" t="s">
        <v>33</v>
      </c>
      <c r="D25" s="23">
        <v>279</v>
      </c>
      <c r="E25" s="24"/>
      <c r="F25" s="25">
        <f t="shared" si="0"/>
        <v>0</v>
      </c>
    </row>
    <row r="26" spans="1:6" x14ac:dyDescent="0.3">
      <c r="A26" s="21"/>
      <c r="B26" s="29"/>
      <c r="C26" s="30"/>
      <c r="D26" s="23"/>
      <c r="E26" s="24"/>
      <c r="F26" s="25">
        <f t="shared" si="0"/>
        <v>0</v>
      </c>
    </row>
    <row r="27" spans="1:6" x14ac:dyDescent="0.3">
      <c r="A27" s="31" t="s">
        <v>34</v>
      </c>
      <c r="B27" s="17" t="s">
        <v>35</v>
      </c>
      <c r="C27" s="32"/>
      <c r="D27" s="33"/>
      <c r="E27" s="33"/>
      <c r="F27" s="25">
        <f t="shared" si="0"/>
        <v>0</v>
      </c>
    </row>
    <row r="28" spans="1:6" ht="47.4" customHeight="1" x14ac:dyDescent="0.3">
      <c r="A28" s="21">
        <v>21</v>
      </c>
      <c r="B28" s="34" t="s">
        <v>36</v>
      </c>
      <c r="C28" s="35" t="s">
        <v>10</v>
      </c>
      <c r="D28" s="23">
        <v>128</v>
      </c>
      <c r="E28" s="24"/>
      <c r="F28" s="25">
        <f t="shared" si="0"/>
        <v>0</v>
      </c>
    </row>
    <row r="29" spans="1:6" x14ac:dyDescent="0.3">
      <c r="A29" s="36">
        <f>A28+1</f>
        <v>22</v>
      </c>
      <c r="B29" s="37" t="s">
        <v>37</v>
      </c>
      <c r="C29" s="36" t="s">
        <v>10</v>
      </c>
      <c r="D29" s="38">
        <v>0</v>
      </c>
      <c r="E29" s="39"/>
      <c r="F29" s="25">
        <f t="shared" si="0"/>
        <v>0</v>
      </c>
    </row>
    <row r="30" spans="1:6" x14ac:dyDescent="0.3">
      <c r="A30" s="21">
        <f t="shared" ref="A30:A46" si="2">A29+1</f>
        <v>23</v>
      </c>
      <c r="B30" s="34" t="s">
        <v>38</v>
      </c>
      <c r="C30" s="35" t="s">
        <v>10</v>
      </c>
      <c r="D30" s="23">
        <v>144</v>
      </c>
      <c r="E30" s="24"/>
      <c r="F30" s="25">
        <f t="shared" si="0"/>
        <v>0</v>
      </c>
    </row>
    <row r="31" spans="1:6" x14ac:dyDescent="0.3">
      <c r="A31" s="21">
        <f t="shared" si="2"/>
        <v>24</v>
      </c>
      <c r="B31" s="34" t="s">
        <v>39</v>
      </c>
      <c r="C31" s="35" t="s">
        <v>10</v>
      </c>
      <c r="D31" s="23">
        <v>88</v>
      </c>
      <c r="E31" s="24"/>
      <c r="F31" s="25">
        <f t="shared" si="0"/>
        <v>0</v>
      </c>
    </row>
    <row r="32" spans="1:6" ht="55.2" x14ac:dyDescent="0.3">
      <c r="A32" s="21">
        <f t="shared" si="2"/>
        <v>25</v>
      </c>
      <c r="B32" s="34" t="s">
        <v>40</v>
      </c>
      <c r="C32" s="35" t="s">
        <v>10</v>
      </c>
      <c r="D32" s="23">
        <v>128</v>
      </c>
      <c r="E32" s="24"/>
      <c r="F32" s="25">
        <f t="shared" si="0"/>
        <v>0</v>
      </c>
    </row>
    <row r="33" spans="1:6" x14ac:dyDescent="0.3">
      <c r="A33" s="36">
        <f t="shared" si="2"/>
        <v>26</v>
      </c>
      <c r="B33" s="37" t="s">
        <v>41</v>
      </c>
      <c r="C33" s="36" t="s">
        <v>10</v>
      </c>
      <c r="D33" s="38">
        <v>0</v>
      </c>
      <c r="E33" s="39"/>
      <c r="F33" s="25">
        <f t="shared" si="0"/>
        <v>0</v>
      </c>
    </row>
    <row r="34" spans="1:6" x14ac:dyDescent="0.3">
      <c r="A34" s="21">
        <f t="shared" si="2"/>
        <v>27</v>
      </c>
      <c r="B34" s="34" t="s">
        <v>42</v>
      </c>
      <c r="C34" s="35" t="s">
        <v>10</v>
      </c>
      <c r="D34" s="23">
        <v>144</v>
      </c>
      <c r="E34" s="24"/>
      <c r="F34" s="25">
        <f t="shared" si="0"/>
        <v>0</v>
      </c>
    </row>
    <row r="35" spans="1:6" x14ac:dyDescent="0.3">
      <c r="A35" s="21">
        <f t="shared" si="2"/>
        <v>28</v>
      </c>
      <c r="B35" s="34" t="s">
        <v>43</v>
      </c>
      <c r="C35" s="35" t="s">
        <v>10</v>
      </c>
      <c r="D35" s="23">
        <v>88</v>
      </c>
      <c r="E35" s="24"/>
      <c r="F35" s="25">
        <f t="shared" si="0"/>
        <v>0</v>
      </c>
    </row>
    <row r="36" spans="1:6" ht="27.6" x14ac:dyDescent="0.3">
      <c r="A36" s="21">
        <f t="shared" si="2"/>
        <v>29</v>
      </c>
      <c r="B36" s="34" t="s">
        <v>44</v>
      </c>
      <c r="C36" s="35" t="s">
        <v>18</v>
      </c>
      <c r="D36" s="23">
        <v>5</v>
      </c>
      <c r="E36" s="24"/>
      <c r="F36" s="25">
        <f t="shared" si="0"/>
        <v>0</v>
      </c>
    </row>
    <row r="37" spans="1:6" x14ac:dyDescent="0.3">
      <c r="A37" s="21">
        <f t="shared" si="2"/>
        <v>30</v>
      </c>
      <c r="B37" s="34" t="s">
        <v>45</v>
      </c>
      <c r="C37" s="35" t="s">
        <v>18</v>
      </c>
      <c r="D37" s="23">
        <v>6</v>
      </c>
      <c r="E37" s="24"/>
      <c r="F37" s="25">
        <f t="shared" si="0"/>
        <v>0</v>
      </c>
    </row>
    <row r="38" spans="1:6" ht="55.2" x14ac:dyDescent="0.3">
      <c r="A38" s="21">
        <f t="shared" si="2"/>
        <v>31</v>
      </c>
      <c r="B38" s="34" t="s">
        <v>46</v>
      </c>
      <c r="C38" s="35" t="s">
        <v>18</v>
      </c>
      <c r="D38" s="23">
        <v>29</v>
      </c>
      <c r="E38" s="24"/>
      <c r="F38" s="25">
        <f t="shared" si="0"/>
        <v>0</v>
      </c>
    </row>
    <row r="39" spans="1:6" ht="27.6" x14ac:dyDescent="0.3">
      <c r="A39" s="21">
        <f t="shared" si="2"/>
        <v>32</v>
      </c>
      <c r="B39" s="34" t="s">
        <v>47</v>
      </c>
      <c r="C39" s="35" t="s">
        <v>18</v>
      </c>
      <c r="D39" s="23">
        <v>1</v>
      </c>
      <c r="E39" s="24"/>
      <c r="F39" s="25">
        <f t="shared" si="0"/>
        <v>0</v>
      </c>
    </row>
    <row r="40" spans="1:6" x14ac:dyDescent="0.3">
      <c r="A40" s="36">
        <f t="shared" si="2"/>
        <v>33</v>
      </c>
      <c r="B40" s="37" t="s">
        <v>48</v>
      </c>
      <c r="C40" s="36" t="s">
        <v>18</v>
      </c>
      <c r="D40" s="38">
        <v>0</v>
      </c>
      <c r="E40" s="39"/>
      <c r="F40" s="25">
        <f t="shared" si="0"/>
        <v>0</v>
      </c>
    </row>
    <row r="41" spans="1:6" x14ac:dyDescent="0.3">
      <c r="A41" s="21">
        <f t="shared" si="2"/>
        <v>34</v>
      </c>
      <c r="B41" s="34" t="s">
        <v>49</v>
      </c>
      <c r="C41" s="35" t="s">
        <v>18</v>
      </c>
      <c r="D41" s="23">
        <v>2</v>
      </c>
      <c r="E41" s="24"/>
      <c r="F41" s="25">
        <f t="shared" si="0"/>
        <v>0</v>
      </c>
    </row>
    <row r="42" spans="1:6" ht="38.25" customHeight="1" x14ac:dyDescent="0.3">
      <c r="A42" s="36">
        <f t="shared" si="2"/>
        <v>35</v>
      </c>
      <c r="B42" s="37" t="s">
        <v>50</v>
      </c>
      <c r="C42" s="36" t="s">
        <v>18</v>
      </c>
      <c r="D42" s="38">
        <v>0</v>
      </c>
      <c r="E42" s="39"/>
      <c r="F42" s="25">
        <f t="shared" si="0"/>
        <v>0</v>
      </c>
    </row>
    <row r="43" spans="1:6" x14ac:dyDescent="0.3">
      <c r="A43" s="21">
        <f t="shared" si="2"/>
        <v>36</v>
      </c>
      <c r="B43" s="34" t="s">
        <v>51</v>
      </c>
      <c r="C43" s="35" t="s">
        <v>18</v>
      </c>
      <c r="D43" s="23">
        <v>2</v>
      </c>
      <c r="E43" s="24"/>
      <c r="F43" s="25">
        <f t="shared" si="0"/>
        <v>0</v>
      </c>
    </row>
    <row r="44" spans="1:6" x14ac:dyDescent="0.3">
      <c r="A44" s="21">
        <f t="shared" si="2"/>
        <v>37</v>
      </c>
      <c r="B44" s="34" t="s">
        <v>52</v>
      </c>
      <c r="C44" s="35" t="s">
        <v>18</v>
      </c>
      <c r="D44" s="23">
        <v>1</v>
      </c>
      <c r="E44" s="24"/>
      <c r="F44" s="25">
        <f t="shared" si="0"/>
        <v>0</v>
      </c>
    </row>
    <row r="45" spans="1:6" x14ac:dyDescent="0.3">
      <c r="A45" s="21">
        <f t="shared" si="2"/>
        <v>38</v>
      </c>
      <c r="B45" s="34" t="s">
        <v>53</v>
      </c>
      <c r="C45" s="35" t="s">
        <v>18</v>
      </c>
      <c r="D45" s="23">
        <v>1</v>
      </c>
      <c r="E45" s="24"/>
      <c r="F45" s="25">
        <f t="shared" si="0"/>
        <v>0</v>
      </c>
    </row>
    <row r="46" spans="1:6" x14ac:dyDescent="0.3">
      <c r="A46" s="21">
        <f t="shared" si="2"/>
        <v>39</v>
      </c>
      <c r="B46" s="34" t="s">
        <v>54</v>
      </c>
      <c r="C46" s="35" t="s">
        <v>18</v>
      </c>
      <c r="D46" s="23">
        <v>3</v>
      </c>
      <c r="E46" s="24"/>
      <c r="F46" s="25">
        <f t="shared" si="0"/>
        <v>0</v>
      </c>
    </row>
    <row r="47" spans="1:6" x14ac:dyDescent="0.3">
      <c r="A47" s="21">
        <f>A46+1</f>
        <v>40</v>
      </c>
      <c r="B47" s="34" t="s">
        <v>55</v>
      </c>
      <c r="C47" s="35" t="s">
        <v>18</v>
      </c>
      <c r="D47" s="23">
        <v>4</v>
      </c>
      <c r="E47" s="24"/>
      <c r="F47" s="25">
        <f t="shared" si="0"/>
        <v>0</v>
      </c>
    </row>
    <row r="48" spans="1:6" x14ac:dyDescent="0.3">
      <c r="A48" s="21">
        <f t="shared" ref="A48:A52" si="3">A47+1</f>
        <v>41</v>
      </c>
      <c r="B48" s="34" t="s">
        <v>56</v>
      </c>
      <c r="C48" s="35" t="s">
        <v>18</v>
      </c>
      <c r="D48" s="23">
        <v>5</v>
      </c>
      <c r="E48" s="24"/>
      <c r="F48" s="25">
        <f t="shared" si="0"/>
        <v>0</v>
      </c>
    </row>
    <row r="49" spans="1:6" x14ac:dyDescent="0.3">
      <c r="A49" s="21">
        <f t="shared" si="3"/>
        <v>42</v>
      </c>
      <c r="B49" s="34" t="s">
        <v>57</v>
      </c>
      <c r="C49" s="35" t="s">
        <v>18</v>
      </c>
      <c r="D49" s="23">
        <v>10</v>
      </c>
      <c r="E49" s="24"/>
      <c r="F49" s="25">
        <f t="shared" si="0"/>
        <v>0</v>
      </c>
    </row>
    <row r="50" spans="1:6" ht="27.6" x14ac:dyDescent="0.3">
      <c r="A50" s="21">
        <f t="shared" si="3"/>
        <v>43</v>
      </c>
      <c r="B50" s="34" t="s">
        <v>58</v>
      </c>
      <c r="C50" s="35"/>
      <c r="D50" s="23">
        <v>106.66666666666666</v>
      </c>
      <c r="E50" s="24"/>
      <c r="F50" s="25">
        <f t="shared" si="0"/>
        <v>0</v>
      </c>
    </row>
    <row r="51" spans="1:6" x14ac:dyDescent="0.3">
      <c r="A51" s="21">
        <f t="shared" si="3"/>
        <v>44</v>
      </c>
      <c r="B51" s="34" t="s">
        <v>59</v>
      </c>
      <c r="C51" s="35"/>
      <c r="D51" s="23">
        <v>0</v>
      </c>
      <c r="E51" s="24"/>
      <c r="F51" s="25">
        <f t="shared" si="0"/>
        <v>0</v>
      </c>
    </row>
    <row r="52" spans="1:6" x14ac:dyDescent="0.3">
      <c r="A52" s="21">
        <f t="shared" si="3"/>
        <v>45</v>
      </c>
      <c r="B52" s="34" t="s">
        <v>60</v>
      </c>
      <c r="C52" s="35"/>
      <c r="D52" s="23">
        <v>120</v>
      </c>
      <c r="E52" s="24"/>
      <c r="F52" s="25">
        <f t="shared" si="0"/>
        <v>0</v>
      </c>
    </row>
    <row r="53" spans="1:6" x14ac:dyDescent="0.3">
      <c r="A53" s="21">
        <f>A52+1</f>
        <v>46</v>
      </c>
      <c r="B53" s="34" t="s">
        <v>61</v>
      </c>
      <c r="C53" s="35" t="s">
        <v>18</v>
      </c>
      <c r="D53" s="23">
        <v>53.333333333333336</v>
      </c>
      <c r="E53" s="24"/>
      <c r="F53" s="25">
        <f t="shared" si="0"/>
        <v>0</v>
      </c>
    </row>
    <row r="54" spans="1:6" ht="41.4" x14ac:dyDescent="0.3">
      <c r="A54" s="21">
        <f t="shared" ref="A54:A57" si="4">A53+1</f>
        <v>47</v>
      </c>
      <c r="B54" s="34" t="s">
        <v>62</v>
      </c>
      <c r="C54" s="35" t="s">
        <v>18</v>
      </c>
      <c r="D54" s="23">
        <v>5</v>
      </c>
      <c r="E54" s="24"/>
      <c r="F54" s="25">
        <f t="shared" si="0"/>
        <v>0</v>
      </c>
    </row>
    <row r="55" spans="1:6" x14ac:dyDescent="0.3">
      <c r="A55" s="21">
        <f t="shared" si="4"/>
        <v>48</v>
      </c>
      <c r="B55" s="34" t="s">
        <v>31</v>
      </c>
      <c r="C55" s="35" t="s">
        <v>10</v>
      </c>
      <c r="D55" s="23">
        <v>488</v>
      </c>
      <c r="E55" s="24"/>
      <c r="F55" s="25">
        <f t="shared" si="0"/>
        <v>0</v>
      </c>
    </row>
    <row r="56" spans="1:6" ht="27.6" x14ac:dyDescent="0.3">
      <c r="A56" s="21">
        <f t="shared" si="4"/>
        <v>49</v>
      </c>
      <c r="B56" s="34" t="s">
        <v>32</v>
      </c>
      <c r="C56" s="35" t="s">
        <v>10</v>
      </c>
      <c r="D56" s="23">
        <v>488</v>
      </c>
      <c r="E56" s="24"/>
      <c r="F56" s="25">
        <f t="shared" si="0"/>
        <v>0</v>
      </c>
    </row>
    <row r="57" spans="1:6" s="28" customFormat="1" x14ac:dyDescent="0.3">
      <c r="A57" s="21">
        <f t="shared" si="4"/>
        <v>50</v>
      </c>
      <c r="B57" s="22" t="s">
        <v>63</v>
      </c>
      <c r="C57" s="21" t="s">
        <v>33</v>
      </c>
      <c r="D57" s="26">
        <v>29</v>
      </c>
      <c r="E57" s="24"/>
      <c r="F57" s="25">
        <f t="shared" si="0"/>
        <v>0</v>
      </c>
    </row>
    <row r="58" spans="1:6" ht="55.2" x14ac:dyDescent="0.3">
      <c r="A58" s="21">
        <v>51</v>
      </c>
      <c r="B58" s="34" t="s">
        <v>64</v>
      </c>
      <c r="C58" s="35" t="s">
        <v>18</v>
      </c>
      <c r="D58" s="23">
        <v>87</v>
      </c>
      <c r="E58" s="24"/>
      <c r="F58" s="25">
        <f t="shared" si="0"/>
        <v>0</v>
      </c>
    </row>
    <row r="59" spans="1:6" x14ac:dyDescent="0.3">
      <c r="A59" s="21"/>
      <c r="B59" s="22"/>
      <c r="C59" s="21"/>
      <c r="D59" s="23"/>
      <c r="E59" s="24"/>
      <c r="F59" s="25">
        <f t="shared" si="0"/>
        <v>0</v>
      </c>
    </row>
    <row r="60" spans="1:6" x14ac:dyDescent="0.3">
      <c r="A60" s="31" t="s">
        <v>65</v>
      </c>
      <c r="B60" s="17" t="s">
        <v>66</v>
      </c>
      <c r="C60" s="32"/>
      <c r="D60" s="33"/>
      <c r="E60" s="33"/>
      <c r="F60" s="25">
        <f t="shared" si="0"/>
        <v>0</v>
      </c>
    </row>
    <row r="61" spans="1:6" ht="96.6" x14ac:dyDescent="0.3">
      <c r="A61" s="21">
        <v>52</v>
      </c>
      <c r="B61" s="22" t="s">
        <v>67</v>
      </c>
      <c r="C61" s="21" t="s">
        <v>18</v>
      </c>
      <c r="D61" s="26">
        <v>349</v>
      </c>
      <c r="E61" s="24"/>
      <c r="F61" s="25">
        <f t="shared" si="0"/>
        <v>0</v>
      </c>
    </row>
    <row r="62" spans="1:6" ht="69" x14ac:dyDescent="0.3">
      <c r="A62" s="21">
        <f t="shared" ref="A62:A81" si="5">A61+1</f>
        <v>53</v>
      </c>
      <c r="B62" s="22" t="s">
        <v>68</v>
      </c>
      <c r="C62" s="21" t="s">
        <v>10</v>
      </c>
      <c r="D62" s="26">
        <v>3789</v>
      </c>
      <c r="E62" s="24"/>
      <c r="F62" s="25">
        <f t="shared" si="0"/>
        <v>0</v>
      </c>
    </row>
    <row r="63" spans="1:6" ht="26.25" customHeight="1" x14ac:dyDescent="0.3">
      <c r="A63" s="21">
        <f t="shared" si="5"/>
        <v>54</v>
      </c>
      <c r="B63" s="22" t="s">
        <v>69</v>
      </c>
      <c r="C63" s="21" t="s">
        <v>10</v>
      </c>
      <c r="D63" s="26">
        <v>2801</v>
      </c>
      <c r="E63" s="24"/>
      <c r="F63" s="25">
        <f t="shared" si="0"/>
        <v>0</v>
      </c>
    </row>
    <row r="64" spans="1:6" ht="41.4" x14ac:dyDescent="0.3">
      <c r="A64" s="21">
        <f t="shared" si="5"/>
        <v>55</v>
      </c>
      <c r="B64" s="22" t="s">
        <v>70</v>
      </c>
      <c r="C64" s="21" t="s">
        <v>18</v>
      </c>
      <c r="D64" s="26">
        <v>224</v>
      </c>
      <c r="E64" s="24"/>
      <c r="F64" s="25">
        <f t="shared" si="0"/>
        <v>0</v>
      </c>
    </row>
    <row r="65" spans="1:6" ht="27.6" x14ac:dyDescent="0.3">
      <c r="A65" s="21">
        <f t="shared" si="5"/>
        <v>56</v>
      </c>
      <c r="B65" s="22" t="s">
        <v>71</v>
      </c>
      <c r="C65" s="21" t="s">
        <v>18</v>
      </c>
      <c r="D65" s="26">
        <v>288</v>
      </c>
      <c r="E65" s="24"/>
      <c r="F65" s="25">
        <f t="shared" si="0"/>
        <v>0</v>
      </c>
    </row>
    <row r="66" spans="1:6" ht="41.4" x14ac:dyDescent="0.3">
      <c r="A66" s="21">
        <f t="shared" si="5"/>
        <v>57</v>
      </c>
      <c r="B66" s="22" t="s">
        <v>72</v>
      </c>
      <c r="C66" s="21" t="s">
        <v>18</v>
      </c>
      <c r="D66" s="26">
        <v>35</v>
      </c>
      <c r="E66" s="24"/>
      <c r="F66" s="25">
        <f t="shared" si="0"/>
        <v>0</v>
      </c>
    </row>
    <row r="67" spans="1:6" ht="41.4" x14ac:dyDescent="0.3">
      <c r="A67" s="21">
        <f t="shared" si="5"/>
        <v>58</v>
      </c>
      <c r="B67" s="22" t="s">
        <v>73</v>
      </c>
      <c r="C67" s="21" t="s">
        <v>18</v>
      </c>
      <c r="D67" s="26">
        <v>25</v>
      </c>
      <c r="E67" s="24"/>
      <c r="F67" s="25">
        <f t="shared" si="0"/>
        <v>0</v>
      </c>
    </row>
    <row r="68" spans="1:6" x14ac:dyDescent="0.3">
      <c r="A68" s="21"/>
      <c r="B68" s="40"/>
      <c r="C68" s="35"/>
      <c r="D68" s="23"/>
      <c r="E68" s="24"/>
      <c r="F68" s="25">
        <f t="shared" si="0"/>
        <v>0</v>
      </c>
    </row>
    <row r="69" spans="1:6" x14ac:dyDescent="0.3">
      <c r="A69" s="31" t="s">
        <v>74</v>
      </c>
      <c r="B69" s="17" t="s">
        <v>75</v>
      </c>
      <c r="C69" s="32"/>
      <c r="D69" s="33"/>
      <c r="E69" s="33"/>
      <c r="F69" s="25">
        <f t="shared" si="0"/>
        <v>0</v>
      </c>
    </row>
    <row r="70" spans="1:6" ht="27.6" x14ac:dyDescent="0.3">
      <c r="A70" s="35">
        <v>59</v>
      </c>
      <c r="B70" s="34" t="s">
        <v>76</v>
      </c>
      <c r="C70" s="35" t="s">
        <v>10</v>
      </c>
      <c r="D70" s="23">
        <v>5899</v>
      </c>
      <c r="E70" s="24"/>
      <c r="F70" s="25">
        <f t="shared" si="0"/>
        <v>0</v>
      </c>
    </row>
    <row r="71" spans="1:6" ht="27.6" x14ac:dyDescent="0.3">
      <c r="A71" s="35">
        <f>A70+1</f>
        <v>60</v>
      </c>
      <c r="B71" s="34" t="s">
        <v>77</v>
      </c>
      <c r="C71" s="35" t="s">
        <v>10</v>
      </c>
      <c r="D71" s="23">
        <v>5899</v>
      </c>
      <c r="E71" s="24"/>
      <c r="F71" s="25">
        <f t="shared" ref="F71:F134" si="6">D71*E71</f>
        <v>0</v>
      </c>
    </row>
    <row r="72" spans="1:6" ht="55.2" x14ac:dyDescent="0.3">
      <c r="A72" s="21">
        <f>A71+1</f>
        <v>61</v>
      </c>
      <c r="B72" s="22" t="s">
        <v>78</v>
      </c>
      <c r="C72" s="21" t="s">
        <v>18</v>
      </c>
      <c r="D72" s="26">
        <v>10</v>
      </c>
      <c r="E72" s="24"/>
      <c r="F72" s="25">
        <f t="shared" si="6"/>
        <v>0</v>
      </c>
    </row>
    <row r="73" spans="1:6" ht="55.2" x14ac:dyDescent="0.3">
      <c r="A73" s="21">
        <f t="shared" si="5"/>
        <v>62</v>
      </c>
      <c r="B73" s="22" t="s">
        <v>79</v>
      </c>
      <c r="C73" s="21" t="s">
        <v>18</v>
      </c>
      <c r="D73" s="26">
        <v>282</v>
      </c>
      <c r="E73" s="24"/>
      <c r="F73" s="25">
        <f t="shared" si="6"/>
        <v>0</v>
      </c>
    </row>
    <row r="74" spans="1:6" ht="55.2" x14ac:dyDescent="0.3">
      <c r="A74" s="21">
        <f t="shared" si="5"/>
        <v>63</v>
      </c>
      <c r="B74" s="22" t="s">
        <v>80</v>
      </c>
      <c r="C74" s="21" t="s">
        <v>18</v>
      </c>
      <c r="D74" s="26">
        <v>20</v>
      </c>
      <c r="E74" s="24"/>
      <c r="F74" s="25">
        <f t="shared" si="6"/>
        <v>0</v>
      </c>
    </row>
    <row r="75" spans="1:6" ht="55.2" x14ac:dyDescent="0.3">
      <c r="A75" s="21">
        <f t="shared" si="5"/>
        <v>64</v>
      </c>
      <c r="B75" s="22" t="s">
        <v>81</v>
      </c>
      <c r="C75" s="21" t="s">
        <v>18</v>
      </c>
      <c r="D75" s="26">
        <v>345</v>
      </c>
      <c r="E75" s="24"/>
      <c r="F75" s="25">
        <f t="shared" si="6"/>
        <v>0</v>
      </c>
    </row>
    <row r="76" spans="1:6" ht="55.2" x14ac:dyDescent="0.3">
      <c r="A76" s="36">
        <f t="shared" si="5"/>
        <v>65</v>
      </c>
      <c r="B76" s="37" t="s">
        <v>82</v>
      </c>
      <c r="C76" s="36" t="s">
        <v>18</v>
      </c>
      <c r="D76" s="38">
        <v>0</v>
      </c>
      <c r="E76" s="39"/>
      <c r="F76" s="25">
        <f t="shared" si="6"/>
        <v>0</v>
      </c>
    </row>
    <row r="77" spans="1:6" ht="55.2" x14ac:dyDescent="0.3">
      <c r="A77" s="21">
        <f t="shared" si="5"/>
        <v>66</v>
      </c>
      <c r="B77" s="22" t="s">
        <v>83</v>
      </c>
      <c r="C77" s="21" t="s">
        <v>18</v>
      </c>
      <c r="D77" s="26">
        <v>206</v>
      </c>
      <c r="E77" s="24"/>
      <c r="F77" s="25">
        <f t="shared" si="6"/>
        <v>0</v>
      </c>
    </row>
    <row r="78" spans="1:6" ht="55.2" x14ac:dyDescent="0.3">
      <c r="A78" s="21">
        <f t="shared" si="5"/>
        <v>67</v>
      </c>
      <c r="B78" s="22" t="s">
        <v>84</v>
      </c>
      <c r="C78" s="21" t="s">
        <v>18</v>
      </c>
      <c r="D78" s="26">
        <v>62</v>
      </c>
      <c r="E78" s="24"/>
      <c r="F78" s="25">
        <f t="shared" si="6"/>
        <v>0</v>
      </c>
    </row>
    <row r="79" spans="1:6" ht="55.2" x14ac:dyDescent="0.3">
      <c r="A79" s="21">
        <f t="shared" si="5"/>
        <v>68</v>
      </c>
      <c r="B79" s="22" t="s">
        <v>85</v>
      </c>
      <c r="C79" s="21" t="s">
        <v>18</v>
      </c>
      <c r="D79" s="26">
        <v>13</v>
      </c>
      <c r="E79" s="24"/>
      <c r="F79" s="25">
        <f t="shared" si="6"/>
        <v>0</v>
      </c>
    </row>
    <row r="80" spans="1:6" ht="55.2" x14ac:dyDescent="0.3">
      <c r="A80" s="21">
        <f t="shared" si="5"/>
        <v>69</v>
      </c>
      <c r="B80" s="22" t="s">
        <v>86</v>
      </c>
      <c r="C80" s="21" t="s">
        <v>18</v>
      </c>
      <c r="D80" s="26">
        <v>2</v>
      </c>
      <c r="E80" s="24"/>
      <c r="F80" s="25">
        <f t="shared" si="6"/>
        <v>0</v>
      </c>
    </row>
    <row r="81" spans="1:6" x14ac:dyDescent="0.3">
      <c r="A81" s="21">
        <f t="shared" si="5"/>
        <v>70</v>
      </c>
      <c r="B81" s="22" t="s">
        <v>87</v>
      </c>
      <c r="C81" s="21" t="s">
        <v>18</v>
      </c>
      <c r="D81" s="26">
        <v>659</v>
      </c>
      <c r="E81" s="24"/>
      <c r="F81" s="25">
        <f t="shared" si="6"/>
        <v>0</v>
      </c>
    </row>
    <row r="82" spans="1:6" x14ac:dyDescent="0.3">
      <c r="A82" s="35"/>
      <c r="B82" s="34"/>
      <c r="C82" s="35"/>
      <c r="D82" s="23"/>
      <c r="E82" s="24"/>
      <c r="F82" s="25">
        <f t="shared" si="6"/>
        <v>0</v>
      </c>
    </row>
    <row r="83" spans="1:6" x14ac:dyDescent="0.3">
      <c r="A83" s="31" t="s">
        <v>88</v>
      </c>
      <c r="B83" s="17" t="s">
        <v>89</v>
      </c>
      <c r="C83" s="32"/>
      <c r="D83" s="33"/>
      <c r="E83" s="33"/>
      <c r="F83" s="25">
        <f t="shared" si="6"/>
        <v>0</v>
      </c>
    </row>
    <row r="84" spans="1:6" ht="55.2" x14ac:dyDescent="0.3">
      <c r="A84" s="35">
        <v>71</v>
      </c>
      <c r="B84" s="22" t="s">
        <v>90</v>
      </c>
      <c r="C84" s="21" t="s">
        <v>10</v>
      </c>
      <c r="D84" s="23">
        <v>60</v>
      </c>
      <c r="E84" s="24"/>
      <c r="F84" s="25">
        <f t="shared" si="6"/>
        <v>0</v>
      </c>
    </row>
    <row r="85" spans="1:6" x14ac:dyDescent="0.3">
      <c r="A85" s="35">
        <f t="shared" ref="A85:A132" si="7">A84+1</f>
        <v>72</v>
      </c>
      <c r="B85" s="22" t="s">
        <v>37</v>
      </c>
      <c r="C85" s="21" t="s">
        <v>10</v>
      </c>
      <c r="D85" s="23">
        <v>126</v>
      </c>
      <c r="E85" s="24"/>
      <c r="F85" s="25">
        <f t="shared" si="6"/>
        <v>0</v>
      </c>
    </row>
    <row r="86" spans="1:6" x14ac:dyDescent="0.3">
      <c r="A86" s="35">
        <f t="shared" si="7"/>
        <v>73</v>
      </c>
      <c r="B86" s="22" t="s">
        <v>38</v>
      </c>
      <c r="C86" s="21" t="s">
        <v>10</v>
      </c>
      <c r="D86" s="23">
        <v>105</v>
      </c>
      <c r="E86" s="24"/>
      <c r="F86" s="25">
        <f t="shared" si="6"/>
        <v>0</v>
      </c>
    </row>
    <row r="87" spans="1:6" x14ac:dyDescent="0.3">
      <c r="A87" s="35">
        <f t="shared" si="7"/>
        <v>74</v>
      </c>
      <c r="B87" s="22" t="s">
        <v>91</v>
      </c>
      <c r="C87" s="21" t="s">
        <v>10</v>
      </c>
      <c r="D87" s="23">
        <v>170</v>
      </c>
      <c r="E87" s="24"/>
      <c r="F87" s="25">
        <f t="shared" si="6"/>
        <v>0</v>
      </c>
    </row>
    <row r="88" spans="1:6" x14ac:dyDescent="0.3">
      <c r="A88" s="35">
        <f t="shared" si="7"/>
        <v>75</v>
      </c>
      <c r="B88" s="22" t="s">
        <v>92</v>
      </c>
      <c r="C88" s="21" t="s">
        <v>10</v>
      </c>
      <c r="D88" s="23">
        <v>75</v>
      </c>
      <c r="E88" s="24"/>
      <c r="F88" s="25">
        <f t="shared" si="6"/>
        <v>0</v>
      </c>
    </row>
    <row r="89" spans="1:6" ht="55.2" x14ac:dyDescent="0.3">
      <c r="A89" s="35">
        <f t="shared" si="7"/>
        <v>76</v>
      </c>
      <c r="B89" s="22" t="s">
        <v>93</v>
      </c>
      <c r="C89" s="21" t="s">
        <v>10</v>
      </c>
      <c r="D89" s="23">
        <v>60</v>
      </c>
      <c r="E89" s="24"/>
      <c r="F89" s="25">
        <f t="shared" si="6"/>
        <v>0</v>
      </c>
    </row>
    <row r="90" spans="1:6" x14ac:dyDescent="0.3">
      <c r="A90" s="35">
        <f t="shared" si="7"/>
        <v>77</v>
      </c>
      <c r="B90" s="22" t="s">
        <v>94</v>
      </c>
      <c r="C90" s="21" t="s">
        <v>10</v>
      </c>
      <c r="D90" s="23">
        <v>63</v>
      </c>
      <c r="E90" s="24"/>
      <c r="F90" s="25">
        <f t="shared" si="6"/>
        <v>0</v>
      </c>
    </row>
    <row r="91" spans="1:6" x14ac:dyDescent="0.3">
      <c r="A91" s="35">
        <f t="shared" si="7"/>
        <v>78</v>
      </c>
      <c r="B91" s="22" t="s">
        <v>95</v>
      </c>
      <c r="C91" s="21" t="s">
        <v>10</v>
      </c>
      <c r="D91" s="23">
        <v>63</v>
      </c>
      <c r="E91" s="24"/>
      <c r="F91" s="25">
        <f t="shared" si="6"/>
        <v>0</v>
      </c>
    </row>
    <row r="92" spans="1:6" x14ac:dyDescent="0.3">
      <c r="A92" s="35">
        <f t="shared" si="7"/>
        <v>79</v>
      </c>
      <c r="B92" s="22" t="s">
        <v>96</v>
      </c>
      <c r="C92" s="21" t="s">
        <v>10</v>
      </c>
      <c r="D92" s="23">
        <v>105</v>
      </c>
      <c r="E92" s="24"/>
      <c r="F92" s="25">
        <f t="shared" si="6"/>
        <v>0</v>
      </c>
    </row>
    <row r="93" spans="1:6" x14ac:dyDescent="0.3">
      <c r="A93" s="35">
        <f t="shared" si="7"/>
        <v>80</v>
      </c>
      <c r="B93" s="22" t="s">
        <v>97</v>
      </c>
      <c r="C93" s="21" t="s">
        <v>10</v>
      </c>
      <c r="D93" s="23">
        <v>170</v>
      </c>
      <c r="E93" s="24"/>
      <c r="F93" s="25">
        <f t="shared" si="6"/>
        <v>0</v>
      </c>
    </row>
    <row r="94" spans="1:6" x14ac:dyDescent="0.3">
      <c r="A94" s="35">
        <f t="shared" si="7"/>
        <v>81</v>
      </c>
      <c r="B94" s="22" t="s">
        <v>98</v>
      </c>
      <c r="C94" s="21" t="s">
        <v>10</v>
      </c>
      <c r="D94" s="23">
        <v>75</v>
      </c>
      <c r="E94" s="24"/>
      <c r="F94" s="25">
        <f t="shared" si="6"/>
        <v>0</v>
      </c>
    </row>
    <row r="95" spans="1:6" s="28" customFormat="1" ht="27.6" x14ac:dyDescent="0.3">
      <c r="A95" s="21">
        <f t="shared" si="7"/>
        <v>82</v>
      </c>
      <c r="B95" s="22" t="s">
        <v>99</v>
      </c>
      <c r="C95" s="21" t="s">
        <v>13</v>
      </c>
      <c r="D95" s="26">
        <v>23</v>
      </c>
      <c r="E95" s="24"/>
      <c r="F95" s="25">
        <f t="shared" si="6"/>
        <v>0</v>
      </c>
    </row>
    <row r="96" spans="1:6" ht="27.6" x14ac:dyDescent="0.3">
      <c r="A96" s="35">
        <f t="shared" si="7"/>
        <v>83</v>
      </c>
      <c r="B96" s="22" t="s">
        <v>100</v>
      </c>
      <c r="C96" s="21" t="s">
        <v>10</v>
      </c>
      <c r="D96" s="23">
        <v>41</v>
      </c>
      <c r="E96" s="24"/>
      <c r="F96" s="25">
        <f t="shared" si="6"/>
        <v>0</v>
      </c>
    </row>
    <row r="97" spans="1:6" s="28" customFormat="1" x14ac:dyDescent="0.3">
      <c r="A97" s="21">
        <f t="shared" si="7"/>
        <v>84</v>
      </c>
      <c r="B97" s="22" t="s">
        <v>101</v>
      </c>
      <c r="C97" s="21" t="s">
        <v>102</v>
      </c>
      <c r="D97" s="26">
        <v>600</v>
      </c>
      <c r="E97" s="24"/>
      <c r="F97" s="25">
        <f t="shared" si="6"/>
        <v>0</v>
      </c>
    </row>
    <row r="98" spans="1:6" s="28" customFormat="1" ht="87.6" customHeight="1" x14ac:dyDescent="0.3">
      <c r="A98" s="21">
        <f t="shared" si="7"/>
        <v>85</v>
      </c>
      <c r="B98" s="22" t="s">
        <v>103</v>
      </c>
      <c r="C98" s="21" t="s">
        <v>18</v>
      </c>
      <c r="D98" s="26">
        <v>3</v>
      </c>
      <c r="E98" s="24"/>
      <c r="F98" s="25">
        <f t="shared" si="6"/>
        <v>0</v>
      </c>
    </row>
    <row r="99" spans="1:6" s="28" customFormat="1" ht="165.6" x14ac:dyDescent="0.3">
      <c r="A99" s="21">
        <f t="shared" si="7"/>
        <v>86</v>
      </c>
      <c r="B99" s="22" t="s">
        <v>104</v>
      </c>
      <c r="C99" s="21" t="s">
        <v>18</v>
      </c>
      <c r="D99" s="26">
        <v>6</v>
      </c>
      <c r="E99" s="24"/>
      <c r="F99" s="25">
        <f t="shared" si="6"/>
        <v>0</v>
      </c>
    </row>
    <row r="100" spans="1:6" ht="27.6" x14ac:dyDescent="0.3">
      <c r="A100" s="35">
        <f t="shared" si="7"/>
        <v>87</v>
      </c>
      <c r="B100" s="22" t="s">
        <v>105</v>
      </c>
      <c r="C100" s="21" t="s">
        <v>18</v>
      </c>
      <c r="D100" s="23">
        <v>12</v>
      </c>
      <c r="E100" s="24"/>
      <c r="F100" s="25">
        <f t="shared" si="6"/>
        <v>0</v>
      </c>
    </row>
    <row r="101" spans="1:6" ht="55.2" x14ac:dyDescent="0.3">
      <c r="A101" s="35">
        <f t="shared" si="7"/>
        <v>88</v>
      </c>
      <c r="B101" s="22" t="s">
        <v>106</v>
      </c>
      <c r="C101" s="21" t="s">
        <v>18</v>
      </c>
      <c r="D101" s="23">
        <v>42</v>
      </c>
      <c r="E101" s="24"/>
      <c r="F101" s="25">
        <f t="shared" si="6"/>
        <v>0</v>
      </c>
    </row>
    <row r="102" spans="1:6" x14ac:dyDescent="0.3">
      <c r="A102" s="35">
        <f t="shared" si="7"/>
        <v>89</v>
      </c>
      <c r="B102" s="22" t="s">
        <v>107</v>
      </c>
      <c r="C102" s="21" t="s">
        <v>18</v>
      </c>
      <c r="D102" s="23">
        <v>9</v>
      </c>
      <c r="E102" s="24"/>
      <c r="F102" s="25">
        <f t="shared" si="6"/>
        <v>0</v>
      </c>
    </row>
    <row r="103" spans="1:6" x14ac:dyDescent="0.3">
      <c r="A103" s="35">
        <f t="shared" si="7"/>
        <v>90</v>
      </c>
      <c r="B103" s="22" t="s">
        <v>108</v>
      </c>
      <c r="C103" s="21" t="s">
        <v>18</v>
      </c>
      <c r="D103" s="23">
        <v>24</v>
      </c>
      <c r="E103" s="24"/>
      <c r="F103" s="25">
        <f t="shared" si="6"/>
        <v>0</v>
      </c>
    </row>
    <row r="104" spans="1:6" x14ac:dyDescent="0.3">
      <c r="A104" s="35">
        <f t="shared" si="7"/>
        <v>91</v>
      </c>
      <c r="B104" s="22" t="s">
        <v>109</v>
      </c>
      <c r="C104" s="21" t="s">
        <v>18</v>
      </c>
      <c r="D104" s="23">
        <v>3</v>
      </c>
      <c r="E104" s="24"/>
      <c r="F104" s="25">
        <f t="shared" si="6"/>
        <v>0</v>
      </c>
    </row>
    <row r="105" spans="1:6" x14ac:dyDescent="0.3">
      <c r="A105" s="35">
        <f t="shared" si="7"/>
        <v>92</v>
      </c>
      <c r="B105" s="22" t="s">
        <v>60</v>
      </c>
      <c r="C105" s="21" t="s">
        <v>18</v>
      </c>
      <c r="D105" s="23">
        <v>36</v>
      </c>
      <c r="E105" s="24"/>
      <c r="F105" s="25">
        <f t="shared" si="6"/>
        <v>0</v>
      </c>
    </row>
    <row r="106" spans="1:6" x14ac:dyDescent="0.3">
      <c r="A106" s="35">
        <f t="shared" si="7"/>
        <v>93</v>
      </c>
      <c r="B106" s="22" t="s">
        <v>61</v>
      </c>
      <c r="C106" s="21" t="s">
        <v>18</v>
      </c>
      <c r="D106" s="23">
        <v>12</v>
      </c>
      <c r="E106" s="24"/>
      <c r="F106" s="25">
        <f t="shared" si="6"/>
        <v>0</v>
      </c>
    </row>
    <row r="107" spans="1:6" x14ac:dyDescent="0.3">
      <c r="A107" s="35">
        <f t="shared" si="7"/>
        <v>94</v>
      </c>
      <c r="B107" s="22" t="s">
        <v>110</v>
      </c>
      <c r="C107" s="21" t="s">
        <v>18</v>
      </c>
      <c r="D107" s="23">
        <v>21</v>
      </c>
      <c r="E107" s="24"/>
      <c r="F107" s="25">
        <f t="shared" si="6"/>
        <v>0</v>
      </c>
    </row>
    <row r="108" spans="1:6" ht="41.4" x14ac:dyDescent="0.3">
      <c r="A108" s="35">
        <f t="shared" si="7"/>
        <v>95</v>
      </c>
      <c r="B108" s="22" t="s">
        <v>111</v>
      </c>
      <c r="C108" s="21" t="s">
        <v>18</v>
      </c>
      <c r="D108" s="23">
        <v>3</v>
      </c>
      <c r="E108" s="24"/>
      <c r="F108" s="25">
        <f t="shared" si="6"/>
        <v>0</v>
      </c>
    </row>
    <row r="109" spans="1:6" x14ac:dyDescent="0.3">
      <c r="A109" s="35">
        <f t="shared" si="7"/>
        <v>96</v>
      </c>
      <c r="B109" s="22" t="s">
        <v>109</v>
      </c>
      <c r="C109" s="21" t="s">
        <v>18</v>
      </c>
      <c r="D109" s="23">
        <v>30</v>
      </c>
      <c r="E109" s="24"/>
      <c r="F109" s="25">
        <f t="shared" si="6"/>
        <v>0</v>
      </c>
    </row>
    <row r="110" spans="1:6" x14ac:dyDescent="0.3">
      <c r="A110" s="35">
        <f t="shared" si="7"/>
        <v>97</v>
      </c>
      <c r="B110" s="22" t="s">
        <v>60</v>
      </c>
      <c r="C110" s="21" t="s">
        <v>18</v>
      </c>
      <c r="D110" s="23">
        <v>12</v>
      </c>
      <c r="E110" s="24"/>
      <c r="F110" s="25">
        <f t="shared" si="6"/>
        <v>0</v>
      </c>
    </row>
    <row r="111" spans="1:6" x14ac:dyDescent="0.3">
      <c r="A111" s="35">
        <f t="shared" si="7"/>
        <v>98</v>
      </c>
      <c r="B111" s="22" t="s">
        <v>61</v>
      </c>
      <c r="C111" s="21" t="s">
        <v>18</v>
      </c>
      <c r="D111" s="23">
        <v>3</v>
      </c>
      <c r="E111" s="24"/>
      <c r="F111" s="25">
        <f t="shared" si="6"/>
        <v>0</v>
      </c>
    </row>
    <row r="112" spans="1:6" ht="55.2" x14ac:dyDescent="0.3">
      <c r="A112" s="35">
        <f t="shared" si="7"/>
        <v>99</v>
      </c>
      <c r="B112" s="22" t="s">
        <v>112</v>
      </c>
      <c r="C112" s="21" t="s">
        <v>18</v>
      </c>
      <c r="D112" s="23">
        <v>3</v>
      </c>
      <c r="E112" s="24"/>
      <c r="F112" s="25">
        <f t="shared" si="6"/>
        <v>0</v>
      </c>
    </row>
    <row r="113" spans="1:6" ht="55.2" x14ac:dyDescent="0.3">
      <c r="A113" s="35">
        <f t="shared" si="7"/>
        <v>100</v>
      </c>
      <c r="B113" s="22" t="s">
        <v>113</v>
      </c>
      <c r="C113" s="21" t="s">
        <v>18</v>
      </c>
      <c r="D113" s="23">
        <v>6</v>
      </c>
      <c r="E113" s="24"/>
      <c r="F113" s="25">
        <f t="shared" si="6"/>
        <v>0</v>
      </c>
    </row>
    <row r="114" spans="1:6" x14ac:dyDescent="0.3">
      <c r="A114" s="35">
        <f t="shared" si="7"/>
        <v>101</v>
      </c>
      <c r="B114" s="22" t="s">
        <v>61</v>
      </c>
      <c r="C114" s="21" t="s">
        <v>18</v>
      </c>
      <c r="D114" s="23">
        <v>6</v>
      </c>
      <c r="E114" s="24"/>
      <c r="F114" s="25">
        <f t="shared" si="6"/>
        <v>0</v>
      </c>
    </row>
    <row r="115" spans="1:6" x14ac:dyDescent="0.3">
      <c r="A115" s="35">
        <f t="shared" si="7"/>
        <v>102</v>
      </c>
      <c r="B115" s="22" t="s">
        <v>114</v>
      </c>
      <c r="C115" s="21" t="s">
        <v>18</v>
      </c>
      <c r="D115" s="23">
        <v>33</v>
      </c>
      <c r="E115" s="24"/>
      <c r="F115" s="25">
        <f t="shared" si="6"/>
        <v>0</v>
      </c>
    </row>
    <row r="116" spans="1:6" ht="27.6" x14ac:dyDescent="0.3">
      <c r="A116" s="35">
        <f t="shared" si="7"/>
        <v>103</v>
      </c>
      <c r="B116" s="22" t="s">
        <v>115</v>
      </c>
      <c r="C116" s="21" t="s">
        <v>18</v>
      </c>
      <c r="D116" s="23">
        <v>12</v>
      </c>
      <c r="E116" s="24"/>
      <c r="F116" s="25">
        <f t="shared" si="6"/>
        <v>0</v>
      </c>
    </row>
    <row r="117" spans="1:6" s="28" customFormat="1" x14ac:dyDescent="0.3">
      <c r="A117" s="21">
        <f t="shared" si="7"/>
        <v>104</v>
      </c>
      <c r="B117" s="22" t="s">
        <v>116</v>
      </c>
      <c r="C117" s="21" t="s">
        <v>18</v>
      </c>
      <c r="D117" s="26">
        <v>6</v>
      </c>
      <c r="E117" s="24"/>
      <c r="F117" s="25">
        <f t="shared" si="6"/>
        <v>0</v>
      </c>
    </row>
    <row r="118" spans="1:6" s="28" customFormat="1" x14ac:dyDescent="0.3">
      <c r="A118" s="21">
        <f t="shared" si="7"/>
        <v>105</v>
      </c>
      <c r="B118" s="22" t="s">
        <v>117</v>
      </c>
      <c r="C118" s="21" t="s">
        <v>18</v>
      </c>
      <c r="D118" s="26">
        <v>3</v>
      </c>
      <c r="E118" s="24"/>
      <c r="F118" s="25">
        <f t="shared" si="6"/>
        <v>0</v>
      </c>
    </row>
    <row r="119" spans="1:6" x14ac:dyDescent="0.3">
      <c r="A119" s="35">
        <f t="shared" si="7"/>
        <v>106</v>
      </c>
      <c r="B119" s="22" t="s">
        <v>118</v>
      </c>
      <c r="C119" s="21" t="s">
        <v>18</v>
      </c>
      <c r="D119" s="23">
        <v>18</v>
      </c>
      <c r="E119" s="24"/>
      <c r="F119" s="25">
        <f t="shared" si="6"/>
        <v>0</v>
      </c>
    </row>
    <row r="120" spans="1:6" x14ac:dyDescent="0.3">
      <c r="A120" s="35">
        <f t="shared" si="7"/>
        <v>107</v>
      </c>
      <c r="B120" s="22" t="s">
        <v>45</v>
      </c>
      <c r="C120" s="21" t="s">
        <v>18</v>
      </c>
      <c r="D120" s="23">
        <v>9</v>
      </c>
      <c r="E120" s="24"/>
      <c r="F120" s="25">
        <f t="shared" si="6"/>
        <v>0</v>
      </c>
    </row>
    <row r="121" spans="1:6" ht="55.2" x14ac:dyDescent="0.3">
      <c r="A121" s="35">
        <f t="shared" si="7"/>
        <v>108</v>
      </c>
      <c r="B121" s="22" t="s">
        <v>119</v>
      </c>
      <c r="C121" s="21" t="s">
        <v>18</v>
      </c>
      <c r="D121" s="23">
        <v>3</v>
      </c>
      <c r="E121" s="24"/>
      <c r="F121" s="25">
        <f t="shared" si="6"/>
        <v>0</v>
      </c>
    </row>
    <row r="122" spans="1:6" x14ac:dyDescent="0.3">
      <c r="A122" s="35">
        <f t="shared" si="7"/>
        <v>109</v>
      </c>
      <c r="B122" s="22" t="s">
        <v>60</v>
      </c>
      <c r="C122" s="21" t="s">
        <v>18</v>
      </c>
      <c r="D122" s="23">
        <v>3</v>
      </c>
      <c r="E122" s="24"/>
      <c r="F122" s="25">
        <f t="shared" si="6"/>
        <v>0</v>
      </c>
    </row>
    <row r="123" spans="1:6" x14ac:dyDescent="0.3">
      <c r="A123" s="35">
        <f t="shared" si="7"/>
        <v>110</v>
      </c>
      <c r="B123" s="22" t="s">
        <v>110</v>
      </c>
      <c r="C123" s="21" t="s">
        <v>18</v>
      </c>
      <c r="D123" s="23">
        <v>3</v>
      </c>
      <c r="E123" s="24"/>
      <c r="F123" s="25">
        <f t="shared" si="6"/>
        <v>0</v>
      </c>
    </row>
    <row r="124" spans="1:6" x14ac:dyDescent="0.3">
      <c r="A124" s="35">
        <f t="shared" si="7"/>
        <v>111</v>
      </c>
      <c r="B124" s="22" t="s">
        <v>120</v>
      </c>
      <c r="C124" s="21" t="s">
        <v>18</v>
      </c>
      <c r="D124" s="23">
        <v>3</v>
      </c>
      <c r="E124" s="24"/>
      <c r="F124" s="25">
        <f t="shared" si="6"/>
        <v>0</v>
      </c>
    </row>
    <row r="125" spans="1:6" s="28" customFormat="1" ht="165.6" x14ac:dyDescent="0.3">
      <c r="A125" s="21">
        <f t="shared" si="7"/>
        <v>112</v>
      </c>
      <c r="B125" s="22" t="s">
        <v>121</v>
      </c>
      <c r="C125" s="21" t="s">
        <v>33</v>
      </c>
      <c r="D125" s="26">
        <v>3</v>
      </c>
      <c r="E125" s="24"/>
      <c r="F125" s="25">
        <f t="shared" si="6"/>
        <v>0</v>
      </c>
    </row>
    <row r="126" spans="1:6" ht="27.6" x14ac:dyDescent="0.3">
      <c r="A126" s="21">
        <f t="shared" si="7"/>
        <v>113</v>
      </c>
      <c r="B126" s="22" t="s">
        <v>122</v>
      </c>
      <c r="C126" s="21" t="s">
        <v>18</v>
      </c>
      <c r="D126" s="26">
        <v>6</v>
      </c>
      <c r="E126" s="24"/>
      <c r="F126" s="25">
        <f t="shared" si="6"/>
        <v>0</v>
      </c>
    </row>
    <row r="127" spans="1:6" s="28" customFormat="1" ht="69" x14ac:dyDescent="0.3">
      <c r="A127" s="21">
        <f t="shared" si="7"/>
        <v>114</v>
      </c>
      <c r="B127" s="22" t="s">
        <v>123</v>
      </c>
      <c r="C127" s="21" t="s">
        <v>18</v>
      </c>
      <c r="D127" s="26">
        <v>3</v>
      </c>
      <c r="E127" s="24"/>
      <c r="F127" s="25">
        <f t="shared" si="6"/>
        <v>0</v>
      </c>
    </row>
    <row r="128" spans="1:6" x14ac:dyDescent="0.3">
      <c r="A128" s="35">
        <f t="shared" si="7"/>
        <v>115</v>
      </c>
      <c r="B128" s="22" t="s">
        <v>31</v>
      </c>
      <c r="C128" s="21" t="s">
        <v>33</v>
      </c>
      <c r="D128" s="23">
        <v>3</v>
      </c>
      <c r="E128" s="24"/>
      <c r="F128" s="25">
        <f t="shared" si="6"/>
        <v>0</v>
      </c>
    </row>
    <row r="129" spans="1:6" x14ac:dyDescent="0.3">
      <c r="A129" s="35">
        <f t="shared" si="7"/>
        <v>116</v>
      </c>
      <c r="B129" s="22" t="s">
        <v>124</v>
      </c>
      <c r="C129" s="21" t="s">
        <v>33</v>
      </c>
      <c r="D129" s="23">
        <v>3</v>
      </c>
      <c r="E129" s="24"/>
      <c r="F129" s="25">
        <f t="shared" si="6"/>
        <v>0</v>
      </c>
    </row>
    <row r="130" spans="1:6" x14ac:dyDescent="0.3">
      <c r="A130" s="35">
        <f t="shared" si="7"/>
        <v>117</v>
      </c>
      <c r="B130" s="22" t="s">
        <v>125</v>
      </c>
      <c r="C130" s="21" t="s">
        <v>33</v>
      </c>
      <c r="D130" s="23">
        <v>3</v>
      </c>
      <c r="E130" s="24"/>
      <c r="F130" s="25">
        <f t="shared" si="6"/>
        <v>0</v>
      </c>
    </row>
    <row r="131" spans="1:6" x14ac:dyDescent="0.3">
      <c r="A131" s="21">
        <f t="shared" si="7"/>
        <v>118</v>
      </c>
      <c r="B131" s="22" t="s">
        <v>126</v>
      </c>
      <c r="C131" s="21" t="s">
        <v>33</v>
      </c>
      <c r="D131" s="26">
        <v>12</v>
      </c>
      <c r="E131" s="24"/>
      <c r="F131" s="25">
        <f t="shared" si="6"/>
        <v>0</v>
      </c>
    </row>
    <row r="132" spans="1:6" x14ac:dyDescent="0.3">
      <c r="A132" s="21">
        <f t="shared" si="7"/>
        <v>119</v>
      </c>
      <c r="B132" s="22" t="s">
        <v>127</v>
      </c>
      <c r="C132" s="21" t="s">
        <v>33</v>
      </c>
      <c r="D132" s="26">
        <v>3</v>
      </c>
      <c r="E132" s="24"/>
      <c r="F132" s="25">
        <f t="shared" si="6"/>
        <v>0</v>
      </c>
    </row>
    <row r="133" spans="1:6" x14ac:dyDescent="0.3">
      <c r="A133" s="35"/>
      <c r="B133" s="40"/>
      <c r="C133" s="30"/>
      <c r="D133" s="23"/>
      <c r="E133" s="24"/>
      <c r="F133" s="25">
        <f t="shared" si="6"/>
        <v>0</v>
      </c>
    </row>
    <row r="134" spans="1:6" x14ac:dyDescent="0.3">
      <c r="A134" s="17" t="s">
        <v>128</v>
      </c>
      <c r="B134" s="17" t="s">
        <v>129</v>
      </c>
      <c r="C134" s="17"/>
      <c r="D134" s="17"/>
      <c r="E134" s="17"/>
      <c r="F134" s="25">
        <f t="shared" si="6"/>
        <v>0</v>
      </c>
    </row>
    <row r="135" spans="1:6" ht="55.2" x14ac:dyDescent="0.3">
      <c r="A135" s="41">
        <v>120</v>
      </c>
      <c r="B135" s="22" t="s">
        <v>130</v>
      </c>
      <c r="C135" s="21" t="s">
        <v>10</v>
      </c>
      <c r="D135" s="23">
        <v>60</v>
      </c>
      <c r="E135" s="24"/>
      <c r="F135" s="25">
        <f t="shared" ref="F135:F198" si="8">D135*E135</f>
        <v>0</v>
      </c>
    </row>
    <row r="136" spans="1:6" x14ac:dyDescent="0.3">
      <c r="A136" s="41">
        <v>121</v>
      </c>
      <c r="B136" s="22" t="s">
        <v>131</v>
      </c>
      <c r="C136" s="21" t="s">
        <v>10</v>
      </c>
      <c r="D136" s="23">
        <v>105</v>
      </c>
      <c r="E136" s="24"/>
      <c r="F136" s="25">
        <f t="shared" si="8"/>
        <v>0</v>
      </c>
    </row>
    <row r="137" spans="1:6" x14ac:dyDescent="0.3">
      <c r="A137" s="41">
        <v>122</v>
      </c>
      <c r="B137" s="22" t="s">
        <v>38</v>
      </c>
      <c r="C137" s="21" t="s">
        <v>10</v>
      </c>
      <c r="D137" s="23">
        <v>190</v>
      </c>
      <c r="E137" s="24"/>
      <c r="F137" s="25">
        <f t="shared" si="8"/>
        <v>0</v>
      </c>
    </row>
    <row r="138" spans="1:6" ht="55.2" x14ac:dyDescent="0.3">
      <c r="A138" s="41">
        <v>123</v>
      </c>
      <c r="B138" s="22" t="s">
        <v>132</v>
      </c>
      <c r="C138" s="21" t="s">
        <v>10</v>
      </c>
      <c r="D138" s="23">
        <v>60</v>
      </c>
      <c r="E138" s="24"/>
      <c r="F138" s="25">
        <f t="shared" si="8"/>
        <v>0</v>
      </c>
    </row>
    <row r="139" spans="1:6" x14ac:dyDescent="0.3">
      <c r="A139" s="41">
        <v>124</v>
      </c>
      <c r="B139" s="22" t="s">
        <v>133</v>
      </c>
      <c r="C139" s="21" t="s">
        <v>10</v>
      </c>
      <c r="D139" s="23">
        <v>105</v>
      </c>
      <c r="E139" s="24"/>
      <c r="F139" s="25">
        <f t="shared" si="8"/>
        <v>0</v>
      </c>
    </row>
    <row r="140" spans="1:6" x14ac:dyDescent="0.3">
      <c r="A140" s="41">
        <v>125</v>
      </c>
      <c r="B140" s="22" t="s">
        <v>42</v>
      </c>
      <c r="C140" s="21" t="s">
        <v>10</v>
      </c>
      <c r="D140" s="23">
        <v>190</v>
      </c>
      <c r="E140" s="24"/>
      <c r="F140" s="25">
        <f t="shared" si="8"/>
        <v>0</v>
      </c>
    </row>
    <row r="141" spans="1:6" ht="27.6" x14ac:dyDescent="0.3">
      <c r="A141" s="41">
        <v>126</v>
      </c>
      <c r="B141" s="22" t="s">
        <v>100</v>
      </c>
      <c r="C141" s="21" t="s">
        <v>10</v>
      </c>
      <c r="D141" s="23">
        <v>10</v>
      </c>
      <c r="E141" s="24"/>
      <c r="F141" s="25">
        <f t="shared" si="8"/>
        <v>0</v>
      </c>
    </row>
    <row r="142" spans="1:6" ht="55.2" x14ac:dyDescent="0.3">
      <c r="A142" s="41">
        <v>127</v>
      </c>
      <c r="B142" s="22" t="s">
        <v>134</v>
      </c>
      <c r="C142" s="21" t="s">
        <v>18</v>
      </c>
      <c r="D142" s="23">
        <v>9</v>
      </c>
      <c r="E142" s="24"/>
      <c r="F142" s="25">
        <f t="shared" si="8"/>
        <v>0</v>
      </c>
    </row>
    <row r="143" spans="1:6" x14ac:dyDescent="0.3">
      <c r="A143" s="41">
        <v>128</v>
      </c>
      <c r="B143" s="22" t="s">
        <v>135</v>
      </c>
      <c r="C143" s="21" t="s">
        <v>18</v>
      </c>
      <c r="D143" s="23">
        <v>18</v>
      </c>
      <c r="E143" s="24"/>
      <c r="F143" s="25">
        <f t="shared" si="8"/>
        <v>0</v>
      </c>
    </row>
    <row r="144" spans="1:6" x14ac:dyDescent="0.3">
      <c r="A144" s="41">
        <v>129</v>
      </c>
      <c r="B144" s="22" t="s">
        <v>109</v>
      </c>
      <c r="C144" s="21" t="s">
        <v>18</v>
      </c>
      <c r="D144" s="23">
        <v>24</v>
      </c>
      <c r="E144" s="24"/>
      <c r="F144" s="25">
        <f t="shared" si="8"/>
        <v>0</v>
      </c>
    </row>
    <row r="145" spans="1:6" x14ac:dyDescent="0.3">
      <c r="A145" s="41">
        <v>130</v>
      </c>
      <c r="B145" s="22" t="s">
        <v>60</v>
      </c>
      <c r="C145" s="21" t="s">
        <v>18</v>
      </c>
      <c r="D145" s="23">
        <v>48</v>
      </c>
      <c r="E145" s="24"/>
      <c r="F145" s="25">
        <f t="shared" si="8"/>
        <v>0</v>
      </c>
    </row>
    <row r="146" spans="1:6" ht="41.4" x14ac:dyDescent="0.3">
      <c r="A146" s="41">
        <v>131</v>
      </c>
      <c r="B146" s="22" t="s">
        <v>111</v>
      </c>
      <c r="C146" s="21" t="s">
        <v>18</v>
      </c>
      <c r="D146" s="23">
        <v>3</v>
      </c>
      <c r="E146" s="24"/>
      <c r="F146" s="25">
        <f t="shared" si="8"/>
        <v>0</v>
      </c>
    </row>
    <row r="147" spans="1:6" x14ac:dyDescent="0.3">
      <c r="A147" s="41">
        <v>132</v>
      </c>
      <c r="B147" s="22" t="s">
        <v>109</v>
      </c>
      <c r="C147" s="21" t="s">
        <v>18</v>
      </c>
      <c r="D147" s="23">
        <v>3</v>
      </c>
      <c r="E147" s="24"/>
      <c r="F147" s="25">
        <f t="shared" si="8"/>
        <v>0</v>
      </c>
    </row>
    <row r="148" spans="1:6" x14ac:dyDescent="0.3">
      <c r="A148" s="41">
        <v>133</v>
      </c>
      <c r="B148" s="22" t="s">
        <v>60</v>
      </c>
      <c r="C148" s="21" t="s">
        <v>18</v>
      </c>
      <c r="D148" s="23">
        <v>6</v>
      </c>
      <c r="E148" s="24"/>
      <c r="F148" s="25">
        <f t="shared" si="8"/>
        <v>0</v>
      </c>
    </row>
    <row r="149" spans="1:6" x14ac:dyDescent="0.3">
      <c r="A149" s="42">
        <v>134</v>
      </c>
      <c r="B149" s="37" t="s">
        <v>61</v>
      </c>
      <c r="C149" s="36" t="s">
        <v>18</v>
      </c>
      <c r="D149" s="38">
        <v>0</v>
      </c>
      <c r="E149" s="39"/>
      <c r="F149" s="25">
        <f t="shared" si="8"/>
        <v>0</v>
      </c>
    </row>
    <row r="150" spans="1:6" ht="55.2" x14ac:dyDescent="0.3">
      <c r="A150" s="41">
        <v>135</v>
      </c>
      <c r="B150" s="22" t="s">
        <v>136</v>
      </c>
      <c r="C150" s="21" t="s">
        <v>18</v>
      </c>
      <c r="D150" s="23">
        <v>12</v>
      </c>
      <c r="E150" s="24"/>
      <c r="F150" s="25">
        <f t="shared" si="8"/>
        <v>0</v>
      </c>
    </row>
    <row r="151" spans="1:6" x14ac:dyDescent="0.3">
      <c r="A151" s="41">
        <v>136</v>
      </c>
      <c r="B151" s="22" t="s">
        <v>60</v>
      </c>
      <c r="C151" s="21" t="s">
        <v>18</v>
      </c>
      <c r="D151" s="23">
        <v>6</v>
      </c>
      <c r="E151" s="24"/>
      <c r="F151" s="25">
        <f t="shared" si="8"/>
        <v>0</v>
      </c>
    </row>
    <row r="152" spans="1:6" x14ac:dyDescent="0.3">
      <c r="A152" s="41">
        <v>137</v>
      </c>
      <c r="B152" s="22" t="s">
        <v>114</v>
      </c>
      <c r="C152" s="21" t="s">
        <v>18</v>
      </c>
      <c r="D152" s="23">
        <v>24</v>
      </c>
      <c r="E152" s="24"/>
      <c r="F152" s="25">
        <f t="shared" si="8"/>
        <v>0</v>
      </c>
    </row>
    <row r="153" spans="1:6" ht="27.6" x14ac:dyDescent="0.3">
      <c r="A153" s="41">
        <v>138</v>
      </c>
      <c r="B153" s="22" t="s">
        <v>115</v>
      </c>
      <c r="C153" s="21" t="s">
        <v>18</v>
      </c>
      <c r="D153" s="23">
        <v>12</v>
      </c>
      <c r="E153" s="24"/>
      <c r="F153" s="25">
        <f t="shared" si="8"/>
        <v>0</v>
      </c>
    </row>
    <row r="154" spans="1:6" s="28" customFormat="1" x14ac:dyDescent="0.3">
      <c r="A154" s="43">
        <v>139</v>
      </c>
      <c r="B154" s="22" t="s">
        <v>116</v>
      </c>
      <c r="C154" s="21" t="s">
        <v>18</v>
      </c>
      <c r="D154" s="26">
        <v>9</v>
      </c>
      <c r="E154" s="24"/>
      <c r="F154" s="25">
        <f t="shared" si="8"/>
        <v>0</v>
      </c>
    </row>
    <row r="155" spans="1:6" x14ac:dyDescent="0.3">
      <c r="A155" s="41">
        <v>140</v>
      </c>
      <c r="B155" s="22" t="s">
        <v>137</v>
      </c>
      <c r="C155" s="21" t="s">
        <v>18</v>
      </c>
      <c r="D155" s="23">
        <v>3</v>
      </c>
      <c r="E155" s="24"/>
      <c r="F155" s="25">
        <f t="shared" si="8"/>
        <v>0</v>
      </c>
    </row>
    <row r="156" spans="1:6" x14ac:dyDescent="0.3">
      <c r="A156" s="41">
        <v>141</v>
      </c>
      <c r="B156" s="22" t="s">
        <v>118</v>
      </c>
      <c r="C156" s="21" t="s">
        <v>18</v>
      </c>
      <c r="D156" s="23">
        <v>6</v>
      </c>
      <c r="E156" s="24"/>
      <c r="F156" s="25">
        <f t="shared" si="8"/>
        <v>0</v>
      </c>
    </row>
    <row r="157" spans="1:6" x14ac:dyDescent="0.3">
      <c r="A157" s="42">
        <v>142</v>
      </c>
      <c r="B157" s="37" t="s">
        <v>45</v>
      </c>
      <c r="C157" s="36" t="s">
        <v>18</v>
      </c>
      <c r="D157" s="38">
        <v>0</v>
      </c>
      <c r="E157" s="39"/>
      <c r="F157" s="25">
        <f t="shared" si="8"/>
        <v>0</v>
      </c>
    </row>
    <row r="158" spans="1:6" ht="55.2" x14ac:dyDescent="0.3">
      <c r="A158" s="41">
        <v>143</v>
      </c>
      <c r="B158" s="22" t="s">
        <v>138</v>
      </c>
      <c r="C158" s="21" t="s">
        <v>18</v>
      </c>
      <c r="D158" s="23">
        <v>3</v>
      </c>
      <c r="E158" s="24"/>
      <c r="F158" s="25">
        <f t="shared" si="8"/>
        <v>0</v>
      </c>
    </row>
    <row r="159" spans="1:6" x14ac:dyDescent="0.3">
      <c r="A159" s="41">
        <v>144</v>
      </c>
      <c r="B159" s="22" t="s">
        <v>60</v>
      </c>
      <c r="C159" s="21" t="s">
        <v>18</v>
      </c>
      <c r="D159" s="23">
        <v>3</v>
      </c>
      <c r="E159" s="24"/>
      <c r="F159" s="25">
        <f t="shared" si="8"/>
        <v>0</v>
      </c>
    </row>
    <row r="160" spans="1:6" x14ac:dyDescent="0.3">
      <c r="A160" s="41">
        <v>145</v>
      </c>
      <c r="B160" s="22" t="s">
        <v>110</v>
      </c>
      <c r="C160" s="21" t="s">
        <v>18</v>
      </c>
      <c r="D160" s="23">
        <v>0</v>
      </c>
      <c r="E160" s="24"/>
      <c r="F160" s="25">
        <f t="shared" si="8"/>
        <v>0</v>
      </c>
    </row>
    <row r="161" spans="1:6" ht="124.2" x14ac:dyDescent="0.3">
      <c r="A161" s="43">
        <v>146</v>
      </c>
      <c r="B161" s="22" t="s">
        <v>139</v>
      </c>
      <c r="C161" s="21" t="s">
        <v>33</v>
      </c>
      <c r="D161" s="26">
        <v>3</v>
      </c>
      <c r="E161" s="24"/>
      <c r="F161" s="25">
        <f t="shared" si="8"/>
        <v>0</v>
      </c>
    </row>
    <row r="162" spans="1:6" x14ac:dyDescent="0.3">
      <c r="A162" s="41">
        <v>147</v>
      </c>
      <c r="B162" s="22" t="s">
        <v>31</v>
      </c>
      <c r="C162" s="21" t="s">
        <v>33</v>
      </c>
      <c r="D162" s="23">
        <v>3</v>
      </c>
      <c r="E162" s="24"/>
      <c r="F162" s="25">
        <f t="shared" si="8"/>
        <v>0</v>
      </c>
    </row>
    <row r="163" spans="1:6" x14ac:dyDescent="0.3">
      <c r="A163" s="41">
        <v>148</v>
      </c>
      <c r="B163" s="22" t="s">
        <v>124</v>
      </c>
      <c r="C163" s="21" t="s">
        <v>33</v>
      </c>
      <c r="D163" s="23">
        <v>3</v>
      </c>
      <c r="E163" s="24"/>
      <c r="F163" s="25">
        <f t="shared" si="8"/>
        <v>0</v>
      </c>
    </row>
    <row r="164" spans="1:6" x14ac:dyDescent="0.3">
      <c r="A164" s="41">
        <v>149</v>
      </c>
      <c r="B164" s="22" t="s">
        <v>125</v>
      </c>
      <c r="C164" s="21" t="s">
        <v>33</v>
      </c>
      <c r="D164" s="23">
        <v>3</v>
      </c>
      <c r="E164" s="24"/>
      <c r="F164" s="25">
        <f t="shared" si="8"/>
        <v>0</v>
      </c>
    </row>
    <row r="165" spans="1:6" x14ac:dyDescent="0.3">
      <c r="A165" s="42">
        <v>150</v>
      </c>
      <c r="B165" s="37" t="s">
        <v>126</v>
      </c>
      <c r="C165" s="36" t="s">
        <v>33</v>
      </c>
      <c r="D165" s="38">
        <v>9</v>
      </c>
      <c r="E165" s="39"/>
      <c r="F165" s="25">
        <f t="shared" si="8"/>
        <v>0</v>
      </c>
    </row>
    <row r="166" spans="1:6" s="28" customFormat="1" x14ac:dyDescent="0.3">
      <c r="A166" s="43">
        <v>151</v>
      </c>
      <c r="B166" s="22" t="s">
        <v>127</v>
      </c>
      <c r="C166" s="21" t="s">
        <v>33</v>
      </c>
      <c r="D166" s="26">
        <v>3</v>
      </c>
      <c r="E166" s="24"/>
      <c r="F166" s="25">
        <f t="shared" si="8"/>
        <v>0</v>
      </c>
    </row>
    <row r="167" spans="1:6" x14ac:dyDescent="0.3">
      <c r="A167" s="41">
        <v>152</v>
      </c>
      <c r="B167" s="44"/>
      <c r="C167" s="45"/>
      <c r="D167" s="41"/>
      <c r="E167" s="24"/>
      <c r="F167" s="25">
        <f t="shared" si="8"/>
        <v>0</v>
      </c>
    </row>
    <row r="168" spans="1:6" x14ac:dyDescent="0.3">
      <c r="A168" s="17" t="s">
        <v>140</v>
      </c>
      <c r="B168" s="17" t="s">
        <v>141</v>
      </c>
      <c r="C168" s="17"/>
      <c r="D168" s="17"/>
      <c r="E168" s="17"/>
      <c r="F168" s="25">
        <f t="shared" si="8"/>
        <v>0</v>
      </c>
    </row>
    <row r="169" spans="1:6" s="28" customFormat="1" ht="98.25" customHeight="1" x14ac:dyDescent="0.3">
      <c r="A169" s="47">
        <v>153</v>
      </c>
      <c r="B169" s="22" t="s">
        <v>142</v>
      </c>
      <c r="C169" s="21" t="s">
        <v>13</v>
      </c>
      <c r="D169" s="26">
        <v>180</v>
      </c>
      <c r="E169" s="24"/>
      <c r="F169" s="25">
        <f t="shared" si="8"/>
        <v>0</v>
      </c>
    </row>
    <row r="170" spans="1:6" s="28" customFormat="1" ht="81.75" customHeight="1" x14ac:dyDescent="0.3">
      <c r="A170" s="47">
        <v>154</v>
      </c>
      <c r="B170" s="22" t="s">
        <v>143</v>
      </c>
      <c r="C170" s="21" t="s">
        <v>13</v>
      </c>
      <c r="D170" s="26">
        <v>190</v>
      </c>
      <c r="E170" s="24"/>
      <c r="F170" s="25">
        <f t="shared" si="8"/>
        <v>0</v>
      </c>
    </row>
    <row r="171" spans="1:6" s="28" customFormat="1" ht="84" customHeight="1" x14ac:dyDescent="0.3">
      <c r="A171" s="47">
        <v>155</v>
      </c>
      <c r="B171" s="22" t="s">
        <v>144</v>
      </c>
      <c r="C171" s="21" t="s">
        <v>13</v>
      </c>
      <c r="D171" s="26">
        <v>205</v>
      </c>
      <c r="E171" s="24"/>
      <c r="F171" s="25">
        <f t="shared" si="8"/>
        <v>0</v>
      </c>
    </row>
    <row r="172" spans="1:6" s="28" customFormat="1" ht="61.5" customHeight="1" x14ac:dyDescent="0.3">
      <c r="A172" s="47">
        <v>156</v>
      </c>
      <c r="B172" s="22" t="s">
        <v>145</v>
      </c>
      <c r="C172" s="21" t="s">
        <v>18</v>
      </c>
      <c r="D172" s="26">
        <v>16</v>
      </c>
      <c r="E172" s="24"/>
      <c r="F172" s="25">
        <f t="shared" si="8"/>
        <v>0</v>
      </c>
    </row>
    <row r="173" spans="1:6" s="28" customFormat="1" ht="55.2" x14ac:dyDescent="0.3">
      <c r="A173" s="47">
        <v>157</v>
      </c>
      <c r="B173" s="22" t="s">
        <v>146</v>
      </c>
      <c r="C173" s="21" t="s">
        <v>18</v>
      </c>
      <c r="D173" s="26">
        <v>3</v>
      </c>
      <c r="E173" s="24"/>
      <c r="F173" s="25">
        <f t="shared" si="8"/>
        <v>0</v>
      </c>
    </row>
    <row r="174" spans="1:6" s="28" customFormat="1" ht="55.2" x14ac:dyDescent="0.3">
      <c r="A174" s="47">
        <v>158</v>
      </c>
      <c r="B174" s="22" t="s">
        <v>147</v>
      </c>
      <c r="C174" s="21" t="s">
        <v>18</v>
      </c>
      <c r="D174" s="26">
        <v>3</v>
      </c>
      <c r="E174" s="24"/>
      <c r="F174" s="25">
        <f t="shared" si="8"/>
        <v>0</v>
      </c>
    </row>
    <row r="175" spans="1:6" s="28" customFormat="1" ht="69" customHeight="1" x14ac:dyDescent="0.3">
      <c r="A175" s="47">
        <v>159</v>
      </c>
      <c r="B175" s="22" t="s">
        <v>148</v>
      </c>
      <c r="C175" s="21" t="s">
        <v>18</v>
      </c>
      <c r="D175" s="26">
        <v>8</v>
      </c>
      <c r="E175" s="24"/>
      <c r="F175" s="25">
        <f t="shared" si="8"/>
        <v>0</v>
      </c>
    </row>
    <row r="176" spans="1:6" s="28" customFormat="1" ht="70.5" customHeight="1" x14ac:dyDescent="0.3">
      <c r="A176" s="47">
        <v>160</v>
      </c>
      <c r="B176" s="22" t="s">
        <v>149</v>
      </c>
      <c r="C176" s="21" t="s">
        <v>18</v>
      </c>
      <c r="D176" s="26">
        <v>8</v>
      </c>
      <c r="E176" s="24"/>
      <c r="F176" s="25">
        <f t="shared" si="8"/>
        <v>0</v>
      </c>
    </row>
    <row r="177" spans="1:6" s="28" customFormat="1" ht="67.5" customHeight="1" x14ac:dyDescent="0.3">
      <c r="A177" s="47">
        <v>161</v>
      </c>
      <c r="B177" s="22" t="s">
        <v>150</v>
      </c>
      <c r="C177" s="21" t="s">
        <v>18</v>
      </c>
      <c r="D177" s="26">
        <v>3</v>
      </c>
      <c r="E177" s="24"/>
      <c r="F177" s="25">
        <f t="shared" si="8"/>
        <v>0</v>
      </c>
    </row>
    <row r="178" spans="1:6" s="28" customFormat="1" ht="80.25" customHeight="1" x14ac:dyDescent="0.3">
      <c r="A178" s="47">
        <v>162</v>
      </c>
      <c r="B178" s="22" t="s">
        <v>151</v>
      </c>
      <c r="C178" s="21" t="s">
        <v>18</v>
      </c>
      <c r="D178" s="26">
        <v>8</v>
      </c>
      <c r="E178" s="24"/>
      <c r="F178" s="25">
        <f t="shared" si="8"/>
        <v>0</v>
      </c>
    </row>
    <row r="179" spans="1:6" s="28" customFormat="1" ht="57" customHeight="1" x14ac:dyDescent="0.3">
      <c r="A179" s="47">
        <v>163</v>
      </c>
      <c r="B179" s="22" t="s">
        <v>152</v>
      </c>
      <c r="C179" s="21" t="s">
        <v>18</v>
      </c>
      <c r="D179" s="26">
        <v>8</v>
      </c>
      <c r="E179" s="24"/>
      <c r="F179" s="25">
        <f t="shared" si="8"/>
        <v>0</v>
      </c>
    </row>
    <row r="180" spans="1:6" s="28" customFormat="1" ht="55.2" x14ac:dyDescent="0.3">
      <c r="A180" s="47">
        <v>164</v>
      </c>
      <c r="B180" s="22" t="s">
        <v>153</v>
      </c>
      <c r="C180" s="21" t="s">
        <v>18</v>
      </c>
      <c r="D180" s="26">
        <v>1</v>
      </c>
      <c r="E180" s="24"/>
      <c r="F180" s="25">
        <f t="shared" si="8"/>
        <v>0</v>
      </c>
    </row>
    <row r="181" spans="1:6" s="28" customFormat="1" ht="41.4" x14ac:dyDescent="0.3">
      <c r="A181" s="47">
        <v>165</v>
      </c>
      <c r="B181" s="22" t="s">
        <v>154</v>
      </c>
      <c r="C181" s="21" t="s">
        <v>18</v>
      </c>
      <c r="D181" s="26">
        <v>3</v>
      </c>
      <c r="E181" s="24"/>
      <c r="F181" s="25">
        <f t="shared" si="8"/>
        <v>0</v>
      </c>
    </row>
    <row r="182" spans="1:6" s="28" customFormat="1" ht="138" x14ac:dyDescent="0.3">
      <c r="A182" s="47">
        <v>166</v>
      </c>
      <c r="B182" s="22" t="s">
        <v>155</v>
      </c>
      <c r="C182" s="21" t="s">
        <v>18</v>
      </c>
      <c r="D182" s="26">
        <v>16</v>
      </c>
      <c r="E182" s="24"/>
      <c r="F182" s="25">
        <f t="shared" si="8"/>
        <v>0</v>
      </c>
    </row>
    <row r="183" spans="1:6" s="28" customFormat="1" x14ac:dyDescent="0.3">
      <c r="A183" s="47">
        <v>167</v>
      </c>
      <c r="B183" s="22" t="s">
        <v>156</v>
      </c>
      <c r="C183" s="21" t="s">
        <v>18</v>
      </c>
      <c r="D183" s="26">
        <v>23</v>
      </c>
      <c r="E183" s="24"/>
      <c r="F183" s="25">
        <f t="shared" si="8"/>
        <v>0</v>
      </c>
    </row>
    <row r="184" spans="1:6" s="28" customFormat="1" x14ac:dyDescent="0.3">
      <c r="A184" s="47">
        <v>168</v>
      </c>
      <c r="B184" s="22" t="s">
        <v>157</v>
      </c>
      <c r="C184" s="21" t="s">
        <v>33</v>
      </c>
      <c r="D184" s="26">
        <v>3</v>
      </c>
      <c r="E184" s="24"/>
      <c r="F184" s="25">
        <f t="shared" si="8"/>
        <v>0</v>
      </c>
    </row>
    <row r="185" spans="1:6" s="28" customFormat="1" x14ac:dyDescent="0.3">
      <c r="A185" s="47">
        <v>169</v>
      </c>
      <c r="B185" s="22" t="s">
        <v>158</v>
      </c>
      <c r="C185" s="21" t="s">
        <v>33</v>
      </c>
      <c r="D185" s="26">
        <v>3</v>
      </c>
      <c r="E185" s="24"/>
      <c r="F185" s="25">
        <f t="shared" si="8"/>
        <v>0</v>
      </c>
    </row>
    <row r="186" spans="1:6" x14ac:dyDescent="0.3">
      <c r="A186" s="46"/>
      <c r="B186" s="44"/>
      <c r="C186" s="45"/>
      <c r="D186" s="41"/>
      <c r="E186" s="24"/>
      <c r="F186" s="25">
        <f t="shared" si="8"/>
        <v>0</v>
      </c>
    </row>
    <row r="187" spans="1:6" x14ac:dyDescent="0.3">
      <c r="A187" s="17" t="s">
        <v>159</v>
      </c>
      <c r="B187" s="17" t="s">
        <v>160</v>
      </c>
      <c r="C187" s="17"/>
      <c r="D187" s="17"/>
      <c r="E187" s="17"/>
      <c r="F187" s="25">
        <f t="shared" si="8"/>
        <v>0</v>
      </c>
    </row>
    <row r="188" spans="1:6" s="28" customFormat="1" x14ac:dyDescent="0.3">
      <c r="A188" s="47">
        <v>170</v>
      </c>
      <c r="B188" s="22" t="s">
        <v>161</v>
      </c>
      <c r="C188" s="21" t="s">
        <v>18</v>
      </c>
      <c r="D188" s="26">
        <v>6</v>
      </c>
      <c r="E188" s="24"/>
      <c r="F188" s="25">
        <f t="shared" si="8"/>
        <v>0</v>
      </c>
    </row>
    <row r="189" spans="1:6" s="28" customFormat="1" x14ac:dyDescent="0.3">
      <c r="A189" s="47">
        <v>171</v>
      </c>
      <c r="B189" s="22" t="s">
        <v>162</v>
      </c>
      <c r="C189" s="21" t="s">
        <v>18</v>
      </c>
      <c r="D189" s="26">
        <v>6</v>
      </c>
      <c r="E189" s="24"/>
      <c r="F189" s="25">
        <f t="shared" si="8"/>
        <v>0</v>
      </c>
    </row>
    <row r="190" spans="1:6" s="28" customFormat="1" x14ac:dyDescent="0.3">
      <c r="A190" s="47">
        <v>172</v>
      </c>
      <c r="B190" s="22" t="s">
        <v>163</v>
      </c>
      <c r="C190" s="21" t="s">
        <v>18</v>
      </c>
      <c r="D190" s="26">
        <v>6</v>
      </c>
      <c r="E190" s="24"/>
      <c r="F190" s="25">
        <f t="shared" si="8"/>
        <v>0</v>
      </c>
    </row>
    <row r="191" spans="1:6" s="28" customFormat="1" x14ac:dyDescent="0.3">
      <c r="A191" s="47">
        <v>173</v>
      </c>
      <c r="B191" s="22" t="s">
        <v>164</v>
      </c>
      <c r="C191" s="21" t="s">
        <v>18</v>
      </c>
      <c r="D191" s="26">
        <v>6</v>
      </c>
      <c r="E191" s="24"/>
      <c r="F191" s="25">
        <f t="shared" si="8"/>
        <v>0</v>
      </c>
    </row>
    <row r="192" spans="1:6" s="28" customFormat="1" x14ac:dyDescent="0.3">
      <c r="A192" s="47">
        <v>174</v>
      </c>
      <c r="B192" s="22" t="s">
        <v>165</v>
      </c>
      <c r="C192" s="21" t="s">
        <v>18</v>
      </c>
      <c r="D192" s="26">
        <v>6</v>
      </c>
      <c r="E192" s="24"/>
      <c r="F192" s="25">
        <f t="shared" si="8"/>
        <v>0</v>
      </c>
    </row>
    <row r="193" spans="1:6" s="28" customFormat="1" ht="15.6" x14ac:dyDescent="0.3">
      <c r="A193" s="47">
        <v>175</v>
      </c>
      <c r="B193" s="22" t="s">
        <v>166</v>
      </c>
      <c r="C193" s="21" t="s">
        <v>18</v>
      </c>
      <c r="D193" s="26">
        <v>20</v>
      </c>
      <c r="E193" s="24"/>
      <c r="F193" s="25">
        <f t="shared" si="8"/>
        <v>0</v>
      </c>
    </row>
    <row r="194" spans="1:6" s="28" customFormat="1" x14ac:dyDescent="0.3">
      <c r="A194" s="47">
        <v>176</v>
      </c>
      <c r="B194" s="22" t="s">
        <v>167</v>
      </c>
      <c r="C194" s="21" t="s">
        <v>18</v>
      </c>
      <c r="D194" s="26">
        <v>18</v>
      </c>
      <c r="E194" s="24"/>
      <c r="F194" s="25">
        <f t="shared" si="8"/>
        <v>0</v>
      </c>
    </row>
    <row r="195" spans="1:6" s="28" customFormat="1" x14ac:dyDescent="0.3">
      <c r="A195" s="47">
        <v>177</v>
      </c>
      <c r="B195" s="22" t="s">
        <v>168</v>
      </c>
      <c r="C195" s="21" t="s">
        <v>169</v>
      </c>
      <c r="D195" s="26">
        <v>20</v>
      </c>
      <c r="E195" s="24"/>
      <c r="F195" s="25">
        <f t="shared" si="8"/>
        <v>0</v>
      </c>
    </row>
    <row r="196" spans="1:6" s="28" customFormat="1" x14ac:dyDescent="0.3">
      <c r="A196" s="47">
        <v>178</v>
      </c>
      <c r="B196" s="22" t="s">
        <v>170</v>
      </c>
      <c r="C196" s="21" t="s">
        <v>169</v>
      </c>
      <c r="D196" s="26">
        <v>80</v>
      </c>
      <c r="E196" s="24"/>
      <c r="F196" s="25">
        <f t="shared" si="8"/>
        <v>0</v>
      </c>
    </row>
    <row r="197" spans="1:6" s="28" customFormat="1" x14ac:dyDescent="0.3">
      <c r="A197" s="47">
        <v>179</v>
      </c>
      <c r="B197" s="22" t="s">
        <v>171</v>
      </c>
      <c r="C197" s="21" t="s">
        <v>33</v>
      </c>
      <c r="D197" s="26">
        <v>1</v>
      </c>
      <c r="E197" s="24"/>
      <c r="F197" s="25">
        <f t="shared" si="8"/>
        <v>0</v>
      </c>
    </row>
    <row r="198" spans="1:6" x14ac:dyDescent="0.3">
      <c r="A198" s="46"/>
      <c r="B198" s="44"/>
      <c r="C198" s="45"/>
      <c r="D198" s="41"/>
      <c r="E198" s="24"/>
      <c r="F198" s="25">
        <f t="shared" si="8"/>
        <v>0</v>
      </c>
    </row>
    <row r="199" spans="1:6" x14ac:dyDescent="0.3">
      <c r="A199" s="17" t="s">
        <v>172</v>
      </c>
      <c r="B199" s="17" t="s">
        <v>173</v>
      </c>
      <c r="C199" s="17"/>
      <c r="D199" s="17"/>
      <c r="E199" s="17"/>
      <c r="F199" s="25">
        <f t="shared" ref="F199:F252" si="9">D199*E199</f>
        <v>0</v>
      </c>
    </row>
    <row r="200" spans="1:6" s="28" customFormat="1" ht="69" x14ac:dyDescent="0.3">
      <c r="A200" s="47">
        <v>180</v>
      </c>
      <c r="B200" s="22" t="s">
        <v>174</v>
      </c>
      <c r="C200" s="21" t="s">
        <v>10</v>
      </c>
      <c r="D200" s="26">
        <v>10</v>
      </c>
      <c r="E200" s="24"/>
      <c r="F200" s="25">
        <f t="shared" si="9"/>
        <v>0</v>
      </c>
    </row>
    <row r="201" spans="1:6" s="28" customFormat="1" ht="69" x14ac:dyDescent="0.3">
      <c r="A201" s="47">
        <v>181</v>
      </c>
      <c r="B201" s="22" t="s">
        <v>175</v>
      </c>
      <c r="C201" s="21" t="s">
        <v>10</v>
      </c>
      <c r="D201" s="26">
        <v>35</v>
      </c>
      <c r="E201" s="24"/>
      <c r="F201" s="25">
        <f t="shared" si="9"/>
        <v>0</v>
      </c>
    </row>
    <row r="202" spans="1:6" s="28" customFormat="1" ht="82.8" x14ac:dyDescent="0.3">
      <c r="A202" s="47">
        <v>182</v>
      </c>
      <c r="B202" s="22" t="s">
        <v>176</v>
      </c>
      <c r="C202" s="21" t="s">
        <v>18</v>
      </c>
      <c r="D202" s="26">
        <v>14</v>
      </c>
      <c r="E202" s="24"/>
      <c r="F202" s="25">
        <f t="shared" si="9"/>
        <v>0</v>
      </c>
    </row>
    <row r="203" spans="1:6" s="28" customFormat="1" x14ac:dyDescent="0.3">
      <c r="A203" s="47">
        <v>183</v>
      </c>
      <c r="B203" s="22" t="s">
        <v>177</v>
      </c>
      <c r="C203" s="21" t="s">
        <v>18</v>
      </c>
      <c r="D203" s="26">
        <v>1</v>
      </c>
      <c r="E203" s="24"/>
      <c r="F203" s="25">
        <f t="shared" si="9"/>
        <v>0</v>
      </c>
    </row>
    <row r="204" spans="1:6" s="28" customFormat="1" x14ac:dyDescent="0.3">
      <c r="A204" s="47">
        <v>184</v>
      </c>
      <c r="B204" s="22" t="s">
        <v>178</v>
      </c>
      <c r="C204" s="21" t="s">
        <v>18</v>
      </c>
      <c r="D204" s="26">
        <v>22</v>
      </c>
      <c r="E204" s="24"/>
      <c r="F204" s="25">
        <f t="shared" si="9"/>
        <v>0</v>
      </c>
    </row>
    <row r="205" spans="1:6" s="28" customFormat="1" x14ac:dyDescent="0.3">
      <c r="A205" s="47">
        <v>185</v>
      </c>
      <c r="B205" s="22" t="s">
        <v>171</v>
      </c>
      <c r="C205" s="21" t="s">
        <v>18</v>
      </c>
      <c r="D205" s="26">
        <v>8</v>
      </c>
      <c r="E205" s="24"/>
      <c r="F205" s="25">
        <f t="shared" si="9"/>
        <v>0</v>
      </c>
    </row>
    <row r="206" spans="1:6" x14ac:dyDescent="0.3">
      <c r="A206" s="46"/>
      <c r="B206" s="44"/>
      <c r="C206" s="45"/>
      <c r="D206" s="41"/>
      <c r="E206" s="24"/>
      <c r="F206" s="25">
        <f t="shared" si="9"/>
        <v>0</v>
      </c>
    </row>
    <row r="207" spans="1:6" x14ac:dyDescent="0.3">
      <c r="A207" s="8" t="s">
        <v>179</v>
      </c>
      <c r="B207" s="8"/>
      <c r="C207" s="8"/>
      <c r="D207" s="48"/>
      <c r="E207" s="48"/>
      <c r="F207" s="25">
        <f t="shared" si="9"/>
        <v>0</v>
      </c>
    </row>
    <row r="208" spans="1:6" ht="17.25" customHeight="1" x14ac:dyDescent="0.3">
      <c r="A208" s="17" t="s">
        <v>180</v>
      </c>
      <c r="B208" s="17" t="s">
        <v>181</v>
      </c>
      <c r="C208" s="17"/>
      <c r="D208" s="17"/>
      <c r="E208" s="17"/>
      <c r="F208" s="25">
        <f t="shared" si="9"/>
        <v>0</v>
      </c>
    </row>
    <row r="209" spans="1:6" s="28" customFormat="1" ht="94.5" customHeight="1" x14ac:dyDescent="0.3">
      <c r="A209" s="49">
        <v>186</v>
      </c>
      <c r="B209" s="22" t="s">
        <v>182</v>
      </c>
      <c r="C209" s="21" t="s">
        <v>18</v>
      </c>
      <c r="D209" s="26">
        <v>12</v>
      </c>
      <c r="E209" s="24"/>
      <c r="F209" s="25">
        <f t="shared" si="9"/>
        <v>0</v>
      </c>
    </row>
    <row r="210" spans="1:6" s="28" customFormat="1" ht="99.75" customHeight="1" x14ac:dyDescent="0.3">
      <c r="A210" s="49">
        <v>187</v>
      </c>
      <c r="B210" s="22" t="s">
        <v>183</v>
      </c>
      <c r="C210" s="21" t="s">
        <v>18</v>
      </c>
      <c r="D210" s="26">
        <v>9</v>
      </c>
      <c r="E210" s="24"/>
      <c r="F210" s="25">
        <f t="shared" si="9"/>
        <v>0</v>
      </c>
    </row>
    <row r="211" spans="1:6" s="50" customFormat="1" ht="69" x14ac:dyDescent="0.3">
      <c r="A211" s="49">
        <v>188</v>
      </c>
      <c r="B211" s="22" t="s">
        <v>184</v>
      </c>
      <c r="C211" s="21" t="s">
        <v>18</v>
      </c>
      <c r="D211" s="26">
        <v>3</v>
      </c>
      <c r="E211" s="24"/>
      <c r="F211" s="25">
        <f t="shared" si="9"/>
        <v>0</v>
      </c>
    </row>
    <row r="212" spans="1:6" s="28" customFormat="1" ht="110.4" x14ac:dyDescent="0.3">
      <c r="A212" s="49">
        <v>189</v>
      </c>
      <c r="B212" s="22" t="s">
        <v>185</v>
      </c>
      <c r="C212" s="21" t="s">
        <v>18</v>
      </c>
      <c r="D212" s="26">
        <v>3</v>
      </c>
      <c r="E212" s="24"/>
      <c r="F212" s="25">
        <f t="shared" si="9"/>
        <v>0</v>
      </c>
    </row>
    <row r="213" spans="1:6" s="28" customFormat="1" ht="124.2" x14ac:dyDescent="0.3">
      <c r="A213" s="49">
        <v>190</v>
      </c>
      <c r="B213" s="22" t="s">
        <v>186</v>
      </c>
      <c r="C213" s="21" t="s">
        <v>18</v>
      </c>
      <c r="D213" s="26">
        <v>3</v>
      </c>
      <c r="E213" s="24"/>
      <c r="F213" s="25">
        <f t="shared" si="9"/>
        <v>0</v>
      </c>
    </row>
    <row r="214" spans="1:6" s="28" customFormat="1" ht="133.5" customHeight="1" x14ac:dyDescent="0.3">
      <c r="A214" s="49">
        <v>191</v>
      </c>
      <c r="B214" s="22" t="s">
        <v>187</v>
      </c>
      <c r="C214" s="21" t="s">
        <v>18</v>
      </c>
      <c r="D214" s="26">
        <v>3</v>
      </c>
      <c r="E214" s="24"/>
      <c r="F214" s="25">
        <f t="shared" si="9"/>
        <v>0</v>
      </c>
    </row>
    <row r="215" spans="1:6" x14ac:dyDescent="0.3">
      <c r="A215" s="46"/>
      <c r="B215" s="44"/>
      <c r="C215" s="45"/>
      <c r="D215" s="41"/>
      <c r="E215" s="24"/>
      <c r="F215" s="25">
        <f t="shared" si="9"/>
        <v>0</v>
      </c>
    </row>
    <row r="216" spans="1:6" x14ac:dyDescent="0.3">
      <c r="A216" s="17" t="s">
        <v>188</v>
      </c>
      <c r="B216" s="17" t="s">
        <v>189</v>
      </c>
      <c r="C216" s="17"/>
      <c r="D216" s="17"/>
      <c r="E216" s="17"/>
      <c r="F216" s="25">
        <f t="shared" si="9"/>
        <v>0</v>
      </c>
    </row>
    <row r="217" spans="1:6" ht="138" x14ac:dyDescent="0.3">
      <c r="A217" s="51">
        <v>192</v>
      </c>
      <c r="B217" s="22" t="s">
        <v>190</v>
      </c>
      <c r="C217" s="21" t="s">
        <v>18</v>
      </c>
      <c r="D217" s="52">
        <v>3</v>
      </c>
      <c r="E217" s="24"/>
      <c r="F217" s="25">
        <f t="shared" si="9"/>
        <v>0</v>
      </c>
    </row>
    <row r="218" spans="1:6" ht="82.8" x14ac:dyDescent="0.3">
      <c r="A218" s="51">
        <v>193</v>
      </c>
      <c r="B218" s="22" t="s">
        <v>191</v>
      </c>
      <c r="C218" s="21" t="s">
        <v>18</v>
      </c>
      <c r="D218" s="52">
        <v>3</v>
      </c>
      <c r="E218" s="24"/>
      <c r="F218" s="25">
        <f t="shared" si="9"/>
        <v>0</v>
      </c>
    </row>
    <row r="219" spans="1:6" ht="82.8" x14ac:dyDescent="0.3">
      <c r="A219" s="51">
        <v>194</v>
      </c>
      <c r="B219" s="22" t="s">
        <v>192</v>
      </c>
      <c r="C219" s="21" t="s">
        <v>18</v>
      </c>
      <c r="D219" s="52">
        <v>6</v>
      </c>
      <c r="E219" s="24"/>
      <c r="F219" s="25">
        <f t="shared" si="9"/>
        <v>0</v>
      </c>
    </row>
    <row r="220" spans="1:6" ht="96.6" x14ac:dyDescent="0.3">
      <c r="A220" s="51">
        <v>195</v>
      </c>
      <c r="B220" s="22" t="s">
        <v>193</v>
      </c>
      <c r="C220" s="21" t="s">
        <v>18</v>
      </c>
      <c r="D220" s="23">
        <v>3</v>
      </c>
      <c r="E220" s="24"/>
      <c r="F220" s="25">
        <f t="shared" si="9"/>
        <v>0</v>
      </c>
    </row>
    <row r="221" spans="1:6" ht="124.2" x14ac:dyDescent="0.3">
      <c r="A221" s="51">
        <v>196</v>
      </c>
      <c r="B221" s="22" t="s">
        <v>194</v>
      </c>
      <c r="C221" s="21" t="s">
        <v>18</v>
      </c>
      <c r="D221" s="23">
        <v>3</v>
      </c>
      <c r="E221" s="24"/>
      <c r="F221" s="25">
        <f t="shared" si="9"/>
        <v>0</v>
      </c>
    </row>
    <row r="222" spans="1:6" ht="96.6" x14ac:dyDescent="0.3">
      <c r="A222" s="51">
        <v>197</v>
      </c>
      <c r="B222" s="22" t="s">
        <v>195</v>
      </c>
      <c r="C222" s="21"/>
      <c r="D222" s="23">
        <v>3</v>
      </c>
      <c r="E222" s="24"/>
      <c r="F222" s="25">
        <f t="shared" si="9"/>
        <v>0</v>
      </c>
    </row>
    <row r="223" spans="1:6" ht="69" x14ac:dyDescent="0.3">
      <c r="A223" s="51">
        <v>198</v>
      </c>
      <c r="B223" s="22" t="s">
        <v>196</v>
      </c>
      <c r="C223" s="21" t="s">
        <v>18</v>
      </c>
      <c r="D223" s="23">
        <v>3</v>
      </c>
      <c r="E223" s="24"/>
      <c r="F223" s="25">
        <f t="shared" si="9"/>
        <v>0</v>
      </c>
    </row>
    <row r="224" spans="1:6" ht="96.6" x14ac:dyDescent="0.3">
      <c r="A224" s="51">
        <v>199</v>
      </c>
      <c r="B224" s="22" t="s">
        <v>197</v>
      </c>
      <c r="C224" s="21"/>
      <c r="D224" s="23">
        <v>3</v>
      </c>
      <c r="E224" s="24"/>
      <c r="F224" s="25">
        <f t="shared" si="9"/>
        <v>0</v>
      </c>
    </row>
    <row r="225" spans="1:6" ht="110.4" x14ac:dyDescent="0.3">
      <c r="A225" s="51">
        <v>200</v>
      </c>
      <c r="B225" s="22" t="s">
        <v>198</v>
      </c>
      <c r="C225" s="21"/>
      <c r="D225" s="23">
        <v>3</v>
      </c>
      <c r="E225" s="24"/>
      <c r="F225" s="25">
        <f t="shared" si="9"/>
        <v>0</v>
      </c>
    </row>
    <row r="226" spans="1:6" ht="124.2" x14ac:dyDescent="0.3">
      <c r="A226" s="51">
        <v>201</v>
      </c>
      <c r="B226" s="22" t="s">
        <v>199</v>
      </c>
      <c r="C226" s="21"/>
      <c r="D226" s="23">
        <v>3</v>
      </c>
      <c r="E226" s="24"/>
      <c r="F226" s="25">
        <f t="shared" si="9"/>
        <v>0</v>
      </c>
    </row>
    <row r="227" spans="1:6" x14ac:dyDescent="0.3">
      <c r="A227" s="46"/>
      <c r="B227" s="44"/>
      <c r="C227" s="45"/>
      <c r="D227" s="41"/>
      <c r="E227" s="24"/>
      <c r="F227" s="25">
        <f t="shared" si="9"/>
        <v>0</v>
      </c>
    </row>
    <row r="228" spans="1:6" x14ac:dyDescent="0.3">
      <c r="A228" s="17" t="s">
        <v>200</v>
      </c>
      <c r="B228" s="17" t="s">
        <v>141</v>
      </c>
      <c r="C228" s="17"/>
      <c r="D228" s="17"/>
      <c r="E228" s="17"/>
      <c r="F228" s="25">
        <f t="shared" si="9"/>
        <v>0</v>
      </c>
    </row>
    <row r="229" spans="1:6" s="28" customFormat="1" ht="124.2" x14ac:dyDescent="0.3">
      <c r="A229" s="47">
        <v>202</v>
      </c>
      <c r="B229" s="22" t="s">
        <v>201</v>
      </c>
      <c r="C229" s="21" t="s">
        <v>18</v>
      </c>
      <c r="D229" s="26">
        <v>1</v>
      </c>
      <c r="E229" s="24"/>
      <c r="F229" s="25">
        <f t="shared" si="9"/>
        <v>0</v>
      </c>
    </row>
    <row r="230" spans="1:6" s="28" customFormat="1" ht="124.2" x14ac:dyDescent="0.3">
      <c r="A230" s="47">
        <v>202</v>
      </c>
      <c r="B230" s="22" t="s">
        <v>202</v>
      </c>
      <c r="C230" s="21" t="s">
        <v>18</v>
      </c>
      <c r="D230" s="26">
        <v>2</v>
      </c>
      <c r="E230" s="24"/>
      <c r="F230" s="25">
        <f t="shared" si="9"/>
        <v>0</v>
      </c>
    </row>
    <row r="231" spans="1:6" s="28" customFormat="1" ht="96.6" x14ac:dyDescent="0.3">
      <c r="A231" s="47">
        <v>202</v>
      </c>
      <c r="B231" s="22" t="s">
        <v>203</v>
      </c>
      <c r="C231" s="21" t="s">
        <v>18</v>
      </c>
      <c r="D231" s="26">
        <v>1</v>
      </c>
      <c r="E231" s="24"/>
      <c r="F231" s="25">
        <f t="shared" si="9"/>
        <v>0</v>
      </c>
    </row>
    <row r="232" spans="1:6" s="28" customFormat="1" ht="96.6" x14ac:dyDescent="0.3">
      <c r="A232" s="47">
        <v>202</v>
      </c>
      <c r="B232" s="22" t="s">
        <v>204</v>
      </c>
      <c r="C232" s="21" t="s">
        <v>18</v>
      </c>
      <c r="D232" s="26">
        <v>2</v>
      </c>
      <c r="E232" s="24"/>
      <c r="F232" s="25">
        <f t="shared" si="9"/>
        <v>0</v>
      </c>
    </row>
    <row r="233" spans="1:6" s="28" customFormat="1" ht="96.6" x14ac:dyDescent="0.3">
      <c r="A233" s="47">
        <v>202</v>
      </c>
      <c r="B233" s="22" t="s">
        <v>205</v>
      </c>
      <c r="C233" s="21" t="s">
        <v>18</v>
      </c>
      <c r="D233" s="26">
        <v>2</v>
      </c>
      <c r="E233" s="24"/>
      <c r="F233" s="25">
        <f t="shared" si="9"/>
        <v>0</v>
      </c>
    </row>
    <row r="234" spans="1:6" s="28" customFormat="1" ht="96.6" x14ac:dyDescent="0.3">
      <c r="A234" s="47">
        <v>202</v>
      </c>
      <c r="B234" s="22" t="s">
        <v>206</v>
      </c>
      <c r="C234" s="21" t="s">
        <v>18</v>
      </c>
      <c r="D234" s="26">
        <v>3</v>
      </c>
      <c r="E234" s="24"/>
      <c r="F234" s="25">
        <f t="shared" si="9"/>
        <v>0</v>
      </c>
    </row>
    <row r="235" spans="1:6" s="28" customFormat="1" ht="110.4" x14ac:dyDescent="0.3">
      <c r="A235" s="47">
        <v>202</v>
      </c>
      <c r="B235" s="22" t="s">
        <v>207</v>
      </c>
      <c r="C235" s="21" t="s">
        <v>18</v>
      </c>
      <c r="D235" s="26">
        <v>3</v>
      </c>
      <c r="E235" s="24"/>
      <c r="F235" s="25">
        <f t="shared" si="9"/>
        <v>0</v>
      </c>
    </row>
    <row r="236" spans="1:6" s="28" customFormat="1" ht="110.4" x14ac:dyDescent="0.3">
      <c r="A236" s="47">
        <v>202</v>
      </c>
      <c r="B236" s="22" t="s">
        <v>208</v>
      </c>
      <c r="C236" s="21" t="s">
        <v>18</v>
      </c>
      <c r="D236" s="26">
        <v>3</v>
      </c>
      <c r="E236" s="24"/>
      <c r="F236" s="25">
        <f t="shared" si="9"/>
        <v>0</v>
      </c>
    </row>
    <row r="237" spans="1:6" s="28" customFormat="1" ht="110.4" x14ac:dyDescent="0.3">
      <c r="A237" s="47">
        <v>202</v>
      </c>
      <c r="B237" s="22" t="s">
        <v>209</v>
      </c>
      <c r="C237" s="21" t="s">
        <v>18</v>
      </c>
      <c r="D237" s="26">
        <v>3</v>
      </c>
      <c r="E237" s="24"/>
      <c r="F237" s="25">
        <f t="shared" si="9"/>
        <v>0</v>
      </c>
    </row>
    <row r="238" spans="1:6" s="28" customFormat="1" ht="124.2" x14ac:dyDescent="0.3">
      <c r="A238" s="47">
        <v>202</v>
      </c>
      <c r="B238" s="22" t="s">
        <v>210</v>
      </c>
      <c r="C238" s="21" t="s">
        <v>18</v>
      </c>
      <c r="D238" s="26">
        <v>2</v>
      </c>
      <c r="E238" s="24"/>
      <c r="F238" s="25">
        <f t="shared" si="9"/>
        <v>0</v>
      </c>
    </row>
    <row r="239" spans="1:6" s="28" customFormat="1" ht="124.2" x14ac:dyDescent="0.3">
      <c r="A239" s="47">
        <v>202</v>
      </c>
      <c r="B239" s="22" t="s">
        <v>211</v>
      </c>
      <c r="C239" s="21" t="s">
        <v>18</v>
      </c>
      <c r="D239" s="26">
        <v>1</v>
      </c>
      <c r="E239" s="24"/>
      <c r="F239" s="25">
        <f t="shared" si="9"/>
        <v>0</v>
      </c>
    </row>
    <row r="240" spans="1:6" s="28" customFormat="1" ht="124.2" x14ac:dyDescent="0.3">
      <c r="A240" s="47">
        <v>202</v>
      </c>
      <c r="B240" s="22" t="s">
        <v>212</v>
      </c>
      <c r="C240" s="21" t="s">
        <v>18</v>
      </c>
      <c r="D240" s="26">
        <v>12</v>
      </c>
      <c r="E240" s="24"/>
      <c r="F240" s="25">
        <f t="shared" si="9"/>
        <v>0</v>
      </c>
    </row>
    <row r="241" spans="1:6" x14ac:dyDescent="0.3">
      <c r="A241" s="46"/>
      <c r="B241" s="44"/>
      <c r="C241" s="45"/>
      <c r="D241" s="41"/>
      <c r="E241" s="24"/>
      <c r="F241" s="25">
        <f t="shared" si="9"/>
        <v>0</v>
      </c>
    </row>
    <row r="242" spans="1:6" x14ac:dyDescent="0.3">
      <c r="A242" s="17" t="s">
        <v>213</v>
      </c>
      <c r="B242" s="17" t="s">
        <v>173</v>
      </c>
      <c r="C242" s="17"/>
      <c r="D242" s="17"/>
      <c r="E242" s="17"/>
      <c r="F242" s="25">
        <f t="shared" si="9"/>
        <v>0</v>
      </c>
    </row>
    <row r="243" spans="1:6" s="28" customFormat="1" ht="96.6" x14ac:dyDescent="0.3">
      <c r="A243" s="47">
        <v>203</v>
      </c>
      <c r="B243" s="53" t="s">
        <v>214</v>
      </c>
      <c r="C243" s="21" t="s">
        <v>18</v>
      </c>
      <c r="D243" s="26">
        <v>3</v>
      </c>
      <c r="E243" s="24"/>
      <c r="F243" s="25">
        <f t="shared" si="9"/>
        <v>0</v>
      </c>
    </row>
    <row r="244" spans="1:6" s="28" customFormat="1" ht="69" x14ac:dyDescent="0.3">
      <c r="A244" s="47">
        <v>204</v>
      </c>
      <c r="B244" s="53" t="s">
        <v>215</v>
      </c>
      <c r="C244" s="21" t="s">
        <v>18</v>
      </c>
      <c r="D244" s="26">
        <v>3</v>
      </c>
      <c r="E244" s="24"/>
      <c r="F244" s="25">
        <f t="shared" si="9"/>
        <v>0</v>
      </c>
    </row>
    <row r="245" spans="1:6" s="28" customFormat="1" ht="50.25" customHeight="1" x14ac:dyDescent="0.3">
      <c r="A245" s="47">
        <v>205</v>
      </c>
      <c r="B245" s="53" t="s">
        <v>216</v>
      </c>
      <c r="C245" s="21" t="s">
        <v>18</v>
      </c>
      <c r="D245" s="26">
        <v>1</v>
      </c>
      <c r="E245" s="24"/>
      <c r="F245" s="25">
        <f t="shared" si="9"/>
        <v>0</v>
      </c>
    </row>
    <row r="246" spans="1:6" s="28" customFormat="1" ht="69" x14ac:dyDescent="0.3">
      <c r="A246" s="47">
        <v>206</v>
      </c>
      <c r="B246" s="53" t="s">
        <v>217</v>
      </c>
      <c r="C246" s="21" t="s">
        <v>18</v>
      </c>
      <c r="D246" s="26">
        <v>4</v>
      </c>
      <c r="E246" s="24"/>
      <c r="F246" s="25">
        <f t="shared" si="9"/>
        <v>0</v>
      </c>
    </row>
    <row r="247" spans="1:6" x14ac:dyDescent="0.3">
      <c r="A247" s="51"/>
      <c r="B247" s="40"/>
      <c r="C247" s="35"/>
      <c r="D247" s="23"/>
      <c r="E247" s="26"/>
      <c r="F247" s="25">
        <f t="shared" si="9"/>
        <v>0</v>
      </c>
    </row>
    <row r="248" spans="1:6" ht="55.2" x14ac:dyDescent="0.3">
      <c r="A248" s="17" t="s">
        <v>218</v>
      </c>
      <c r="B248" s="54" t="s">
        <v>219</v>
      </c>
      <c r="C248" s="17"/>
      <c r="D248" s="17"/>
      <c r="E248" s="17"/>
      <c r="F248" s="25">
        <f t="shared" si="9"/>
        <v>0</v>
      </c>
    </row>
    <row r="249" spans="1:6" s="28" customFormat="1" ht="55.2" x14ac:dyDescent="0.3">
      <c r="A249" s="47">
        <v>207</v>
      </c>
      <c r="B249" s="53" t="s">
        <v>220</v>
      </c>
      <c r="C249" s="21" t="s">
        <v>18</v>
      </c>
      <c r="D249" s="26">
        <v>200</v>
      </c>
      <c r="E249" s="24"/>
      <c r="F249" s="25">
        <f t="shared" si="9"/>
        <v>0</v>
      </c>
    </row>
    <row r="250" spans="1:6" s="28" customFormat="1" ht="55.2" x14ac:dyDescent="0.3">
      <c r="A250" s="47">
        <v>208</v>
      </c>
      <c r="B250" s="53" t="s">
        <v>221</v>
      </c>
      <c r="C250" s="21" t="s">
        <v>18</v>
      </c>
      <c r="D250" s="26">
        <v>60</v>
      </c>
      <c r="E250" s="24"/>
      <c r="F250" s="25">
        <f t="shared" si="9"/>
        <v>0</v>
      </c>
    </row>
    <row r="251" spans="1:6" s="28" customFormat="1" ht="55.2" x14ac:dyDescent="0.3">
      <c r="A251" s="47">
        <v>209</v>
      </c>
      <c r="B251" s="53" t="s">
        <v>222</v>
      </c>
      <c r="C251" s="21" t="s">
        <v>18</v>
      </c>
      <c r="D251" s="26">
        <v>18</v>
      </c>
      <c r="E251" s="24"/>
      <c r="F251" s="25">
        <f t="shared" si="9"/>
        <v>0</v>
      </c>
    </row>
    <row r="252" spans="1:6" s="28" customFormat="1" ht="55.8" thickBot="1" x14ac:dyDescent="0.35">
      <c r="A252" s="47">
        <v>210</v>
      </c>
      <c r="B252" s="53" t="s">
        <v>223</v>
      </c>
      <c r="C252" s="21" t="s">
        <v>18</v>
      </c>
      <c r="D252" s="26">
        <v>1</v>
      </c>
      <c r="E252" s="24"/>
      <c r="F252" s="119">
        <f t="shared" si="9"/>
        <v>0</v>
      </c>
    </row>
    <row r="253" spans="1:6" ht="14.4" thickBot="1" x14ac:dyDescent="0.35">
      <c r="F253" s="120">
        <f>SUM(F6:F252)</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8"/>
  <sheetViews>
    <sheetView topLeftCell="B3" zoomScaleNormal="100" workbookViewId="0">
      <pane xSplit="3" ySplit="2" topLeftCell="E233" activePane="bottomRight" state="frozen"/>
      <selection activeCell="B3" sqref="B3"/>
      <selection pane="topRight" activeCell="H3" sqref="H3"/>
      <selection pane="bottomLeft" activeCell="B5" sqref="B5"/>
      <selection pane="bottomRight" activeCell="F238" sqref="F238"/>
    </sheetView>
  </sheetViews>
  <sheetFormatPr defaultColWidth="10.109375" defaultRowHeight="13.8" x14ac:dyDescent="0.3"/>
  <cols>
    <col min="1" max="1" width="5.88671875" style="58" customWidth="1"/>
    <col min="2" max="2" width="47.109375" style="58" customWidth="1"/>
    <col min="3" max="3" width="6.21875" style="58" bestFit="1" customWidth="1"/>
    <col min="4" max="4" width="8.6640625" style="116" bestFit="1" customWidth="1"/>
    <col min="5" max="5" width="8.88671875" style="58" customWidth="1"/>
    <col min="6" max="6" width="14.109375" style="58" customWidth="1"/>
    <col min="7" max="16384" width="10.109375" style="58"/>
  </cols>
  <sheetData>
    <row r="1" spans="1:6" ht="42.75" customHeight="1" thickBot="1" x14ac:dyDescent="0.35">
      <c r="A1" s="57" t="s">
        <v>224</v>
      </c>
      <c r="B1" s="57"/>
      <c r="C1" s="57"/>
      <c r="D1" s="57"/>
      <c r="E1" s="57"/>
      <c r="F1" s="57"/>
    </row>
    <row r="2" spans="1:6" ht="18" customHeight="1" thickBot="1" x14ac:dyDescent="0.35">
      <c r="A2" s="59"/>
      <c r="B2" s="60" t="s">
        <v>225</v>
      </c>
      <c r="C2" s="61"/>
      <c r="D2" s="62"/>
      <c r="E2" s="63"/>
      <c r="F2" s="64"/>
    </row>
    <row r="3" spans="1:6" ht="27.6" x14ac:dyDescent="0.3">
      <c r="A3" s="65"/>
      <c r="B3" s="66" t="s">
        <v>1</v>
      </c>
      <c r="C3" s="66" t="s">
        <v>2</v>
      </c>
      <c r="D3" s="68" t="s">
        <v>226</v>
      </c>
      <c r="E3" s="67" t="s">
        <v>4</v>
      </c>
      <c r="F3" s="69" t="s">
        <v>5</v>
      </c>
    </row>
    <row r="4" spans="1:6" x14ac:dyDescent="0.3">
      <c r="A4" s="65"/>
      <c r="B4" s="10"/>
      <c r="C4" s="10"/>
      <c r="D4" s="70"/>
      <c r="E4" s="14" t="s">
        <v>6</v>
      </c>
      <c r="F4" s="15" t="s">
        <v>6</v>
      </c>
    </row>
    <row r="5" spans="1:6" ht="14.4" thickBot="1" x14ac:dyDescent="0.35">
      <c r="A5" s="71"/>
      <c r="B5" s="10"/>
      <c r="C5" s="10"/>
      <c r="D5" s="70"/>
      <c r="E5" s="14"/>
      <c r="F5" s="15"/>
    </row>
    <row r="6" spans="1:6" x14ac:dyDescent="0.3">
      <c r="A6" s="72" t="s">
        <v>227</v>
      </c>
      <c r="B6" s="17" t="s">
        <v>228</v>
      </c>
      <c r="C6" s="18"/>
      <c r="D6" s="73"/>
      <c r="E6" s="74"/>
      <c r="F6" s="74"/>
    </row>
    <row r="7" spans="1:6" s="79" customFormat="1" ht="234.6" x14ac:dyDescent="0.3">
      <c r="A7" s="75">
        <v>1</v>
      </c>
      <c r="B7" s="34" t="s">
        <v>229</v>
      </c>
      <c r="C7" s="35" t="s">
        <v>18</v>
      </c>
      <c r="D7" s="76">
        <v>357</v>
      </c>
      <c r="E7" s="24"/>
      <c r="F7" s="77">
        <f>D7*E7</f>
        <v>0</v>
      </c>
    </row>
    <row r="8" spans="1:6" s="79" customFormat="1" ht="207" x14ac:dyDescent="0.3">
      <c r="A8" s="75">
        <f>A7+1</f>
        <v>2</v>
      </c>
      <c r="B8" s="34" t="s">
        <v>230</v>
      </c>
      <c r="C8" s="35" t="s">
        <v>18</v>
      </c>
      <c r="D8" s="76">
        <v>357</v>
      </c>
      <c r="E8" s="24"/>
      <c r="F8" s="77">
        <f t="shared" ref="F8:F71" si="0">D8*E8</f>
        <v>0</v>
      </c>
    </row>
    <row r="9" spans="1:6" s="79" customFormat="1" ht="220.8" x14ac:dyDescent="0.3">
      <c r="A9" s="75">
        <f t="shared" ref="A9:A12" si="1">A8+1</f>
        <v>3</v>
      </c>
      <c r="B9" s="34" t="s">
        <v>231</v>
      </c>
      <c r="C9" s="35" t="s">
        <v>18</v>
      </c>
      <c r="D9" s="76">
        <v>279</v>
      </c>
      <c r="E9" s="24"/>
      <c r="F9" s="77">
        <f t="shared" si="0"/>
        <v>0</v>
      </c>
    </row>
    <row r="10" spans="1:6" s="79" customFormat="1" ht="173.4" customHeight="1" x14ac:dyDescent="0.3">
      <c r="A10" s="75">
        <f t="shared" si="1"/>
        <v>4</v>
      </c>
      <c r="B10" s="34" t="s">
        <v>232</v>
      </c>
      <c r="C10" s="35" t="s">
        <v>18</v>
      </c>
      <c r="D10" s="76">
        <v>279</v>
      </c>
      <c r="E10" s="24"/>
      <c r="F10" s="77">
        <f t="shared" si="0"/>
        <v>0</v>
      </c>
    </row>
    <row r="11" spans="1:6" s="79" customFormat="1" ht="220.8" x14ac:dyDescent="0.3">
      <c r="A11" s="75">
        <f t="shared" si="1"/>
        <v>5</v>
      </c>
      <c r="B11" s="34" t="s">
        <v>233</v>
      </c>
      <c r="C11" s="35" t="s">
        <v>18</v>
      </c>
      <c r="D11" s="76">
        <v>74</v>
      </c>
      <c r="E11" s="24"/>
      <c r="F11" s="77">
        <f t="shared" si="0"/>
        <v>0</v>
      </c>
    </row>
    <row r="12" spans="1:6" s="79" customFormat="1" ht="54.75" customHeight="1" thickBot="1" x14ac:dyDescent="0.35">
      <c r="A12" s="80">
        <f t="shared" si="1"/>
        <v>6</v>
      </c>
      <c r="B12" s="34" t="s">
        <v>234</v>
      </c>
      <c r="C12" s="35" t="s">
        <v>18</v>
      </c>
      <c r="D12" s="76">
        <v>558</v>
      </c>
      <c r="E12" s="24"/>
      <c r="F12" s="77">
        <f t="shared" si="0"/>
        <v>0</v>
      </c>
    </row>
    <row r="13" spans="1:6" s="79" customFormat="1" ht="14.4" thickBot="1" x14ac:dyDescent="0.35">
      <c r="A13" s="81"/>
      <c r="B13" s="22"/>
      <c r="C13" s="21"/>
      <c r="D13" s="10"/>
      <c r="E13" s="24"/>
      <c r="F13" s="77">
        <f t="shared" si="0"/>
        <v>0</v>
      </c>
    </row>
    <row r="14" spans="1:6" s="79" customFormat="1" x14ac:dyDescent="0.3">
      <c r="A14" s="82" t="s">
        <v>235</v>
      </c>
      <c r="B14" s="17" t="s">
        <v>236</v>
      </c>
      <c r="C14" s="32"/>
      <c r="D14" s="73"/>
      <c r="E14" s="73"/>
      <c r="F14" s="77">
        <f t="shared" si="0"/>
        <v>0</v>
      </c>
    </row>
    <row r="15" spans="1:6" s="79" customFormat="1" ht="87" customHeight="1" x14ac:dyDescent="0.3">
      <c r="A15" s="75">
        <f>A12+1</f>
        <v>7</v>
      </c>
      <c r="B15" s="34" t="s">
        <v>237</v>
      </c>
      <c r="C15" s="35" t="s">
        <v>10</v>
      </c>
      <c r="D15" s="23">
        <v>15875</v>
      </c>
      <c r="E15" s="24"/>
      <c r="F15" s="77">
        <f t="shared" si="0"/>
        <v>0</v>
      </c>
    </row>
    <row r="16" spans="1:6" s="79" customFormat="1" ht="40.5" customHeight="1" x14ac:dyDescent="0.3">
      <c r="A16" s="75">
        <f>A15+1</f>
        <v>8</v>
      </c>
      <c r="B16" s="34" t="s">
        <v>238</v>
      </c>
      <c r="C16" s="35" t="s">
        <v>10</v>
      </c>
      <c r="D16" s="23">
        <v>11347.902</v>
      </c>
      <c r="E16" s="24"/>
      <c r="F16" s="77">
        <f t="shared" si="0"/>
        <v>0</v>
      </c>
    </row>
    <row r="17" spans="1:6" s="79" customFormat="1" ht="74.25" customHeight="1" x14ac:dyDescent="0.3">
      <c r="A17" s="75">
        <f t="shared" ref="A17:A33" si="2">A16+1</f>
        <v>9</v>
      </c>
      <c r="B17" s="34" t="s">
        <v>239</v>
      </c>
      <c r="C17" s="35" t="s">
        <v>18</v>
      </c>
      <c r="D17" s="23">
        <v>320</v>
      </c>
      <c r="E17" s="24"/>
      <c r="F17" s="77">
        <f t="shared" si="0"/>
        <v>0</v>
      </c>
    </row>
    <row r="18" spans="1:6" s="79" customFormat="1" ht="67.5" customHeight="1" x14ac:dyDescent="0.3">
      <c r="A18" s="75">
        <f t="shared" si="2"/>
        <v>10</v>
      </c>
      <c r="B18" s="34" t="s">
        <v>240</v>
      </c>
      <c r="C18" s="35" t="s">
        <v>18</v>
      </c>
      <c r="D18" s="23">
        <v>12</v>
      </c>
      <c r="E18" s="24"/>
      <c r="F18" s="77">
        <f t="shared" si="0"/>
        <v>0</v>
      </c>
    </row>
    <row r="19" spans="1:6" s="79" customFormat="1" ht="69.75" customHeight="1" x14ac:dyDescent="0.3">
      <c r="A19" s="75">
        <f t="shared" si="2"/>
        <v>11</v>
      </c>
      <c r="B19" s="34" t="s">
        <v>241</v>
      </c>
      <c r="C19" s="35" t="s">
        <v>18</v>
      </c>
      <c r="D19" s="23">
        <v>249</v>
      </c>
      <c r="E19" s="24"/>
      <c r="F19" s="77">
        <f t="shared" si="0"/>
        <v>0</v>
      </c>
    </row>
    <row r="20" spans="1:6" s="79" customFormat="1" ht="75" customHeight="1" x14ac:dyDescent="0.3">
      <c r="A20" s="75">
        <f t="shared" si="2"/>
        <v>12</v>
      </c>
      <c r="B20" s="34" t="s">
        <v>242</v>
      </c>
      <c r="C20" s="35" t="s">
        <v>18</v>
      </c>
      <c r="D20" s="23">
        <v>23</v>
      </c>
      <c r="E20" s="24"/>
      <c r="F20" s="77">
        <f t="shared" si="0"/>
        <v>0</v>
      </c>
    </row>
    <row r="21" spans="1:6" s="79" customFormat="1" ht="68.25" customHeight="1" x14ac:dyDescent="0.3">
      <c r="A21" s="75">
        <f t="shared" si="2"/>
        <v>13</v>
      </c>
      <c r="B21" s="34" t="s">
        <v>243</v>
      </c>
      <c r="C21" s="35" t="s">
        <v>18</v>
      </c>
      <c r="D21" s="23">
        <v>5</v>
      </c>
      <c r="E21" s="24"/>
      <c r="F21" s="77">
        <f t="shared" si="0"/>
        <v>0</v>
      </c>
    </row>
    <row r="22" spans="1:6" s="79" customFormat="1" ht="80.25" customHeight="1" x14ac:dyDescent="0.3">
      <c r="A22" s="75">
        <f t="shared" si="2"/>
        <v>14</v>
      </c>
      <c r="B22" s="34" t="s">
        <v>244</v>
      </c>
      <c r="C22" s="35" t="s">
        <v>18</v>
      </c>
      <c r="D22" s="23">
        <v>13</v>
      </c>
      <c r="E22" s="24"/>
      <c r="F22" s="77">
        <f t="shared" si="0"/>
        <v>0</v>
      </c>
    </row>
    <row r="23" spans="1:6" ht="73.5" customHeight="1" x14ac:dyDescent="0.3">
      <c r="A23" s="75">
        <f t="shared" si="2"/>
        <v>15</v>
      </c>
      <c r="B23" s="34" t="s">
        <v>245</v>
      </c>
      <c r="C23" s="35" t="s">
        <v>18</v>
      </c>
      <c r="D23" s="23">
        <v>17</v>
      </c>
      <c r="E23" s="24"/>
      <c r="F23" s="77">
        <f t="shared" si="0"/>
        <v>0</v>
      </c>
    </row>
    <row r="24" spans="1:6" s="79" customFormat="1" x14ac:dyDescent="0.3">
      <c r="A24" s="83">
        <f t="shared" si="2"/>
        <v>16</v>
      </c>
      <c r="B24" s="37" t="s">
        <v>246</v>
      </c>
      <c r="C24" s="36" t="s">
        <v>18</v>
      </c>
      <c r="D24" s="38">
        <v>0</v>
      </c>
      <c r="E24" s="39"/>
      <c r="F24" s="77">
        <f t="shared" si="0"/>
        <v>0</v>
      </c>
    </row>
    <row r="25" spans="1:6" s="79" customFormat="1" x14ac:dyDescent="0.3">
      <c r="A25" s="83">
        <f t="shared" si="2"/>
        <v>17</v>
      </c>
      <c r="B25" s="37" t="s">
        <v>247</v>
      </c>
      <c r="C25" s="36" t="s">
        <v>18</v>
      </c>
      <c r="D25" s="38">
        <v>0</v>
      </c>
      <c r="E25" s="39"/>
      <c r="F25" s="77">
        <f t="shared" si="0"/>
        <v>0</v>
      </c>
    </row>
    <row r="26" spans="1:6" s="79" customFormat="1" x14ac:dyDescent="0.3">
      <c r="A26" s="83">
        <f t="shared" si="2"/>
        <v>18</v>
      </c>
      <c r="B26" s="37" t="s">
        <v>248</v>
      </c>
      <c r="C26" s="36" t="s">
        <v>18</v>
      </c>
      <c r="D26" s="38">
        <v>0</v>
      </c>
      <c r="E26" s="39"/>
      <c r="F26" s="77">
        <f t="shared" si="0"/>
        <v>0</v>
      </c>
    </row>
    <row r="27" spans="1:6" s="79" customFormat="1" ht="27.6" x14ac:dyDescent="0.3">
      <c r="A27" s="83">
        <f t="shared" si="2"/>
        <v>19</v>
      </c>
      <c r="B27" s="37" t="s">
        <v>249</v>
      </c>
      <c r="C27" s="36" t="s">
        <v>18</v>
      </c>
      <c r="D27" s="38">
        <v>320</v>
      </c>
      <c r="E27" s="39"/>
      <c r="F27" s="77">
        <f t="shared" si="0"/>
        <v>0</v>
      </c>
    </row>
    <row r="28" spans="1:6" s="79" customFormat="1" ht="63.6" customHeight="1" x14ac:dyDescent="0.3">
      <c r="A28" s="75">
        <f t="shared" si="2"/>
        <v>20</v>
      </c>
      <c r="B28" s="34" t="s">
        <v>250</v>
      </c>
      <c r="C28" s="35" t="s">
        <v>18</v>
      </c>
      <c r="D28" s="23">
        <v>283</v>
      </c>
      <c r="E28" s="24"/>
      <c r="F28" s="77">
        <f t="shared" si="0"/>
        <v>0</v>
      </c>
    </row>
    <row r="29" spans="1:6" s="79" customFormat="1" ht="41.4" customHeight="1" x14ac:dyDescent="0.3">
      <c r="A29" s="75">
        <f t="shared" si="2"/>
        <v>21</v>
      </c>
      <c r="B29" s="34" t="s">
        <v>251</v>
      </c>
      <c r="C29" s="35" t="s">
        <v>18</v>
      </c>
      <c r="D29" s="23">
        <v>280</v>
      </c>
      <c r="E29" s="24"/>
      <c r="F29" s="77">
        <f t="shared" si="0"/>
        <v>0</v>
      </c>
    </row>
    <row r="30" spans="1:6" s="79" customFormat="1" ht="55.2" x14ac:dyDescent="0.3">
      <c r="A30" s="75">
        <f t="shared" si="2"/>
        <v>22</v>
      </c>
      <c r="B30" s="34" t="s">
        <v>252</v>
      </c>
      <c r="C30" s="35" t="s">
        <v>18</v>
      </c>
      <c r="D30" s="23">
        <v>1132</v>
      </c>
      <c r="E30" s="24"/>
      <c r="F30" s="77">
        <f t="shared" si="0"/>
        <v>0</v>
      </c>
    </row>
    <row r="31" spans="1:6" s="79" customFormat="1" ht="69" x14ac:dyDescent="0.3">
      <c r="A31" s="75">
        <f t="shared" si="2"/>
        <v>23</v>
      </c>
      <c r="B31" s="34" t="s">
        <v>253</v>
      </c>
      <c r="C31" s="35" t="s">
        <v>18</v>
      </c>
      <c r="D31" s="23">
        <v>566</v>
      </c>
      <c r="E31" s="24"/>
      <c r="F31" s="77">
        <f t="shared" si="0"/>
        <v>0</v>
      </c>
    </row>
    <row r="32" spans="1:6" s="79" customFormat="1" x14ac:dyDescent="0.3">
      <c r="A32" s="75">
        <f t="shared" si="2"/>
        <v>24</v>
      </c>
      <c r="B32" s="34" t="s">
        <v>254</v>
      </c>
      <c r="C32" s="35" t="s">
        <v>18</v>
      </c>
      <c r="D32" s="23">
        <v>47</v>
      </c>
      <c r="E32" s="24"/>
      <c r="F32" s="77">
        <f t="shared" si="0"/>
        <v>0</v>
      </c>
    </row>
    <row r="33" spans="1:6" s="84" customFormat="1" x14ac:dyDescent="0.3">
      <c r="A33" s="75">
        <f t="shared" si="2"/>
        <v>25</v>
      </c>
      <c r="B33" s="22" t="s">
        <v>31</v>
      </c>
      <c r="C33" s="21" t="s">
        <v>10</v>
      </c>
      <c r="D33" s="26">
        <v>27214.902000000002</v>
      </c>
      <c r="E33" s="24"/>
      <c r="F33" s="77">
        <f t="shared" si="0"/>
        <v>0</v>
      </c>
    </row>
    <row r="34" spans="1:6" s="84" customFormat="1" ht="27.6" x14ac:dyDescent="0.3">
      <c r="A34" s="75">
        <f>A33+1</f>
        <v>26</v>
      </c>
      <c r="B34" s="22" t="s">
        <v>255</v>
      </c>
      <c r="C34" s="21" t="s">
        <v>10</v>
      </c>
      <c r="D34" s="26">
        <v>27214.902000000002</v>
      </c>
      <c r="E34" s="24"/>
      <c r="F34" s="77">
        <f t="shared" si="0"/>
        <v>0</v>
      </c>
    </row>
    <row r="35" spans="1:6" s="84" customFormat="1" ht="28.2" thickBot="1" x14ac:dyDescent="0.35">
      <c r="A35" s="80">
        <f t="shared" ref="A35:A39" si="3">A34+1</f>
        <v>27</v>
      </c>
      <c r="B35" s="22" t="s">
        <v>256</v>
      </c>
      <c r="C35" s="21" t="s">
        <v>33</v>
      </c>
      <c r="D35" s="26">
        <v>279</v>
      </c>
      <c r="E35" s="24"/>
      <c r="F35" s="77">
        <f t="shared" si="0"/>
        <v>0</v>
      </c>
    </row>
    <row r="36" spans="1:6" s="79" customFormat="1" ht="14.4" thickBot="1" x14ac:dyDescent="0.35">
      <c r="A36" s="81"/>
      <c r="B36" s="34"/>
      <c r="C36" s="30"/>
      <c r="D36" s="85"/>
      <c r="E36" s="24"/>
      <c r="F36" s="77">
        <f t="shared" si="0"/>
        <v>0</v>
      </c>
    </row>
    <row r="37" spans="1:6" s="79" customFormat="1" x14ac:dyDescent="0.3">
      <c r="A37" s="82" t="s">
        <v>257</v>
      </c>
      <c r="B37" s="17" t="s">
        <v>258</v>
      </c>
      <c r="C37" s="32"/>
      <c r="D37" s="73"/>
      <c r="E37" s="73"/>
      <c r="F37" s="77">
        <f t="shared" si="0"/>
        <v>0</v>
      </c>
    </row>
    <row r="38" spans="1:6" s="79" customFormat="1" ht="55.2" x14ac:dyDescent="0.3">
      <c r="A38" s="75">
        <f>A35+1</f>
        <v>28</v>
      </c>
      <c r="B38" s="34" t="s">
        <v>259</v>
      </c>
      <c r="C38" s="35" t="s">
        <v>10</v>
      </c>
      <c r="D38" s="23">
        <v>164</v>
      </c>
      <c r="E38" s="24"/>
      <c r="F38" s="77">
        <f t="shared" si="0"/>
        <v>0</v>
      </c>
    </row>
    <row r="39" spans="1:6" s="79" customFormat="1" x14ac:dyDescent="0.3">
      <c r="A39" s="75">
        <f t="shared" si="3"/>
        <v>29</v>
      </c>
      <c r="B39" s="34" t="s">
        <v>260</v>
      </c>
      <c r="C39" s="35" t="s">
        <v>10</v>
      </c>
      <c r="D39" s="23">
        <v>174</v>
      </c>
      <c r="E39" s="24"/>
      <c r="F39" s="77">
        <f t="shared" si="0"/>
        <v>0</v>
      </c>
    </row>
    <row r="40" spans="1:6" s="79" customFormat="1" x14ac:dyDescent="0.3">
      <c r="A40" s="75">
        <f>A39+1</f>
        <v>30</v>
      </c>
      <c r="B40" s="34" t="s">
        <v>37</v>
      </c>
      <c r="C40" s="35" t="s">
        <v>10</v>
      </c>
      <c r="D40" s="23">
        <v>60</v>
      </c>
      <c r="E40" s="24"/>
      <c r="F40" s="77">
        <f t="shared" si="0"/>
        <v>0</v>
      </c>
    </row>
    <row r="41" spans="1:6" s="79" customFormat="1" x14ac:dyDescent="0.3">
      <c r="A41" s="75">
        <f t="shared" ref="A41:A100" si="4">A40+1</f>
        <v>31</v>
      </c>
      <c r="B41" s="34" t="s">
        <v>261</v>
      </c>
      <c r="C41" s="35" t="s">
        <v>10</v>
      </c>
      <c r="D41" s="23">
        <v>320</v>
      </c>
      <c r="E41" s="24"/>
      <c r="F41" s="77">
        <f t="shared" si="0"/>
        <v>0</v>
      </c>
    </row>
    <row r="42" spans="1:6" s="79" customFormat="1" x14ac:dyDescent="0.3">
      <c r="A42" s="83">
        <f t="shared" si="4"/>
        <v>32</v>
      </c>
      <c r="B42" s="37" t="s">
        <v>91</v>
      </c>
      <c r="C42" s="36" t="s">
        <v>10</v>
      </c>
      <c r="D42" s="38">
        <v>0</v>
      </c>
      <c r="E42" s="39"/>
      <c r="F42" s="77">
        <f t="shared" si="0"/>
        <v>0</v>
      </c>
    </row>
    <row r="43" spans="1:6" s="78" customFormat="1" x14ac:dyDescent="0.3">
      <c r="A43" s="83">
        <f t="shared" si="4"/>
        <v>33</v>
      </c>
      <c r="B43" s="37" t="s">
        <v>92</v>
      </c>
      <c r="C43" s="36" t="s">
        <v>10</v>
      </c>
      <c r="D43" s="38">
        <v>0</v>
      </c>
      <c r="E43" s="39"/>
      <c r="F43" s="77">
        <f t="shared" si="0"/>
        <v>0</v>
      </c>
    </row>
    <row r="44" spans="1:6" ht="55.2" x14ac:dyDescent="0.3">
      <c r="A44" s="75">
        <f t="shared" si="4"/>
        <v>34</v>
      </c>
      <c r="B44" s="34" t="s">
        <v>262</v>
      </c>
      <c r="C44" s="35" t="s">
        <v>10</v>
      </c>
      <c r="D44" s="23">
        <v>164</v>
      </c>
      <c r="E44" s="24"/>
      <c r="F44" s="77">
        <f t="shared" si="0"/>
        <v>0</v>
      </c>
    </row>
    <row r="45" spans="1:6" x14ac:dyDescent="0.3">
      <c r="A45" s="75">
        <f t="shared" si="4"/>
        <v>35</v>
      </c>
      <c r="B45" s="34" t="s">
        <v>263</v>
      </c>
      <c r="C45" s="35" t="s">
        <v>10</v>
      </c>
      <c r="D45" s="23">
        <v>174</v>
      </c>
      <c r="E45" s="24"/>
      <c r="F45" s="77">
        <f t="shared" si="0"/>
        <v>0</v>
      </c>
    </row>
    <row r="46" spans="1:6" s="78" customFormat="1" x14ac:dyDescent="0.3">
      <c r="A46" s="75">
        <f t="shared" si="4"/>
        <v>36</v>
      </c>
      <c r="B46" s="34" t="s">
        <v>264</v>
      </c>
      <c r="C46" s="35" t="s">
        <v>10</v>
      </c>
      <c r="D46" s="23">
        <v>60</v>
      </c>
      <c r="E46" s="24"/>
      <c r="F46" s="77">
        <f t="shared" si="0"/>
        <v>0</v>
      </c>
    </row>
    <row r="47" spans="1:6" s="78" customFormat="1" x14ac:dyDescent="0.3">
      <c r="A47" s="75">
        <f t="shared" si="4"/>
        <v>37</v>
      </c>
      <c r="B47" s="34" t="s">
        <v>265</v>
      </c>
      <c r="C47" s="35" t="s">
        <v>10</v>
      </c>
      <c r="D47" s="23">
        <v>320</v>
      </c>
      <c r="E47" s="24"/>
      <c r="F47" s="77">
        <f t="shared" si="0"/>
        <v>0</v>
      </c>
    </row>
    <row r="48" spans="1:6" x14ac:dyDescent="0.3">
      <c r="A48" s="83">
        <f t="shared" si="4"/>
        <v>38</v>
      </c>
      <c r="B48" s="37" t="s">
        <v>266</v>
      </c>
      <c r="C48" s="36" t="s">
        <v>10</v>
      </c>
      <c r="D48" s="38">
        <v>0</v>
      </c>
      <c r="E48" s="39"/>
      <c r="F48" s="77">
        <f t="shared" si="0"/>
        <v>0</v>
      </c>
    </row>
    <row r="49" spans="1:6" s="86" customFormat="1" x14ac:dyDescent="0.3">
      <c r="A49" s="83">
        <f t="shared" si="4"/>
        <v>39</v>
      </c>
      <c r="B49" s="37" t="s">
        <v>267</v>
      </c>
      <c r="C49" s="36" t="s">
        <v>10</v>
      </c>
      <c r="D49" s="38">
        <v>0</v>
      </c>
      <c r="E49" s="39"/>
      <c r="F49" s="77">
        <f t="shared" si="0"/>
        <v>0</v>
      </c>
    </row>
    <row r="50" spans="1:6" s="87" customFormat="1" ht="27.6" x14ac:dyDescent="0.3">
      <c r="A50" s="75">
        <f t="shared" si="4"/>
        <v>40</v>
      </c>
      <c r="B50" s="22" t="s">
        <v>268</v>
      </c>
      <c r="C50" s="21" t="s">
        <v>18</v>
      </c>
      <c r="D50" s="26">
        <v>2</v>
      </c>
      <c r="E50" s="24"/>
      <c r="F50" s="77">
        <f t="shared" si="0"/>
        <v>0</v>
      </c>
    </row>
    <row r="51" spans="1:6" s="87" customFormat="1" ht="27.6" x14ac:dyDescent="0.3">
      <c r="A51" s="75">
        <f t="shared" si="4"/>
        <v>41</v>
      </c>
      <c r="B51" s="22" t="s">
        <v>269</v>
      </c>
      <c r="C51" s="21" t="s">
        <v>18</v>
      </c>
      <c r="D51" s="26">
        <v>4</v>
      </c>
      <c r="E51" s="24"/>
      <c r="F51" s="77">
        <f t="shared" si="0"/>
        <v>0</v>
      </c>
    </row>
    <row r="52" spans="1:6" s="87" customFormat="1" ht="27.6" x14ac:dyDescent="0.3">
      <c r="A52" s="75">
        <f t="shared" si="4"/>
        <v>42</v>
      </c>
      <c r="B52" s="22" t="s">
        <v>270</v>
      </c>
      <c r="C52" s="21" t="s">
        <v>18</v>
      </c>
      <c r="D52" s="26">
        <v>4</v>
      </c>
      <c r="E52" s="24"/>
      <c r="F52" s="77">
        <f t="shared" si="0"/>
        <v>0</v>
      </c>
    </row>
    <row r="53" spans="1:6" s="87" customFormat="1" ht="27.6" x14ac:dyDescent="0.3">
      <c r="A53" s="75">
        <f t="shared" si="4"/>
        <v>43</v>
      </c>
      <c r="B53" s="22" t="s">
        <v>271</v>
      </c>
      <c r="C53" s="21" t="s">
        <v>18</v>
      </c>
      <c r="D53" s="26">
        <v>2</v>
      </c>
      <c r="E53" s="24"/>
      <c r="F53" s="77">
        <f t="shared" si="0"/>
        <v>0</v>
      </c>
    </row>
    <row r="54" spans="1:6" s="84" customFormat="1" ht="27.6" x14ac:dyDescent="0.3">
      <c r="A54" s="75">
        <f t="shared" si="4"/>
        <v>44</v>
      </c>
      <c r="B54" s="22" t="s">
        <v>272</v>
      </c>
      <c r="C54" s="21" t="s">
        <v>18</v>
      </c>
      <c r="D54" s="26">
        <v>2</v>
      </c>
      <c r="E54" s="24"/>
      <c r="F54" s="77">
        <f t="shared" si="0"/>
        <v>0</v>
      </c>
    </row>
    <row r="55" spans="1:6" s="84" customFormat="1" ht="27.6" x14ac:dyDescent="0.3">
      <c r="A55" s="75">
        <f t="shared" si="4"/>
        <v>45</v>
      </c>
      <c r="B55" s="22" t="s">
        <v>273</v>
      </c>
      <c r="C55" s="21" t="s">
        <v>18</v>
      </c>
      <c r="D55" s="26">
        <v>5</v>
      </c>
      <c r="E55" s="24"/>
      <c r="F55" s="77">
        <f t="shared" si="0"/>
        <v>0</v>
      </c>
    </row>
    <row r="56" spans="1:6" s="84" customFormat="1" ht="27.6" x14ac:dyDescent="0.3">
      <c r="A56" s="75">
        <f t="shared" si="4"/>
        <v>46</v>
      </c>
      <c r="B56" s="22" t="s">
        <v>274</v>
      </c>
      <c r="C56" s="21" t="s">
        <v>18</v>
      </c>
      <c r="D56" s="26">
        <v>9</v>
      </c>
      <c r="E56" s="24"/>
      <c r="F56" s="77">
        <f t="shared" si="0"/>
        <v>0</v>
      </c>
    </row>
    <row r="57" spans="1:6" s="84" customFormat="1" ht="27.6" x14ac:dyDescent="0.3">
      <c r="A57" s="75">
        <f t="shared" si="4"/>
        <v>47</v>
      </c>
      <c r="B57" s="22" t="s">
        <v>275</v>
      </c>
      <c r="C57" s="21" t="s">
        <v>18</v>
      </c>
      <c r="D57" s="26">
        <v>9</v>
      </c>
      <c r="E57" s="24"/>
      <c r="F57" s="77">
        <f t="shared" si="0"/>
        <v>0</v>
      </c>
    </row>
    <row r="58" spans="1:6" s="84" customFormat="1" ht="27.6" x14ac:dyDescent="0.3">
      <c r="A58" s="75">
        <f t="shared" si="4"/>
        <v>48</v>
      </c>
      <c r="B58" s="22" t="s">
        <v>276</v>
      </c>
      <c r="C58" s="21" t="s">
        <v>18</v>
      </c>
      <c r="D58" s="26">
        <v>20</v>
      </c>
      <c r="E58" s="24"/>
      <c r="F58" s="77">
        <f t="shared" si="0"/>
        <v>0</v>
      </c>
    </row>
    <row r="59" spans="1:6" s="79" customFormat="1" ht="55.2" x14ac:dyDescent="0.3">
      <c r="A59" s="75">
        <f t="shared" si="4"/>
        <v>49</v>
      </c>
      <c r="B59" s="34" t="s">
        <v>277</v>
      </c>
      <c r="C59" s="35" t="s">
        <v>18</v>
      </c>
      <c r="D59" s="23">
        <v>58</v>
      </c>
      <c r="E59" s="24"/>
      <c r="F59" s="77">
        <f t="shared" si="0"/>
        <v>0</v>
      </c>
    </row>
    <row r="60" spans="1:6" s="79" customFormat="1" ht="81" customHeight="1" x14ac:dyDescent="0.3">
      <c r="A60" s="75">
        <f t="shared" si="4"/>
        <v>50</v>
      </c>
      <c r="B60" s="34" t="s">
        <v>278</v>
      </c>
      <c r="C60" s="35" t="s">
        <v>18</v>
      </c>
      <c r="D60" s="23">
        <v>15</v>
      </c>
      <c r="E60" s="24"/>
      <c r="F60" s="77">
        <f t="shared" si="0"/>
        <v>0</v>
      </c>
    </row>
    <row r="61" spans="1:6" s="79" customFormat="1" ht="27.6" x14ac:dyDescent="0.3">
      <c r="A61" s="75">
        <f t="shared" si="4"/>
        <v>51</v>
      </c>
      <c r="B61" s="34" t="s">
        <v>279</v>
      </c>
      <c r="C61" s="35" t="s">
        <v>18</v>
      </c>
      <c r="D61" s="23">
        <v>136.66666666666666</v>
      </c>
      <c r="E61" s="24"/>
      <c r="F61" s="77">
        <f t="shared" si="0"/>
        <v>0</v>
      </c>
    </row>
    <row r="62" spans="1:6" s="79" customFormat="1" x14ac:dyDescent="0.3">
      <c r="A62" s="75">
        <f t="shared" si="4"/>
        <v>52</v>
      </c>
      <c r="B62" s="34" t="s">
        <v>280</v>
      </c>
      <c r="C62" s="35" t="s">
        <v>18</v>
      </c>
      <c r="D62" s="23">
        <v>145</v>
      </c>
      <c r="E62" s="24"/>
      <c r="F62" s="77">
        <f t="shared" si="0"/>
        <v>0</v>
      </c>
    </row>
    <row r="63" spans="1:6" s="79" customFormat="1" x14ac:dyDescent="0.3">
      <c r="A63" s="75">
        <f t="shared" si="4"/>
        <v>53</v>
      </c>
      <c r="B63" s="34" t="s">
        <v>281</v>
      </c>
      <c r="C63" s="35" t="s">
        <v>18</v>
      </c>
      <c r="D63" s="23">
        <v>50</v>
      </c>
      <c r="E63" s="24"/>
      <c r="F63" s="77">
        <f t="shared" si="0"/>
        <v>0</v>
      </c>
    </row>
    <row r="64" spans="1:6" s="79" customFormat="1" x14ac:dyDescent="0.3">
      <c r="A64" s="75">
        <f t="shared" si="4"/>
        <v>54</v>
      </c>
      <c r="B64" s="34" t="s">
        <v>282</v>
      </c>
      <c r="C64" s="35" t="s">
        <v>18</v>
      </c>
      <c r="D64" s="23">
        <v>266.66666666666674</v>
      </c>
      <c r="E64" s="24"/>
      <c r="F64" s="77">
        <f t="shared" si="0"/>
        <v>0</v>
      </c>
    </row>
    <row r="65" spans="1:6" x14ac:dyDescent="0.3">
      <c r="A65" s="83">
        <f t="shared" si="4"/>
        <v>55</v>
      </c>
      <c r="B65" s="37" t="s">
        <v>283</v>
      </c>
      <c r="C65" s="36" t="s">
        <v>18</v>
      </c>
      <c r="D65" s="38">
        <v>0</v>
      </c>
      <c r="E65" s="39"/>
      <c r="F65" s="77">
        <f t="shared" si="0"/>
        <v>0</v>
      </c>
    </row>
    <row r="66" spans="1:6" s="86" customFormat="1" x14ac:dyDescent="0.3">
      <c r="A66" s="83">
        <f t="shared" si="4"/>
        <v>56</v>
      </c>
      <c r="B66" s="37" t="s">
        <v>284</v>
      </c>
      <c r="C66" s="36" t="s">
        <v>18</v>
      </c>
      <c r="D66" s="38">
        <v>0</v>
      </c>
      <c r="E66" s="39"/>
      <c r="F66" s="77">
        <f t="shared" si="0"/>
        <v>0</v>
      </c>
    </row>
    <row r="67" spans="1:6" s="86" customFormat="1" ht="41.4" x14ac:dyDescent="0.3">
      <c r="A67" s="88">
        <f t="shared" si="4"/>
        <v>57</v>
      </c>
      <c r="B67" s="34" t="s">
        <v>285</v>
      </c>
      <c r="C67" s="35" t="s">
        <v>18</v>
      </c>
      <c r="D67" s="23">
        <v>3</v>
      </c>
      <c r="E67" s="24"/>
      <c r="F67" s="77">
        <f t="shared" si="0"/>
        <v>0</v>
      </c>
    </row>
    <row r="68" spans="1:6" x14ac:dyDescent="0.3">
      <c r="A68" s="88">
        <f t="shared" si="4"/>
        <v>58</v>
      </c>
      <c r="B68" s="34" t="s">
        <v>282</v>
      </c>
      <c r="C68" s="35" t="s">
        <v>18</v>
      </c>
      <c r="D68" s="23">
        <v>6</v>
      </c>
      <c r="E68" s="24"/>
      <c r="F68" s="77">
        <f t="shared" si="0"/>
        <v>0</v>
      </c>
    </row>
    <row r="69" spans="1:6" x14ac:dyDescent="0.3">
      <c r="A69" s="83">
        <f t="shared" si="4"/>
        <v>59</v>
      </c>
      <c r="B69" s="37" t="s">
        <v>283</v>
      </c>
      <c r="C69" s="36" t="s">
        <v>18</v>
      </c>
      <c r="D69" s="38">
        <v>0</v>
      </c>
      <c r="E69" s="39"/>
      <c r="F69" s="77">
        <f t="shared" si="0"/>
        <v>0</v>
      </c>
    </row>
    <row r="70" spans="1:6" x14ac:dyDescent="0.3">
      <c r="A70" s="83">
        <f t="shared" si="4"/>
        <v>60</v>
      </c>
      <c r="B70" s="37" t="s">
        <v>284</v>
      </c>
      <c r="C70" s="36" t="s">
        <v>18</v>
      </c>
      <c r="D70" s="38">
        <v>0</v>
      </c>
      <c r="E70" s="39"/>
      <c r="F70" s="77">
        <f t="shared" si="0"/>
        <v>0</v>
      </c>
    </row>
    <row r="71" spans="1:6" x14ac:dyDescent="0.3">
      <c r="A71" s="88">
        <f t="shared" si="4"/>
        <v>61</v>
      </c>
      <c r="B71" s="34" t="s">
        <v>31</v>
      </c>
      <c r="C71" s="35" t="s">
        <v>10</v>
      </c>
      <c r="D71" s="23">
        <v>718</v>
      </c>
      <c r="E71" s="24"/>
      <c r="F71" s="77">
        <f t="shared" si="0"/>
        <v>0</v>
      </c>
    </row>
    <row r="72" spans="1:6" ht="27.6" x14ac:dyDescent="0.3">
      <c r="A72" s="88">
        <f t="shared" si="4"/>
        <v>62</v>
      </c>
      <c r="B72" s="34" t="s">
        <v>255</v>
      </c>
      <c r="C72" s="35" t="s">
        <v>10</v>
      </c>
      <c r="D72" s="23">
        <v>718</v>
      </c>
      <c r="E72" s="24"/>
      <c r="F72" s="77">
        <f t="shared" ref="F72:F135" si="5">D72*E72</f>
        <v>0</v>
      </c>
    </row>
    <row r="73" spans="1:6" ht="28.2" thickBot="1" x14ac:dyDescent="0.35">
      <c r="A73" s="89">
        <f t="shared" si="4"/>
        <v>63</v>
      </c>
      <c r="B73" s="34" t="s">
        <v>256</v>
      </c>
      <c r="C73" s="35" t="s">
        <v>33</v>
      </c>
      <c r="D73" s="23">
        <v>29</v>
      </c>
      <c r="E73" s="24"/>
      <c r="F73" s="77">
        <f t="shared" si="5"/>
        <v>0</v>
      </c>
    </row>
    <row r="74" spans="1:6" ht="14.4" thickBot="1" x14ac:dyDescent="0.35">
      <c r="A74" s="90"/>
      <c r="B74" s="91"/>
      <c r="C74" s="91"/>
      <c r="D74" s="92"/>
      <c r="E74" s="24"/>
      <c r="F74" s="77">
        <f t="shared" si="5"/>
        <v>0</v>
      </c>
    </row>
    <row r="75" spans="1:6" x14ac:dyDescent="0.3">
      <c r="A75" s="82" t="s">
        <v>286</v>
      </c>
      <c r="B75" s="17" t="s">
        <v>287</v>
      </c>
      <c r="C75" s="93"/>
      <c r="D75" s="94"/>
      <c r="E75" s="94"/>
      <c r="F75" s="77">
        <f t="shared" si="5"/>
        <v>0</v>
      </c>
    </row>
    <row r="76" spans="1:6" ht="69" x14ac:dyDescent="0.3">
      <c r="A76" s="88">
        <f>A73+1</f>
        <v>64</v>
      </c>
      <c r="B76" s="34" t="s">
        <v>288</v>
      </c>
      <c r="C76" s="34" t="s">
        <v>10</v>
      </c>
      <c r="D76" s="23">
        <v>1508</v>
      </c>
      <c r="E76" s="24"/>
      <c r="F76" s="77">
        <f t="shared" si="5"/>
        <v>0</v>
      </c>
    </row>
    <row r="77" spans="1:6" x14ac:dyDescent="0.3">
      <c r="A77" s="88">
        <f t="shared" si="4"/>
        <v>65</v>
      </c>
      <c r="B77" s="34" t="s">
        <v>289</v>
      </c>
      <c r="C77" s="34" t="s">
        <v>10</v>
      </c>
      <c r="D77" s="23">
        <v>4868</v>
      </c>
      <c r="E77" s="24"/>
      <c r="F77" s="77">
        <f t="shared" si="5"/>
        <v>0</v>
      </c>
    </row>
    <row r="78" spans="1:6" x14ac:dyDescent="0.3">
      <c r="A78" s="88">
        <f t="shared" si="4"/>
        <v>66</v>
      </c>
      <c r="B78" s="34" t="s">
        <v>290</v>
      </c>
      <c r="C78" s="34" t="s">
        <v>10</v>
      </c>
      <c r="D78" s="23">
        <v>5512</v>
      </c>
      <c r="E78" s="24"/>
      <c r="F78" s="77">
        <f t="shared" si="5"/>
        <v>0</v>
      </c>
    </row>
    <row r="79" spans="1:6" ht="27.6" x14ac:dyDescent="0.3">
      <c r="A79" s="88">
        <f t="shared" si="4"/>
        <v>67</v>
      </c>
      <c r="B79" s="34" t="s">
        <v>291</v>
      </c>
      <c r="C79" s="34" t="s">
        <v>18</v>
      </c>
      <c r="D79" s="23">
        <v>1378</v>
      </c>
      <c r="E79" s="24"/>
      <c r="F79" s="77">
        <f t="shared" si="5"/>
        <v>0</v>
      </c>
    </row>
    <row r="80" spans="1:6" x14ac:dyDescent="0.3">
      <c r="A80" s="75">
        <f t="shared" si="4"/>
        <v>68</v>
      </c>
      <c r="B80" s="22" t="s">
        <v>292</v>
      </c>
      <c r="C80" s="22" t="s">
        <v>18</v>
      </c>
      <c r="D80" s="26">
        <v>1378</v>
      </c>
      <c r="E80" s="24"/>
      <c r="F80" s="77">
        <f t="shared" si="5"/>
        <v>0</v>
      </c>
    </row>
    <row r="81" spans="1:6" x14ac:dyDescent="0.3">
      <c r="A81" s="88">
        <f t="shared" si="4"/>
        <v>69</v>
      </c>
      <c r="B81" s="34" t="s">
        <v>293</v>
      </c>
      <c r="C81" s="34" t="s">
        <v>10</v>
      </c>
      <c r="D81" s="23">
        <v>11888</v>
      </c>
      <c r="E81" s="24"/>
      <c r="F81" s="77">
        <f t="shared" si="5"/>
        <v>0</v>
      </c>
    </row>
    <row r="82" spans="1:6" ht="27.6" x14ac:dyDescent="0.3">
      <c r="A82" s="88">
        <f t="shared" si="4"/>
        <v>70</v>
      </c>
      <c r="B82" s="34" t="s">
        <v>294</v>
      </c>
      <c r="C82" s="34" t="s">
        <v>18</v>
      </c>
      <c r="D82" s="23">
        <v>75</v>
      </c>
      <c r="E82" s="24"/>
      <c r="F82" s="77">
        <f t="shared" si="5"/>
        <v>0</v>
      </c>
    </row>
    <row r="83" spans="1:6" ht="42" thickBot="1" x14ac:dyDescent="0.35">
      <c r="A83" s="80">
        <f t="shared" si="4"/>
        <v>71</v>
      </c>
      <c r="B83" s="22" t="s">
        <v>295</v>
      </c>
      <c r="C83" s="22" t="s">
        <v>18</v>
      </c>
      <c r="D83" s="26">
        <v>3</v>
      </c>
      <c r="E83" s="24"/>
      <c r="F83" s="77">
        <f t="shared" si="5"/>
        <v>0</v>
      </c>
    </row>
    <row r="84" spans="1:6" ht="14.4" thickBot="1" x14ac:dyDescent="0.35">
      <c r="A84" s="90"/>
      <c r="B84" s="34"/>
      <c r="C84" s="34"/>
      <c r="D84" s="23"/>
      <c r="E84" s="24"/>
      <c r="F84" s="77">
        <f t="shared" si="5"/>
        <v>0</v>
      </c>
    </row>
    <row r="85" spans="1:6" x14ac:dyDescent="0.3">
      <c r="A85" s="82" t="s">
        <v>296</v>
      </c>
      <c r="B85" s="17" t="s">
        <v>297</v>
      </c>
      <c r="C85" s="17"/>
      <c r="D85" s="94"/>
      <c r="E85" s="94"/>
      <c r="F85" s="77">
        <f t="shared" si="5"/>
        <v>0</v>
      </c>
    </row>
    <row r="86" spans="1:6" ht="69" x14ac:dyDescent="0.3">
      <c r="A86" s="88">
        <f>A83+1</f>
        <v>72</v>
      </c>
      <c r="B86" s="34" t="s">
        <v>298</v>
      </c>
      <c r="C86" s="34" t="s">
        <v>10</v>
      </c>
      <c r="D86" s="23">
        <v>3989</v>
      </c>
      <c r="E86" s="24"/>
      <c r="F86" s="77">
        <f t="shared" si="5"/>
        <v>0</v>
      </c>
    </row>
    <row r="87" spans="1:6" x14ac:dyDescent="0.3">
      <c r="A87" s="88">
        <f t="shared" si="4"/>
        <v>73</v>
      </c>
      <c r="B87" s="34" t="s">
        <v>299</v>
      </c>
      <c r="C87" s="34" t="s">
        <v>10</v>
      </c>
      <c r="D87" s="23">
        <v>1236</v>
      </c>
      <c r="E87" s="24"/>
      <c r="F87" s="77">
        <f t="shared" si="5"/>
        <v>0</v>
      </c>
    </row>
    <row r="88" spans="1:6" x14ac:dyDescent="0.3">
      <c r="A88" s="88">
        <f t="shared" si="4"/>
        <v>74</v>
      </c>
      <c r="B88" s="34" t="s">
        <v>300</v>
      </c>
      <c r="C88" s="34" t="s">
        <v>10</v>
      </c>
      <c r="D88" s="23">
        <v>1272</v>
      </c>
      <c r="E88" s="24"/>
      <c r="F88" s="77">
        <f t="shared" si="5"/>
        <v>0</v>
      </c>
    </row>
    <row r="89" spans="1:6" ht="27.6" x14ac:dyDescent="0.3">
      <c r="A89" s="88">
        <f t="shared" si="4"/>
        <v>75</v>
      </c>
      <c r="B89" s="34" t="s">
        <v>301</v>
      </c>
      <c r="C89" s="34" t="s">
        <v>18</v>
      </c>
      <c r="D89" s="23">
        <v>309</v>
      </c>
      <c r="E89" s="24"/>
      <c r="F89" s="77">
        <f t="shared" si="5"/>
        <v>0</v>
      </c>
    </row>
    <row r="90" spans="1:6" ht="27.6" x14ac:dyDescent="0.3">
      <c r="A90" s="88">
        <f t="shared" si="4"/>
        <v>76</v>
      </c>
      <c r="B90" s="34" t="s">
        <v>291</v>
      </c>
      <c r="C90" s="34" t="s">
        <v>18</v>
      </c>
      <c r="D90" s="23">
        <v>318</v>
      </c>
      <c r="E90" s="24"/>
      <c r="F90" s="77">
        <f t="shared" si="5"/>
        <v>0</v>
      </c>
    </row>
    <row r="91" spans="1:6" x14ac:dyDescent="0.3">
      <c r="A91" s="88">
        <f t="shared" si="4"/>
        <v>77</v>
      </c>
      <c r="B91" s="34" t="s">
        <v>302</v>
      </c>
      <c r="C91" s="34" t="s">
        <v>18</v>
      </c>
      <c r="D91" s="23">
        <v>220</v>
      </c>
      <c r="E91" s="24"/>
      <c r="F91" s="77">
        <f t="shared" si="5"/>
        <v>0</v>
      </c>
    </row>
    <row r="92" spans="1:6" x14ac:dyDescent="0.3">
      <c r="A92" s="88">
        <f t="shared" si="4"/>
        <v>78</v>
      </c>
      <c r="B92" s="34" t="s">
        <v>303</v>
      </c>
      <c r="C92" s="34" t="s">
        <v>18</v>
      </c>
      <c r="D92" s="23">
        <v>638</v>
      </c>
      <c r="E92" s="24"/>
      <c r="F92" s="77">
        <f t="shared" si="5"/>
        <v>0</v>
      </c>
    </row>
    <row r="93" spans="1:6" ht="27.6" x14ac:dyDescent="0.3">
      <c r="A93" s="88">
        <f t="shared" si="4"/>
        <v>79</v>
      </c>
      <c r="B93" s="34" t="s">
        <v>304</v>
      </c>
      <c r="C93" s="34" t="s">
        <v>18</v>
      </c>
      <c r="D93" s="23">
        <v>286</v>
      </c>
      <c r="E93" s="24"/>
      <c r="F93" s="77">
        <f t="shared" si="5"/>
        <v>0</v>
      </c>
    </row>
    <row r="94" spans="1:6" ht="57" customHeight="1" x14ac:dyDescent="0.3">
      <c r="A94" s="88">
        <f t="shared" si="4"/>
        <v>80</v>
      </c>
      <c r="B94" s="34" t="s">
        <v>305</v>
      </c>
      <c r="C94" s="34" t="s">
        <v>10</v>
      </c>
      <c r="D94" s="23">
        <v>24</v>
      </c>
      <c r="E94" s="24"/>
      <c r="F94" s="77">
        <f t="shared" si="5"/>
        <v>0</v>
      </c>
    </row>
    <row r="95" spans="1:6" ht="69" x14ac:dyDescent="0.3">
      <c r="A95" s="75">
        <f t="shared" si="4"/>
        <v>81</v>
      </c>
      <c r="B95" s="95" t="s">
        <v>306</v>
      </c>
      <c r="C95" s="22" t="s">
        <v>10</v>
      </c>
      <c r="D95" s="26">
        <v>432</v>
      </c>
      <c r="E95" s="24"/>
      <c r="F95" s="77">
        <f t="shared" si="5"/>
        <v>0</v>
      </c>
    </row>
    <row r="96" spans="1:6" x14ac:dyDescent="0.3">
      <c r="A96" s="88">
        <f t="shared" si="4"/>
        <v>82</v>
      </c>
      <c r="B96" s="34" t="s">
        <v>307</v>
      </c>
      <c r="C96" s="34" t="s">
        <v>18</v>
      </c>
      <c r="D96" s="23">
        <v>32</v>
      </c>
      <c r="E96" s="24"/>
      <c r="F96" s="77">
        <f t="shared" si="5"/>
        <v>0</v>
      </c>
    </row>
    <row r="97" spans="1:6" ht="78" customHeight="1" x14ac:dyDescent="0.3">
      <c r="A97" s="88">
        <f t="shared" si="4"/>
        <v>83</v>
      </c>
      <c r="B97" s="34" t="s">
        <v>308</v>
      </c>
      <c r="C97" s="34" t="s">
        <v>18</v>
      </c>
      <c r="D97" s="23">
        <v>377</v>
      </c>
      <c r="E97" s="24"/>
      <c r="F97" s="77">
        <f t="shared" si="5"/>
        <v>0</v>
      </c>
    </row>
    <row r="98" spans="1:6" ht="57" customHeight="1" x14ac:dyDescent="0.3">
      <c r="A98" s="88">
        <f t="shared" si="4"/>
        <v>84</v>
      </c>
      <c r="B98" s="34" t="s">
        <v>309</v>
      </c>
      <c r="C98" s="34" t="s">
        <v>18</v>
      </c>
      <c r="D98" s="23">
        <v>25</v>
      </c>
      <c r="E98" s="24"/>
      <c r="F98" s="77">
        <f t="shared" si="5"/>
        <v>0</v>
      </c>
    </row>
    <row r="99" spans="1:6" x14ac:dyDescent="0.3">
      <c r="A99" s="88">
        <f t="shared" si="4"/>
        <v>85</v>
      </c>
      <c r="B99" s="34" t="s">
        <v>292</v>
      </c>
      <c r="C99" s="34" t="s">
        <v>18</v>
      </c>
      <c r="D99" s="23">
        <v>648</v>
      </c>
      <c r="E99" s="24"/>
      <c r="F99" s="77">
        <f t="shared" si="5"/>
        <v>0</v>
      </c>
    </row>
    <row r="100" spans="1:6" ht="14.4" thickBot="1" x14ac:dyDescent="0.35">
      <c r="A100" s="89">
        <f t="shared" si="4"/>
        <v>86</v>
      </c>
      <c r="B100" s="34" t="s">
        <v>293</v>
      </c>
      <c r="C100" s="34" t="s">
        <v>10</v>
      </c>
      <c r="D100" s="23">
        <v>6605</v>
      </c>
      <c r="E100" s="24"/>
      <c r="F100" s="77">
        <f t="shared" si="5"/>
        <v>0</v>
      </c>
    </row>
    <row r="101" spans="1:6" ht="15.75" customHeight="1" thickBot="1" x14ac:dyDescent="0.35">
      <c r="A101" s="90"/>
      <c r="B101" s="34"/>
      <c r="C101" s="30"/>
      <c r="D101" s="92"/>
      <c r="E101" s="24"/>
      <c r="F101" s="77">
        <f t="shared" si="5"/>
        <v>0</v>
      </c>
    </row>
    <row r="102" spans="1:6" x14ac:dyDescent="0.3">
      <c r="A102" s="82" t="s">
        <v>310</v>
      </c>
      <c r="B102" s="17" t="s">
        <v>311</v>
      </c>
      <c r="C102" s="96"/>
      <c r="D102" s="94"/>
      <c r="E102" s="94"/>
      <c r="F102" s="77">
        <f t="shared" si="5"/>
        <v>0</v>
      </c>
    </row>
    <row r="103" spans="1:6" ht="69" x14ac:dyDescent="0.3">
      <c r="A103" s="88">
        <f>A100+1</f>
        <v>87</v>
      </c>
      <c r="B103" s="34" t="s">
        <v>312</v>
      </c>
      <c r="C103" s="35" t="s">
        <v>10</v>
      </c>
      <c r="D103" s="23">
        <v>174</v>
      </c>
      <c r="E103" s="24"/>
      <c r="F103" s="77">
        <f t="shared" si="5"/>
        <v>0</v>
      </c>
    </row>
    <row r="104" spans="1:6" ht="27.6" x14ac:dyDescent="0.3">
      <c r="A104" s="88">
        <f t="shared" ref="A104:A108" si="6">A103+1</f>
        <v>88</v>
      </c>
      <c r="B104" s="34" t="s">
        <v>313</v>
      </c>
      <c r="C104" s="35" t="s">
        <v>18</v>
      </c>
      <c r="D104" s="23">
        <v>87</v>
      </c>
      <c r="E104" s="24"/>
      <c r="F104" s="77">
        <f t="shared" si="5"/>
        <v>0</v>
      </c>
    </row>
    <row r="105" spans="1:6" ht="27.6" x14ac:dyDescent="0.3">
      <c r="A105" s="88">
        <f t="shared" si="6"/>
        <v>89</v>
      </c>
      <c r="B105" s="34" t="s">
        <v>314</v>
      </c>
      <c r="C105" s="35" t="s">
        <v>18</v>
      </c>
      <c r="D105" s="23">
        <v>3</v>
      </c>
      <c r="E105" s="24"/>
      <c r="F105" s="77">
        <f t="shared" si="5"/>
        <v>0</v>
      </c>
    </row>
    <row r="106" spans="1:6" x14ac:dyDescent="0.3">
      <c r="A106" s="88">
        <f t="shared" si="6"/>
        <v>90</v>
      </c>
      <c r="B106" s="34" t="s">
        <v>315</v>
      </c>
      <c r="C106" s="35" t="s">
        <v>18</v>
      </c>
      <c r="D106" s="23">
        <v>29</v>
      </c>
      <c r="E106" s="24"/>
      <c r="F106" s="77">
        <f t="shared" si="5"/>
        <v>0</v>
      </c>
    </row>
    <row r="107" spans="1:6" ht="48.75" customHeight="1" x14ac:dyDescent="0.3">
      <c r="A107" s="75">
        <f t="shared" si="6"/>
        <v>91</v>
      </c>
      <c r="B107" s="22" t="s">
        <v>316</v>
      </c>
      <c r="C107" s="21" t="s">
        <v>18</v>
      </c>
      <c r="D107" s="26">
        <v>20</v>
      </c>
      <c r="E107" s="24"/>
      <c r="F107" s="77">
        <f t="shared" si="5"/>
        <v>0</v>
      </c>
    </row>
    <row r="108" spans="1:6" ht="14.4" thickBot="1" x14ac:dyDescent="0.35">
      <c r="A108" s="89">
        <f t="shared" si="6"/>
        <v>92</v>
      </c>
      <c r="B108" s="34" t="s">
        <v>317</v>
      </c>
      <c r="C108" s="35" t="s">
        <v>10</v>
      </c>
      <c r="D108" s="23">
        <v>174</v>
      </c>
      <c r="E108" s="24"/>
      <c r="F108" s="77">
        <f t="shared" si="5"/>
        <v>0</v>
      </c>
    </row>
    <row r="109" spans="1:6" ht="14.4" thickBot="1" x14ac:dyDescent="0.35">
      <c r="A109" s="90"/>
      <c r="B109" s="34"/>
      <c r="C109" s="35"/>
      <c r="D109" s="23"/>
      <c r="E109" s="24"/>
      <c r="F109" s="77">
        <f t="shared" si="5"/>
        <v>0</v>
      </c>
    </row>
    <row r="110" spans="1:6" x14ac:dyDescent="0.3">
      <c r="A110" s="82" t="s">
        <v>318</v>
      </c>
      <c r="B110" s="17" t="s">
        <v>319</v>
      </c>
      <c r="C110" s="17"/>
      <c r="D110" s="17"/>
      <c r="E110" s="17"/>
      <c r="F110" s="77">
        <f t="shared" si="5"/>
        <v>0</v>
      </c>
    </row>
    <row r="111" spans="1:6" ht="55.2" x14ac:dyDescent="0.3">
      <c r="A111" s="97">
        <f>A108+1</f>
        <v>93</v>
      </c>
      <c r="B111" s="34" t="s">
        <v>320</v>
      </c>
      <c r="C111" s="35" t="s">
        <v>10</v>
      </c>
      <c r="D111" s="23">
        <v>50</v>
      </c>
      <c r="E111" s="24"/>
      <c r="F111" s="77">
        <f t="shared" si="5"/>
        <v>0</v>
      </c>
    </row>
    <row r="112" spans="1:6" x14ac:dyDescent="0.3">
      <c r="A112" s="97">
        <v>93</v>
      </c>
      <c r="B112" s="34" t="s">
        <v>131</v>
      </c>
      <c r="C112" s="35" t="s">
        <v>10</v>
      </c>
      <c r="D112" s="23">
        <v>20</v>
      </c>
      <c r="E112" s="24"/>
      <c r="F112" s="77">
        <f t="shared" si="5"/>
        <v>0</v>
      </c>
    </row>
    <row r="113" spans="1:6" x14ac:dyDescent="0.3">
      <c r="A113" s="97">
        <v>94</v>
      </c>
      <c r="B113" s="34" t="s">
        <v>321</v>
      </c>
      <c r="C113" s="35" t="s">
        <v>10</v>
      </c>
      <c r="D113" s="23">
        <v>25</v>
      </c>
      <c r="E113" s="24"/>
      <c r="F113" s="77">
        <f t="shared" si="5"/>
        <v>0</v>
      </c>
    </row>
    <row r="114" spans="1:6" x14ac:dyDescent="0.3">
      <c r="A114" s="97">
        <v>95</v>
      </c>
      <c r="B114" s="34" t="s">
        <v>261</v>
      </c>
      <c r="C114" s="35" t="s">
        <v>10</v>
      </c>
      <c r="D114" s="23">
        <v>300</v>
      </c>
      <c r="E114" s="24"/>
      <c r="F114" s="77">
        <f t="shared" si="5"/>
        <v>0</v>
      </c>
    </row>
    <row r="115" spans="1:6" x14ac:dyDescent="0.3">
      <c r="A115" s="97">
        <v>96</v>
      </c>
      <c r="B115" s="34" t="s">
        <v>92</v>
      </c>
      <c r="C115" s="35" t="s">
        <v>10</v>
      </c>
      <c r="D115" s="23">
        <v>150</v>
      </c>
      <c r="E115" s="24"/>
      <c r="F115" s="77">
        <f t="shared" si="5"/>
        <v>0</v>
      </c>
    </row>
    <row r="116" spans="1:6" ht="55.2" x14ac:dyDescent="0.3">
      <c r="A116" s="98">
        <v>97</v>
      </c>
      <c r="B116" s="37" t="s">
        <v>322</v>
      </c>
      <c r="C116" s="36"/>
      <c r="D116" s="38">
        <v>0</v>
      </c>
      <c r="E116" s="39"/>
      <c r="F116" s="77">
        <f t="shared" si="5"/>
        <v>0</v>
      </c>
    </row>
    <row r="117" spans="1:6" x14ac:dyDescent="0.3">
      <c r="A117" s="98">
        <v>98</v>
      </c>
      <c r="B117" s="37" t="s">
        <v>323</v>
      </c>
      <c r="C117" s="36" t="s">
        <v>10</v>
      </c>
      <c r="D117" s="38">
        <v>0</v>
      </c>
      <c r="E117" s="39"/>
      <c r="F117" s="77">
        <f t="shared" si="5"/>
        <v>0</v>
      </c>
    </row>
    <row r="118" spans="1:6" x14ac:dyDescent="0.3">
      <c r="A118" s="98">
        <v>99</v>
      </c>
      <c r="B118" s="37" t="s">
        <v>324</v>
      </c>
      <c r="C118" s="36" t="s">
        <v>10</v>
      </c>
      <c r="D118" s="38">
        <v>0</v>
      </c>
      <c r="E118" s="39"/>
      <c r="F118" s="77">
        <f t="shared" si="5"/>
        <v>0</v>
      </c>
    </row>
    <row r="119" spans="1:6" x14ac:dyDescent="0.3">
      <c r="A119" s="98">
        <v>100</v>
      </c>
      <c r="B119" s="37" t="s">
        <v>267</v>
      </c>
      <c r="C119" s="36" t="s">
        <v>10</v>
      </c>
      <c r="D119" s="38">
        <v>0</v>
      </c>
      <c r="E119" s="39"/>
      <c r="F119" s="77">
        <f t="shared" si="5"/>
        <v>0</v>
      </c>
    </row>
    <row r="120" spans="1:6" ht="27.6" x14ac:dyDescent="0.3">
      <c r="A120" s="97">
        <v>101</v>
      </c>
      <c r="B120" s="34" t="s">
        <v>325</v>
      </c>
      <c r="C120" s="35" t="s">
        <v>18</v>
      </c>
      <c r="D120" s="23">
        <v>20</v>
      </c>
      <c r="E120" s="24"/>
      <c r="F120" s="77">
        <f t="shared" si="5"/>
        <v>0</v>
      </c>
    </row>
    <row r="121" spans="1:6" ht="27.6" x14ac:dyDescent="0.3">
      <c r="A121" s="97">
        <v>102</v>
      </c>
      <c r="B121" s="34" t="s">
        <v>326</v>
      </c>
      <c r="C121" s="35" t="s">
        <v>18</v>
      </c>
      <c r="D121" s="23">
        <v>8</v>
      </c>
      <c r="E121" s="24"/>
      <c r="F121" s="77">
        <f t="shared" si="5"/>
        <v>0</v>
      </c>
    </row>
    <row r="122" spans="1:6" ht="27.6" x14ac:dyDescent="0.3">
      <c r="A122" s="97">
        <v>103</v>
      </c>
      <c r="B122" s="34" t="s">
        <v>327</v>
      </c>
      <c r="C122" s="35" t="s">
        <v>18</v>
      </c>
      <c r="D122" s="23">
        <v>120</v>
      </c>
      <c r="E122" s="24"/>
      <c r="F122" s="77">
        <f t="shared" si="5"/>
        <v>0</v>
      </c>
    </row>
    <row r="123" spans="1:6" ht="27.6" x14ac:dyDescent="0.3">
      <c r="A123" s="97">
        <v>104</v>
      </c>
      <c r="B123" s="34" t="s">
        <v>328</v>
      </c>
      <c r="C123" s="35" t="s">
        <v>18</v>
      </c>
      <c r="D123" s="23">
        <v>60</v>
      </c>
      <c r="E123" s="24"/>
      <c r="F123" s="77">
        <f t="shared" si="5"/>
        <v>0</v>
      </c>
    </row>
    <row r="124" spans="1:6" ht="69" x14ac:dyDescent="0.3">
      <c r="A124" s="97">
        <v>105</v>
      </c>
      <c r="B124" s="34" t="s">
        <v>329</v>
      </c>
      <c r="C124" s="35" t="s">
        <v>18</v>
      </c>
      <c r="D124" s="23">
        <v>5</v>
      </c>
      <c r="E124" s="24"/>
      <c r="F124" s="77">
        <f t="shared" si="5"/>
        <v>0</v>
      </c>
    </row>
    <row r="125" spans="1:6" ht="55.2" x14ac:dyDescent="0.3">
      <c r="A125" s="97">
        <v>106</v>
      </c>
      <c r="B125" s="34" t="s">
        <v>330</v>
      </c>
      <c r="C125" s="35" t="s">
        <v>18</v>
      </c>
      <c r="D125" s="23">
        <v>2</v>
      </c>
      <c r="E125" s="24"/>
      <c r="F125" s="77">
        <f t="shared" si="5"/>
        <v>0</v>
      </c>
    </row>
    <row r="126" spans="1:6" x14ac:dyDescent="0.3">
      <c r="A126" s="97">
        <v>107</v>
      </c>
      <c r="B126" s="34" t="s">
        <v>281</v>
      </c>
      <c r="C126" s="35" t="s">
        <v>18</v>
      </c>
      <c r="D126" s="23">
        <v>2</v>
      </c>
      <c r="E126" s="24"/>
      <c r="F126" s="77">
        <f t="shared" si="5"/>
        <v>0</v>
      </c>
    </row>
    <row r="127" spans="1:6" x14ac:dyDescent="0.3">
      <c r="A127" s="97">
        <v>108</v>
      </c>
      <c r="B127" s="34" t="s">
        <v>282</v>
      </c>
      <c r="C127" s="35" t="s">
        <v>18</v>
      </c>
      <c r="D127" s="23">
        <v>8</v>
      </c>
      <c r="E127" s="24"/>
      <c r="F127" s="77">
        <f t="shared" si="5"/>
        <v>0</v>
      </c>
    </row>
    <row r="128" spans="1:6" ht="41.4" x14ac:dyDescent="0.3">
      <c r="A128" s="99">
        <v>109</v>
      </c>
      <c r="B128" s="22" t="s">
        <v>331</v>
      </c>
      <c r="C128" s="21" t="s">
        <v>18</v>
      </c>
      <c r="D128" s="26">
        <v>1</v>
      </c>
      <c r="E128" s="24"/>
      <c r="F128" s="77">
        <f t="shared" si="5"/>
        <v>0</v>
      </c>
    </row>
    <row r="129" spans="1:6" ht="41.4" x14ac:dyDescent="0.3">
      <c r="A129" s="99">
        <v>110</v>
      </c>
      <c r="B129" s="22" t="s">
        <v>332</v>
      </c>
      <c r="C129" s="21" t="s">
        <v>18</v>
      </c>
      <c r="D129" s="26">
        <v>1</v>
      </c>
      <c r="E129" s="24"/>
      <c r="F129" s="77">
        <f t="shared" si="5"/>
        <v>0</v>
      </c>
    </row>
    <row r="130" spans="1:6" ht="69" x14ac:dyDescent="0.3">
      <c r="A130" s="97">
        <v>111</v>
      </c>
      <c r="B130" s="34" t="s">
        <v>333</v>
      </c>
      <c r="C130" s="35" t="s">
        <v>18</v>
      </c>
      <c r="D130" s="23">
        <v>1</v>
      </c>
      <c r="E130" s="24"/>
      <c r="F130" s="77">
        <f t="shared" si="5"/>
        <v>0</v>
      </c>
    </row>
    <row r="131" spans="1:6" ht="69" x14ac:dyDescent="0.3">
      <c r="A131" s="97">
        <v>112</v>
      </c>
      <c r="B131" s="34" t="s">
        <v>334</v>
      </c>
      <c r="C131" s="35" t="s">
        <v>18</v>
      </c>
      <c r="D131" s="23">
        <v>1</v>
      </c>
      <c r="E131" s="24"/>
      <c r="F131" s="77">
        <f t="shared" si="5"/>
        <v>0</v>
      </c>
    </row>
    <row r="132" spans="1:6" ht="124.2" x14ac:dyDescent="0.3">
      <c r="A132" s="99">
        <v>113</v>
      </c>
      <c r="B132" s="22" t="s">
        <v>335</v>
      </c>
      <c r="C132" s="21" t="s">
        <v>18</v>
      </c>
      <c r="D132" s="23">
        <v>1</v>
      </c>
      <c r="E132" s="24"/>
      <c r="F132" s="77">
        <f t="shared" si="5"/>
        <v>0</v>
      </c>
    </row>
    <row r="133" spans="1:6" ht="124.2" x14ac:dyDescent="0.3">
      <c r="A133" s="99">
        <v>114</v>
      </c>
      <c r="B133" s="22" t="s">
        <v>336</v>
      </c>
      <c r="C133" s="21" t="s">
        <v>18</v>
      </c>
      <c r="D133" s="23">
        <v>1</v>
      </c>
      <c r="E133" s="24"/>
      <c r="F133" s="77">
        <f t="shared" si="5"/>
        <v>0</v>
      </c>
    </row>
    <row r="134" spans="1:6" ht="41.4" x14ac:dyDescent="0.3">
      <c r="A134" s="97">
        <v>115</v>
      </c>
      <c r="B134" s="34" t="s">
        <v>337</v>
      </c>
      <c r="C134" s="35" t="s">
        <v>18</v>
      </c>
      <c r="D134" s="23">
        <v>2</v>
      </c>
      <c r="E134" s="24"/>
      <c r="F134" s="77">
        <f t="shared" si="5"/>
        <v>0</v>
      </c>
    </row>
    <row r="135" spans="1:6" x14ac:dyDescent="0.3">
      <c r="A135" s="97">
        <v>116</v>
      </c>
      <c r="B135" s="34" t="s">
        <v>31</v>
      </c>
      <c r="C135" s="35" t="s">
        <v>10</v>
      </c>
      <c r="D135" s="23">
        <v>545</v>
      </c>
      <c r="E135" s="24"/>
      <c r="F135" s="77">
        <f t="shared" si="5"/>
        <v>0</v>
      </c>
    </row>
    <row r="136" spans="1:6" ht="28.2" thickBot="1" x14ac:dyDescent="0.35">
      <c r="A136" s="100">
        <v>117</v>
      </c>
      <c r="B136" s="34" t="s">
        <v>256</v>
      </c>
      <c r="C136" s="35" t="s">
        <v>10</v>
      </c>
      <c r="D136" s="23">
        <v>545</v>
      </c>
      <c r="E136" s="24"/>
      <c r="F136" s="77">
        <f t="shared" ref="F136:F199" si="7">D136*E136</f>
        <v>0</v>
      </c>
    </row>
    <row r="137" spans="1:6" ht="14.4" thickBot="1" x14ac:dyDescent="0.35">
      <c r="A137" s="101"/>
      <c r="B137" s="34"/>
      <c r="C137" s="35"/>
      <c r="D137" s="23"/>
      <c r="E137" s="24"/>
      <c r="F137" s="77">
        <f t="shared" si="7"/>
        <v>0</v>
      </c>
    </row>
    <row r="138" spans="1:6" ht="15.6" x14ac:dyDescent="0.3">
      <c r="A138" s="102" t="s">
        <v>338</v>
      </c>
      <c r="B138" s="103" t="s">
        <v>339</v>
      </c>
      <c r="C138" s="104"/>
      <c r="D138" s="105"/>
      <c r="E138" s="105"/>
      <c r="F138" s="77">
        <f t="shared" si="7"/>
        <v>0</v>
      </c>
    </row>
    <row r="139" spans="1:6" ht="82.8" x14ac:dyDescent="0.3">
      <c r="A139" s="88">
        <f>A136+1</f>
        <v>118</v>
      </c>
      <c r="B139" s="34" t="s">
        <v>340</v>
      </c>
      <c r="C139" s="35" t="s">
        <v>10</v>
      </c>
      <c r="D139" s="23">
        <v>850</v>
      </c>
      <c r="E139" s="24"/>
      <c r="F139" s="77">
        <f t="shared" si="7"/>
        <v>0</v>
      </c>
    </row>
    <row r="140" spans="1:6" ht="27.6" x14ac:dyDescent="0.3">
      <c r="A140" s="88">
        <f t="shared" ref="A140:A168" si="8">A139+1</f>
        <v>119</v>
      </c>
      <c r="B140" s="34" t="s">
        <v>341</v>
      </c>
      <c r="C140" s="35" t="s">
        <v>18</v>
      </c>
      <c r="D140" s="23">
        <v>75</v>
      </c>
      <c r="E140" s="24"/>
      <c r="F140" s="77">
        <f t="shared" si="7"/>
        <v>0</v>
      </c>
    </row>
    <row r="141" spans="1:6" ht="69" x14ac:dyDescent="0.3">
      <c r="A141" s="88">
        <f t="shared" si="8"/>
        <v>120</v>
      </c>
      <c r="B141" s="34" t="s">
        <v>342</v>
      </c>
      <c r="C141" s="35" t="s">
        <v>10</v>
      </c>
      <c r="D141" s="23">
        <v>400</v>
      </c>
      <c r="E141" s="24"/>
      <c r="F141" s="77">
        <f t="shared" si="7"/>
        <v>0</v>
      </c>
    </row>
    <row r="142" spans="1:6" ht="69" x14ac:dyDescent="0.3">
      <c r="A142" s="88">
        <f t="shared" si="8"/>
        <v>121</v>
      </c>
      <c r="B142" s="34" t="s">
        <v>306</v>
      </c>
      <c r="C142" s="35" t="s">
        <v>10</v>
      </c>
      <c r="D142" s="23">
        <v>1700</v>
      </c>
      <c r="E142" s="24"/>
      <c r="F142" s="77">
        <f t="shared" si="7"/>
        <v>0</v>
      </c>
    </row>
    <row r="143" spans="1:6" ht="69" x14ac:dyDescent="0.3">
      <c r="A143" s="88">
        <f t="shared" si="8"/>
        <v>122</v>
      </c>
      <c r="B143" s="34" t="s">
        <v>343</v>
      </c>
      <c r="C143" s="35" t="s">
        <v>10</v>
      </c>
      <c r="D143" s="23">
        <v>40</v>
      </c>
      <c r="E143" s="24"/>
      <c r="F143" s="77">
        <f t="shared" si="7"/>
        <v>0</v>
      </c>
    </row>
    <row r="144" spans="1:6" ht="69" x14ac:dyDescent="0.3">
      <c r="A144" s="88">
        <f t="shared" si="8"/>
        <v>123</v>
      </c>
      <c r="B144" s="34" t="s">
        <v>344</v>
      </c>
      <c r="C144" s="35" t="s">
        <v>10</v>
      </c>
      <c r="D144" s="23">
        <v>370</v>
      </c>
      <c r="E144" s="24"/>
      <c r="F144" s="77">
        <f t="shared" si="7"/>
        <v>0</v>
      </c>
    </row>
    <row r="145" spans="1:6" ht="69" x14ac:dyDescent="0.3">
      <c r="A145" s="88">
        <f t="shared" si="8"/>
        <v>124</v>
      </c>
      <c r="B145" s="34" t="s">
        <v>345</v>
      </c>
      <c r="C145" s="35" t="s">
        <v>10</v>
      </c>
      <c r="D145" s="23">
        <v>160</v>
      </c>
      <c r="E145" s="24"/>
      <c r="F145" s="77">
        <f t="shared" si="7"/>
        <v>0</v>
      </c>
    </row>
    <row r="146" spans="1:6" ht="69" x14ac:dyDescent="0.3">
      <c r="A146" s="88">
        <f t="shared" si="8"/>
        <v>125</v>
      </c>
      <c r="B146" s="34" t="s">
        <v>346</v>
      </c>
      <c r="C146" s="35" t="s">
        <v>10</v>
      </c>
      <c r="D146" s="23">
        <v>150</v>
      </c>
      <c r="E146" s="24"/>
      <c r="F146" s="77">
        <f t="shared" si="7"/>
        <v>0</v>
      </c>
    </row>
    <row r="147" spans="1:6" ht="27.6" x14ac:dyDescent="0.3">
      <c r="A147" s="88">
        <f t="shared" si="8"/>
        <v>126</v>
      </c>
      <c r="B147" s="34" t="s">
        <v>347</v>
      </c>
      <c r="C147" s="35" t="s">
        <v>18</v>
      </c>
      <c r="D147" s="23">
        <v>60</v>
      </c>
      <c r="E147" s="24"/>
      <c r="F147" s="77">
        <f t="shared" si="7"/>
        <v>0</v>
      </c>
    </row>
    <row r="148" spans="1:6" ht="27.6" x14ac:dyDescent="0.3">
      <c r="A148" s="88">
        <f t="shared" si="8"/>
        <v>127</v>
      </c>
      <c r="B148" s="34" t="s">
        <v>348</v>
      </c>
      <c r="C148" s="35" t="s">
        <v>18</v>
      </c>
      <c r="D148" s="23">
        <v>200</v>
      </c>
      <c r="E148" s="24"/>
      <c r="F148" s="77">
        <f t="shared" si="7"/>
        <v>0</v>
      </c>
    </row>
    <row r="149" spans="1:6" ht="27.6" x14ac:dyDescent="0.3">
      <c r="A149" s="88">
        <f t="shared" si="8"/>
        <v>128</v>
      </c>
      <c r="B149" s="34" t="s">
        <v>349</v>
      </c>
      <c r="C149" s="35" t="s">
        <v>18</v>
      </c>
      <c r="D149" s="23">
        <v>8</v>
      </c>
      <c r="E149" s="24"/>
      <c r="F149" s="77">
        <f t="shared" si="7"/>
        <v>0</v>
      </c>
    </row>
    <row r="150" spans="1:6" ht="27.6" x14ac:dyDescent="0.3">
      <c r="A150" s="88">
        <f t="shared" si="8"/>
        <v>129</v>
      </c>
      <c r="B150" s="34" t="s">
        <v>350</v>
      </c>
      <c r="C150" s="35" t="s">
        <v>18</v>
      </c>
      <c r="D150" s="23">
        <v>45</v>
      </c>
      <c r="E150" s="24"/>
      <c r="F150" s="77">
        <f t="shared" si="7"/>
        <v>0</v>
      </c>
    </row>
    <row r="151" spans="1:6" ht="27.6" x14ac:dyDescent="0.3">
      <c r="A151" s="88">
        <f t="shared" si="8"/>
        <v>130</v>
      </c>
      <c r="B151" s="34" t="s">
        <v>351</v>
      </c>
      <c r="C151" s="35" t="s">
        <v>18</v>
      </c>
      <c r="D151" s="23">
        <v>20</v>
      </c>
      <c r="E151" s="24"/>
      <c r="F151" s="77">
        <f t="shared" si="7"/>
        <v>0</v>
      </c>
    </row>
    <row r="152" spans="1:6" ht="27.6" x14ac:dyDescent="0.3">
      <c r="A152" s="88">
        <f t="shared" si="8"/>
        <v>131</v>
      </c>
      <c r="B152" s="34" t="s">
        <v>352</v>
      </c>
      <c r="C152" s="35" t="s">
        <v>18</v>
      </c>
      <c r="D152" s="23">
        <v>16</v>
      </c>
      <c r="E152" s="24"/>
      <c r="F152" s="77">
        <f t="shared" si="7"/>
        <v>0</v>
      </c>
    </row>
    <row r="153" spans="1:6" ht="27.6" x14ac:dyDescent="0.3">
      <c r="A153" s="75">
        <f t="shared" si="8"/>
        <v>132</v>
      </c>
      <c r="B153" s="22" t="s">
        <v>353</v>
      </c>
      <c r="C153" s="21" t="s">
        <v>18</v>
      </c>
      <c r="D153" s="26">
        <v>70</v>
      </c>
      <c r="E153" s="24"/>
      <c r="F153" s="77">
        <f t="shared" si="7"/>
        <v>0</v>
      </c>
    </row>
    <row r="154" spans="1:6" ht="27.6" x14ac:dyDescent="0.3">
      <c r="A154" s="75">
        <f t="shared" si="8"/>
        <v>133</v>
      </c>
      <c r="B154" s="22" t="s">
        <v>354</v>
      </c>
      <c r="C154" s="21" t="s">
        <v>18</v>
      </c>
      <c r="D154" s="26">
        <v>340</v>
      </c>
      <c r="E154" s="24"/>
      <c r="F154" s="77">
        <f t="shared" si="7"/>
        <v>0</v>
      </c>
    </row>
    <row r="155" spans="1:6" ht="27.6" x14ac:dyDescent="0.3">
      <c r="A155" s="75">
        <f t="shared" si="8"/>
        <v>134</v>
      </c>
      <c r="B155" s="22" t="s">
        <v>355</v>
      </c>
      <c r="C155" s="21" t="s">
        <v>18</v>
      </c>
      <c r="D155" s="26">
        <v>15</v>
      </c>
      <c r="E155" s="24"/>
      <c r="F155" s="77">
        <f t="shared" si="7"/>
        <v>0</v>
      </c>
    </row>
    <row r="156" spans="1:6" ht="27.6" x14ac:dyDescent="0.3">
      <c r="A156" s="75">
        <f t="shared" si="8"/>
        <v>135</v>
      </c>
      <c r="B156" s="22" t="s">
        <v>356</v>
      </c>
      <c r="C156" s="21" t="s">
        <v>18</v>
      </c>
      <c r="D156" s="26">
        <v>3</v>
      </c>
      <c r="E156" s="24"/>
      <c r="F156" s="77">
        <f t="shared" si="7"/>
        <v>0</v>
      </c>
    </row>
    <row r="157" spans="1:6" ht="27.6" x14ac:dyDescent="0.3">
      <c r="A157" s="75">
        <f t="shared" si="8"/>
        <v>136</v>
      </c>
      <c r="B157" s="22" t="s">
        <v>357</v>
      </c>
      <c r="C157" s="21" t="s">
        <v>18</v>
      </c>
      <c r="D157" s="26">
        <v>3</v>
      </c>
      <c r="E157" s="24"/>
      <c r="F157" s="77">
        <f t="shared" si="7"/>
        <v>0</v>
      </c>
    </row>
    <row r="158" spans="1:6" ht="27.6" x14ac:dyDescent="0.3">
      <c r="A158" s="88">
        <f t="shared" si="8"/>
        <v>137</v>
      </c>
      <c r="B158" s="34" t="s">
        <v>358</v>
      </c>
      <c r="C158" s="35" t="s">
        <v>18</v>
      </c>
      <c r="D158" s="23">
        <v>3</v>
      </c>
      <c r="E158" s="24"/>
      <c r="F158" s="77">
        <f t="shared" si="7"/>
        <v>0</v>
      </c>
    </row>
    <row r="159" spans="1:6" ht="27.6" x14ac:dyDescent="0.3">
      <c r="A159" s="88">
        <f t="shared" si="8"/>
        <v>138</v>
      </c>
      <c r="B159" s="34" t="s">
        <v>359</v>
      </c>
      <c r="C159" s="35" t="s">
        <v>18</v>
      </c>
      <c r="D159" s="23">
        <v>55</v>
      </c>
      <c r="E159" s="24"/>
      <c r="F159" s="77">
        <f t="shared" si="7"/>
        <v>0</v>
      </c>
    </row>
    <row r="160" spans="1:6" ht="27.6" x14ac:dyDescent="0.3">
      <c r="A160" s="88">
        <f t="shared" si="8"/>
        <v>139</v>
      </c>
      <c r="B160" s="34" t="s">
        <v>360</v>
      </c>
      <c r="C160" s="35" t="s">
        <v>18</v>
      </c>
      <c r="D160" s="23">
        <v>23</v>
      </c>
      <c r="E160" s="24"/>
      <c r="F160" s="77">
        <f t="shared" si="7"/>
        <v>0</v>
      </c>
    </row>
    <row r="161" spans="1:6" ht="55.2" x14ac:dyDescent="0.3">
      <c r="A161" s="88">
        <f t="shared" si="8"/>
        <v>140</v>
      </c>
      <c r="B161" s="34" t="s">
        <v>361</v>
      </c>
      <c r="C161" s="35" t="s">
        <v>10</v>
      </c>
      <c r="D161" s="23">
        <v>160</v>
      </c>
      <c r="E161" s="24"/>
      <c r="F161" s="77">
        <f t="shared" si="7"/>
        <v>0</v>
      </c>
    </row>
    <row r="162" spans="1:6" x14ac:dyDescent="0.3">
      <c r="A162" s="88">
        <f t="shared" si="8"/>
        <v>141</v>
      </c>
      <c r="B162" s="34" t="s">
        <v>267</v>
      </c>
      <c r="C162" s="35" t="s">
        <v>10</v>
      </c>
      <c r="D162" s="23">
        <v>600</v>
      </c>
      <c r="E162" s="24"/>
      <c r="F162" s="77">
        <f t="shared" si="7"/>
        <v>0</v>
      </c>
    </row>
    <row r="163" spans="1:6" x14ac:dyDescent="0.3">
      <c r="A163" s="88">
        <f t="shared" si="8"/>
        <v>142</v>
      </c>
      <c r="B163" s="34" t="s">
        <v>362</v>
      </c>
      <c r="C163" s="35" t="s">
        <v>10</v>
      </c>
      <c r="D163" s="23">
        <v>40</v>
      </c>
      <c r="E163" s="24"/>
      <c r="F163" s="77">
        <f t="shared" si="7"/>
        <v>0</v>
      </c>
    </row>
    <row r="164" spans="1:6" x14ac:dyDescent="0.3">
      <c r="A164" s="88">
        <f t="shared" si="8"/>
        <v>143</v>
      </c>
      <c r="B164" s="34" t="s">
        <v>363</v>
      </c>
      <c r="C164" s="35" t="s">
        <v>10</v>
      </c>
      <c r="D164" s="23">
        <v>340</v>
      </c>
      <c r="E164" s="24"/>
      <c r="F164" s="77">
        <f t="shared" si="7"/>
        <v>0</v>
      </c>
    </row>
    <row r="165" spans="1:6" ht="69.75" customHeight="1" x14ac:dyDescent="0.3">
      <c r="A165" s="75">
        <f t="shared" si="8"/>
        <v>144</v>
      </c>
      <c r="B165" s="22" t="s">
        <v>364</v>
      </c>
      <c r="C165" s="21" t="s">
        <v>10</v>
      </c>
      <c r="D165" s="26">
        <v>140</v>
      </c>
      <c r="E165" s="24"/>
      <c r="F165" s="77">
        <f t="shared" si="7"/>
        <v>0</v>
      </c>
    </row>
    <row r="166" spans="1:6" ht="75" customHeight="1" x14ac:dyDescent="0.3">
      <c r="A166" s="75">
        <f t="shared" si="8"/>
        <v>145</v>
      </c>
      <c r="B166" s="22" t="s">
        <v>365</v>
      </c>
      <c r="C166" s="21" t="s">
        <v>10</v>
      </c>
      <c r="D166" s="26">
        <v>150</v>
      </c>
      <c r="E166" s="24"/>
      <c r="F166" s="77">
        <f t="shared" si="7"/>
        <v>0</v>
      </c>
    </row>
    <row r="167" spans="1:6" x14ac:dyDescent="0.3">
      <c r="A167" s="88">
        <f t="shared" si="8"/>
        <v>146</v>
      </c>
      <c r="B167" s="34" t="s">
        <v>366</v>
      </c>
      <c r="C167" s="35" t="s">
        <v>10</v>
      </c>
      <c r="D167" s="23">
        <v>3745</v>
      </c>
      <c r="E167" s="24"/>
      <c r="F167" s="77">
        <f t="shared" si="7"/>
        <v>0</v>
      </c>
    </row>
    <row r="168" spans="1:6" ht="14.4" thickBot="1" x14ac:dyDescent="0.35">
      <c r="A168" s="89">
        <f t="shared" si="8"/>
        <v>147</v>
      </c>
      <c r="B168" s="34" t="s">
        <v>293</v>
      </c>
      <c r="C168" s="35" t="s">
        <v>10</v>
      </c>
      <c r="D168" s="23">
        <v>3745</v>
      </c>
      <c r="E168" s="24"/>
      <c r="F168" s="77">
        <f t="shared" si="7"/>
        <v>0</v>
      </c>
    </row>
    <row r="169" spans="1:6" ht="14.4" thickBot="1" x14ac:dyDescent="0.35">
      <c r="A169" s="90"/>
      <c r="B169" s="34"/>
      <c r="C169" s="34"/>
      <c r="D169" s="23"/>
      <c r="E169" s="24"/>
      <c r="F169" s="77">
        <f t="shared" si="7"/>
        <v>0</v>
      </c>
    </row>
    <row r="170" spans="1:6" ht="31.2" x14ac:dyDescent="0.3">
      <c r="A170" s="102" t="s">
        <v>367</v>
      </c>
      <c r="B170" s="103" t="s">
        <v>368</v>
      </c>
      <c r="C170" s="106"/>
      <c r="D170" s="105"/>
      <c r="E170" s="105"/>
      <c r="F170" s="77">
        <f t="shared" si="7"/>
        <v>0</v>
      </c>
    </row>
    <row r="171" spans="1:6" ht="55.2" x14ac:dyDescent="0.3">
      <c r="A171" s="88">
        <f>A168+1</f>
        <v>148</v>
      </c>
      <c r="B171" s="34" t="s">
        <v>369</v>
      </c>
      <c r="C171" s="35" t="s">
        <v>10</v>
      </c>
      <c r="D171" s="23">
        <v>4</v>
      </c>
      <c r="E171" s="24"/>
      <c r="F171" s="77">
        <f t="shared" si="7"/>
        <v>0</v>
      </c>
    </row>
    <row r="172" spans="1:6" x14ac:dyDescent="0.3">
      <c r="A172" s="88">
        <f t="shared" ref="A172:A235" si="9">A171+1</f>
        <v>149</v>
      </c>
      <c r="B172" s="34" t="s">
        <v>370</v>
      </c>
      <c r="C172" s="35" t="s">
        <v>10</v>
      </c>
      <c r="D172" s="23">
        <v>68</v>
      </c>
      <c r="E172" s="24"/>
      <c r="F172" s="77">
        <f t="shared" si="7"/>
        <v>0</v>
      </c>
    </row>
    <row r="173" spans="1:6" x14ac:dyDescent="0.3">
      <c r="A173" s="88">
        <f t="shared" si="9"/>
        <v>150</v>
      </c>
      <c r="B173" s="34" t="s">
        <v>371</v>
      </c>
      <c r="C173" s="35" t="s">
        <v>10</v>
      </c>
      <c r="D173" s="23">
        <v>20</v>
      </c>
      <c r="E173" s="24"/>
      <c r="F173" s="77">
        <f t="shared" si="7"/>
        <v>0</v>
      </c>
    </row>
    <row r="174" spans="1:6" x14ac:dyDescent="0.3">
      <c r="A174" s="88">
        <f t="shared" si="9"/>
        <v>151</v>
      </c>
      <c r="B174" s="34" t="s">
        <v>372</v>
      </c>
      <c r="C174" s="35" t="s">
        <v>10</v>
      </c>
      <c r="D174" s="23">
        <v>65</v>
      </c>
      <c r="E174" s="24"/>
      <c r="F174" s="77">
        <f t="shared" si="7"/>
        <v>0</v>
      </c>
    </row>
    <row r="175" spans="1:6" x14ac:dyDescent="0.3">
      <c r="A175" s="88">
        <f t="shared" si="9"/>
        <v>152</v>
      </c>
      <c r="B175" s="34" t="s">
        <v>373</v>
      </c>
      <c r="C175" s="35" t="s">
        <v>10</v>
      </c>
      <c r="D175" s="23">
        <v>35</v>
      </c>
      <c r="E175" s="24"/>
      <c r="F175" s="77">
        <f t="shared" si="7"/>
        <v>0</v>
      </c>
    </row>
    <row r="176" spans="1:6" ht="69" x14ac:dyDescent="0.3">
      <c r="A176" s="75">
        <f t="shared" si="9"/>
        <v>153</v>
      </c>
      <c r="B176" s="22" t="s">
        <v>374</v>
      </c>
      <c r="C176" s="21" t="s">
        <v>18</v>
      </c>
      <c r="D176" s="26">
        <v>2</v>
      </c>
      <c r="E176" s="24"/>
      <c r="F176" s="77">
        <f t="shared" si="7"/>
        <v>0</v>
      </c>
    </row>
    <row r="177" spans="1:6" ht="69" x14ac:dyDescent="0.3">
      <c r="A177" s="75">
        <f t="shared" si="9"/>
        <v>154</v>
      </c>
      <c r="B177" s="22" t="s">
        <v>375</v>
      </c>
      <c r="C177" s="21" t="s">
        <v>18</v>
      </c>
      <c r="D177" s="26">
        <v>7</v>
      </c>
      <c r="E177" s="24"/>
      <c r="F177" s="77">
        <f t="shared" si="7"/>
        <v>0</v>
      </c>
    </row>
    <row r="178" spans="1:6" ht="69" x14ac:dyDescent="0.3">
      <c r="A178" s="75">
        <f t="shared" si="9"/>
        <v>155</v>
      </c>
      <c r="B178" s="22" t="s">
        <v>376</v>
      </c>
      <c r="C178" s="21" t="s">
        <v>18</v>
      </c>
      <c r="D178" s="26">
        <v>2</v>
      </c>
      <c r="E178" s="24"/>
      <c r="F178" s="77">
        <f t="shared" si="7"/>
        <v>0</v>
      </c>
    </row>
    <row r="179" spans="1:6" ht="27.6" x14ac:dyDescent="0.3">
      <c r="A179" s="75">
        <f t="shared" si="9"/>
        <v>156</v>
      </c>
      <c r="B179" s="22" t="s">
        <v>377</v>
      </c>
      <c r="C179" s="21" t="s">
        <v>18</v>
      </c>
      <c r="D179" s="26">
        <v>2</v>
      </c>
      <c r="E179" s="24"/>
      <c r="F179" s="77">
        <f t="shared" si="7"/>
        <v>0</v>
      </c>
    </row>
    <row r="180" spans="1:6" ht="27.6" x14ac:dyDescent="0.3">
      <c r="A180" s="75">
        <f t="shared" si="9"/>
        <v>157</v>
      </c>
      <c r="B180" s="22" t="s">
        <v>378</v>
      </c>
      <c r="C180" s="21" t="s">
        <v>18</v>
      </c>
      <c r="D180" s="26">
        <v>9</v>
      </c>
      <c r="E180" s="24"/>
      <c r="F180" s="77">
        <f t="shared" si="7"/>
        <v>0</v>
      </c>
    </row>
    <row r="181" spans="1:6" ht="41.4" x14ac:dyDescent="0.3">
      <c r="A181" s="75">
        <f t="shared" si="9"/>
        <v>158</v>
      </c>
      <c r="B181" s="22" t="s">
        <v>379</v>
      </c>
      <c r="C181" s="21" t="s">
        <v>10</v>
      </c>
      <c r="D181" s="26">
        <v>145</v>
      </c>
      <c r="E181" s="24"/>
      <c r="F181" s="77">
        <f t="shared" si="7"/>
        <v>0</v>
      </c>
    </row>
    <row r="182" spans="1:6" ht="124.2" x14ac:dyDescent="0.3">
      <c r="A182" s="75">
        <f t="shared" si="9"/>
        <v>159</v>
      </c>
      <c r="B182" s="22" t="s">
        <v>380</v>
      </c>
      <c r="C182" s="21" t="s">
        <v>18</v>
      </c>
      <c r="D182" s="26">
        <v>1</v>
      </c>
      <c r="E182" s="24"/>
      <c r="F182" s="77">
        <f t="shared" si="7"/>
        <v>0</v>
      </c>
    </row>
    <row r="183" spans="1:6" ht="41.4" x14ac:dyDescent="0.3">
      <c r="A183" s="88">
        <f t="shared" si="9"/>
        <v>160</v>
      </c>
      <c r="B183" s="34" t="s">
        <v>381</v>
      </c>
      <c r="C183" s="35" t="s">
        <v>10</v>
      </c>
      <c r="D183" s="23">
        <v>10</v>
      </c>
      <c r="E183" s="24"/>
      <c r="F183" s="77">
        <f t="shared" si="7"/>
        <v>0</v>
      </c>
    </row>
    <row r="184" spans="1:6" ht="41.4" x14ac:dyDescent="0.3">
      <c r="A184" s="88">
        <f t="shared" si="9"/>
        <v>161</v>
      </c>
      <c r="B184" s="34" t="s">
        <v>382</v>
      </c>
      <c r="C184" s="35" t="s">
        <v>10</v>
      </c>
      <c r="D184" s="23">
        <v>55</v>
      </c>
      <c r="E184" s="24"/>
      <c r="F184" s="77">
        <f t="shared" si="7"/>
        <v>0</v>
      </c>
    </row>
    <row r="185" spans="1:6" ht="41.4" x14ac:dyDescent="0.3">
      <c r="A185" s="88">
        <f t="shared" si="9"/>
        <v>162</v>
      </c>
      <c r="B185" s="34" t="s">
        <v>383</v>
      </c>
      <c r="C185" s="35" t="s">
        <v>10</v>
      </c>
      <c r="D185" s="23">
        <v>70</v>
      </c>
      <c r="E185" s="24"/>
      <c r="F185" s="77">
        <f t="shared" si="7"/>
        <v>0</v>
      </c>
    </row>
    <row r="186" spans="1:6" x14ac:dyDescent="0.3">
      <c r="A186" s="75">
        <f t="shared" si="9"/>
        <v>163</v>
      </c>
      <c r="B186" s="22" t="s">
        <v>384</v>
      </c>
      <c r="C186" s="21" t="s">
        <v>18</v>
      </c>
      <c r="D186" s="26">
        <v>1</v>
      </c>
      <c r="E186" s="24"/>
      <c r="F186" s="77">
        <f t="shared" si="7"/>
        <v>0</v>
      </c>
    </row>
    <row r="187" spans="1:6" x14ac:dyDescent="0.3">
      <c r="A187" s="75">
        <f t="shared" si="9"/>
        <v>164</v>
      </c>
      <c r="B187" s="22" t="s">
        <v>385</v>
      </c>
      <c r="C187" s="21" t="s">
        <v>18</v>
      </c>
      <c r="D187" s="26">
        <v>3</v>
      </c>
      <c r="E187" s="24"/>
      <c r="F187" s="77">
        <f t="shared" si="7"/>
        <v>0</v>
      </c>
    </row>
    <row r="188" spans="1:6" x14ac:dyDescent="0.3">
      <c r="A188" s="75">
        <f t="shared" si="9"/>
        <v>165</v>
      </c>
      <c r="B188" s="22" t="s">
        <v>386</v>
      </c>
      <c r="C188" s="21" t="s">
        <v>18</v>
      </c>
      <c r="D188" s="26">
        <v>3</v>
      </c>
      <c r="E188" s="24"/>
      <c r="F188" s="77">
        <f t="shared" si="7"/>
        <v>0</v>
      </c>
    </row>
    <row r="189" spans="1:6" x14ac:dyDescent="0.3">
      <c r="A189" s="75">
        <f t="shared" si="9"/>
        <v>166</v>
      </c>
      <c r="B189" s="22" t="s">
        <v>387</v>
      </c>
      <c r="C189" s="21" t="s">
        <v>18</v>
      </c>
      <c r="D189" s="26">
        <v>3</v>
      </c>
      <c r="E189" s="24"/>
      <c r="F189" s="77">
        <f t="shared" si="7"/>
        <v>0</v>
      </c>
    </row>
    <row r="190" spans="1:6" x14ac:dyDescent="0.3">
      <c r="A190" s="75">
        <f t="shared" si="9"/>
        <v>167</v>
      </c>
      <c r="B190" s="22" t="s">
        <v>388</v>
      </c>
      <c r="C190" s="21" t="s">
        <v>18</v>
      </c>
      <c r="D190" s="26">
        <v>1</v>
      </c>
      <c r="E190" s="24"/>
      <c r="F190" s="77">
        <f t="shared" si="7"/>
        <v>0</v>
      </c>
    </row>
    <row r="191" spans="1:6" ht="82.8" x14ac:dyDescent="0.3">
      <c r="A191" s="88">
        <f t="shared" si="9"/>
        <v>168</v>
      </c>
      <c r="B191" s="34" t="s">
        <v>389</v>
      </c>
      <c r="C191" s="35" t="s">
        <v>18</v>
      </c>
      <c r="D191" s="23">
        <v>2</v>
      </c>
      <c r="E191" s="24"/>
      <c r="F191" s="77">
        <f t="shared" si="7"/>
        <v>0</v>
      </c>
    </row>
    <row r="192" spans="1:6" x14ac:dyDescent="0.3">
      <c r="A192" s="88">
        <f t="shared" si="9"/>
        <v>169</v>
      </c>
      <c r="B192" s="34" t="s">
        <v>366</v>
      </c>
      <c r="C192" s="35" t="s">
        <v>10</v>
      </c>
      <c r="D192" s="23">
        <v>327</v>
      </c>
      <c r="E192" s="24"/>
      <c r="F192" s="77">
        <f t="shared" si="7"/>
        <v>0</v>
      </c>
    </row>
    <row r="193" spans="1:6" ht="28.2" thickBot="1" x14ac:dyDescent="0.35">
      <c r="A193" s="89">
        <f t="shared" si="9"/>
        <v>170</v>
      </c>
      <c r="B193" s="34" t="s">
        <v>390</v>
      </c>
      <c r="C193" s="35" t="s">
        <v>10</v>
      </c>
      <c r="D193" s="23">
        <v>327</v>
      </c>
      <c r="E193" s="24"/>
      <c r="F193" s="77">
        <f t="shared" si="7"/>
        <v>0</v>
      </c>
    </row>
    <row r="194" spans="1:6" ht="14.4" thickBot="1" x14ac:dyDescent="0.35">
      <c r="A194" s="90"/>
      <c r="B194" s="34"/>
      <c r="C194" s="34"/>
      <c r="D194" s="23"/>
      <c r="E194" s="24"/>
      <c r="F194" s="77">
        <f t="shared" si="7"/>
        <v>0</v>
      </c>
    </row>
    <row r="195" spans="1:6" ht="15.6" x14ac:dyDescent="0.3">
      <c r="A195" s="107" t="s">
        <v>391</v>
      </c>
      <c r="B195" s="103" t="s">
        <v>392</v>
      </c>
      <c r="C195" s="108"/>
      <c r="D195" s="108"/>
      <c r="E195" s="108"/>
      <c r="F195" s="77">
        <f t="shared" si="7"/>
        <v>0</v>
      </c>
    </row>
    <row r="196" spans="1:6" ht="96.6" x14ac:dyDescent="0.3">
      <c r="A196" s="109">
        <v>171</v>
      </c>
      <c r="B196" s="34" t="s">
        <v>393</v>
      </c>
      <c r="C196" s="35" t="s">
        <v>18</v>
      </c>
      <c r="D196" s="23">
        <v>2</v>
      </c>
      <c r="E196" s="24"/>
      <c r="F196" s="77">
        <f t="shared" si="7"/>
        <v>0</v>
      </c>
    </row>
    <row r="197" spans="1:6" ht="110.4" x14ac:dyDescent="0.3">
      <c r="A197" s="109">
        <v>172</v>
      </c>
      <c r="B197" s="34" t="s">
        <v>394</v>
      </c>
      <c r="C197" s="35" t="s">
        <v>18</v>
      </c>
      <c r="D197" s="23">
        <v>4</v>
      </c>
      <c r="E197" s="24"/>
      <c r="F197" s="77">
        <f t="shared" si="7"/>
        <v>0</v>
      </c>
    </row>
    <row r="198" spans="1:6" ht="110.4" x14ac:dyDescent="0.3">
      <c r="A198" s="109">
        <v>173</v>
      </c>
      <c r="B198" s="34" t="s">
        <v>395</v>
      </c>
      <c r="C198" s="35" t="s">
        <v>18</v>
      </c>
      <c r="D198" s="23">
        <v>1</v>
      </c>
      <c r="E198" s="24"/>
      <c r="F198" s="77">
        <f t="shared" si="7"/>
        <v>0</v>
      </c>
    </row>
    <row r="199" spans="1:6" ht="110.4" x14ac:dyDescent="0.3">
      <c r="A199" s="109">
        <v>174</v>
      </c>
      <c r="B199" s="34" t="s">
        <v>396</v>
      </c>
      <c r="C199" s="35" t="s">
        <v>18</v>
      </c>
      <c r="D199" s="23">
        <v>1</v>
      </c>
      <c r="E199" s="24"/>
      <c r="F199" s="77">
        <f t="shared" si="7"/>
        <v>0</v>
      </c>
    </row>
    <row r="200" spans="1:6" ht="27.6" x14ac:dyDescent="0.3">
      <c r="A200" s="109">
        <v>175</v>
      </c>
      <c r="B200" s="34" t="s">
        <v>397</v>
      </c>
      <c r="C200" s="35" t="s">
        <v>10</v>
      </c>
      <c r="D200" s="23">
        <v>75</v>
      </c>
      <c r="E200" s="24"/>
      <c r="F200" s="77">
        <f t="shared" ref="F200:F237" si="10">D200*E200</f>
        <v>0</v>
      </c>
    </row>
    <row r="201" spans="1:6" ht="27.6" x14ac:dyDescent="0.3">
      <c r="A201" s="109">
        <v>176</v>
      </c>
      <c r="B201" s="34" t="s">
        <v>398</v>
      </c>
      <c r="C201" s="35" t="s">
        <v>10</v>
      </c>
      <c r="D201" s="23">
        <v>230</v>
      </c>
      <c r="E201" s="24"/>
      <c r="F201" s="77">
        <f t="shared" si="10"/>
        <v>0</v>
      </c>
    </row>
    <row r="202" spans="1:6" ht="27.6" x14ac:dyDescent="0.3">
      <c r="A202" s="109">
        <v>177</v>
      </c>
      <c r="B202" s="34" t="s">
        <v>399</v>
      </c>
      <c r="C202" s="35" t="s">
        <v>10</v>
      </c>
      <c r="D202" s="23">
        <v>210</v>
      </c>
      <c r="E202" s="24"/>
      <c r="F202" s="77">
        <f t="shared" si="10"/>
        <v>0</v>
      </c>
    </row>
    <row r="203" spans="1:6" ht="55.2" x14ac:dyDescent="0.3">
      <c r="A203" s="109">
        <v>178</v>
      </c>
      <c r="B203" s="34" t="s">
        <v>400</v>
      </c>
      <c r="C203" s="35" t="s">
        <v>10</v>
      </c>
      <c r="D203" s="23">
        <v>130</v>
      </c>
      <c r="E203" s="24"/>
      <c r="F203" s="77">
        <f t="shared" si="10"/>
        <v>0</v>
      </c>
    </row>
    <row r="204" spans="1:6" ht="27.6" x14ac:dyDescent="0.3">
      <c r="A204" s="109">
        <v>179</v>
      </c>
      <c r="B204" s="34" t="s">
        <v>401</v>
      </c>
      <c r="C204" s="35" t="s">
        <v>18</v>
      </c>
      <c r="D204" s="23">
        <v>2</v>
      </c>
      <c r="E204" s="24"/>
      <c r="F204" s="77">
        <f t="shared" si="10"/>
        <v>0</v>
      </c>
    </row>
    <row r="205" spans="1:6" ht="27.6" x14ac:dyDescent="0.3">
      <c r="A205" s="109">
        <v>180</v>
      </c>
      <c r="B205" s="34" t="s">
        <v>402</v>
      </c>
      <c r="C205" s="35" t="s">
        <v>18</v>
      </c>
      <c r="D205" s="23">
        <v>8</v>
      </c>
      <c r="E205" s="24"/>
      <c r="F205" s="77">
        <f t="shared" si="10"/>
        <v>0</v>
      </c>
    </row>
    <row r="206" spans="1:6" ht="27.6" x14ac:dyDescent="0.3">
      <c r="A206" s="109">
        <v>181</v>
      </c>
      <c r="B206" s="34" t="s">
        <v>403</v>
      </c>
      <c r="C206" s="35" t="s">
        <v>18</v>
      </c>
      <c r="D206" s="23">
        <v>2</v>
      </c>
      <c r="E206" s="24"/>
      <c r="F206" s="77">
        <f t="shared" si="10"/>
        <v>0</v>
      </c>
    </row>
    <row r="207" spans="1:6" ht="27.6" x14ac:dyDescent="0.3">
      <c r="A207" s="109">
        <v>182</v>
      </c>
      <c r="B207" s="34" t="s">
        <v>404</v>
      </c>
      <c r="C207" s="35" t="s">
        <v>18</v>
      </c>
      <c r="D207" s="23">
        <v>2</v>
      </c>
      <c r="E207" s="24"/>
      <c r="F207" s="77">
        <f t="shared" si="10"/>
        <v>0</v>
      </c>
    </row>
    <row r="208" spans="1:6" ht="27.6" x14ac:dyDescent="0.3">
      <c r="A208" s="109">
        <v>183</v>
      </c>
      <c r="B208" s="34" t="s">
        <v>405</v>
      </c>
      <c r="C208" s="35" t="s">
        <v>18</v>
      </c>
      <c r="D208" s="23">
        <v>6</v>
      </c>
      <c r="E208" s="24"/>
      <c r="F208" s="77">
        <f t="shared" si="10"/>
        <v>0</v>
      </c>
    </row>
    <row r="209" spans="1:6" ht="27.6" x14ac:dyDescent="0.3">
      <c r="A209" s="109">
        <v>184</v>
      </c>
      <c r="B209" s="34" t="s">
        <v>406</v>
      </c>
      <c r="C209" s="35" t="s">
        <v>18</v>
      </c>
      <c r="D209" s="23">
        <v>2</v>
      </c>
      <c r="E209" s="24"/>
      <c r="F209" s="77">
        <f t="shared" si="10"/>
        <v>0</v>
      </c>
    </row>
    <row r="210" spans="1:6" ht="41.4" x14ac:dyDescent="0.3">
      <c r="A210" s="109">
        <v>185</v>
      </c>
      <c r="B210" s="34" t="s">
        <v>407</v>
      </c>
      <c r="C210" s="35" t="s">
        <v>18</v>
      </c>
      <c r="D210" s="23">
        <v>2</v>
      </c>
      <c r="E210" s="24"/>
      <c r="F210" s="77">
        <f t="shared" si="10"/>
        <v>0</v>
      </c>
    </row>
    <row r="211" spans="1:6" x14ac:dyDescent="0.3">
      <c r="A211" s="110">
        <v>186</v>
      </c>
      <c r="B211" s="22" t="s">
        <v>385</v>
      </c>
      <c r="C211" s="21" t="s">
        <v>18</v>
      </c>
      <c r="D211" s="26">
        <v>2</v>
      </c>
      <c r="E211" s="24"/>
      <c r="F211" s="77">
        <f t="shared" si="10"/>
        <v>0</v>
      </c>
    </row>
    <row r="212" spans="1:6" x14ac:dyDescent="0.3">
      <c r="A212" s="110">
        <v>187</v>
      </c>
      <c r="B212" s="22" t="s">
        <v>386</v>
      </c>
      <c r="C212" s="21" t="s">
        <v>18</v>
      </c>
      <c r="D212" s="26">
        <v>1</v>
      </c>
      <c r="E212" s="24"/>
      <c r="F212" s="77">
        <f t="shared" si="10"/>
        <v>0</v>
      </c>
    </row>
    <row r="213" spans="1:6" ht="28.2" thickBot="1" x14ac:dyDescent="0.35">
      <c r="A213" s="111">
        <v>188</v>
      </c>
      <c r="B213" s="34" t="s">
        <v>408</v>
      </c>
      <c r="C213" s="35" t="s">
        <v>33</v>
      </c>
      <c r="D213" s="23">
        <v>3</v>
      </c>
      <c r="E213" s="24"/>
      <c r="F213" s="77">
        <f t="shared" si="10"/>
        <v>0</v>
      </c>
    </row>
    <row r="214" spans="1:6" x14ac:dyDescent="0.3">
      <c r="A214" s="90"/>
      <c r="B214" s="34"/>
      <c r="C214" s="35"/>
      <c r="D214" s="92"/>
      <c r="E214" s="24"/>
      <c r="F214" s="77">
        <f t="shared" si="10"/>
        <v>0</v>
      </c>
    </row>
    <row r="215" spans="1:6" ht="16.2" thickBot="1" x14ac:dyDescent="0.35">
      <c r="A215" s="112" t="s">
        <v>409</v>
      </c>
      <c r="B215" s="103" t="s">
        <v>410</v>
      </c>
      <c r="C215" s="106"/>
      <c r="D215" s="105"/>
      <c r="E215" s="105"/>
      <c r="F215" s="77">
        <f t="shared" si="10"/>
        <v>0</v>
      </c>
    </row>
    <row r="216" spans="1:6" ht="179.4" x14ac:dyDescent="0.3">
      <c r="A216" s="113">
        <v>189</v>
      </c>
      <c r="B216" s="34" t="s">
        <v>411</v>
      </c>
      <c r="C216" s="35" t="s">
        <v>18</v>
      </c>
      <c r="D216" s="92">
        <v>1</v>
      </c>
      <c r="E216" s="24"/>
      <c r="F216" s="77">
        <f t="shared" si="10"/>
        <v>0</v>
      </c>
    </row>
    <row r="217" spans="1:6" ht="82.8" x14ac:dyDescent="0.3">
      <c r="A217" s="88">
        <f t="shared" si="9"/>
        <v>190</v>
      </c>
      <c r="B217" s="34" t="s">
        <v>412</v>
      </c>
      <c r="C217" s="35" t="s">
        <v>18</v>
      </c>
      <c r="D217" s="92">
        <v>1</v>
      </c>
      <c r="E217" s="24"/>
      <c r="F217" s="77">
        <f t="shared" si="10"/>
        <v>0</v>
      </c>
    </row>
    <row r="218" spans="1:6" ht="82.8" x14ac:dyDescent="0.3">
      <c r="A218" s="88">
        <f t="shared" si="9"/>
        <v>191</v>
      </c>
      <c r="B218" s="34" t="s">
        <v>413</v>
      </c>
      <c r="C218" s="35" t="s">
        <v>18</v>
      </c>
      <c r="D218" s="92">
        <v>4</v>
      </c>
      <c r="E218" s="24"/>
      <c r="F218" s="77">
        <f t="shared" si="10"/>
        <v>0</v>
      </c>
    </row>
    <row r="219" spans="1:6" ht="27.6" x14ac:dyDescent="0.3">
      <c r="A219" s="75">
        <f t="shared" si="9"/>
        <v>192</v>
      </c>
      <c r="B219" s="22" t="s">
        <v>401</v>
      </c>
      <c r="C219" s="21" t="s">
        <v>18</v>
      </c>
      <c r="D219" s="114">
        <v>1</v>
      </c>
      <c r="E219" s="24"/>
      <c r="F219" s="77">
        <f t="shared" si="10"/>
        <v>0</v>
      </c>
    </row>
    <row r="220" spans="1:6" ht="27.6" x14ac:dyDescent="0.3">
      <c r="A220" s="75">
        <f t="shared" si="9"/>
        <v>193</v>
      </c>
      <c r="B220" s="22" t="s">
        <v>414</v>
      </c>
      <c r="C220" s="21" t="s">
        <v>18</v>
      </c>
      <c r="D220" s="114">
        <v>8</v>
      </c>
      <c r="E220" s="24"/>
      <c r="F220" s="77">
        <f t="shared" si="10"/>
        <v>0</v>
      </c>
    </row>
    <row r="221" spans="1:6" ht="27.6" x14ac:dyDescent="0.3">
      <c r="A221" s="75">
        <f t="shared" si="9"/>
        <v>194</v>
      </c>
      <c r="B221" s="22" t="s">
        <v>415</v>
      </c>
      <c r="C221" s="21" t="s">
        <v>18</v>
      </c>
      <c r="D221" s="114">
        <v>11</v>
      </c>
      <c r="E221" s="24"/>
      <c r="F221" s="77">
        <f t="shared" si="10"/>
        <v>0</v>
      </c>
    </row>
    <row r="222" spans="1:6" ht="27.6" x14ac:dyDescent="0.3">
      <c r="A222" s="75">
        <f t="shared" si="9"/>
        <v>195</v>
      </c>
      <c r="B222" s="22" t="s">
        <v>406</v>
      </c>
      <c r="C222" s="21" t="s">
        <v>18</v>
      </c>
      <c r="D222" s="114">
        <v>3</v>
      </c>
      <c r="E222" s="24"/>
      <c r="F222" s="77">
        <f t="shared" si="10"/>
        <v>0</v>
      </c>
    </row>
    <row r="223" spans="1:6" ht="27.6" x14ac:dyDescent="0.3">
      <c r="A223" s="75">
        <f t="shared" si="9"/>
        <v>196</v>
      </c>
      <c r="B223" s="22" t="s">
        <v>416</v>
      </c>
      <c r="C223" s="21" t="s">
        <v>18</v>
      </c>
      <c r="D223" s="114">
        <v>5</v>
      </c>
      <c r="E223" s="24"/>
      <c r="F223" s="77">
        <f t="shared" si="10"/>
        <v>0</v>
      </c>
    </row>
    <row r="224" spans="1:6" x14ac:dyDescent="0.3">
      <c r="A224" s="75">
        <f t="shared" si="9"/>
        <v>197</v>
      </c>
      <c r="B224" s="22" t="s">
        <v>417</v>
      </c>
      <c r="C224" s="21" t="s">
        <v>18</v>
      </c>
      <c r="D224" s="114">
        <v>1</v>
      </c>
      <c r="E224" s="24"/>
      <c r="F224" s="77">
        <f t="shared" si="10"/>
        <v>0</v>
      </c>
    </row>
    <row r="225" spans="1:6" ht="41.4" x14ac:dyDescent="0.3">
      <c r="A225" s="75">
        <f t="shared" si="9"/>
        <v>198</v>
      </c>
      <c r="B225" s="22" t="s">
        <v>418</v>
      </c>
      <c r="C225" s="21" t="s">
        <v>18</v>
      </c>
      <c r="D225" s="114">
        <v>2</v>
      </c>
      <c r="E225" s="24"/>
      <c r="F225" s="77">
        <f t="shared" si="10"/>
        <v>0</v>
      </c>
    </row>
    <row r="226" spans="1:6" ht="41.4" x14ac:dyDescent="0.3">
      <c r="A226" s="75">
        <f t="shared" si="9"/>
        <v>199</v>
      </c>
      <c r="B226" s="22" t="s">
        <v>419</v>
      </c>
      <c r="C226" s="21" t="s">
        <v>18</v>
      </c>
      <c r="D226" s="114">
        <v>4</v>
      </c>
      <c r="E226" s="24"/>
      <c r="F226" s="77">
        <f t="shared" si="10"/>
        <v>0</v>
      </c>
    </row>
    <row r="227" spans="1:6" ht="41.4" x14ac:dyDescent="0.3">
      <c r="A227" s="75">
        <f t="shared" si="9"/>
        <v>200</v>
      </c>
      <c r="B227" s="22" t="s">
        <v>420</v>
      </c>
      <c r="C227" s="21" t="s">
        <v>18</v>
      </c>
      <c r="D227" s="114">
        <v>4</v>
      </c>
      <c r="E227" s="24"/>
      <c r="F227" s="77">
        <f t="shared" si="10"/>
        <v>0</v>
      </c>
    </row>
    <row r="228" spans="1:6" ht="37.5" customHeight="1" x14ac:dyDescent="0.3">
      <c r="A228" s="88">
        <f t="shared" si="9"/>
        <v>201</v>
      </c>
      <c r="B228" s="34" t="s">
        <v>421</v>
      </c>
      <c r="C228" s="35" t="s">
        <v>18</v>
      </c>
      <c r="D228" s="92">
        <v>1</v>
      </c>
      <c r="E228" s="24"/>
      <c r="F228" s="77">
        <f t="shared" si="10"/>
        <v>0</v>
      </c>
    </row>
    <row r="229" spans="1:6" ht="69" x14ac:dyDescent="0.3">
      <c r="A229" s="88">
        <f t="shared" si="9"/>
        <v>202</v>
      </c>
      <c r="B229" s="34" t="s">
        <v>422</v>
      </c>
      <c r="C229" s="35" t="s">
        <v>18</v>
      </c>
      <c r="D229" s="92">
        <v>1</v>
      </c>
      <c r="E229" s="24"/>
      <c r="F229" s="77">
        <f t="shared" si="10"/>
        <v>0</v>
      </c>
    </row>
    <row r="230" spans="1:6" ht="70.5" customHeight="1" x14ac:dyDescent="0.3">
      <c r="A230" s="88">
        <f t="shared" si="9"/>
        <v>203</v>
      </c>
      <c r="B230" s="34" t="s">
        <v>423</v>
      </c>
      <c r="C230" s="35" t="s">
        <v>18</v>
      </c>
      <c r="D230" s="92">
        <v>1</v>
      </c>
      <c r="E230" s="24"/>
      <c r="F230" s="77">
        <f t="shared" si="10"/>
        <v>0</v>
      </c>
    </row>
    <row r="231" spans="1:6" ht="41.4" x14ac:dyDescent="0.3">
      <c r="A231" s="88">
        <f t="shared" si="9"/>
        <v>204</v>
      </c>
      <c r="B231" s="34" t="s">
        <v>424</v>
      </c>
      <c r="C231" s="35" t="s">
        <v>18</v>
      </c>
      <c r="D231" s="92">
        <v>1</v>
      </c>
      <c r="E231" s="24"/>
      <c r="F231" s="77">
        <f t="shared" si="10"/>
        <v>0</v>
      </c>
    </row>
    <row r="232" spans="1:6" x14ac:dyDescent="0.3">
      <c r="A232" s="88">
        <f t="shared" si="9"/>
        <v>205</v>
      </c>
      <c r="B232" s="34" t="s">
        <v>425</v>
      </c>
      <c r="C232" s="35" t="s">
        <v>18</v>
      </c>
      <c r="D232" s="92">
        <v>1</v>
      </c>
      <c r="E232" s="24"/>
      <c r="F232" s="77">
        <f t="shared" si="10"/>
        <v>0</v>
      </c>
    </row>
    <row r="233" spans="1:6" ht="41.4" x14ac:dyDescent="0.3">
      <c r="A233" s="88">
        <f t="shared" si="9"/>
        <v>206</v>
      </c>
      <c r="B233" s="34" t="s">
        <v>426</v>
      </c>
      <c r="C233" s="35" t="s">
        <v>18</v>
      </c>
      <c r="D233" s="92">
        <v>1</v>
      </c>
      <c r="E233" s="24"/>
      <c r="F233" s="77">
        <f t="shared" si="10"/>
        <v>0</v>
      </c>
    </row>
    <row r="234" spans="1:6" x14ac:dyDescent="0.3">
      <c r="A234" s="88">
        <f t="shared" si="9"/>
        <v>207</v>
      </c>
      <c r="B234" s="34" t="s">
        <v>427</v>
      </c>
      <c r="C234" s="35" t="s">
        <v>18</v>
      </c>
      <c r="D234" s="92">
        <v>8</v>
      </c>
      <c r="E234" s="24"/>
      <c r="F234" s="77">
        <f t="shared" si="10"/>
        <v>0</v>
      </c>
    </row>
    <row r="235" spans="1:6" ht="41.4" x14ac:dyDescent="0.3">
      <c r="A235" s="88">
        <f t="shared" si="9"/>
        <v>208</v>
      </c>
      <c r="B235" s="34" t="s">
        <v>428</v>
      </c>
      <c r="C235" s="35" t="s">
        <v>18</v>
      </c>
      <c r="D235" s="92">
        <v>1</v>
      </c>
      <c r="E235" s="24"/>
      <c r="F235" s="77">
        <f t="shared" si="10"/>
        <v>0</v>
      </c>
    </row>
    <row r="236" spans="1:6" x14ac:dyDescent="0.3">
      <c r="A236" s="115"/>
      <c r="B236" s="34" t="s">
        <v>429</v>
      </c>
      <c r="C236" s="35" t="s">
        <v>18</v>
      </c>
      <c r="D236" s="92">
        <v>1</v>
      </c>
      <c r="E236" s="24"/>
      <c r="F236" s="77">
        <f t="shared" si="10"/>
        <v>0</v>
      </c>
    </row>
    <row r="237" spans="1:6" ht="28.2" thickBot="1" x14ac:dyDescent="0.35">
      <c r="A237" s="89"/>
      <c r="B237" s="34" t="s">
        <v>430</v>
      </c>
      <c r="C237" s="35" t="s">
        <v>18</v>
      </c>
      <c r="D237" s="92">
        <v>1</v>
      </c>
      <c r="E237" s="24"/>
      <c r="F237" s="117">
        <f t="shared" si="10"/>
        <v>0</v>
      </c>
    </row>
    <row r="238" spans="1:6" ht="14.4" thickBot="1" x14ac:dyDescent="0.35">
      <c r="F238" s="118">
        <f>SUM(F7:F237)</f>
        <v>0</v>
      </c>
    </row>
  </sheetData>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 Termice</vt:lpstr>
      <vt:lpstr>Inst Sanitare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2026-05-21T12:00:51Z</dcterms:modified>
</cp:coreProperties>
</file>